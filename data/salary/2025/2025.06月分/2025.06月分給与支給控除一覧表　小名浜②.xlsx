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6月分\"/>
    </mc:Choice>
  </mc:AlternateContent>
  <xr:revisionPtr revIDLastSave="0" documentId="13_ncr:1_{B426ECFB-0201-47C8-889F-43FB1156AE1E}" xr6:coauthVersionLast="47" xr6:coauthVersionMax="47" xr10:uidLastSave="{00000000-0000-0000-0000-000000000000}"/>
  <bookViews>
    <workbookView xWindow="-120" yWindow="-120" windowWidth="20730" windowHeight="11160" xr2:uid="{4D1F25F4-2F32-4D4B-921D-AA7AB9AC0057}"/>
  </bookViews>
  <sheets>
    <sheet name="2025年 6月度給与" sheetId="2" r:id="rId1"/>
    <sheet name="2025年 6月度給与 (2)" sheetId="3" r:id="rId2"/>
    <sheet name="2025年 6月度給与 (3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4" l="1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N58" i="3"/>
  <c r="L58" i="3"/>
  <c r="O58" i="3" s="1"/>
  <c r="N55" i="3"/>
  <c r="L55" i="3"/>
  <c r="O55" i="3" s="1"/>
  <c r="N54" i="3"/>
  <c r="L54" i="3"/>
  <c r="O54" i="3" s="1"/>
  <c r="N53" i="3"/>
  <c r="L53" i="3"/>
  <c r="O53" i="3" s="1"/>
  <c r="N52" i="3"/>
  <c r="L52" i="3"/>
  <c r="O52" i="3" s="1"/>
  <c r="N51" i="3"/>
  <c r="L51" i="3"/>
  <c r="O51" i="3" s="1"/>
  <c r="N50" i="3"/>
  <c r="L50" i="3"/>
  <c r="O50" i="3" s="1"/>
  <c r="N49" i="3"/>
  <c r="L49" i="3"/>
  <c r="O49" i="3" s="1"/>
  <c r="N48" i="3"/>
  <c r="L48" i="3"/>
  <c r="O48" i="3" s="1"/>
  <c r="N47" i="3"/>
  <c r="L47" i="3"/>
  <c r="O47" i="3" s="1"/>
  <c r="N46" i="3"/>
  <c r="L46" i="3"/>
  <c r="O46" i="3" s="1"/>
  <c r="N45" i="3"/>
  <c r="L45" i="3"/>
  <c r="O45" i="3" s="1"/>
  <c r="N44" i="3"/>
  <c r="L44" i="3"/>
  <c r="O44" i="3" s="1"/>
  <c r="N43" i="3"/>
  <c r="L43" i="3"/>
  <c r="O43" i="3" s="1"/>
  <c r="N42" i="3"/>
  <c r="L42" i="3"/>
  <c r="O42" i="3" s="1"/>
  <c r="N41" i="3"/>
  <c r="L41" i="3"/>
  <c r="O41" i="3" s="1"/>
  <c r="N40" i="3"/>
  <c r="L40" i="3"/>
  <c r="O40" i="3" s="1"/>
  <c r="N39" i="3"/>
  <c r="L39" i="3"/>
  <c r="O39" i="3" s="1"/>
  <c r="N38" i="3"/>
  <c r="L38" i="3"/>
  <c r="O38" i="3" s="1"/>
  <c r="N37" i="3"/>
  <c r="L37" i="3"/>
  <c r="O37" i="3" s="1"/>
  <c r="N36" i="3"/>
  <c r="L36" i="3"/>
  <c r="O36" i="3" s="1"/>
  <c r="N35" i="3"/>
  <c r="L35" i="3"/>
  <c r="O35" i="3" s="1"/>
  <c r="N34" i="3"/>
  <c r="L34" i="3"/>
  <c r="O34" i="3" s="1"/>
  <c r="N33" i="3"/>
  <c r="L33" i="3"/>
  <c r="O33" i="3" s="1"/>
  <c r="N32" i="3"/>
  <c r="L32" i="3"/>
  <c r="O32" i="3" s="1"/>
  <c r="N31" i="3"/>
  <c r="L31" i="3"/>
  <c r="O31" i="3" s="1"/>
  <c r="N30" i="3"/>
  <c r="L30" i="3"/>
  <c r="O30" i="3" s="1"/>
  <c r="N29" i="3"/>
  <c r="L29" i="3"/>
  <c r="O29" i="3" s="1"/>
  <c r="N28" i="3"/>
  <c r="L28" i="3"/>
  <c r="O28" i="3" s="1"/>
  <c r="N27" i="3"/>
  <c r="L27" i="3"/>
  <c r="O27" i="3" s="1"/>
  <c r="N26" i="3"/>
  <c r="L26" i="3"/>
  <c r="O26" i="3" s="1"/>
  <c r="N25" i="3"/>
  <c r="L25" i="3"/>
  <c r="O25" i="3" s="1"/>
  <c r="N23" i="3"/>
  <c r="L23" i="3"/>
  <c r="O23" i="3" s="1"/>
  <c r="N22" i="3"/>
  <c r="L22" i="3"/>
  <c r="O22" i="3" s="1"/>
  <c r="N21" i="3"/>
  <c r="L21" i="3"/>
  <c r="O21" i="3" s="1"/>
  <c r="N20" i="3"/>
  <c r="L20" i="3"/>
  <c r="O20" i="3" s="1"/>
  <c r="N19" i="3"/>
  <c r="L19" i="3"/>
  <c r="O19" i="3" s="1"/>
  <c r="N18" i="3"/>
  <c r="L18" i="3"/>
  <c r="O18" i="3" s="1"/>
  <c r="N17" i="3"/>
  <c r="L17" i="3"/>
  <c r="O17" i="3" s="1"/>
  <c r="N16" i="3"/>
  <c r="L16" i="3"/>
  <c r="O16" i="3" s="1"/>
  <c r="N15" i="3"/>
  <c r="L15" i="3"/>
  <c r="O15" i="3" s="1"/>
  <c r="N14" i="3"/>
  <c r="L14" i="3"/>
  <c r="O14" i="3" s="1"/>
  <c r="N13" i="3"/>
  <c r="L13" i="3"/>
  <c r="O13" i="3" s="1"/>
  <c r="N12" i="3"/>
  <c r="L12" i="3"/>
  <c r="O12" i="3" s="1"/>
  <c r="N11" i="3"/>
  <c r="L11" i="3"/>
  <c r="O11" i="3" s="1"/>
  <c r="N10" i="3"/>
  <c r="L10" i="3"/>
  <c r="O10" i="3" s="1"/>
  <c r="N9" i="3"/>
  <c r="L9" i="3"/>
  <c r="O9" i="3" s="1"/>
  <c r="AE58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C58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S58" i="2"/>
  <c r="AF58" i="2" s="1"/>
  <c r="S55" i="2"/>
  <c r="AF55" i="2" s="1"/>
  <c r="S54" i="2"/>
  <c r="AF54" i="2" s="1"/>
  <c r="S53" i="2"/>
  <c r="AF53" i="2" s="1"/>
  <c r="S52" i="2"/>
  <c r="AF52" i="2" s="1"/>
  <c r="S51" i="2"/>
  <c r="AF51" i="2" s="1"/>
  <c r="S50" i="2"/>
  <c r="AF50" i="2" s="1"/>
  <c r="S49" i="2"/>
  <c r="AF49" i="2" s="1"/>
  <c r="S48" i="2"/>
  <c r="AF48" i="2" s="1"/>
  <c r="S47" i="2"/>
  <c r="AF47" i="2" s="1"/>
  <c r="S46" i="2"/>
  <c r="AF46" i="2" s="1"/>
  <c r="S45" i="2"/>
  <c r="AF45" i="2" s="1"/>
  <c r="S44" i="2"/>
  <c r="AF44" i="2" s="1"/>
  <c r="S43" i="2"/>
  <c r="AF43" i="2" s="1"/>
  <c r="S42" i="2"/>
  <c r="AF42" i="2" s="1"/>
  <c r="S41" i="2"/>
  <c r="AF41" i="2" s="1"/>
  <c r="S40" i="2"/>
  <c r="AF40" i="2" s="1"/>
  <c r="S39" i="2"/>
  <c r="AF39" i="2" s="1"/>
  <c r="S38" i="2"/>
  <c r="AF38" i="2" s="1"/>
  <c r="S37" i="2"/>
  <c r="AF37" i="2" s="1"/>
  <c r="S36" i="2"/>
  <c r="AF36" i="2" s="1"/>
  <c r="S35" i="2"/>
  <c r="AF35" i="2" s="1"/>
  <c r="S34" i="2"/>
  <c r="AF34" i="2" s="1"/>
  <c r="S33" i="2"/>
  <c r="AF33" i="2" s="1"/>
  <c r="S32" i="2"/>
  <c r="AF32" i="2" s="1"/>
  <c r="S31" i="2"/>
  <c r="AF31" i="2" s="1"/>
  <c r="S30" i="2"/>
  <c r="AF30" i="2" s="1"/>
  <c r="S29" i="2"/>
  <c r="AF29" i="2" s="1"/>
  <c r="S28" i="2"/>
  <c r="AF28" i="2" s="1"/>
  <c r="S27" i="2"/>
  <c r="AF27" i="2" s="1"/>
  <c r="S26" i="2"/>
  <c r="AF26" i="2" s="1"/>
  <c r="S25" i="2"/>
  <c r="AF25" i="2" s="1"/>
  <c r="S23" i="2"/>
  <c r="AF23" i="2" s="1"/>
  <c r="S22" i="2"/>
  <c r="AF22" i="2" s="1"/>
  <c r="S21" i="2"/>
  <c r="AF21" i="2" s="1"/>
  <c r="S20" i="2"/>
  <c r="AF20" i="2" s="1"/>
  <c r="S19" i="2"/>
  <c r="AF19" i="2" s="1"/>
  <c r="S18" i="2"/>
  <c r="AF18" i="2" s="1"/>
  <c r="S17" i="2"/>
  <c r="AF17" i="2" s="1"/>
  <c r="S16" i="2"/>
  <c r="AF16" i="2" s="1"/>
  <c r="S15" i="2"/>
  <c r="AF15" i="2" s="1"/>
  <c r="S14" i="2"/>
  <c r="AF14" i="2" s="1"/>
  <c r="S13" i="2"/>
  <c r="AF13" i="2" s="1"/>
  <c r="S12" i="2"/>
  <c r="AF12" i="2" s="1"/>
  <c r="S11" i="2"/>
  <c r="AF11" i="2" s="1"/>
  <c r="S10" i="2"/>
  <c r="AF10" i="2" s="1"/>
  <c r="S9" i="2"/>
  <c r="AF9" i="2" s="1"/>
</calcChain>
</file>

<file path=xl/sharedStrings.xml><?xml version="1.0" encoding="utf-8"?>
<sst xmlns="http://schemas.openxmlformats.org/spreadsheetml/2006/main" count="490" uniqueCount="112">
  <si>
    <t>支給控除一覧表</t>
    <phoneticPr fontId="4"/>
  </si>
  <si>
    <t>若林運送株式会社</t>
    <phoneticPr fontId="4"/>
  </si>
  <si>
    <t>2025年 7月 9日 作成</t>
    <phoneticPr fontId="4"/>
  </si>
  <si>
    <t/>
  </si>
  <si>
    <t>2025年 6月度給与</t>
    <phoneticPr fontId="4"/>
  </si>
  <si>
    <t>1006</t>
    <phoneticPr fontId="4"/>
  </si>
  <si>
    <t>1007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</si>
  <si>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</si>
  <si>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</si>
  <si>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</si>
  <si>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</si>
  <si>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</si>
  <si>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</si>
  <si>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</si>
  <si>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</si>
  <si>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</si>
  <si>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</si>
  <si>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</si>
  <si>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</si>
  <si>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</si>
  <si>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1206</t>
    <phoneticPr fontId="4"/>
  </si>
  <si>
    <t>小計</t>
    <rPh sb="0" eb="2">
      <t>ショウケイ</t>
    </rPh>
    <phoneticPr fontId="3"/>
  </si>
  <si>
    <t>1080</t>
    <phoneticPr fontId="4"/>
  </si>
  <si>
    <t>1013</t>
    <phoneticPr fontId="4"/>
  </si>
  <si>
    <t>1119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</si>
  <si>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</si>
  <si>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</si>
  <si>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</si>
  <si>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</si>
  <si>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</si>
  <si>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</si>
  <si>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1014</t>
    <phoneticPr fontId="4"/>
  </si>
  <si>
    <t>合計</t>
    <phoneticPr fontId="4"/>
  </si>
  <si>
    <t>項目名</t>
    <phoneticPr fontId="4"/>
  </si>
  <si>
    <t>小林　啓一</t>
    <phoneticPr fontId="4"/>
  </si>
  <si>
    <t>鈴木　富雄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</si>
  <si>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</si>
  <si>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</si>
  <si>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</si>
  <si>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</si>
  <si>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</si>
  <si>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</si>
  <si>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</si>
  <si>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</si>
  <si>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</si>
  <si>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</si>
  <si>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</si>
  <si>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</si>
  <si>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</si>
  <si>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鈴木秀和</t>
    <phoneticPr fontId="4"/>
  </si>
  <si>
    <t>16名</t>
    <rPh sb="2" eb="3">
      <t>メイ</t>
    </rPh>
    <phoneticPr fontId="4"/>
  </si>
  <si>
    <t>若松　美宏</t>
    <phoneticPr fontId="4"/>
  </si>
  <si>
    <t>下山田　英治</t>
    <phoneticPr fontId="4"/>
  </si>
  <si>
    <t>水町　賢土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</si>
  <si>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</si>
  <si>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</si>
  <si>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</si>
  <si>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</si>
  <si>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</si>
  <si>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</si>
  <si>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9名</t>
    <rPh sb="1" eb="2">
      <t>メイ</t>
    </rPh>
    <phoneticPr fontId="4"/>
  </si>
  <si>
    <t>金山　岳夫</t>
    <phoneticPr fontId="4"/>
  </si>
  <si>
    <t>1名</t>
    <rPh sb="1" eb="2">
      <t>メイ</t>
    </rPh>
    <phoneticPr fontId="4"/>
  </si>
  <si>
    <t>26名</t>
    <rPh sb="2" eb="3">
      <t>メイ</t>
    </rPh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</si>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</sst>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14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5638C219-031D-4468-B75D-AFB7F8D2A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5026-564C-4442-B2BA-0A7630164F74}">
  <dimension ref="A1:AF58"/>
  <sheetViews>
    <sheetView showZeros="0" tabSelected="1" zoomScaleNormal="100" workbookViewId="0">
      <pane xSplit="2" ySplit="8" topLeftCell="C9" activePane="bottomRight" state="frozen"/>
      <selection pane="bottomRight" activeCell="AE51" sqref="AE51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" style="2" bestFit="1" customWidth="1"/>
    <col min="19" max="19" width="9.625" style="2" bestFit="1" customWidth="1"/>
    <col min="20" max="20" width="11.125" style="2" bestFit="1" customWidth="1"/>
    <col min="21" max="21" width="13.25" style="2" bestFit="1" customWidth="1"/>
    <col min="22" max="27" width="11.125" style="2" bestFit="1" customWidth="1"/>
    <col min="28" max="28" width="9" style="2" bestFit="1" customWidth="1"/>
    <col min="29" max="29" width="9.625" style="2" bestFit="1" customWidth="1"/>
    <col min="30" max="30" width="11.125" style="2" bestFit="1" customWidth="1"/>
    <col min="31" max="32" width="9.625" style="2" bestFit="1" customWidth="1"/>
    <col min="33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 bestFit="1"/>
    <col min="267" max="277" width="11.125" style="2" bestFit="1" customWidth="1"/>
    <col min="278" max="278" width="9" style="2" bestFit="1"/>
    <col min="279" max="280" width="11.125" style="2" bestFit="1" customWidth="1"/>
    <col min="281" max="281" width="9" style="2" bestFit="1"/>
    <col min="282" max="286" width="11.125" style="2" bestFit="1" customWidth="1"/>
    <col min="287" max="287" width="9" style="2" bestFit="1"/>
    <col min="288" max="288" width="9.625" style="2" bestFit="1" customWidth="1"/>
    <col min="289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 bestFit="1"/>
    <col min="523" max="533" width="11.125" style="2" bestFit="1" customWidth="1"/>
    <col min="534" max="534" width="9" style="2" bestFit="1"/>
    <col min="535" max="536" width="11.125" style="2" bestFit="1" customWidth="1"/>
    <col min="537" max="537" width="9" style="2" bestFit="1"/>
    <col min="538" max="542" width="11.125" style="2" bestFit="1" customWidth="1"/>
    <col min="543" max="543" width="9" style="2" bestFit="1"/>
    <col min="544" max="544" width="9.625" style="2" bestFit="1" customWidth="1"/>
    <col min="545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 bestFit="1"/>
    <col min="779" max="789" width="11.125" style="2" bestFit="1" customWidth="1"/>
    <col min="790" max="790" width="9" style="2" bestFit="1"/>
    <col min="791" max="792" width="11.125" style="2" bestFit="1" customWidth="1"/>
    <col min="793" max="793" width="9" style="2" bestFit="1"/>
    <col min="794" max="798" width="11.125" style="2" bestFit="1" customWidth="1"/>
    <col min="799" max="799" width="9" style="2" bestFit="1"/>
    <col min="800" max="800" width="9.625" style="2" bestFit="1" customWidth="1"/>
    <col min="801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 bestFit="1"/>
    <col min="1035" max="1045" width="11.125" style="2" bestFit="1" customWidth="1"/>
    <col min="1046" max="1046" width="9" style="2" bestFit="1"/>
    <col min="1047" max="1048" width="11.125" style="2" bestFit="1" customWidth="1"/>
    <col min="1049" max="1049" width="9" style="2" bestFit="1"/>
    <col min="1050" max="1054" width="11.125" style="2" bestFit="1" customWidth="1"/>
    <col min="1055" max="1055" width="9" style="2" bestFit="1"/>
    <col min="1056" max="1056" width="9.625" style="2" bestFit="1" customWidth="1"/>
    <col min="1057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 bestFit="1"/>
    <col min="1291" max="1301" width="11.125" style="2" bestFit="1" customWidth="1"/>
    <col min="1302" max="1302" width="9" style="2" bestFit="1"/>
    <col min="1303" max="1304" width="11.125" style="2" bestFit="1" customWidth="1"/>
    <col min="1305" max="1305" width="9" style="2" bestFit="1"/>
    <col min="1306" max="1310" width="11.125" style="2" bestFit="1" customWidth="1"/>
    <col min="1311" max="1311" width="9" style="2" bestFit="1"/>
    <col min="1312" max="1312" width="9.625" style="2" bestFit="1" customWidth="1"/>
    <col min="1313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 bestFit="1"/>
    <col min="1547" max="1557" width="11.125" style="2" bestFit="1" customWidth="1"/>
    <col min="1558" max="1558" width="9" style="2" bestFit="1"/>
    <col min="1559" max="1560" width="11.125" style="2" bestFit="1" customWidth="1"/>
    <col min="1561" max="1561" width="9" style="2" bestFit="1"/>
    <col min="1562" max="1566" width="11.125" style="2" bestFit="1" customWidth="1"/>
    <col min="1567" max="1567" width="9" style="2" bestFit="1"/>
    <col min="1568" max="1568" width="9.625" style="2" bestFit="1" customWidth="1"/>
    <col min="1569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 bestFit="1"/>
    <col min="1803" max="1813" width="11.125" style="2" bestFit="1" customWidth="1"/>
    <col min="1814" max="1814" width="9" style="2" bestFit="1"/>
    <col min="1815" max="1816" width="11.125" style="2" bestFit="1" customWidth="1"/>
    <col min="1817" max="1817" width="9" style="2" bestFit="1"/>
    <col min="1818" max="1822" width="11.125" style="2" bestFit="1" customWidth="1"/>
    <col min="1823" max="1823" width="9" style="2" bestFit="1"/>
    <col min="1824" max="1824" width="9.625" style="2" bestFit="1" customWidth="1"/>
    <col min="1825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 bestFit="1"/>
    <col min="2059" max="2069" width="11.125" style="2" bestFit="1" customWidth="1"/>
    <col min="2070" max="2070" width="9" style="2" bestFit="1"/>
    <col min="2071" max="2072" width="11.125" style="2" bestFit="1" customWidth="1"/>
    <col min="2073" max="2073" width="9" style="2" bestFit="1"/>
    <col min="2074" max="2078" width="11.125" style="2" bestFit="1" customWidth="1"/>
    <col min="2079" max="2079" width="9" style="2" bestFit="1"/>
    <col min="2080" max="2080" width="9.625" style="2" bestFit="1" customWidth="1"/>
    <col min="2081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 bestFit="1"/>
    <col min="2315" max="2325" width="11.125" style="2" bestFit="1" customWidth="1"/>
    <col min="2326" max="2326" width="9" style="2" bestFit="1"/>
    <col min="2327" max="2328" width="11.125" style="2" bestFit="1" customWidth="1"/>
    <col min="2329" max="2329" width="9" style="2" bestFit="1"/>
    <col min="2330" max="2334" width="11.125" style="2" bestFit="1" customWidth="1"/>
    <col min="2335" max="2335" width="9" style="2" bestFit="1"/>
    <col min="2336" max="2336" width="9.625" style="2" bestFit="1" customWidth="1"/>
    <col min="2337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 bestFit="1"/>
    <col min="2571" max="2581" width="11.125" style="2" bestFit="1" customWidth="1"/>
    <col min="2582" max="2582" width="9" style="2" bestFit="1"/>
    <col min="2583" max="2584" width="11.125" style="2" bestFit="1" customWidth="1"/>
    <col min="2585" max="2585" width="9" style="2" bestFit="1"/>
    <col min="2586" max="2590" width="11.125" style="2" bestFit="1" customWidth="1"/>
    <col min="2591" max="2591" width="9" style="2" bestFit="1"/>
    <col min="2592" max="2592" width="9.625" style="2" bestFit="1" customWidth="1"/>
    <col min="2593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 bestFit="1"/>
    <col min="2827" max="2837" width="11.125" style="2" bestFit="1" customWidth="1"/>
    <col min="2838" max="2838" width="9" style="2" bestFit="1"/>
    <col min="2839" max="2840" width="11.125" style="2" bestFit="1" customWidth="1"/>
    <col min="2841" max="2841" width="9" style="2" bestFit="1"/>
    <col min="2842" max="2846" width="11.125" style="2" bestFit="1" customWidth="1"/>
    <col min="2847" max="2847" width="9" style="2" bestFit="1"/>
    <col min="2848" max="2848" width="9.625" style="2" bestFit="1" customWidth="1"/>
    <col min="2849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 bestFit="1"/>
    <col min="3083" max="3093" width="11.125" style="2" bestFit="1" customWidth="1"/>
    <col min="3094" max="3094" width="9" style="2" bestFit="1"/>
    <col min="3095" max="3096" width="11.125" style="2" bestFit="1" customWidth="1"/>
    <col min="3097" max="3097" width="9" style="2" bestFit="1"/>
    <col min="3098" max="3102" width="11.125" style="2" bestFit="1" customWidth="1"/>
    <col min="3103" max="3103" width="9" style="2" bestFit="1"/>
    <col min="3104" max="3104" width="9.625" style="2" bestFit="1" customWidth="1"/>
    <col min="3105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 bestFit="1"/>
    <col min="3339" max="3349" width="11.125" style="2" bestFit="1" customWidth="1"/>
    <col min="3350" max="3350" width="9" style="2" bestFit="1"/>
    <col min="3351" max="3352" width="11.125" style="2" bestFit="1" customWidth="1"/>
    <col min="3353" max="3353" width="9" style="2" bestFit="1"/>
    <col min="3354" max="3358" width="11.125" style="2" bestFit="1" customWidth="1"/>
    <col min="3359" max="3359" width="9" style="2" bestFit="1"/>
    <col min="3360" max="3360" width="9.625" style="2" bestFit="1" customWidth="1"/>
    <col min="3361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 bestFit="1"/>
    <col min="3595" max="3605" width="11.125" style="2" bestFit="1" customWidth="1"/>
    <col min="3606" max="3606" width="9" style="2" bestFit="1"/>
    <col min="3607" max="3608" width="11.125" style="2" bestFit="1" customWidth="1"/>
    <col min="3609" max="3609" width="9" style="2" bestFit="1"/>
    <col min="3610" max="3614" width="11.125" style="2" bestFit="1" customWidth="1"/>
    <col min="3615" max="3615" width="9" style="2" bestFit="1"/>
    <col min="3616" max="3616" width="9.625" style="2" bestFit="1" customWidth="1"/>
    <col min="3617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 bestFit="1"/>
    <col min="3851" max="3861" width="11.125" style="2" bestFit="1" customWidth="1"/>
    <col min="3862" max="3862" width="9" style="2" bestFit="1"/>
    <col min="3863" max="3864" width="11.125" style="2" bestFit="1" customWidth="1"/>
    <col min="3865" max="3865" width="9" style="2" bestFit="1"/>
    <col min="3866" max="3870" width="11.125" style="2" bestFit="1" customWidth="1"/>
    <col min="3871" max="3871" width="9" style="2" bestFit="1"/>
    <col min="3872" max="3872" width="9.625" style="2" bestFit="1" customWidth="1"/>
    <col min="3873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 bestFit="1"/>
    <col min="4107" max="4117" width="11.125" style="2" bestFit="1" customWidth="1"/>
    <col min="4118" max="4118" width="9" style="2" bestFit="1"/>
    <col min="4119" max="4120" width="11.125" style="2" bestFit="1" customWidth="1"/>
    <col min="4121" max="4121" width="9" style="2" bestFit="1"/>
    <col min="4122" max="4126" width="11.125" style="2" bestFit="1" customWidth="1"/>
    <col min="4127" max="4127" width="9" style="2" bestFit="1"/>
    <col min="4128" max="4128" width="9.625" style="2" bestFit="1" customWidth="1"/>
    <col min="4129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 bestFit="1"/>
    <col min="4363" max="4373" width="11.125" style="2" bestFit="1" customWidth="1"/>
    <col min="4374" max="4374" width="9" style="2" bestFit="1"/>
    <col min="4375" max="4376" width="11.125" style="2" bestFit="1" customWidth="1"/>
    <col min="4377" max="4377" width="9" style="2" bestFit="1"/>
    <col min="4378" max="4382" width="11.125" style="2" bestFit="1" customWidth="1"/>
    <col min="4383" max="4383" width="9" style="2" bestFit="1"/>
    <col min="4384" max="4384" width="9.625" style="2" bestFit="1" customWidth="1"/>
    <col min="4385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 bestFit="1"/>
    <col min="4619" max="4629" width="11.125" style="2" bestFit="1" customWidth="1"/>
    <col min="4630" max="4630" width="9" style="2" bestFit="1"/>
    <col min="4631" max="4632" width="11.125" style="2" bestFit="1" customWidth="1"/>
    <col min="4633" max="4633" width="9" style="2" bestFit="1"/>
    <col min="4634" max="4638" width="11.125" style="2" bestFit="1" customWidth="1"/>
    <col min="4639" max="4639" width="9" style="2" bestFit="1"/>
    <col min="4640" max="4640" width="9.625" style="2" bestFit="1" customWidth="1"/>
    <col min="4641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 bestFit="1"/>
    <col min="4875" max="4885" width="11.125" style="2" bestFit="1" customWidth="1"/>
    <col min="4886" max="4886" width="9" style="2" bestFit="1"/>
    <col min="4887" max="4888" width="11.125" style="2" bestFit="1" customWidth="1"/>
    <col min="4889" max="4889" width="9" style="2" bestFit="1"/>
    <col min="4890" max="4894" width="11.125" style="2" bestFit="1" customWidth="1"/>
    <col min="4895" max="4895" width="9" style="2" bestFit="1"/>
    <col min="4896" max="4896" width="9.625" style="2" bestFit="1" customWidth="1"/>
    <col min="4897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 bestFit="1"/>
    <col min="5131" max="5141" width="11.125" style="2" bestFit="1" customWidth="1"/>
    <col min="5142" max="5142" width="9" style="2" bestFit="1"/>
    <col min="5143" max="5144" width="11.125" style="2" bestFit="1" customWidth="1"/>
    <col min="5145" max="5145" width="9" style="2" bestFit="1"/>
    <col min="5146" max="5150" width="11.125" style="2" bestFit="1" customWidth="1"/>
    <col min="5151" max="5151" width="9" style="2" bestFit="1"/>
    <col min="5152" max="5152" width="9.625" style="2" bestFit="1" customWidth="1"/>
    <col min="5153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 bestFit="1"/>
    <col min="5387" max="5397" width="11.125" style="2" bestFit="1" customWidth="1"/>
    <col min="5398" max="5398" width="9" style="2" bestFit="1"/>
    <col min="5399" max="5400" width="11.125" style="2" bestFit="1" customWidth="1"/>
    <col min="5401" max="5401" width="9" style="2" bestFit="1"/>
    <col min="5402" max="5406" width="11.125" style="2" bestFit="1" customWidth="1"/>
    <col min="5407" max="5407" width="9" style="2" bestFit="1"/>
    <col min="5408" max="5408" width="9.625" style="2" bestFit="1" customWidth="1"/>
    <col min="5409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 bestFit="1"/>
    <col min="5643" max="5653" width="11.125" style="2" bestFit="1" customWidth="1"/>
    <col min="5654" max="5654" width="9" style="2" bestFit="1"/>
    <col min="5655" max="5656" width="11.125" style="2" bestFit="1" customWidth="1"/>
    <col min="5657" max="5657" width="9" style="2" bestFit="1"/>
    <col min="5658" max="5662" width="11.125" style="2" bestFit="1" customWidth="1"/>
    <col min="5663" max="5663" width="9" style="2" bestFit="1"/>
    <col min="5664" max="5664" width="9.625" style="2" bestFit="1" customWidth="1"/>
    <col min="5665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 bestFit="1"/>
    <col min="5899" max="5909" width="11.125" style="2" bestFit="1" customWidth="1"/>
    <col min="5910" max="5910" width="9" style="2" bestFit="1"/>
    <col min="5911" max="5912" width="11.125" style="2" bestFit="1" customWidth="1"/>
    <col min="5913" max="5913" width="9" style="2" bestFit="1"/>
    <col min="5914" max="5918" width="11.125" style="2" bestFit="1" customWidth="1"/>
    <col min="5919" max="5919" width="9" style="2" bestFit="1"/>
    <col min="5920" max="5920" width="9.625" style="2" bestFit="1" customWidth="1"/>
    <col min="5921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 bestFit="1"/>
    <col min="6155" max="6165" width="11.125" style="2" bestFit="1" customWidth="1"/>
    <col min="6166" max="6166" width="9" style="2" bestFit="1"/>
    <col min="6167" max="6168" width="11.125" style="2" bestFit="1" customWidth="1"/>
    <col min="6169" max="6169" width="9" style="2" bestFit="1"/>
    <col min="6170" max="6174" width="11.125" style="2" bestFit="1" customWidth="1"/>
    <col min="6175" max="6175" width="9" style="2" bestFit="1"/>
    <col min="6176" max="6176" width="9.625" style="2" bestFit="1" customWidth="1"/>
    <col min="6177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 bestFit="1"/>
    <col min="6411" max="6421" width="11.125" style="2" bestFit="1" customWidth="1"/>
    <col min="6422" max="6422" width="9" style="2" bestFit="1"/>
    <col min="6423" max="6424" width="11.125" style="2" bestFit="1" customWidth="1"/>
    <col min="6425" max="6425" width="9" style="2" bestFit="1"/>
    <col min="6426" max="6430" width="11.125" style="2" bestFit="1" customWidth="1"/>
    <col min="6431" max="6431" width="9" style="2" bestFit="1"/>
    <col min="6432" max="6432" width="9.625" style="2" bestFit="1" customWidth="1"/>
    <col min="6433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 bestFit="1"/>
    <col min="6667" max="6677" width="11.125" style="2" bestFit="1" customWidth="1"/>
    <col min="6678" max="6678" width="9" style="2" bestFit="1"/>
    <col min="6679" max="6680" width="11.125" style="2" bestFit="1" customWidth="1"/>
    <col min="6681" max="6681" width="9" style="2" bestFit="1"/>
    <col min="6682" max="6686" width="11.125" style="2" bestFit="1" customWidth="1"/>
    <col min="6687" max="6687" width="9" style="2" bestFit="1"/>
    <col min="6688" max="6688" width="9.625" style="2" bestFit="1" customWidth="1"/>
    <col min="6689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 bestFit="1"/>
    <col min="6923" max="6933" width="11.125" style="2" bestFit="1" customWidth="1"/>
    <col min="6934" max="6934" width="9" style="2" bestFit="1"/>
    <col min="6935" max="6936" width="11.125" style="2" bestFit="1" customWidth="1"/>
    <col min="6937" max="6937" width="9" style="2" bestFit="1"/>
    <col min="6938" max="6942" width="11.125" style="2" bestFit="1" customWidth="1"/>
    <col min="6943" max="6943" width="9" style="2" bestFit="1"/>
    <col min="6944" max="6944" width="9.625" style="2" bestFit="1" customWidth="1"/>
    <col min="6945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 bestFit="1"/>
    <col min="7179" max="7189" width="11.125" style="2" bestFit="1" customWidth="1"/>
    <col min="7190" max="7190" width="9" style="2" bestFit="1"/>
    <col min="7191" max="7192" width="11.125" style="2" bestFit="1" customWidth="1"/>
    <col min="7193" max="7193" width="9" style="2" bestFit="1"/>
    <col min="7194" max="7198" width="11.125" style="2" bestFit="1" customWidth="1"/>
    <col min="7199" max="7199" width="9" style="2" bestFit="1"/>
    <col min="7200" max="7200" width="9.625" style="2" bestFit="1" customWidth="1"/>
    <col min="7201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 bestFit="1"/>
    <col min="7435" max="7445" width="11.125" style="2" bestFit="1" customWidth="1"/>
    <col min="7446" max="7446" width="9" style="2" bestFit="1"/>
    <col min="7447" max="7448" width="11.125" style="2" bestFit="1" customWidth="1"/>
    <col min="7449" max="7449" width="9" style="2" bestFit="1"/>
    <col min="7450" max="7454" width="11.125" style="2" bestFit="1" customWidth="1"/>
    <col min="7455" max="7455" width="9" style="2" bestFit="1"/>
    <col min="7456" max="7456" width="9.625" style="2" bestFit="1" customWidth="1"/>
    <col min="7457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 bestFit="1"/>
    <col min="7691" max="7701" width="11.125" style="2" bestFit="1" customWidth="1"/>
    <col min="7702" max="7702" width="9" style="2" bestFit="1"/>
    <col min="7703" max="7704" width="11.125" style="2" bestFit="1" customWidth="1"/>
    <col min="7705" max="7705" width="9" style="2" bestFit="1"/>
    <col min="7706" max="7710" width="11.125" style="2" bestFit="1" customWidth="1"/>
    <col min="7711" max="7711" width="9" style="2" bestFit="1"/>
    <col min="7712" max="7712" width="9.625" style="2" bestFit="1" customWidth="1"/>
    <col min="7713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 bestFit="1"/>
    <col min="7947" max="7957" width="11.125" style="2" bestFit="1" customWidth="1"/>
    <col min="7958" max="7958" width="9" style="2" bestFit="1"/>
    <col min="7959" max="7960" width="11.125" style="2" bestFit="1" customWidth="1"/>
    <col min="7961" max="7961" width="9" style="2" bestFit="1"/>
    <col min="7962" max="7966" width="11.125" style="2" bestFit="1" customWidth="1"/>
    <col min="7967" max="7967" width="9" style="2" bestFit="1"/>
    <col min="7968" max="7968" width="9.625" style="2" bestFit="1" customWidth="1"/>
    <col min="7969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 bestFit="1"/>
    <col min="8203" max="8213" width="11.125" style="2" bestFit="1" customWidth="1"/>
    <col min="8214" max="8214" width="9" style="2" bestFit="1"/>
    <col min="8215" max="8216" width="11.125" style="2" bestFit="1" customWidth="1"/>
    <col min="8217" max="8217" width="9" style="2" bestFit="1"/>
    <col min="8218" max="8222" width="11.125" style="2" bestFit="1" customWidth="1"/>
    <col min="8223" max="8223" width="9" style="2" bestFit="1"/>
    <col min="8224" max="8224" width="9.625" style="2" bestFit="1" customWidth="1"/>
    <col min="8225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 bestFit="1"/>
    <col min="8459" max="8469" width="11.125" style="2" bestFit="1" customWidth="1"/>
    <col min="8470" max="8470" width="9" style="2" bestFit="1"/>
    <col min="8471" max="8472" width="11.125" style="2" bestFit="1" customWidth="1"/>
    <col min="8473" max="8473" width="9" style="2" bestFit="1"/>
    <col min="8474" max="8478" width="11.125" style="2" bestFit="1" customWidth="1"/>
    <col min="8479" max="8479" width="9" style="2" bestFit="1"/>
    <col min="8480" max="8480" width="9.625" style="2" bestFit="1" customWidth="1"/>
    <col min="8481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 bestFit="1"/>
    <col min="8715" max="8725" width="11.125" style="2" bestFit="1" customWidth="1"/>
    <col min="8726" max="8726" width="9" style="2" bestFit="1"/>
    <col min="8727" max="8728" width="11.125" style="2" bestFit="1" customWidth="1"/>
    <col min="8729" max="8729" width="9" style="2" bestFit="1"/>
    <col min="8730" max="8734" width="11.125" style="2" bestFit="1" customWidth="1"/>
    <col min="8735" max="8735" width="9" style="2" bestFit="1"/>
    <col min="8736" max="8736" width="9.625" style="2" bestFit="1" customWidth="1"/>
    <col min="8737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 bestFit="1"/>
    <col min="8971" max="8981" width="11.125" style="2" bestFit="1" customWidth="1"/>
    <col min="8982" max="8982" width="9" style="2" bestFit="1"/>
    <col min="8983" max="8984" width="11.125" style="2" bestFit="1" customWidth="1"/>
    <col min="8985" max="8985" width="9" style="2" bestFit="1"/>
    <col min="8986" max="8990" width="11.125" style="2" bestFit="1" customWidth="1"/>
    <col min="8991" max="8991" width="9" style="2" bestFit="1"/>
    <col min="8992" max="8992" width="9.625" style="2" bestFit="1" customWidth="1"/>
    <col min="8993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 bestFit="1"/>
    <col min="9227" max="9237" width="11.125" style="2" bestFit="1" customWidth="1"/>
    <col min="9238" max="9238" width="9" style="2" bestFit="1"/>
    <col min="9239" max="9240" width="11.125" style="2" bestFit="1" customWidth="1"/>
    <col min="9241" max="9241" width="9" style="2" bestFit="1"/>
    <col min="9242" max="9246" width="11.125" style="2" bestFit="1" customWidth="1"/>
    <col min="9247" max="9247" width="9" style="2" bestFit="1"/>
    <col min="9248" max="9248" width="9.625" style="2" bestFit="1" customWidth="1"/>
    <col min="9249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 bestFit="1"/>
    <col min="9483" max="9493" width="11.125" style="2" bestFit="1" customWidth="1"/>
    <col min="9494" max="9494" width="9" style="2" bestFit="1"/>
    <col min="9495" max="9496" width="11.125" style="2" bestFit="1" customWidth="1"/>
    <col min="9497" max="9497" width="9" style="2" bestFit="1"/>
    <col min="9498" max="9502" width="11.125" style="2" bestFit="1" customWidth="1"/>
    <col min="9503" max="9503" width="9" style="2" bestFit="1"/>
    <col min="9504" max="9504" width="9.625" style="2" bestFit="1" customWidth="1"/>
    <col min="9505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 bestFit="1"/>
    <col min="9739" max="9749" width="11.125" style="2" bestFit="1" customWidth="1"/>
    <col min="9750" max="9750" width="9" style="2" bestFit="1"/>
    <col min="9751" max="9752" width="11.125" style="2" bestFit="1" customWidth="1"/>
    <col min="9753" max="9753" width="9" style="2" bestFit="1"/>
    <col min="9754" max="9758" width="11.125" style="2" bestFit="1" customWidth="1"/>
    <col min="9759" max="9759" width="9" style="2" bestFit="1"/>
    <col min="9760" max="9760" width="9.625" style="2" bestFit="1" customWidth="1"/>
    <col min="9761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 bestFit="1"/>
    <col min="9995" max="10005" width="11.125" style="2" bestFit="1" customWidth="1"/>
    <col min="10006" max="10006" width="9" style="2" bestFit="1"/>
    <col min="10007" max="10008" width="11.125" style="2" bestFit="1" customWidth="1"/>
    <col min="10009" max="10009" width="9" style="2" bestFit="1"/>
    <col min="10010" max="10014" width="11.125" style="2" bestFit="1" customWidth="1"/>
    <col min="10015" max="10015" width="9" style="2" bestFit="1"/>
    <col min="10016" max="10016" width="9.625" style="2" bestFit="1" customWidth="1"/>
    <col min="10017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 bestFit="1"/>
    <col min="10251" max="10261" width="11.125" style="2" bestFit="1" customWidth="1"/>
    <col min="10262" max="10262" width="9" style="2" bestFit="1"/>
    <col min="10263" max="10264" width="11.125" style="2" bestFit="1" customWidth="1"/>
    <col min="10265" max="10265" width="9" style="2" bestFit="1"/>
    <col min="10266" max="10270" width="11.125" style="2" bestFit="1" customWidth="1"/>
    <col min="10271" max="10271" width="9" style="2" bestFit="1"/>
    <col min="10272" max="10272" width="9.625" style="2" bestFit="1" customWidth="1"/>
    <col min="10273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 bestFit="1"/>
    <col min="10507" max="10517" width="11.125" style="2" bestFit="1" customWidth="1"/>
    <col min="10518" max="10518" width="9" style="2" bestFit="1"/>
    <col min="10519" max="10520" width="11.125" style="2" bestFit="1" customWidth="1"/>
    <col min="10521" max="10521" width="9" style="2" bestFit="1"/>
    <col min="10522" max="10526" width="11.125" style="2" bestFit="1" customWidth="1"/>
    <col min="10527" max="10527" width="9" style="2" bestFit="1"/>
    <col min="10528" max="10528" width="9.625" style="2" bestFit="1" customWidth="1"/>
    <col min="10529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 bestFit="1"/>
    <col min="10763" max="10773" width="11.125" style="2" bestFit="1" customWidth="1"/>
    <col min="10774" max="10774" width="9" style="2" bestFit="1"/>
    <col min="10775" max="10776" width="11.125" style="2" bestFit="1" customWidth="1"/>
    <col min="10777" max="10777" width="9" style="2" bestFit="1"/>
    <col min="10778" max="10782" width="11.125" style="2" bestFit="1" customWidth="1"/>
    <col min="10783" max="10783" width="9" style="2" bestFit="1"/>
    <col min="10784" max="10784" width="9.625" style="2" bestFit="1" customWidth="1"/>
    <col min="10785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 bestFit="1"/>
    <col min="11019" max="11029" width="11.125" style="2" bestFit="1" customWidth="1"/>
    <col min="11030" max="11030" width="9" style="2" bestFit="1"/>
    <col min="11031" max="11032" width="11.125" style="2" bestFit="1" customWidth="1"/>
    <col min="11033" max="11033" width="9" style="2" bestFit="1"/>
    <col min="11034" max="11038" width="11.125" style="2" bestFit="1" customWidth="1"/>
    <col min="11039" max="11039" width="9" style="2" bestFit="1"/>
    <col min="11040" max="11040" width="9.625" style="2" bestFit="1" customWidth="1"/>
    <col min="11041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 bestFit="1"/>
    <col min="11275" max="11285" width="11.125" style="2" bestFit="1" customWidth="1"/>
    <col min="11286" max="11286" width="9" style="2" bestFit="1"/>
    <col min="11287" max="11288" width="11.125" style="2" bestFit="1" customWidth="1"/>
    <col min="11289" max="11289" width="9" style="2" bestFit="1"/>
    <col min="11290" max="11294" width="11.125" style="2" bestFit="1" customWidth="1"/>
    <col min="11295" max="11295" width="9" style="2" bestFit="1"/>
    <col min="11296" max="11296" width="9.625" style="2" bestFit="1" customWidth="1"/>
    <col min="11297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 bestFit="1"/>
    <col min="11531" max="11541" width="11.125" style="2" bestFit="1" customWidth="1"/>
    <col min="11542" max="11542" width="9" style="2" bestFit="1"/>
    <col min="11543" max="11544" width="11.125" style="2" bestFit="1" customWidth="1"/>
    <col min="11545" max="11545" width="9" style="2" bestFit="1"/>
    <col min="11546" max="11550" width="11.125" style="2" bestFit="1" customWidth="1"/>
    <col min="11551" max="11551" width="9" style="2" bestFit="1"/>
    <col min="11552" max="11552" width="9.625" style="2" bestFit="1" customWidth="1"/>
    <col min="11553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 bestFit="1"/>
    <col min="11787" max="11797" width="11.125" style="2" bestFit="1" customWidth="1"/>
    <col min="11798" max="11798" width="9" style="2" bestFit="1"/>
    <col min="11799" max="11800" width="11.125" style="2" bestFit="1" customWidth="1"/>
    <col min="11801" max="11801" width="9" style="2" bestFit="1"/>
    <col min="11802" max="11806" width="11.125" style="2" bestFit="1" customWidth="1"/>
    <col min="11807" max="11807" width="9" style="2" bestFit="1"/>
    <col min="11808" max="11808" width="9.625" style="2" bestFit="1" customWidth="1"/>
    <col min="11809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 bestFit="1"/>
    <col min="12043" max="12053" width="11.125" style="2" bestFit="1" customWidth="1"/>
    <col min="12054" max="12054" width="9" style="2" bestFit="1"/>
    <col min="12055" max="12056" width="11.125" style="2" bestFit="1" customWidth="1"/>
    <col min="12057" max="12057" width="9" style="2" bestFit="1"/>
    <col min="12058" max="12062" width="11.125" style="2" bestFit="1" customWidth="1"/>
    <col min="12063" max="12063" width="9" style="2" bestFit="1"/>
    <col min="12064" max="12064" width="9.625" style="2" bestFit="1" customWidth="1"/>
    <col min="12065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 bestFit="1"/>
    <col min="12299" max="12309" width="11.125" style="2" bestFit="1" customWidth="1"/>
    <col min="12310" max="12310" width="9" style="2" bestFit="1"/>
    <col min="12311" max="12312" width="11.125" style="2" bestFit="1" customWidth="1"/>
    <col min="12313" max="12313" width="9" style="2" bestFit="1"/>
    <col min="12314" max="12318" width="11.125" style="2" bestFit="1" customWidth="1"/>
    <col min="12319" max="12319" width="9" style="2" bestFit="1"/>
    <col min="12320" max="12320" width="9.625" style="2" bestFit="1" customWidth="1"/>
    <col min="12321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 bestFit="1"/>
    <col min="12555" max="12565" width="11.125" style="2" bestFit="1" customWidth="1"/>
    <col min="12566" max="12566" width="9" style="2" bestFit="1"/>
    <col min="12567" max="12568" width="11.125" style="2" bestFit="1" customWidth="1"/>
    <col min="12569" max="12569" width="9" style="2" bestFit="1"/>
    <col min="12570" max="12574" width="11.125" style="2" bestFit="1" customWidth="1"/>
    <col min="12575" max="12575" width="9" style="2" bestFit="1"/>
    <col min="12576" max="12576" width="9.625" style="2" bestFit="1" customWidth="1"/>
    <col min="12577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 bestFit="1"/>
    <col min="12811" max="12821" width="11.125" style="2" bestFit="1" customWidth="1"/>
    <col min="12822" max="12822" width="9" style="2" bestFit="1"/>
    <col min="12823" max="12824" width="11.125" style="2" bestFit="1" customWidth="1"/>
    <col min="12825" max="12825" width="9" style="2" bestFit="1"/>
    <col min="12826" max="12830" width="11.125" style="2" bestFit="1" customWidth="1"/>
    <col min="12831" max="12831" width="9" style="2" bestFit="1"/>
    <col min="12832" max="12832" width="9.625" style="2" bestFit="1" customWidth="1"/>
    <col min="12833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 bestFit="1"/>
    <col min="13067" max="13077" width="11.125" style="2" bestFit="1" customWidth="1"/>
    <col min="13078" max="13078" width="9" style="2" bestFit="1"/>
    <col min="13079" max="13080" width="11.125" style="2" bestFit="1" customWidth="1"/>
    <col min="13081" max="13081" width="9" style="2" bestFit="1"/>
    <col min="13082" max="13086" width="11.125" style="2" bestFit="1" customWidth="1"/>
    <col min="13087" max="13087" width="9" style="2" bestFit="1"/>
    <col min="13088" max="13088" width="9.625" style="2" bestFit="1" customWidth="1"/>
    <col min="13089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 bestFit="1"/>
    <col min="13323" max="13333" width="11.125" style="2" bestFit="1" customWidth="1"/>
    <col min="13334" max="13334" width="9" style="2" bestFit="1"/>
    <col min="13335" max="13336" width="11.125" style="2" bestFit="1" customWidth="1"/>
    <col min="13337" max="13337" width="9" style="2" bestFit="1"/>
    <col min="13338" max="13342" width="11.125" style="2" bestFit="1" customWidth="1"/>
    <col min="13343" max="13343" width="9" style="2" bestFit="1"/>
    <col min="13344" max="13344" width="9.625" style="2" bestFit="1" customWidth="1"/>
    <col min="13345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 bestFit="1"/>
    <col min="13579" max="13589" width="11.125" style="2" bestFit="1" customWidth="1"/>
    <col min="13590" max="13590" width="9" style="2" bestFit="1"/>
    <col min="13591" max="13592" width="11.125" style="2" bestFit="1" customWidth="1"/>
    <col min="13593" max="13593" width="9" style="2" bestFit="1"/>
    <col min="13594" max="13598" width="11.125" style="2" bestFit="1" customWidth="1"/>
    <col min="13599" max="13599" width="9" style="2" bestFit="1"/>
    <col min="13600" max="13600" width="9.625" style="2" bestFit="1" customWidth="1"/>
    <col min="13601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 bestFit="1"/>
    <col min="13835" max="13845" width="11.125" style="2" bestFit="1" customWidth="1"/>
    <col min="13846" max="13846" width="9" style="2" bestFit="1"/>
    <col min="13847" max="13848" width="11.125" style="2" bestFit="1" customWidth="1"/>
    <col min="13849" max="13849" width="9" style="2" bestFit="1"/>
    <col min="13850" max="13854" width="11.125" style="2" bestFit="1" customWidth="1"/>
    <col min="13855" max="13855" width="9" style="2" bestFit="1"/>
    <col min="13856" max="13856" width="9.625" style="2" bestFit="1" customWidth="1"/>
    <col min="13857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 bestFit="1"/>
    <col min="14091" max="14101" width="11.125" style="2" bestFit="1" customWidth="1"/>
    <col min="14102" max="14102" width="9" style="2" bestFit="1"/>
    <col min="14103" max="14104" width="11.125" style="2" bestFit="1" customWidth="1"/>
    <col min="14105" max="14105" width="9" style="2" bestFit="1"/>
    <col min="14106" max="14110" width="11.125" style="2" bestFit="1" customWidth="1"/>
    <col min="14111" max="14111" width="9" style="2" bestFit="1"/>
    <col min="14112" max="14112" width="9.625" style="2" bestFit="1" customWidth="1"/>
    <col min="14113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 bestFit="1"/>
    <col min="14347" max="14357" width="11.125" style="2" bestFit="1" customWidth="1"/>
    <col min="14358" max="14358" width="9" style="2" bestFit="1"/>
    <col min="14359" max="14360" width="11.125" style="2" bestFit="1" customWidth="1"/>
    <col min="14361" max="14361" width="9" style="2" bestFit="1"/>
    <col min="14362" max="14366" width="11.125" style="2" bestFit="1" customWidth="1"/>
    <col min="14367" max="14367" width="9" style="2" bestFit="1"/>
    <col min="14368" max="14368" width="9.625" style="2" bestFit="1" customWidth="1"/>
    <col min="14369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 bestFit="1"/>
    <col min="14603" max="14613" width="11.125" style="2" bestFit="1" customWidth="1"/>
    <col min="14614" max="14614" width="9" style="2" bestFit="1"/>
    <col min="14615" max="14616" width="11.125" style="2" bestFit="1" customWidth="1"/>
    <col min="14617" max="14617" width="9" style="2" bestFit="1"/>
    <col min="14618" max="14622" width="11.125" style="2" bestFit="1" customWidth="1"/>
    <col min="14623" max="14623" width="9" style="2" bestFit="1"/>
    <col min="14624" max="14624" width="9.625" style="2" bestFit="1" customWidth="1"/>
    <col min="14625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 bestFit="1"/>
    <col min="14859" max="14869" width="11.125" style="2" bestFit="1" customWidth="1"/>
    <col min="14870" max="14870" width="9" style="2" bestFit="1"/>
    <col min="14871" max="14872" width="11.125" style="2" bestFit="1" customWidth="1"/>
    <col min="14873" max="14873" width="9" style="2" bestFit="1"/>
    <col min="14874" max="14878" width="11.125" style="2" bestFit="1" customWidth="1"/>
    <col min="14879" max="14879" width="9" style="2" bestFit="1"/>
    <col min="14880" max="14880" width="9.625" style="2" bestFit="1" customWidth="1"/>
    <col min="14881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 bestFit="1"/>
    <col min="15115" max="15125" width="11.125" style="2" bestFit="1" customWidth="1"/>
    <col min="15126" max="15126" width="9" style="2" bestFit="1"/>
    <col min="15127" max="15128" width="11.125" style="2" bestFit="1" customWidth="1"/>
    <col min="15129" max="15129" width="9" style="2" bestFit="1"/>
    <col min="15130" max="15134" width="11.125" style="2" bestFit="1" customWidth="1"/>
    <col min="15135" max="15135" width="9" style="2" bestFit="1"/>
    <col min="15136" max="15136" width="9.625" style="2" bestFit="1" customWidth="1"/>
    <col min="15137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 bestFit="1"/>
    <col min="15371" max="15381" width="11.125" style="2" bestFit="1" customWidth="1"/>
    <col min="15382" max="15382" width="9" style="2" bestFit="1"/>
    <col min="15383" max="15384" width="11.125" style="2" bestFit="1" customWidth="1"/>
    <col min="15385" max="15385" width="9" style="2" bestFit="1"/>
    <col min="15386" max="15390" width="11.125" style="2" bestFit="1" customWidth="1"/>
    <col min="15391" max="15391" width="9" style="2" bestFit="1"/>
    <col min="15392" max="15392" width="9.625" style="2" bestFit="1" customWidth="1"/>
    <col min="15393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 bestFit="1"/>
    <col min="15627" max="15637" width="11.125" style="2" bestFit="1" customWidth="1"/>
    <col min="15638" max="15638" width="9" style="2" bestFit="1"/>
    <col min="15639" max="15640" width="11.125" style="2" bestFit="1" customWidth="1"/>
    <col min="15641" max="15641" width="9" style="2" bestFit="1"/>
    <col min="15642" max="15646" width="11.125" style="2" bestFit="1" customWidth="1"/>
    <col min="15647" max="15647" width="9" style="2" bestFit="1"/>
    <col min="15648" max="15648" width="9.625" style="2" bestFit="1" customWidth="1"/>
    <col min="15649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 bestFit="1"/>
    <col min="15883" max="15893" width="11.125" style="2" bestFit="1" customWidth="1"/>
    <col min="15894" max="15894" width="9" style="2" bestFit="1"/>
    <col min="15895" max="15896" width="11.125" style="2" bestFit="1" customWidth="1"/>
    <col min="15897" max="15897" width="9" style="2" bestFit="1"/>
    <col min="15898" max="15902" width="11.125" style="2" bestFit="1" customWidth="1"/>
    <col min="15903" max="15903" width="9" style="2" bestFit="1"/>
    <col min="15904" max="15904" width="9.625" style="2" bestFit="1" customWidth="1"/>
    <col min="15905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 bestFit="1"/>
    <col min="16139" max="16149" width="11.125" style="2" bestFit="1" customWidth="1"/>
    <col min="16150" max="16150" width="9" style="2" bestFit="1"/>
    <col min="16151" max="16152" width="11.125" style="2" bestFit="1" customWidth="1"/>
    <col min="16153" max="16153" width="9" style="2" bestFit="1"/>
    <col min="16154" max="16158" width="11.125" style="2" bestFit="1" customWidth="1"/>
    <col min="16159" max="16159" width="9" style="2" bestFit="1"/>
    <col min="16160" max="16160" width="9.625" style="2" bestFit="1" customWidth="1"/>
    <col min="16161" max="16384" width="9" style="2"/>
  </cols>
  <sheetData>
    <row r="1" spans="1:32">
      <c r="A1" s="1" t="s">
        <v>0</v>
      </c>
    </row>
    <row r="2" spans="1:32">
      <c r="A2" s="1"/>
    </row>
    <row r="3" spans="1:32">
      <c r="A3" s="1" t="s">
        <v>1</v>
      </c>
    </row>
    <row r="4" spans="1:32">
      <c r="A4" s="1" t="s">
        <v>2</v>
      </c>
    </row>
    <row r="5" spans="1:32">
      <c r="A5" s="1" t="s">
        <v>3</v>
      </c>
    </row>
    <row r="6" spans="1:32" ht="19.5" thickBot="1">
      <c r="A6" s="1" t="s">
        <v>4</v>
      </c>
    </row>
    <row r="7" spans="1:32">
      <c r="B7" s="15"/>
      <c r="C7" s="23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59" t="s">
        <v>20</v>
      </c>
      <c r="S7" s="72" t="s">
        <v>21</v>
      </c>
      <c r="T7" s="4" t="s">
        <v>22</v>
      </c>
      <c r="U7" s="4" t="s">
        <v>23</v>
      </c>
      <c r="V7" s="4" t="s">
        <v>24</v>
      </c>
      <c r="W7" s="4" t="s">
        <v>25</v>
      </c>
      <c r="X7" s="4" t="s">
        <v>26</v>
      </c>
      <c r="Y7" s="4" t="s">
        <v>27</v>
      </c>
      <c r="Z7" s="4" t="s">
        <v>28</v>
      </c>
      <c r="AA7" s="4" t="s">
        <v>29</v>
      </c>
      <c r="AB7" s="24" t="s">
        <v>30</v>
      </c>
      <c r="AC7" s="71" t="s">
        <v>21</v>
      </c>
      <c r="AD7" s="59" t="s">
        <v>31</v>
      </c>
      <c r="AE7" s="72" t="s">
        <v>21</v>
      </c>
      <c r="AF7" s="71" t="s">
        <v>32</v>
      </c>
    </row>
    <row r="8" spans="1:32" ht="19.5" thickBot="1">
      <c r="A8" s="3"/>
      <c r="B8" s="35" t="s">
        <v>33</v>
      </c>
      <c r="C8" s="36" t="s">
        <v>34</v>
      </c>
      <c r="D8" s="37" t="s">
        <v>35</v>
      </c>
      <c r="E8" s="37" t="s">
        <v>36</v>
      </c>
      <c r="F8" s="37" t="s">
        <v>37</v>
      </c>
      <c r="G8" s="37" t="s">
        <v>38</v>
      </c>
      <c r="H8" s="37" t="s">
        <v>39</v>
      </c>
      <c r="I8" s="37" t="s">
        <v>40</v>
      </c>
      <c r="J8" s="37" t="s">
        <v>41</v>
      </c>
      <c r="K8" s="37" t="s">
        <v>42</v>
      </c>
      <c r="L8" s="37" t="s">
        <v>43</v>
      </c>
      <c r="M8" s="37" t="s">
        <v>44</v>
      </c>
      <c r="N8" s="37" t="s">
        <v>45</v>
      </c>
      <c r="O8" s="37" t="s">
        <v>46</v>
      </c>
      <c r="P8" s="37" t="s">
        <v>47</v>
      </c>
      <c r="Q8" s="37" t="s">
        <v>48</v>
      </c>
      <c r="R8" s="60" t="s">
        <v>49</v>
      </c>
      <c r="S8" s="73" t="s">
        <v>50</v>
      </c>
      <c r="T8" s="37" t="s">
        <v>51</v>
      </c>
      <c r="U8" s="37" t="s">
        <v>52</v>
      </c>
      <c r="V8" s="37" t="s">
        <v>53</v>
      </c>
      <c r="W8" s="37" t="s">
        <v>54</v>
      </c>
      <c r="X8" s="37" t="s">
        <v>55</v>
      </c>
      <c r="Y8" s="37" t="s">
        <v>56</v>
      </c>
      <c r="Z8" s="37" t="s">
        <v>57</v>
      </c>
      <c r="AA8" s="37" t="s">
        <v>58</v>
      </c>
      <c r="AB8" s="38" t="s">
        <v>59</v>
      </c>
      <c r="AC8" s="39" t="s">
        <v>60</v>
      </c>
      <c r="AD8" s="60" t="s">
        <v>61</v>
      </c>
      <c r="AE8" s="73" t="s">
        <v>62</v>
      </c>
      <c r="AF8" s="39" t="s">
        <v>63</v>
      </c>
    </row>
    <row r="9" spans="1:32">
      <c r="A9" s="1" t="s">
        <v>3</v>
      </c>
      <c r="B9" s="30" t="s">
        <v>64</v>
      </c>
      <c r="C9" s="31">
        <v>21</v>
      </c>
      <c r="D9" s="32">
        <v>16</v>
      </c>
      <c r="E9" s="32">
        <v>19</v>
      </c>
      <c r="F9" s="32">
        <v>20</v>
      </c>
      <c r="G9" s="32">
        <v>20</v>
      </c>
      <c r="H9" s="32">
        <v>21</v>
      </c>
      <c r="I9" s="32">
        <v>20</v>
      </c>
      <c r="J9" s="32">
        <v>21</v>
      </c>
      <c r="K9" s="32">
        <v>21</v>
      </c>
      <c r="L9" s="32">
        <v>21</v>
      </c>
      <c r="M9" s="32">
        <v>20</v>
      </c>
      <c r="N9" s="32">
        <v>21</v>
      </c>
      <c r="O9" s="32">
        <v>19</v>
      </c>
      <c r="P9" s="32">
        <v>20</v>
      </c>
      <c r="Q9" s="32">
        <v>20</v>
      </c>
      <c r="R9" s="61">
        <v>21</v>
      </c>
      <c r="S9" s="74">
        <f>SUM(C9:R9)</f>
        <v>321</v>
      </c>
      <c r="T9" s="32">
        <v>21</v>
      </c>
      <c r="U9" s="32">
        <v>21</v>
      </c>
      <c r="V9" s="32">
        <v>20</v>
      </c>
      <c r="W9" s="32">
        <v>10</v>
      </c>
      <c r="X9" s="32">
        <v>13</v>
      </c>
      <c r="Y9" s="32">
        <v>18</v>
      </c>
      <c r="Z9" s="32">
        <v>8</v>
      </c>
      <c r="AA9" s="32">
        <v>11</v>
      </c>
      <c r="AB9" s="33">
        <v>22</v>
      </c>
      <c r="AC9" s="34">
        <f>SUM(T9:AB9)</f>
        <v>144</v>
      </c>
      <c r="AD9" s="61">
        <v>21</v>
      </c>
      <c r="AE9" s="74">
        <f>AD9</f>
        <v>21</v>
      </c>
      <c r="AF9" s="34">
        <f>S9+AC9+AE9</f>
        <v>486</v>
      </c>
    </row>
    <row r="10" spans="1:32">
      <c r="A10" s="1" t="s">
        <v>3</v>
      </c>
      <c r="B10" s="16" t="s">
        <v>65</v>
      </c>
      <c r="C10" s="25">
        <v>1</v>
      </c>
      <c r="D10" s="5">
        <v>0</v>
      </c>
      <c r="E10" s="5">
        <v>4</v>
      </c>
      <c r="F10" s="5">
        <v>2</v>
      </c>
      <c r="G10" s="5">
        <v>3</v>
      </c>
      <c r="H10" s="5">
        <v>3</v>
      </c>
      <c r="I10" s="5">
        <v>4</v>
      </c>
      <c r="J10" s="5">
        <v>2</v>
      </c>
      <c r="K10" s="5">
        <v>2</v>
      </c>
      <c r="L10" s="5">
        <v>2</v>
      </c>
      <c r="M10" s="5">
        <v>2</v>
      </c>
      <c r="N10" s="5">
        <v>2</v>
      </c>
      <c r="O10" s="5">
        <v>1</v>
      </c>
      <c r="P10" s="5">
        <v>2</v>
      </c>
      <c r="Q10" s="5">
        <v>3</v>
      </c>
      <c r="R10" s="62">
        <v>2</v>
      </c>
      <c r="S10" s="75">
        <f t="shared" ref="S10:S23" si="0">SUM(C10:R10)</f>
        <v>35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6">
        <v>0</v>
      </c>
      <c r="AC10" s="18">
        <f t="shared" ref="AC10:AC23" si="1">SUM(T10:AB10)</f>
        <v>1</v>
      </c>
      <c r="AD10" s="62">
        <v>0</v>
      </c>
      <c r="AE10" s="75">
        <f t="shared" ref="AE10:AE23" si="2">AD10</f>
        <v>0</v>
      </c>
      <c r="AF10" s="18">
        <f t="shared" ref="AF10:AF23" si="3">S10+AC10+AE10</f>
        <v>36</v>
      </c>
    </row>
    <row r="11" spans="1:32">
      <c r="A11" s="1" t="s">
        <v>3</v>
      </c>
      <c r="B11" s="16" t="s">
        <v>66</v>
      </c>
      <c r="C11" s="25">
        <v>3</v>
      </c>
      <c r="D11" s="5">
        <v>2</v>
      </c>
      <c r="E11" s="5">
        <v>0</v>
      </c>
      <c r="F11" s="5">
        <v>0</v>
      </c>
      <c r="G11" s="5">
        <v>2</v>
      </c>
      <c r="H11" s="5">
        <v>1</v>
      </c>
      <c r="I11" s="5">
        <v>0</v>
      </c>
      <c r="J11" s="5">
        <v>3</v>
      </c>
      <c r="K11" s="5">
        <v>3</v>
      </c>
      <c r="L11" s="5">
        <v>1</v>
      </c>
      <c r="M11" s="5">
        <v>3</v>
      </c>
      <c r="N11" s="5">
        <v>1</v>
      </c>
      <c r="O11" s="5">
        <v>3</v>
      </c>
      <c r="P11" s="5">
        <v>1</v>
      </c>
      <c r="Q11" s="5">
        <v>0</v>
      </c>
      <c r="R11" s="62">
        <v>4</v>
      </c>
      <c r="S11" s="75">
        <f t="shared" si="0"/>
        <v>27</v>
      </c>
      <c r="T11" s="5">
        <v>0</v>
      </c>
      <c r="U11" s="5">
        <v>0</v>
      </c>
      <c r="V11" s="5">
        <v>5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6">
        <v>0</v>
      </c>
      <c r="AC11" s="18">
        <f t="shared" si="1"/>
        <v>5</v>
      </c>
      <c r="AD11" s="62">
        <v>0</v>
      </c>
      <c r="AE11" s="75">
        <f t="shared" si="2"/>
        <v>0</v>
      </c>
      <c r="AF11" s="18">
        <f t="shared" si="3"/>
        <v>32</v>
      </c>
    </row>
    <row r="12" spans="1:32">
      <c r="A12" s="1" t="s">
        <v>3</v>
      </c>
      <c r="B12" s="16" t="s">
        <v>67</v>
      </c>
      <c r="C12" s="2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2</v>
      </c>
      <c r="P12" s="5">
        <v>0</v>
      </c>
      <c r="Q12" s="5">
        <v>1</v>
      </c>
      <c r="R12" s="62">
        <v>0</v>
      </c>
      <c r="S12" s="75">
        <f t="shared" si="0"/>
        <v>3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6">
        <v>0</v>
      </c>
      <c r="AC12" s="18">
        <f t="shared" si="1"/>
        <v>1</v>
      </c>
      <c r="AD12" s="62">
        <v>0</v>
      </c>
      <c r="AE12" s="75">
        <f t="shared" si="2"/>
        <v>0</v>
      </c>
      <c r="AF12" s="18">
        <f t="shared" si="3"/>
        <v>4</v>
      </c>
    </row>
    <row r="13" spans="1:32">
      <c r="A13" s="1" t="s">
        <v>3</v>
      </c>
      <c r="B13" s="16" t="s">
        <v>68</v>
      </c>
      <c r="C13" s="25">
        <v>0</v>
      </c>
      <c r="D13" s="5">
        <v>1</v>
      </c>
      <c r="E13" s="5">
        <v>2</v>
      </c>
      <c r="F13" s="5">
        <v>1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1</v>
      </c>
      <c r="Q13" s="5">
        <v>0</v>
      </c>
      <c r="R13" s="62">
        <v>0</v>
      </c>
      <c r="S13" s="75">
        <f t="shared" si="0"/>
        <v>8</v>
      </c>
      <c r="T13" s="5">
        <v>0</v>
      </c>
      <c r="U13" s="5">
        <v>0.5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5">
        <v>0</v>
      </c>
      <c r="AB13" s="6">
        <v>0</v>
      </c>
      <c r="AC13" s="18">
        <f t="shared" si="1"/>
        <v>1.5</v>
      </c>
      <c r="AD13" s="62">
        <v>0.5</v>
      </c>
      <c r="AE13" s="75">
        <f t="shared" si="2"/>
        <v>0.5</v>
      </c>
      <c r="AF13" s="18">
        <f t="shared" si="3"/>
        <v>10</v>
      </c>
    </row>
    <row r="14" spans="1:32">
      <c r="A14" s="1" t="s">
        <v>3</v>
      </c>
      <c r="B14" s="16" t="s">
        <v>69</v>
      </c>
      <c r="C14" s="25">
        <v>0</v>
      </c>
      <c r="D14" s="5">
        <v>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62">
        <v>0</v>
      </c>
      <c r="S14" s="75">
        <f t="shared" si="0"/>
        <v>4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6">
        <v>0</v>
      </c>
      <c r="AC14" s="18">
        <f t="shared" si="1"/>
        <v>0</v>
      </c>
      <c r="AD14" s="62">
        <v>0</v>
      </c>
      <c r="AE14" s="75">
        <f t="shared" si="2"/>
        <v>0</v>
      </c>
      <c r="AF14" s="18">
        <f t="shared" si="3"/>
        <v>4</v>
      </c>
    </row>
    <row r="15" spans="1:32">
      <c r="A15" s="1" t="s">
        <v>3</v>
      </c>
      <c r="B15" s="16" t="s">
        <v>70</v>
      </c>
      <c r="C15" s="26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63">
        <v>0</v>
      </c>
      <c r="S15" s="76">
        <f t="shared" si="0"/>
        <v>0</v>
      </c>
      <c r="T15" s="7">
        <v>0</v>
      </c>
      <c r="U15" s="7">
        <v>0</v>
      </c>
      <c r="V15" s="7">
        <v>0</v>
      </c>
      <c r="W15" s="7">
        <v>2.9166666666666665</v>
      </c>
      <c r="X15" s="7">
        <v>3.3333333333333335</v>
      </c>
      <c r="Y15" s="7">
        <v>4.125</v>
      </c>
      <c r="Z15" s="7">
        <v>2.5416666666666665</v>
      </c>
      <c r="AA15" s="7">
        <v>3.0833333333333335</v>
      </c>
      <c r="AB15" s="8">
        <v>5.125</v>
      </c>
      <c r="AC15" s="19">
        <f t="shared" si="1"/>
        <v>21.125</v>
      </c>
      <c r="AD15" s="63">
        <v>0</v>
      </c>
      <c r="AE15" s="76">
        <f t="shared" si="2"/>
        <v>0</v>
      </c>
      <c r="AF15" s="19">
        <f t="shared" si="3"/>
        <v>21.125</v>
      </c>
    </row>
    <row r="16" spans="1:32">
      <c r="A16" s="1" t="s">
        <v>3</v>
      </c>
      <c r="B16" s="16" t="s">
        <v>71</v>
      </c>
      <c r="C16" s="26">
        <v>0.91666666666666663</v>
      </c>
      <c r="D16" s="7">
        <v>1.2083333333333333</v>
      </c>
      <c r="E16" s="7">
        <v>0.83333333333333337</v>
      </c>
      <c r="F16" s="7">
        <v>1.7083333333333335</v>
      </c>
      <c r="G16" s="7">
        <v>2.0416666666666665</v>
      </c>
      <c r="H16" s="7">
        <v>2.0416666666666665</v>
      </c>
      <c r="I16" s="7">
        <v>1.5833333333333335</v>
      </c>
      <c r="J16" s="7">
        <v>1.4166666666666667</v>
      </c>
      <c r="K16" s="7">
        <v>1.4166666666666667</v>
      </c>
      <c r="L16" s="7">
        <v>1.2083333333333333</v>
      </c>
      <c r="M16" s="7">
        <v>0.79166666666666663</v>
      </c>
      <c r="N16" s="7">
        <v>1.0833333333333333</v>
      </c>
      <c r="O16" s="7">
        <v>2.25</v>
      </c>
      <c r="P16" s="7">
        <v>2.5</v>
      </c>
      <c r="Q16" s="7">
        <v>1.125</v>
      </c>
      <c r="R16" s="63">
        <v>0.875</v>
      </c>
      <c r="S16" s="76">
        <f t="shared" si="0"/>
        <v>23</v>
      </c>
      <c r="T16" s="7">
        <v>0</v>
      </c>
      <c r="U16" s="7">
        <v>1.375</v>
      </c>
      <c r="V16" s="7">
        <v>0.45833333333333331</v>
      </c>
      <c r="W16" s="7">
        <v>0</v>
      </c>
      <c r="X16" s="7">
        <v>0</v>
      </c>
      <c r="Y16" s="7">
        <v>0</v>
      </c>
      <c r="Z16" s="7">
        <v>0.125</v>
      </c>
      <c r="AA16" s="7">
        <v>0</v>
      </c>
      <c r="AB16" s="8">
        <v>0.16666666666666666</v>
      </c>
      <c r="AC16" s="19">
        <f t="shared" si="1"/>
        <v>2.125</v>
      </c>
      <c r="AD16" s="63">
        <v>0</v>
      </c>
      <c r="AE16" s="76">
        <f t="shared" si="2"/>
        <v>0</v>
      </c>
      <c r="AF16" s="19">
        <f t="shared" si="3"/>
        <v>25.125</v>
      </c>
    </row>
    <row r="17" spans="1:32">
      <c r="A17" s="1" t="s">
        <v>3</v>
      </c>
      <c r="B17" s="16" t="s">
        <v>72</v>
      </c>
      <c r="C17" s="26">
        <v>0.20833333333333334</v>
      </c>
      <c r="D17" s="7">
        <v>0</v>
      </c>
      <c r="E17" s="7">
        <v>1.4583333333333333</v>
      </c>
      <c r="F17" s="7">
        <v>0.83333333333333337</v>
      </c>
      <c r="G17" s="7">
        <v>1.375</v>
      </c>
      <c r="H17" s="7">
        <v>1.2916666666666667</v>
      </c>
      <c r="I17" s="7">
        <v>1.4583333333333333</v>
      </c>
      <c r="J17" s="7">
        <v>0.875</v>
      </c>
      <c r="K17" s="7">
        <v>0.75</v>
      </c>
      <c r="L17" s="7">
        <v>0.75</v>
      </c>
      <c r="M17" s="7">
        <v>0.45833333333333331</v>
      </c>
      <c r="N17" s="7">
        <v>0.75</v>
      </c>
      <c r="O17" s="7">
        <v>0</v>
      </c>
      <c r="P17" s="7">
        <v>0.875</v>
      </c>
      <c r="Q17" s="7">
        <v>0.75</v>
      </c>
      <c r="R17" s="63">
        <v>0.54166666666666663</v>
      </c>
      <c r="S17" s="76">
        <f t="shared" si="0"/>
        <v>12.375</v>
      </c>
      <c r="T17" s="7">
        <v>0</v>
      </c>
      <c r="U17" s="7">
        <v>4.1666666666666664E-2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9">
        <f t="shared" si="1"/>
        <v>4.1666666666666664E-2</v>
      </c>
      <c r="AD17" s="63">
        <v>0</v>
      </c>
      <c r="AE17" s="76">
        <f t="shared" si="2"/>
        <v>0</v>
      </c>
      <c r="AF17" s="19">
        <f t="shared" si="3"/>
        <v>12.416666666666666</v>
      </c>
    </row>
    <row r="18" spans="1:32">
      <c r="A18" s="1" t="s">
        <v>3</v>
      </c>
      <c r="B18" s="16" t="s">
        <v>73</v>
      </c>
      <c r="C18" s="26">
        <v>1</v>
      </c>
      <c r="D18" s="7">
        <v>0.5</v>
      </c>
      <c r="E18" s="7">
        <v>0</v>
      </c>
      <c r="F18" s="7">
        <v>0</v>
      </c>
      <c r="G18" s="7">
        <v>0.5</v>
      </c>
      <c r="H18" s="7">
        <v>0.29166666666666669</v>
      </c>
      <c r="I18" s="7">
        <v>0</v>
      </c>
      <c r="J18" s="7">
        <v>1</v>
      </c>
      <c r="K18" s="7">
        <v>0.83333333333333337</v>
      </c>
      <c r="L18" s="7">
        <v>0.125</v>
      </c>
      <c r="M18" s="7">
        <v>0.79166666666666663</v>
      </c>
      <c r="N18" s="7">
        <v>0.25</v>
      </c>
      <c r="O18" s="7">
        <v>0.95833333333333337</v>
      </c>
      <c r="P18" s="7">
        <v>0.33333333333333331</v>
      </c>
      <c r="Q18" s="7">
        <v>0</v>
      </c>
      <c r="R18" s="63">
        <v>1.125</v>
      </c>
      <c r="S18" s="76">
        <f t="shared" si="0"/>
        <v>7.708333333333333</v>
      </c>
      <c r="T18" s="7">
        <v>0</v>
      </c>
      <c r="U18" s="7">
        <v>0</v>
      </c>
      <c r="V18" s="7">
        <v>1.5833333333333335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9">
        <f t="shared" si="1"/>
        <v>1.5833333333333335</v>
      </c>
      <c r="AD18" s="63">
        <v>0</v>
      </c>
      <c r="AE18" s="76">
        <f t="shared" si="2"/>
        <v>0</v>
      </c>
      <c r="AF18" s="19">
        <f t="shared" si="3"/>
        <v>9.2916666666666661</v>
      </c>
    </row>
    <row r="19" spans="1:32">
      <c r="A19" s="1" t="s">
        <v>3</v>
      </c>
      <c r="B19" s="16" t="s">
        <v>74</v>
      </c>
      <c r="C19" s="26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0.20833333333333334</v>
      </c>
      <c r="P19" s="7">
        <v>0</v>
      </c>
      <c r="Q19" s="7">
        <v>0.41666666666666669</v>
      </c>
      <c r="R19" s="63">
        <v>0</v>
      </c>
      <c r="S19" s="76">
        <f t="shared" si="0"/>
        <v>0.625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9">
        <f t="shared" si="1"/>
        <v>0</v>
      </c>
      <c r="AD19" s="63">
        <v>0</v>
      </c>
      <c r="AE19" s="76">
        <f t="shared" si="2"/>
        <v>0</v>
      </c>
      <c r="AF19" s="19">
        <f t="shared" si="3"/>
        <v>0.625</v>
      </c>
    </row>
    <row r="20" spans="1:32">
      <c r="A20" s="1" t="s">
        <v>3</v>
      </c>
      <c r="B20" s="16" t="s">
        <v>75</v>
      </c>
      <c r="C20" s="26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0.16666666666666666</v>
      </c>
      <c r="P20" s="7">
        <v>0</v>
      </c>
      <c r="Q20" s="7">
        <v>0</v>
      </c>
      <c r="R20" s="63">
        <v>0</v>
      </c>
      <c r="S20" s="76">
        <f t="shared" si="0"/>
        <v>0.16666666666666666</v>
      </c>
      <c r="T20" s="7">
        <v>0</v>
      </c>
      <c r="U20" s="7">
        <v>0</v>
      </c>
      <c r="V20" s="7">
        <v>0.375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9">
        <f t="shared" si="1"/>
        <v>0.375</v>
      </c>
      <c r="AD20" s="63">
        <v>0</v>
      </c>
      <c r="AE20" s="76">
        <f t="shared" si="2"/>
        <v>0</v>
      </c>
      <c r="AF20" s="19">
        <f t="shared" si="3"/>
        <v>0.54166666666666663</v>
      </c>
    </row>
    <row r="21" spans="1:32">
      <c r="A21" s="1" t="s">
        <v>3</v>
      </c>
      <c r="B21" s="16" t="s">
        <v>76</v>
      </c>
      <c r="C21" s="2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4.1666666666666664E-2</v>
      </c>
      <c r="P21" s="7">
        <v>0</v>
      </c>
      <c r="Q21" s="7">
        <v>0</v>
      </c>
      <c r="R21" s="63">
        <v>0</v>
      </c>
      <c r="S21" s="76">
        <f t="shared" si="0"/>
        <v>4.1666666666666664E-2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9">
        <f t="shared" si="1"/>
        <v>0</v>
      </c>
      <c r="AD21" s="63">
        <v>0</v>
      </c>
      <c r="AE21" s="76">
        <f t="shared" si="2"/>
        <v>0</v>
      </c>
      <c r="AF21" s="19">
        <f t="shared" si="3"/>
        <v>4.1666666666666664E-2</v>
      </c>
    </row>
    <row r="22" spans="1:32">
      <c r="A22" s="1" t="s">
        <v>3</v>
      </c>
      <c r="B22" s="16" t="s">
        <v>77</v>
      </c>
      <c r="C22" s="26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63">
        <v>0</v>
      </c>
      <c r="S22" s="76">
        <f t="shared" si="0"/>
        <v>0</v>
      </c>
      <c r="T22" s="7">
        <v>0</v>
      </c>
      <c r="U22" s="7">
        <v>0</v>
      </c>
      <c r="V22" s="7">
        <v>0</v>
      </c>
      <c r="W22" s="7">
        <v>0.29166666666666669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9">
        <f t="shared" si="1"/>
        <v>0.29166666666666669</v>
      </c>
      <c r="AD22" s="63">
        <v>0</v>
      </c>
      <c r="AE22" s="76">
        <f t="shared" si="2"/>
        <v>0</v>
      </c>
      <c r="AF22" s="19">
        <f t="shared" si="3"/>
        <v>0.29166666666666669</v>
      </c>
    </row>
    <row r="23" spans="1:32">
      <c r="A23" s="1" t="s">
        <v>3</v>
      </c>
      <c r="B23" s="16" t="s">
        <v>78</v>
      </c>
      <c r="C23" s="26">
        <v>0.25</v>
      </c>
      <c r="D23" s="7">
        <v>4.1666666666666664E-2</v>
      </c>
      <c r="E23" s="7">
        <v>0.125</v>
      </c>
      <c r="F23" s="7">
        <v>1.0416666666666667</v>
      </c>
      <c r="G23" s="7">
        <v>0.75</v>
      </c>
      <c r="H23" s="7">
        <v>0.20833333333333334</v>
      </c>
      <c r="I23" s="7">
        <v>0.25</v>
      </c>
      <c r="J23" s="7">
        <v>0.33333333333333331</v>
      </c>
      <c r="K23" s="7">
        <v>0.41666666666666669</v>
      </c>
      <c r="L23" s="7">
        <v>0.5</v>
      </c>
      <c r="M23" s="7">
        <v>4.1666666666666664E-2</v>
      </c>
      <c r="N23" s="7">
        <v>0.41666666666666669</v>
      </c>
      <c r="O23" s="7">
        <v>1.2916666666666667</v>
      </c>
      <c r="P23" s="7">
        <v>1.2083333333333333</v>
      </c>
      <c r="Q23" s="7">
        <v>1.125</v>
      </c>
      <c r="R23" s="63">
        <v>8.3333333333333329E-2</v>
      </c>
      <c r="S23" s="76">
        <f t="shared" si="0"/>
        <v>8.0833333333333339</v>
      </c>
      <c r="T23" s="7">
        <v>0</v>
      </c>
      <c r="U23" s="7">
        <v>0</v>
      </c>
      <c r="V23" s="7">
        <v>0</v>
      </c>
      <c r="W23" s="7">
        <v>2.0833333333333335</v>
      </c>
      <c r="X23" s="7">
        <v>0</v>
      </c>
      <c r="Y23" s="7">
        <v>0</v>
      </c>
      <c r="Z23" s="7">
        <v>0.625</v>
      </c>
      <c r="AA23" s="7">
        <v>2.0833333333333335</v>
      </c>
      <c r="AB23" s="8">
        <v>1.4583333333333333</v>
      </c>
      <c r="AC23" s="19">
        <f t="shared" si="1"/>
        <v>6.25</v>
      </c>
      <c r="AD23" s="63">
        <v>0</v>
      </c>
      <c r="AE23" s="76">
        <f t="shared" si="2"/>
        <v>0</v>
      </c>
      <c r="AF23" s="19">
        <f t="shared" si="3"/>
        <v>14.333333333333334</v>
      </c>
    </row>
    <row r="24" spans="1:32">
      <c r="A24" s="1" t="s">
        <v>3</v>
      </c>
      <c r="B24" s="44" t="s">
        <v>79</v>
      </c>
      <c r="C24" s="45">
        <v>17</v>
      </c>
      <c r="D24" s="46">
        <v>18</v>
      </c>
      <c r="E24" s="46">
        <v>33</v>
      </c>
      <c r="F24" s="46">
        <v>37</v>
      </c>
      <c r="G24" s="46">
        <v>33</v>
      </c>
      <c r="H24" s="46">
        <v>28</v>
      </c>
      <c r="I24" s="46">
        <v>35</v>
      </c>
      <c r="J24" s="46">
        <v>33.5</v>
      </c>
      <c r="K24" s="46">
        <v>34.5</v>
      </c>
      <c r="L24" s="46">
        <v>34</v>
      </c>
      <c r="M24" s="46">
        <v>30</v>
      </c>
      <c r="N24" s="46">
        <v>34.5</v>
      </c>
      <c r="O24" s="46">
        <v>14</v>
      </c>
      <c r="P24" s="46">
        <v>16</v>
      </c>
      <c r="Q24" s="46">
        <v>24</v>
      </c>
      <c r="R24" s="64">
        <v>0</v>
      </c>
      <c r="S24" s="77"/>
      <c r="T24" s="46">
        <v>31</v>
      </c>
      <c r="U24" s="46">
        <v>39.5</v>
      </c>
      <c r="V24" s="46">
        <v>15</v>
      </c>
      <c r="W24" s="46">
        <v>6</v>
      </c>
      <c r="X24" s="46">
        <v>21</v>
      </c>
      <c r="Y24" s="46">
        <v>21</v>
      </c>
      <c r="Z24" s="46">
        <v>6</v>
      </c>
      <c r="AA24" s="46">
        <v>20</v>
      </c>
      <c r="AB24" s="47">
        <v>7</v>
      </c>
      <c r="AC24" s="48"/>
      <c r="AD24" s="64">
        <v>36.5</v>
      </c>
      <c r="AE24" s="77"/>
      <c r="AF24" s="48"/>
    </row>
    <row r="25" spans="1:32">
      <c r="A25" s="1" t="s">
        <v>3</v>
      </c>
      <c r="B25" s="30" t="s">
        <v>80</v>
      </c>
      <c r="C25" s="40">
        <v>182000</v>
      </c>
      <c r="D25" s="41">
        <v>192000</v>
      </c>
      <c r="E25" s="41">
        <v>197000</v>
      </c>
      <c r="F25" s="41">
        <v>197000</v>
      </c>
      <c r="G25" s="41">
        <v>197000</v>
      </c>
      <c r="H25" s="41">
        <v>182000</v>
      </c>
      <c r="I25" s="41">
        <v>187000</v>
      </c>
      <c r="J25" s="41">
        <v>182000</v>
      </c>
      <c r="K25" s="41">
        <v>197000</v>
      </c>
      <c r="L25" s="41">
        <v>192000</v>
      </c>
      <c r="M25" s="41">
        <v>192000</v>
      </c>
      <c r="N25" s="41">
        <v>182000</v>
      </c>
      <c r="O25" s="41">
        <v>175000</v>
      </c>
      <c r="P25" s="41">
        <v>175000</v>
      </c>
      <c r="Q25" s="41">
        <v>180000</v>
      </c>
      <c r="R25" s="65">
        <v>175000</v>
      </c>
      <c r="S25" s="78">
        <f t="shared" ref="S25:S55" si="4">SUM(C25:R25)</f>
        <v>2984000</v>
      </c>
      <c r="T25" s="41">
        <v>370000</v>
      </c>
      <c r="U25" s="41">
        <v>285000</v>
      </c>
      <c r="V25" s="41">
        <v>225000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2">
        <v>0</v>
      </c>
      <c r="AC25" s="43">
        <f t="shared" ref="AC25:AC55" si="5">SUM(T25:AB25)</f>
        <v>880000</v>
      </c>
      <c r="AD25" s="65">
        <v>390000</v>
      </c>
      <c r="AE25" s="78">
        <f t="shared" ref="AE25:AE55" si="6">AD25</f>
        <v>390000</v>
      </c>
      <c r="AF25" s="43">
        <f t="shared" ref="AF25:AF55" si="7">S25+AC25+AE25</f>
        <v>4254000</v>
      </c>
    </row>
    <row r="26" spans="1:32">
      <c r="A26" s="1" t="s">
        <v>3</v>
      </c>
      <c r="B26" s="16" t="s">
        <v>81</v>
      </c>
      <c r="C26" s="27">
        <v>0</v>
      </c>
      <c r="D26" s="9">
        <v>0</v>
      </c>
      <c r="E26" s="9">
        <v>20000</v>
      </c>
      <c r="F26" s="9">
        <v>20000</v>
      </c>
      <c r="G26" s="9">
        <v>0</v>
      </c>
      <c r="H26" s="9">
        <v>0</v>
      </c>
      <c r="I26" s="9">
        <v>5000</v>
      </c>
      <c r="J26" s="9">
        <v>0</v>
      </c>
      <c r="K26" s="9">
        <v>0</v>
      </c>
      <c r="L26" s="9">
        <v>0</v>
      </c>
      <c r="M26" s="9">
        <v>5000</v>
      </c>
      <c r="N26" s="9">
        <v>0</v>
      </c>
      <c r="O26" s="9">
        <v>0</v>
      </c>
      <c r="P26" s="9">
        <v>0</v>
      </c>
      <c r="Q26" s="9">
        <v>0</v>
      </c>
      <c r="R26" s="66">
        <v>0</v>
      </c>
      <c r="S26" s="79">
        <f t="shared" si="4"/>
        <v>50000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10">
        <v>0</v>
      </c>
      <c r="AC26" s="20">
        <f t="shared" si="5"/>
        <v>0</v>
      </c>
      <c r="AD26" s="66">
        <v>0</v>
      </c>
      <c r="AE26" s="79">
        <f t="shared" si="6"/>
        <v>0</v>
      </c>
      <c r="AF26" s="20">
        <f t="shared" si="7"/>
        <v>50000</v>
      </c>
    </row>
    <row r="27" spans="1:32">
      <c r="A27" s="1" t="s">
        <v>3</v>
      </c>
      <c r="B27" s="16" t="s">
        <v>82</v>
      </c>
      <c r="C27" s="27">
        <v>0</v>
      </c>
      <c r="D27" s="9">
        <v>0</v>
      </c>
      <c r="E27" s="9">
        <v>3000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66">
        <v>0</v>
      </c>
      <c r="S27" s="79">
        <f t="shared" si="4"/>
        <v>3000</v>
      </c>
      <c r="T27" s="9">
        <v>0</v>
      </c>
      <c r="U27" s="9">
        <v>3000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10">
        <v>0</v>
      </c>
      <c r="AC27" s="20">
        <f t="shared" si="5"/>
        <v>3000</v>
      </c>
      <c r="AD27" s="66">
        <v>0</v>
      </c>
      <c r="AE27" s="79">
        <f t="shared" si="6"/>
        <v>0</v>
      </c>
      <c r="AF27" s="20">
        <f t="shared" si="7"/>
        <v>6000</v>
      </c>
    </row>
    <row r="28" spans="1:32">
      <c r="A28" s="1" t="s">
        <v>3</v>
      </c>
      <c r="B28" s="16" t="s">
        <v>83</v>
      </c>
      <c r="C28" s="27">
        <v>0</v>
      </c>
      <c r="D28" s="9">
        <v>0</v>
      </c>
      <c r="E28" s="9">
        <v>0</v>
      </c>
      <c r="F28" s="9">
        <v>7069</v>
      </c>
      <c r="G28" s="9">
        <v>6264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94523</v>
      </c>
      <c r="N28" s="9">
        <v>10783</v>
      </c>
      <c r="O28" s="9">
        <v>0</v>
      </c>
      <c r="P28" s="9">
        <v>0</v>
      </c>
      <c r="Q28" s="9">
        <v>47050</v>
      </c>
      <c r="R28" s="66">
        <v>0</v>
      </c>
      <c r="S28" s="79">
        <f t="shared" si="4"/>
        <v>165689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10">
        <v>0</v>
      </c>
      <c r="AC28" s="20">
        <f t="shared" si="5"/>
        <v>0</v>
      </c>
      <c r="AD28" s="66">
        <v>0</v>
      </c>
      <c r="AE28" s="79">
        <f t="shared" si="6"/>
        <v>0</v>
      </c>
      <c r="AF28" s="20">
        <f t="shared" si="7"/>
        <v>165689</v>
      </c>
    </row>
    <row r="29" spans="1:32">
      <c r="A29" s="1" t="s">
        <v>3</v>
      </c>
      <c r="B29" s="16" t="s">
        <v>84</v>
      </c>
      <c r="C29" s="27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66">
        <v>0</v>
      </c>
      <c r="S29" s="79">
        <f t="shared" si="4"/>
        <v>0</v>
      </c>
      <c r="T29" s="9">
        <v>0</v>
      </c>
      <c r="U29" s="9">
        <v>0</v>
      </c>
      <c r="V29" s="9">
        <v>0</v>
      </c>
      <c r="W29" s="9">
        <v>68250</v>
      </c>
      <c r="X29" s="9">
        <v>82800</v>
      </c>
      <c r="Y29" s="9">
        <v>105930</v>
      </c>
      <c r="Z29" s="9">
        <v>59475</v>
      </c>
      <c r="AA29" s="9">
        <v>72150</v>
      </c>
      <c r="AB29" s="10">
        <v>119925</v>
      </c>
      <c r="AC29" s="20">
        <f t="shared" si="5"/>
        <v>508530</v>
      </c>
      <c r="AD29" s="66">
        <v>0</v>
      </c>
      <c r="AE29" s="79">
        <f t="shared" si="6"/>
        <v>0</v>
      </c>
      <c r="AF29" s="20">
        <f t="shared" si="7"/>
        <v>508530</v>
      </c>
    </row>
    <row r="30" spans="1:32">
      <c r="A30" s="1" t="s">
        <v>3</v>
      </c>
      <c r="B30" s="16" t="s">
        <v>85</v>
      </c>
      <c r="C30" s="27">
        <v>3500</v>
      </c>
      <c r="D30" s="9">
        <v>0</v>
      </c>
      <c r="E30" s="9">
        <v>3500</v>
      </c>
      <c r="F30" s="9">
        <v>3500</v>
      </c>
      <c r="G30" s="9">
        <v>3500</v>
      </c>
      <c r="H30" s="9">
        <v>3500</v>
      </c>
      <c r="I30" s="9">
        <v>3500</v>
      </c>
      <c r="J30" s="9">
        <v>3500</v>
      </c>
      <c r="K30" s="9">
        <v>3500</v>
      </c>
      <c r="L30" s="9">
        <v>3500</v>
      </c>
      <c r="M30" s="9">
        <v>2000</v>
      </c>
      <c r="N30" s="9">
        <v>3500</v>
      </c>
      <c r="O30" s="9">
        <v>1000</v>
      </c>
      <c r="P30" s="9">
        <v>2000</v>
      </c>
      <c r="Q30" s="9">
        <v>2000</v>
      </c>
      <c r="R30" s="66">
        <v>0</v>
      </c>
      <c r="S30" s="79">
        <f t="shared" si="4"/>
        <v>42000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10">
        <v>0</v>
      </c>
      <c r="AC30" s="20">
        <f t="shared" si="5"/>
        <v>0</v>
      </c>
      <c r="AD30" s="66">
        <v>0</v>
      </c>
      <c r="AE30" s="79">
        <f t="shared" si="6"/>
        <v>0</v>
      </c>
      <c r="AF30" s="20">
        <f t="shared" si="7"/>
        <v>42000</v>
      </c>
    </row>
    <row r="31" spans="1:32">
      <c r="A31" s="1" t="s">
        <v>3</v>
      </c>
      <c r="B31" s="16" t="s">
        <v>86</v>
      </c>
      <c r="C31" s="27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66">
        <v>0</v>
      </c>
      <c r="S31" s="79">
        <f t="shared" si="4"/>
        <v>0</v>
      </c>
      <c r="T31" s="9">
        <v>0</v>
      </c>
      <c r="U31" s="9">
        <v>0</v>
      </c>
      <c r="V31" s="9">
        <v>0</v>
      </c>
      <c r="W31" s="9">
        <v>6825</v>
      </c>
      <c r="X31" s="9">
        <v>0</v>
      </c>
      <c r="Y31" s="9">
        <v>0</v>
      </c>
      <c r="Z31" s="9">
        <v>0</v>
      </c>
      <c r="AA31" s="9">
        <v>0</v>
      </c>
      <c r="AB31" s="10">
        <v>0</v>
      </c>
      <c r="AC31" s="20">
        <f t="shared" si="5"/>
        <v>6825</v>
      </c>
      <c r="AD31" s="66">
        <v>0</v>
      </c>
      <c r="AE31" s="79">
        <f t="shared" si="6"/>
        <v>0</v>
      </c>
      <c r="AF31" s="20">
        <f t="shared" si="7"/>
        <v>6825</v>
      </c>
    </row>
    <row r="32" spans="1:32">
      <c r="A32" s="1" t="s">
        <v>3</v>
      </c>
      <c r="B32" s="16" t="s">
        <v>87</v>
      </c>
      <c r="C32" s="27">
        <v>0</v>
      </c>
      <c r="D32" s="9">
        <v>36744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66">
        <v>0</v>
      </c>
      <c r="S32" s="79">
        <f t="shared" si="4"/>
        <v>36744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10">
        <v>0</v>
      </c>
      <c r="AC32" s="20">
        <f t="shared" si="5"/>
        <v>0</v>
      </c>
      <c r="AD32" s="66">
        <v>0</v>
      </c>
      <c r="AE32" s="79">
        <f t="shared" si="6"/>
        <v>0</v>
      </c>
      <c r="AF32" s="20">
        <f t="shared" si="7"/>
        <v>36744</v>
      </c>
    </row>
    <row r="33" spans="1:32">
      <c r="A33" s="1" t="s">
        <v>3</v>
      </c>
      <c r="B33" s="16" t="s">
        <v>71</v>
      </c>
      <c r="C33" s="27">
        <v>30558</v>
      </c>
      <c r="D33" s="9">
        <v>41702</v>
      </c>
      <c r="E33" s="9">
        <v>33460</v>
      </c>
      <c r="F33" s="9">
        <v>67650</v>
      </c>
      <c r="G33" s="9">
        <v>73549</v>
      </c>
      <c r="H33" s="9">
        <v>68061</v>
      </c>
      <c r="I33" s="9">
        <v>55632</v>
      </c>
      <c r="J33" s="9">
        <v>47226</v>
      </c>
      <c r="K33" s="9">
        <v>51034</v>
      </c>
      <c r="L33" s="9">
        <v>42456</v>
      </c>
      <c r="M33" s="9">
        <v>28310</v>
      </c>
      <c r="N33" s="9">
        <v>36114</v>
      </c>
      <c r="O33" s="9">
        <v>71172</v>
      </c>
      <c r="P33" s="9">
        <v>79500</v>
      </c>
      <c r="Q33" s="9">
        <v>36801</v>
      </c>
      <c r="R33" s="66">
        <v>27510</v>
      </c>
      <c r="S33" s="79">
        <f t="shared" si="4"/>
        <v>790735</v>
      </c>
      <c r="T33" s="9">
        <v>0</v>
      </c>
      <c r="U33" s="9">
        <v>71148</v>
      </c>
      <c r="V33" s="9">
        <v>18524</v>
      </c>
      <c r="W33" s="9">
        <v>0</v>
      </c>
      <c r="X33" s="9">
        <v>0</v>
      </c>
      <c r="Y33" s="9">
        <v>0</v>
      </c>
      <c r="Z33" s="9">
        <v>3657</v>
      </c>
      <c r="AA33" s="9">
        <v>0</v>
      </c>
      <c r="AB33" s="10">
        <v>4876</v>
      </c>
      <c r="AC33" s="20">
        <f t="shared" si="5"/>
        <v>98205</v>
      </c>
      <c r="AD33" s="66">
        <v>0</v>
      </c>
      <c r="AE33" s="79">
        <f t="shared" si="6"/>
        <v>0</v>
      </c>
      <c r="AF33" s="20">
        <f t="shared" si="7"/>
        <v>888940</v>
      </c>
    </row>
    <row r="34" spans="1:32">
      <c r="A34" s="1" t="s">
        <v>3</v>
      </c>
      <c r="B34" s="16" t="s">
        <v>88</v>
      </c>
      <c r="C34" s="27">
        <v>7500</v>
      </c>
      <c r="D34" s="9">
        <v>0</v>
      </c>
      <c r="E34" s="9">
        <v>63210</v>
      </c>
      <c r="F34" s="9">
        <v>35640</v>
      </c>
      <c r="G34" s="9">
        <v>53493</v>
      </c>
      <c r="H34" s="9">
        <v>46500</v>
      </c>
      <c r="I34" s="9">
        <v>55335</v>
      </c>
      <c r="J34" s="9">
        <v>31500</v>
      </c>
      <c r="K34" s="9">
        <v>29178</v>
      </c>
      <c r="L34" s="9">
        <v>28458</v>
      </c>
      <c r="M34" s="9">
        <v>17699</v>
      </c>
      <c r="N34" s="9">
        <v>27000</v>
      </c>
      <c r="O34" s="9">
        <v>0</v>
      </c>
      <c r="P34" s="9">
        <v>30051</v>
      </c>
      <c r="Q34" s="9">
        <v>26496</v>
      </c>
      <c r="R34" s="66">
        <v>18395</v>
      </c>
      <c r="S34" s="79">
        <f t="shared" si="4"/>
        <v>470455</v>
      </c>
      <c r="T34" s="9">
        <v>0</v>
      </c>
      <c r="U34" s="9">
        <v>2329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10">
        <v>0</v>
      </c>
      <c r="AC34" s="20">
        <f t="shared" si="5"/>
        <v>2329</v>
      </c>
      <c r="AD34" s="66">
        <v>0</v>
      </c>
      <c r="AE34" s="79">
        <f t="shared" si="6"/>
        <v>0</v>
      </c>
      <c r="AF34" s="20">
        <f t="shared" si="7"/>
        <v>472784</v>
      </c>
    </row>
    <row r="35" spans="1:32">
      <c r="A35" s="1" t="s">
        <v>3</v>
      </c>
      <c r="B35" s="16" t="s">
        <v>89</v>
      </c>
      <c r="C35" s="27">
        <v>36000</v>
      </c>
      <c r="D35" s="9">
        <v>18636</v>
      </c>
      <c r="E35" s="9">
        <v>0</v>
      </c>
      <c r="F35" s="9">
        <v>0</v>
      </c>
      <c r="G35" s="9">
        <v>19452</v>
      </c>
      <c r="H35" s="9">
        <v>10500</v>
      </c>
      <c r="I35" s="9">
        <v>0</v>
      </c>
      <c r="J35" s="9">
        <v>36000</v>
      </c>
      <c r="K35" s="9">
        <v>32420</v>
      </c>
      <c r="L35" s="9">
        <v>4743</v>
      </c>
      <c r="M35" s="9">
        <v>30571</v>
      </c>
      <c r="N35" s="9">
        <v>9000</v>
      </c>
      <c r="O35" s="9">
        <v>32729</v>
      </c>
      <c r="P35" s="9">
        <v>11448</v>
      </c>
      <c r="Q35" s="9">
        <v>0</v>
      </c>
      <c r="R35" s="66">
        <v>38205</v>
      </c>
      <c r="S35" s="79">
        <f t="shared" si="4"/>
        <v>279704</v>
      </c>
      <c r="T35" s="9">
        <v>0</v>
      </c>
      <c r="U35" s="9">
        <v>0</v>
      </c>
      <c r="V35" s="9">
        <v>69084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10">
        <v>0</v>
      </c>
      <c r="AC35" s="20">
        <f t="shared" si="5"/>
        <v>69084</v>
      </c>
      <c r="AD35" s="66">
        <v>0</v>
      </c>
      <c r="AE35" s="79">
        <f t="shared" si="6"/>
        <v>0</v>
      </c>
      <c r="AF35" s="20">
        <f t="shared" si="7"/>
        <v>348788</v>
      </c>
    </row>
    <row r="36" spans="1:32">
      <c r="A36" s="1" t="s">
        <v>3</v>
      </c>
      <c r="B36" s="16" t="s">
        <v>90</v>
      </c>
      <c r="C36" s="27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1845</v>
      </c>
      <c r="P36" s="9">
        <v>0</v>
      </c>
      <c r="Q36" s="9">
        <v>3820</v>
      </c>
      <c r="R36" s="66">
        <v>0</v>
      </c>
      <c r="S36" s="79">
        <f t="shared" si="4"/>
        <v>5665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10">
        <v>0</v>
      </c>
      <c r="AC36" s="20">
        <f t="shared" si="5"/>
        <v>0</v>
      </c>
      <c r="AD36" s="66">
        <v>0</v>
      </c>
      <c r="AE36" s="79">
        <f t="shared" si="6"/>
        <v>0</v>
      </c>
      <c r="AF36" s="20">
        <f t="shared" si="7"/>
        <v>5665</v>
      </c>
    </row>
    <row r="37" spans="1:32">
      <c r="A37" s="1" t="s">
        <v>3</v>
      </c>
      <c r="B37" s="16" t="s">
        <v>91</v>
      </c>
      <c r="C37" s="27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1476</v>
      </c>
      <c r="P37" s="9">
        <v>0</v>
      </c>
      <c r="Q37" s="9">
        <v>0</v>
      </c>
      <c r="R37" s="66">
        <v>0</v>
      </c>
      <c r="S37" s="79">
        <f t="shared" si="4"/>
        <v>1476</v>
      </c>
      <c r="T37" s="9">
        <v>0</v>
      </c>
      <c r="U37" s="9">
        <v>0</v>
      </c>
      <c r="V37" s="9">
        <v>4239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10">
        <v>0</v>
      </c>
      <c r="AC37" s="20">
        <f t="shared" si="5"/>
        <v>4239</v>
      </c>
      <c r="AD37" s="66">
        <v>0</v>
      </c>
      <c r="AE37" s="79">
        <f t="shared" si="6"/>
        <v>0</v>
      </c>
      <c r="AF37" s="20">
        <f t="shared" si="7"/>
        <v>5715</v>
      </c>
    </row>
    <row r="38" spans="1:32">
      <c r="A38" s="1" t="s">
        <v>3</v>
      </c>
      <c r="B38" s="16" t="s">
        <v>76</v>
      </c>
      <c r="C38" s="27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264</v>
      </c>
      <c r="P38" s="9">
        <v>0</v>
      </c>
      <c r="Q38" s="9">
        <v>0</v>
      </c>
      <c r="R38" s="66">
        <v>0</v>
      </c>
      <c r="S38" s="79">
        <f t="shared" si="4"/>
        <v>264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10">
        <v>0</v>
      </c>
      <c r="AC38" s="20">
        <f t="shared" si="5"/>
        <v>0</v>
      </c>
      <c r="AD38" s="66">
        <v>0</v>
      </c>
      <c r="AE38" s="79">
        <f t="shared" si="6"/>
        <v>0</v>
      </c>
      <c r="AF38" s="20">
        <f t="shared" si="7"/>
        <v>264</v>
      </c>
    </row>
    <row r="39" spans="1:32">
      <c r="A39" s="1" t="s">
        <v>3</v>
      </c>
      <c r="B39" s="49" t="s">
        <v>78</v>
      </c>
      <c r="C39" s="50">
        <v>1668</v>
      </c>
      <c r="D39" s="51">
        <v>288</v>
      </c>
      <c r="E39" s="51">
        <v>1005</v>
      </c>
      <c r="F39" s="51">
        <v>8250</v>
      </c>
      <c r="G39" s="51">
        <v>5400</v>
      </c>
      <c r="H39" s="51">
        <v>1390</v>
      </c>
      <c r="I39" s="51">
        <v>1758</v>
      </c>
      <c r="J39" s="51">
        <v>2224</v>
      </c>
      <c r="K39" s="51">
        <v>3000</v>
      </c>
      <c r="L39" s="51">
        <v>3516</v>
      </c>
      <c r="M39" s="51">
        <v>298</v>
      </c>
      <c r="N39" s="51">
        <v>2780</v>
      </c>
      <c r="O39" s="51">
        <v>8184</v>
      </c>
      <c r="P39" s="51">
        <v>7685</v>
      </c>
      <c r="Q39" s="51">
        <v>7371</v>
      </c>
      <c r="R39" s="67">
        <v>524</v>
      </c>
      <c r="S39" s="80">
        <f t="shared" si="4"/>
        <v>55341</v>
      </c>
      <c r="T39" s="51">
        <v>0</v>
      </c>
      <c r="U39" s="51">
        <v>0</v>
      </c>
      <c r="V39" s="51">
        <v>0</v>
      </c>
      <c r="W39" s="51">
        <v>12200</v>
      </c>
      <c r="X39" s="51">
        <v>0</v>
      </c>
      <c r="Y39" s="51">
        <v>0</v>
      </c>
      <c r="Z39" s="51">
        <v>3660</v>
      </c>
      <c r="AA39" s="51">
        <v>12200</v>
      </c>
      <c r="AB39" s="52">
        <v>8540</v>
      </c>
      <c r="AC39" s="53">
        <f t="shared" si="5"/>
        <v>36600</v>
      </c>
      <c r="AD39" s="67">
        <v>0</v>
      </c>
      <c r="AE39" s="80">
        <f t="shared" si="6"/>
        <v>0</v>
      </c>
      <c r="AF39" s="53">
        <f t="shared" si="7"/>
        <v>91941</v>
      </c>
    </row>
    <row r="40" spans="1:32">
      <c r="A40" s="1" t="s">
        <v>3</v>
      </c>
      <c r="B40" s="54" t="s">
        <v>92</v>
      </c>
      <c r="C40" s="55">
        <v>261226</v>
      </c>
      <c r="D40" s="56">
        <v>215882</v>
      </c>
      <c r="E40" s="56">
        <v>321175</v>
      </c>
      <c r="F40" s="56">
        <v>339109</v>
      </c>
      <c r="G40" s="56">
        <v>358658</v>
      </c>
      <c r="H40" s="56">
        <v>311951</v>
      </c>
      <c r="I40" s="56">
        <v>308225</v>
      </c>
      <c r="J40" s="56">
        <v>302450</v>
      </c>
      <c r="K40" s="56">
        <v>316132</v>
      </c>
      <c r="L40" s="56">
        <v>274673</v>
      </c>
      <c r="M40" s="56">
        <v>370401</v>
      </c>
      <c r="N40" s="56">
        <v>271177</v>
      </c>
      <c r="O40" s="56">
        <v>291670</v>
      </c>
      <c r="P40" s="56">
        <v>305684</v>
      </c>
      <c r="Q40" s="56">
        <v>303538</v>
      </c>
      <c r="R40" s="68">
        <v>259634</v>
      </c>
      <c r="S40" s="81">
        <f t="shared" si="4"/>
        <v>4811585</v>
      </c>
      <c r="T40" s="56">
        <v>370000</v>
      </c>
      <c r="U40" s="56">
        <v>361477</v>
      </c>
      <c r="V40" s="56">
        <v>316847</v>
      </c>
      <c r="W40" s="56">
        <v>87275</v>
      </c>
      <c r="X40" s="56">
        <v>82800</v>
      </c>
      <c r="Y40" s="56">
        <v>105930</v>
      </c>
      <c r="Z40" s="56">
        <v>66792</v>
      </c>
      <c r="AA40" s="56">
        <v>84350</v>
      </c>
      <c r="AB40" s="57">
        <v>133341</v>
      </c>
      <c r="AC40" s="58">
        <f t="shared" si="5"/>
        <v>1608812</v>
      </c>
      <c r="AD40" s="68">
        <v>390000</v>
      </c>
      <c r="AE40" s="81">
        <f t="shared" si="6"/>
        <v>390000</v>
      </c>
      <c r="AF40" s="58">
        <f t="shared" si="7"/>
        <v>6810397</v>
      </c>
    </row>
    <row r="41" spans="1:32">
      <c r="A41" s="1" t="s">
        <v>3</v>
      </c>
      <c r="B41" s="54" t="s">
        <v>93</v>
      </c>
      <c r="C41" s="55">
        <v>14316</v>
      </c>
      <c r="D41" s="56">
        <v>2577</v>
      </c>
      <c r="E41" s="56">
        <v>5927</v>
      </c>
      <c r="F41" s="56">
        <v>3150</v>
      </c>
      <c r="G41" s="56">
        <v>2864</v>
      </c>
      <c r="H41" s="56">
        <v>2864</v>
      </c>
      <c r="I41" s="56">
        <v>1375</v>
      </c>
      <c r="J41" s="56">
        <v>3722</v>
      </c>
      <c r="K41" s="56">
        <v>5956</v>
      </c>
      <c r="L41" s="56">
        <v>8246</v>
      </c>
      <c r="M41" s="56">
        <v>7158</v>
      </c>
      <c r="N41" s="56">
        <v>11682</v>
      </c>
      <c r="O41" s="56">
        <v>8561</v>
      </c>
      <c r="P41" s="56">
        <v>8561</v>
      </c>
      <c r="Q41" s="56">
        <v>2635</v>
      </c>
      <c r="R41" s="68">
        <v>11911</v>
      </c>
      <c r="S41" s="81">
        <f t="shared" si="4"/>
        <v>101505</v>
      </c>
      <c r="T41" s="56">
        <v>3780</v>
      </c>
      <c r="U41" s="56">
        <v>5669</v>
      </c>
      <c r="V41" s="56">
        <v>8590</v>
      </c>
      <c r="W41" s="56">
        <v>4581</v>
      </c>
      <c r="X41" s="56">
        <v>2978</v>
      </c>
      <c r="Y41" s="56">
        <v>2577</v>
      </c>
      <c r="Z41" s="56">
        <v>2978</v>
      </c>
      <c r="AA41" s="56">
        <v>4410</v>
      </c>
      <c r="AB41" s="57">
        <v>14488</v>
      </c>
      <c r="AC41" s="58">
        <f t="shared" si="5"/>
        <v>50051</v>
      </c>
      <c r="AD41" s="68">
        <v>8189</v>
      </c>
      <c r="AE41" s="81">
        <f t="shared" si="6"/>
        <v>8189</v>
      </c>
      <c r="AF41" s="58">
        <f t="shared" si="7"/>
        <v>159745</v>
      </c>
    </row>
    <row r="42" spans="1:32">
      <c r="A42" s="1" t="s">
        <v>3</v>
      </c>
      <c r="B42" s="54" t="s">
        <v>94</v>
      </c>
      <c r="C42" s="55">
        <v>14316</v>
      </c>
      <c r="D42" s="56">
        <v>2577</v>
      </c>
      <c r="E42" s="56">
        <v>5927</v>
      </c>
      <c r="F42" s="56">
        <v>3150</v>
      </c>
      <c r="G42" s="56">
        <v>2864</v>
      </c>
      <c r="H42" s="56">
        <v>2864</v>
      </c>
      <c r="I42" s="56">
        <v>1375</v>
      </c>
      <c r="J42" s="56">
        <v>3722</v>
      </c>
      <c r="K42" s="56">
        <v>5956</v>
      </c>
      <c r="L42" s="56">
        <v>8246</v>
      </c>
      <c r="M42" s="56">
        <v>7158</v>
      </c>
      <c r="N42" s="56">
        <v>11682</v>
      </c>
      <c r="O42" s="56">
        <v>8561</v>
      </c>
      <c r="P42" s="56">
        <v>8561</v>
      </c>
      <c r="Q42" s="56">
        <v>2635</v>
      </c>
      <c r="R42" s="68">
        <v>11911</v>
      </c>
      <c r="S42" s="81">
        <f t="shared" si="4"/>
        <v>101505</v>
      </c>
      <c r="T42" s="56">
        <v>3780</v>
      </c>
      <c r="U42" s="56">
        <v>5669</v>
      </c>
      <c r="V42" s="56">
        <v>8590</v>
      </c>
      <c r="W42" s="56">
        <v>4581</v>
      </c>
      <c r="X42" s="56">
        <v>2978</v>
      </c>
      <c r="Y42" s="56">
        <v>2577</v>
      </c>
      <c r="Z42" s="56">
        <v>2978</v>
      </c>
      <c r="AA42" s="56">
        <v>4410</v>
      </c>
      <c r="AB42" s="57">
        <v>14488</v>
      </c>
      <c r="AC42" s="58">
        <f t="shared" si="5"/>
        <v>50051</v>
      </c>
      <c r="AD42" s="68">
        <v>8189</v>
      </c>
      <c r="AE42" s="81">
        <f t="shared" si="6"/>
        <v>8189</v>
      </c>
      <c r="AF42" s="58">
        <f t="shared" si="7"/>
        <v>159745</v>
      </c>
    </row>
    <row r="43" spans="1:32">
      <c r="A43" s="1" t="s">
        <v>3</v>
      </c>
      <c r="B43" s="54" t="s">
        <v>95</v>
      </c>
      <c r="C43" s="55">
        <v>275542</v>
      </c>
      <c r="D43" s="56">
        <v>218459</v>
      </c>
      <c r="E43" s="56">
        <v>327102</v>
      </c>
      <c r="F43" s="56">
        <v>342259</v>
      </c>
      <c r="G43" s="56">
        <v>361522</v>
      </c>
      <c r="H43" s="56">
        <v>314815</v>
      </c>
      <c r="I43" s="56">
        <v>309600</v>
      </c>
      <c r="J43" s="56">
        <v>306172</v>
      </c>
      <c r="K43" s="56">
        <v>322088</v>
      </c>
      <c r="L43" s="56">
        <v>282919</v>
      </c>
      <c r="M43" s="56">
        <v>377559</v>
      </c>
      <c r="N43" s="56">
        <v>282859</v>
      </c>
      <c r="O43" s="56">
        <v>300231</v>
      </c>
      <c r="P43" s="56">
        <v>314245</v>
      </c>
      <c r="Q43" s="56">
        <v>306173</v>
      </c>
      <c r="R43" s="68">
        <v>271545</v>
      </c>
      <c r="S43" s="81">
        <f t="shared" si="4"/>
        <v>4913090</v>
      </c>
      <c r="T43" s="56">
        <v>373780</v>
      </c>
      <c r="U43" s="56">
        <v>367146</v>
      </c>
      <c r="V43" s="56">
        <v>325437</v>
      </c>
      <c r="W43" s="56">
        <v>91856</v>
      </c>
      <c r="X43" s="56">
        <v>85778</v>
      </c>
      <c r="Y43" s="56">
        <v>108507</v>
      </c>
      <c r="Z43" s="56">
        <v>69770</v>
      </c>
      <c r="AA43" s="56">
        <v>88760</v>
      </c>
      <c r="AB43" s="57">
        <v>147829</v>
      </c>
      <c r="AC43" s="58">
        <f t="shared" si="5"/>
        <v>1658863</v>
      </c>
      <c r="AD43" s="68">
        <v>398189</v>
      </c>
      <c r="AE43" s="81">
        <f t="shared" si="6"/>
        <v>398189</v>
      </c>
      <c r="AF43" s="58">
        <f t="shared" si="7"/>
        <v>6970142</v>
      </c>
    </row>
    <row r="44" spans="1:32">
      <c r="A44" s="1" t="s">
        <v>3</v>
      </c>
      <c r="B44" s="30" t="s">
        <v>96</v>
      </c>
      <c r="C44" s="40">
        <v>15300</v>
      </c>
      <c r="D44" s="41">
        <v>16320</v>
      </c>
      <c r="E44" s="41">
        <v>19380</v>
      </c>
      <c r="F44" s="41">
        <v>19380</v>
      </c>
      <c r="G44" s="41">
        <v>19380</v>
      </c>
      <c r="H44" s="41">
        <v>16320</v>
      </c>
      <c r="I44" s="41">
        <v>15300</v>
      </c>
      <c r="J44" s="41">
        <v>15300</v>
      </c>
      <c r="K44" s="41">
        <v>19380</v>
      </c>
      <c r="L44" s="41">
        <v>18360</v>
      </c>
      <c r="M44" s="41">
        <v>19380</v>
      </c>
      <c r="N44" s="41">
        <v>15300</v>
      </c>
      <c r="O44" s="41">
        <v>16320</v>
      </c>
      <c r="P44" s="41">
        <v>14280</v>
      </c>
      <c r="Q44" s="41">
        <v>16320</v>
      </c>
      <c r="R44" s="65">
        <v>13260</v>
      </c>
      <c r="S44" s="78">
        <f t="shared" si="4"/>
        <v>269280</v>
      </c>
      <c r="T44" s="41">
        <v>18360</v>
      </c>
      <c r="U44" s="41">
        <v>20910</v>
      </c>
      <c r="V44" s="41">
        <v>13260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2">
        <v>6834</v>
      </c>
      <c r="AC44" s="43">
        <f t="shared" si="5"/>
        <v>59364</v>
      </c>
      <c r="AD44" s="65">
        <v>19380</v>
      </c>
      <c r="AE44" s="78">
        <f t="shared" si="6"/>
        <v>19380</v>
      </c>
      <c r="AF44" s="43">
        <f t="shared" si="7"/>
        <v>348024</v>
      </c>
    </row>
    <row r="45" spans="1:32">
      <c r="A45" s="1" t="s">
        <v>3</v>
      </c>
      <c r="B45" s="16" t="s">
        <v>97</v>
      </c>
      <c r="C45" s="27">
        <v>2700</v>
      </c>
      <c r="D45" s="9">
        <v>2880</v>
      </c>
      <c r="E45" s="9">
        <v>3420</v>
      </c>
      <c r="F45" s="9">
        <v>3420</v>
      </c>
      <c r="G45" s="9">
        <v>0</v>
      </c>
      <c r="H45" s="9">
        <v>2880</v>
      </c>
      <c r="I45" s="9">
        <v>2700</v>
      </c>
      <c r="J45" s="9">
        <v>2700</v>
      </c>
      <c r="K45" s="9">
        <v>3420</v>
      </c>
      <c r="L45" s="9">
        <v>3240</v>
      </c>
      <c r="M45" s="9">
        <v>3420</v>
      </c>
      <c r="N45" s="9">
        <v>2700</v>
      </c>
      <c r="O45" s="9">
        <v>2880</v>
      </c>
      <c r="P45" s="9">
        <v>2520</v>
      </c>
      <c r="Q45" s="9">
        <v>2880</v>
      </c>
      <c r="R45" s="66">
        <v>2340</v>
      </c>
      <c r="S45" s="79">
        <f t="shared" si="4"/>
        <v>44100</v>
      </c>
      <c r="T45" s="9">
        <v>3240</v>
      </c>
      <c r="U45" s="9">
        <v>3690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20">
        <f t="shared" si="5"/>
        <v>6930</v>
      </c>
      <c r="AD45" s="66">
        <v>3420</v>
      </c>
      <c r="AE45" s="79">
        <f t="shared" si="6"/>
        <v>3420</v>
      </c>
      <c r="AF45" s="20">
        <f t="shared" si="7"/>
        <v>54450</v>
      </c>
    </row>
    <row r="46" spans="1:32">
      <c r="A46" s="1" t="s">
        <v>3</v>
      </c>
      <c r="B46" s="16" t="s">
        <v>98</v>
      </c>
      <c r="C46" s="27">
        <v>27450</v>
      </c>
      <c r="D46" s="9">
        <v>29280</v>
      </c>
      <c r="E46" s="9">
        <v>34770</v>
      </c>
      <c r="F46" s="9">
        <v>34770</v>
      </c>
      <c r="G46" s="9">
        <v>34770</v>
      </c>
      <c r="H46" s="9">
        <v>29280</v>
      </c>
      <c r="I46" s="9">
        <v>27450</v>
      </c>
      <c r="J46" s="9">
        <v>27450</v>
      </c>
      <c r="K46" s="9">
        <v>34770</v>
      </c>
      <c r="L46" s="9">
        <v>32940</v>
      </c>
      <c r="M46" s="9">
        <v>34770</v>
      </c>
      <c r="N46" s="9">
        <v>27450</v>
      </c>
      <c r="O46" s="9">
        <v>29280</v>
      </c>
      <c r="P46" s="9">
        <v>25620</v>
      </c>
      <c r="Q46" s="9">
        <v>29280</v>
      </c>
      <c r="R46" s="66">
        <v>23790</v>
      </c>
      <c r="S46" s="79">
        <f t="shared" si="4"/>
        <v>483120</v>
      </c>
      <c r="T46" s="9">
        <v>32940</v>
      </c>
      <c r="U46" s="9">
        <v>37515</v>
      </c>
      <c r="V46" s="9">
        <v>23790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10">
        <v>12261</v>
      </c>
      <c r="AC46" s="20">
        <f t="shared" si="5"/>
        <v>106506</v>
      </c>
      <c r="AD46" s="66">
        <v>34770</v>
      </c>
      <c r="AE46" s="79">
        <f t="shared" si="6"/>
        <v>34770</v>
      </c>
      <c r="AF46" s="20">
        <f t="shared" si="7"/>
        <v>624396</v>
      </c>
    </row>
    <row r="47" spans="1:32">
      <c r="A47" s="1" t="s">
        <v>3</v>
      </c>
      <c r="B47" s="49" t="s">
        <v>99</v>
      </c>
      <c r="C47" s="50">
        <v>1515</v>
      </c>
      <c r="D47" s="51">
        <v>1202</v>
      </c>
      <c r="E47" s="51">
        <v>1799</v>
      </c>
      <c r="F47" s="51">
        <v>1882</v>
      </c>
      <c r="G47" s="51">
        <v>1988</v>
      </c>
      <c r="H47" s="51">
        <v>1731</v>
      </c>
      <c r="I47" s="51">
        <v>1703</v>
      </c>
      <c r="J47" s="51">
        <v>1684</v>
      </c>
      <c r="K47" s="51">
        <v>1771</v>
      </c>
      <c r="L47" s="51">
        <v>1556</v>
      </c>
      <c r="M47" s="51">
        <v>2077</v>
      </c>
      <c r="N47" s="51">
        <v>1556</v>
      </c>
      <c r="O47" s="51">
        <v>1651</v>
      </c>
      <c r="P47" s="51">
        <v>1728</v>
      </c>
      <c r="Q47" s="51">
        <v>1684</v>
      </c>
      <c r="R47" s="67">
        <v>1493</v>
      </c>
      <c r="S47" s="80">
        <f t="shared" si="4"/>
        <v>27020</v>
      </c>
      <c r="T47" s="51">
        <v>2056</v>
      </c>
      <c r="U47" s="51">
        <v>2019</v>
      </c>
      <c r="V47" s="51">
        <v>1790</v>
      </c>
      <c r="W47" s="51">
        <v>0</v>
      </c>
      <c r="X47" s="51">
        <v>472</v>
      </c>
      <c r="Y47" s="51">
        <v>597</v>
      </c>
      <c r="Z47" s="51">
        <v>0</v>
      </c>
      <c r="AA47" s="51">
        <v>488</v>
      </c>
      <c r="AB47" s="52">
        <v>813</v>
      </c>
      <c r="AC47" s="53">
        <f t="shared" si="5"/>
        <v>8235</v>
      </c>
      <c r="AD47" s="67">
        <v>2190</v>
      </c>
      <c r="AE47" s="80">
        <f t="shared" si="6"/>
        <v>2190</v>
      </c>
      <c r="AF47" s="53">
        <f t="shared" si="7"/>
        <v>37445</v>
      </c>
    </row>
    <row r="48" spans="1:32">
      <c r="A48" s="1" t="s">
        <v>3</v>
      </c>
      <c r="B48" s="54" t="s">
        <v>100</v>
      </c>
      <c r="C48" s="55">
        <v>46965</v>
      </c>
      <c r="D48" s="56">
        <v>49682</v>
      </c>
      <c r="E48" s="56">
        <v>59369</v>
      </c>
      <c r="F48" s="56">
        <v>59452</v>
      </c>
      <c r="G48" s="56">
        <v>56138</v>
      </c>
      <c r="H48" s="56">
        <v>50211</v>
      </c>
      <c r="I48" s="56">
        <v>47153</v>
      </c>
      <c r="J48" s="56">
        <v>47134</v>
      </c>
      <c r="K48" s="56">
        <v>59341</v>
      </c>
      <c r="L48" s="56">
        <v>56096</v>
      </c>
      <c r="M48" s="56">
        <v>59647</v>
      </c>
      <c r="N48" s="56">
        <v>47006</v>
      </c>
      <c r="O48" s="56">
        <v>50131</v>
      </c>
      <c r="P48" s="56">
        <v>44148</v>
      </c>
      <c r="Q48" s="56">
        <v>50164</v>
      </c>
      <c r="R48" s="68">
        <v>40883</v>
      </c>
      <c r="S48" s="81">
        <f t="shared" si="4"/>
        <v>823520</v>
      </c>
      <c r="T48" s="56">
        <v>56596</v>
      </c>
      <c r="U48" s="56">
        <v>64134</v>
      </c>
      <c r="V48" s="56">
        <v>38840</v>
      </c>
      <c r="W48" s="56">
        <v>0</v>
      </c>
      <c r="X48" s="56">
        <v>472</v>
      </c>
      <c r="Y48" s="56">
        <v>597</v>
      </c>
      <c r="Z48" s="56">
        <v>0</v>
      </c>
      <c r="AA48" s="56">
        <v>488</v>
      </c>
      <c r="AB48" s="57">
        <v>19908</v>
      </c>
      <c r="AC48" s="58">
        <f t="shared" si="5"/>
        <v>181035</v>
      </c>
      <c r="AD48" s="68">
        <v>59760</v>
      </c>
      <c r="AE48" s="81">
        <f t="shared" si="6"/>
        <v>59760</v>
      </c>
      <c r="AF48" s="58">
        <f t="shared" si="7"/>
        <v>1064315</v>
      </c>
    </row>
    <row r="49" spans="1:32">
      <c r="A49" s="1" t="s">
        <v>3</v>
      </c>
      <c r="B49" s="30" t="s">
        <v>101</v>
      </c>
      <c r="C49" s="40">
        <v>3660</v>
      </c>
      <c r="D49" s="41">
        <v>3560</v>
      </c>
      <c r="E49" s="41">
        <v>5360</v>
      </c>
      <c r="F49" s="41">
        <v>7610</v>
      </c>
      <c r="G49" s="41">
        <v>8590</v>
      </c>
      <c r="H49" s="41">
        <v>6970</v>
      </c>
      <c r="I49" s="41">
        <v>5330</v>
      </c>
      <c r="J49" s="41">
        <v>6740</v>
      </c>
      <c r="K49" s="41">
        <v>6790</v>
      </c>
      <c r="L49" s="41">
        <v>5430</v>
      </c>
      <c r="M49" s="41">
        <v>2310</v>
      </c>
      <c r="N49" s="41">
        <v>5630</v>
      </c>
      <c r="O49" s="41">
        <v>6250</v>
      </c>
      <c r="P49" s="41">
        <v>6960</v>
      </c>
      <c r="Q49" s="41">
        <v>6670</v>
      </c>
      <c r="R49" s="65">
        <v>5430</v>
      </c>
      <c r="S49" s="78">
        <f t="shared" si="4"/>
        <v>93290</v>
      </c>
      <c r="T49" s="41">
        <v>7270</v>
      </c>
      <c r="U49" s="41">
        <v>6630</v>
      </c>
      <c r="V49" s="41">
        <v>7550</v>
      </c>
      <c r="W49" s="41">
        <v>0</v>
      </c>
      <c r="X49" s="41">
        <v>0</v>
      </c>
      <c r="Y49" s="41">
        <v>1000</v>
      </c>
      <c r="Z49" s="41">
        <v>0</v>
      </c>
      <c r="AA49" s="41">
        <v>0</v>
      </c>
      <c r="AB49" s="42">
        <v>0</v>
      </c>
      <c r="AC49" s="43">
        <f t="shared" si="5"/>
        <v>22450</v>
      </c>
      <c r="AD49" s="65">
        <v>10850</v>
      </c>
      <c r="AE49" s="78">
        <f t="shared" si="6"/>
        <v>10850</v>
      </c>
      <c r="AF49" s="43">
        <f t="shared" si="7"/>
        <v>126590</v>
      </c>
    </row>
    <row r="50" spans="1:32">
      <c r="A50" s="1" t="s">
        <v>3</v>
      </c>
      <c r="B50" s="16" t="s">
        <v>102</v>
      </c>
      <c r="C50" s="27">
        <v>1300</v>
      </c>
      <c r="D50" s="9">
        <v>1300</v>
      </c>
      <c r="E50" s="9">
        <v>1300</v>
      </c>
      <c r="F50" s="9">
        <v>0</v>
      </c>
      <c r="G50" s="9">
        <v>1300</v>
      </c>
      <c r="H50" s="9">
        <v>1300</v>
      </c>
      <c r="I50" s="9">
        <v>1300</v>
      </c>
      <c r="J50" s="9">
        <v>1300</v>
      </c>
      <c r="K50" s="9">
        <v>1300</v>
      </c>
      <c r="L50" s="9">
        <v>1300</v>
      </c>
      <c r="M50" s="9">
        <v>1300</v>
      </c>
      <c r="N50" s="9">
        <v>1300</v>
      </c>
      <c r="O50" s="9">
        <v>1300</v>
      </c>
      <c r="P50" s="9">
        <v>1300</v>
      </c>
      <c r="Q50" s="9">
        <v>0</v>
      </c>
      <c r="R50" s="66">
        <v>0</v>
      </c>
      <c r="S50" s="79">
        <f t="shared" si="4"/>
        <v>16900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10">
        <v>0</v>
      </c>
      <c r="AC50" s="20">
        <f t="shared" si="5"/>
        <v>0</v>
      </c>
      <c r="AD50" s="66">
        <v>0</v>
      </c>
      <c r="AE50" s="79">
        <f t="shared" si="6"/>
        <v>0</v>
      </c>
      <c r="AF50" s="20">
        <f t="shared" si="7"/>
        <v>16900</v>
      </c>
    </row>
    <row r="51" spans="1:32">
      <c r="A51" s="1" t="s">
        <v>3</v>
      </c>
      <c r="B51" s="49" t="s">
        <v>103</v>
      </c>
      <c r="C51" s="50">
        <v>9200</v>
      </c>
      <c r="D51" s="51">
        <v>14700</v>
      </c>
      <c r="E51" s="51">
        <v>21000</v>
      </c>
      <c r="F51" s="51">
        <v>17900</v>
      </c>
      <c r="G51" s="51">
        <v>14400</v>
      </c>
      <c r="H51" s="51">
        <v>13800</v>
      </c>
      <c r="I51" s="51">
        <v>10700</v>
      </c>
      <c r="J51" s="51">
        <v>13900</v>
      </c>
      <c r="K51" s="51">
        <v>15400</v>
      </c>
      <c r="L51" s="51">
        <v>15100</v>
      </c>
      <c r="M51" s="51">
        <v>1500</v>
      </c>
      <c r="N51" s="51">
        <v>1000</v>
      </c>
      <c r="O51" s="51">
        <v>8200</v>
      </c>
      <c r="P51" s="51">
        <v>11900</v>
      </c>
      <c r="Q51" s="51">
        <v>12900</v>
      </c>
      <c r="R51" s="67">
        <v>0</v>
      </c>
      <c r="S51" s="80">
        <f t="shared" si="4"/>
        <v>181600</v>
      </c>
      <c r="T51" s="51">
        <v>20600</v>
      </c>
      <c r="U51" s="51">
        <v>15000</v>
      </c>
      <c r="V51" s="51">
        <v>8700</v>
      </c>
      <c r="W51" s="51">
        <v>6000</v>
      </c>
      <c r="X51" s="51">
        <v>700</v>
      </c>
      <c r="Y51" s="51">
        <v>2300</v>
      </c>
      <c r="Z51" s="51">
        <v>0</v>
      </c>
      <c r="AA51" s="51">
        <v>2900</v>
      </c>
      <c r="AB51" s="52">
        <v>7100</v>
      </c>
      <c r="AC51" s="53">
        <f t="shared" si="5"/>
        <v>63300</v>
      </c>
      <c r="AD51" s="67">
        <v>22200</v>
      </c>
      <c r="AE51" s="80">
        <f t="shared" si="6"/>
        <v>22200</v>
      </c>
      <c r="AF51" s="53">
        <f t="shared" si="7"/>
        <v>267100</v>
      </c>
    </row>
    <row r="52" spans="1:32">
      <c r="A52" s="1" t="s">
        <v>3</v>
      </c>
      <c r="B52" s="54" t="s">
        <v>104</v>
      </c>
      <c r="C52" s="55">
        <v>61125</v>
      </c>
      <c r="D52" s="56">
        <v>69242</v>
      </c>
      <c r="E52" s="56">
        <v>87029</v>
      </c>
      <c r="F52" s="56">
        <v>84962</v>
      </c>
      <c r="G52" s="56">
        <v>80428</v>
      </c>
      <c r="H52" s="56">
        <v>72281</v>
      </c>
      <c r="I52" s="56">
        <v>64483</v>
      </c>
      <c r="J52" s="56">
        <v>69074</v>
      </c>
      <c r="K52" s="56">
        <v>82831</v>
      </c>
      <c r="L52" s="56">
        <v>77926</v>
      </c>
      <c r="M52" s="56">
        <v>64757</v>
      </c>
      <c r="N52" s="56">
        <v>54936</v>
      </c>
      <c r="O52" s="56">
        <v>65881</v>
      </c>
      <c r="P52" s="56">
        <v>64308</v>
      </c>
      <c r="Q52" s="56">
        <v>69734</v>
      </c>
      <c r="R52" s="68">
        <v>46313</v>
      </c>
      <c r="S52" s="81">
        <f t="shared" si="4"/>
        <v>1115310</v>
      </c>
      <c r="T52" s="56">
        <v>84466</v>
      </c>
      <c r="U52" s="56">
        <v>85764</v>
      </c>
      <c r="V52" s="56">
        <v>55090</v>
      </c>
      <c r="W52" s="56">
        <v>6000</v>
      </c>
      <c r="X52" s="56">
        <v>1172</v>
      </c>
      <c r="Y52" s="56">
        <v>3897</v>
      </c>
      <c r="Z52" s="56">
        <v>0</v>
      </c>
      <c r="AA52" s="56">
        <v>3388</v>
      </c>
      <c r="AB52" s="57">
        <v>27008</v>
      </c>
      <c r="AC52" s="58">
        <f t="shared" si="5"/>
        <v>266785</v>
      </c>
      <c r="AD52" s="68">
        <v>92810</v>
      </c>
      <c r="AE52" s="81">
        <f t="shared" si="6"/>
        <v>92810</v>
      </c>
      <c r="AF52" s="58">
        <f t="shared" si="7"/>
        <v>1474905</v>
      </c>
    </row>
    <row r="53" spans="1:32">
      <c r="A53" s="1" t="s">
        <v>3</v>
      </c>
      <c r="B53" s="54" t="s">
        <v>105</v>
      </c>
      <c r="C53" s="55">
        <v>214261</v>
      </c>
      <c r="D53" s="56">
        <v>166200</v>
      </c>
      <c r="E53" s="56">
        <v>261806</v>
      </c>
      <c r="F53" s="56">
        <v>279657</v>
      </c>
      <c r="G53" s="56">
        <v>302520</v>
      </c>
      <c r="H53" s="56">
        <v>261740</v>
      </c>
      <c r="I53" s="56">
        <v>261072</v>
      </c>
      <c r="J53" s="56">
        <v>255316</v>
      </c>
      <c r="K53" s="56">
        <v>256791</v>
      </c>
      <c r="L53" s="56">
        <v>218577</v>
      </c>
      <c r="M53" s="56">
        <v>310754</v>
      </c>
      <c r="N53" s="56">
        <v>224171</v>
      </c>
      <c r="O53" s="56">
        <v>241539</v>
      </c>
      <c r="P53" s="56">
        <v>261536</v>
      </c>
      <c r="Q53" s="56">
        <v>253374</v>
      </c>
      <c r="R53" s="68">
        <v>218751</v>
      </c>
      <c r="S53" s="81">
        <f t="shared" si="4"/>
        <v>3988065</v>
      </c>
      <c r="T53" s="56">
        <v>313404</v>
      </c>
      <c r="U53" s="56">
        <v>297343</v>
      </c>
      <c r="V53" s="56">
        <v>278007</v>
      </c>
      <c r="W53" s="56">
        <v>87275</v>
      </c>
      <c r="X53" s="56">
        <v>82328</v>
      </c>
      <c r="Y53" s="56">
        <v>105333</v>
      </c>
      <c r="Z53" s="56">
        <v>66792</v>
      </c>
      <c r="AA53" s="56">
        <v>83862</v>
      </c>
      <c r="AB53" s="57">
        <v>113433</v>
      </c>
      <c r="AC53" s="58">
        <f t="shared" si="5"/>
        <v>1427777</v>
      </c>
      <c r="AD53" s="68">
        <v>330240</v>
      </c>
      <c r="AE53" s="81">
        <f t="shared" si="6"/>
        <v>330240</v>
      </c>
      <c r="AF53" s="58">
        <f t="shared" si="7"/>
        <v>5746082</v>
      </c>
    </row>
    <row r="54" spans="1:32">
      <c r="A54" s="1" t="s">
        <v>3</v>
      </c>
      <c r="B54" s="54" t="s">
        <v>106</v>
      </c>
      <c r="C54" s="55">
        <v>214417</v>
      </c>
      <c r="D54" s="56">
        <v>149217</v>
      </c>
      <c r="E54" s="56">
        <v>240073</v>
      </c>
      <c r="F54" s="56">
        <v>257297</v>
      </c>
      <c r="G54" s="56">
        <v>281094</v>
      </c>
      <c r="H54" s="56">
        <v>242534</v>
      </c>
      <c r="I54" s="56">
        <v>245117</v>
      </c>
      <c r="J54" s="56">
        <v>237098</v>
      </c>
      <c r="K54" s="56">
        <v>239257</v>
      </c>
      <c r="L54" s="56">
        <v>204993</v>
      </c>
      <c r="M54" s="56">
        <v>312802</v>
      </c>
      <c r="N54" s="56">
        <v>227923</v>
      </c>
      <c r="O54" s="56">
        <v>234350</v>
      </c>
      <c r="P54" s="56">
        <v>249937</v>
      </c>
      <c r="Q54" s="56">
        <v>236439</v>
      </c>
      <c r="R54" s="68">
        <v>225232</v>
      </c>
      <c r="S54" s="81">
        <f t="shared" si="4"/>
        <v>3797780</v>
      </c>
      <c r="T54" s="56">
        <v>289314</v>
      </c>
      <c r="U54" s="56">
        <v>281382</v>
      </c>
      <c r="V54" s="56">
        <v>270347</v>
      </c>
      <c r="W54" s="56">
        <v>85856</v>
      </c>
      <c r="X54" s="56">
        <v>84606</v>
      </c>
      <c r="Y54" s="56">
        <v>104610</v>
      </c>
      <c r="Z54" s="56">
        <v>69770</v>
      </c>
      <c r="AA54" s="56">
        <v>85372</v>
      </c>
      <c r="AB54" s="57">
        <v>120821</v>
      </c>
      <c r="AC54" s="58">
        <f t="shared" si="5"/>
        <v>1392078</v>
      </c>
      <c r="AD54" s="68">
        <v>305379</v>
      </c>
      <c r="AE54" s="81">
        <f t="shared" si="6"/>
        <v>305379</v>
      </c>
      <c r="AF54" s="58">
        <f t="shared" si="7"/>
        <v>5495237</v>
      </c>
    </row>
    <row r="55" spans="1:32">
      <c r="A55" s="1" t="s">
        <v>3</v>
      </c>
      <c r="B55" s="54" t="s">
        <v>107</v>
      </c>
      <c r="C55" s="55">
        <v>214417</v>
      </c>
      <c r="D55" s="56">
        <v>149217</v>
      </c>
      <c r="E55" s="56">
        <v>240073</v>
      </c>
      <c r="F55" s="56">
        <v>257297</v>
      </c>
      <c r="G55" s="56">
        <v>281094</v>
      </c>
      <c r="H55" s="56">
        <v>242534</v>
      </c>
      <c r="I55" s="56">
        <v>245117</v>
      </c>
      <c r="J55" s="56">
        <v>237098</v>
      </c>
      <c r="K55" s="56">
        <v>239257</v>
      </c>
      <c r="L55" s="56">
        <v>204993</v>
      </c>
      <c r="M55" s="56">
        <v>312802</v>
      </c>
      <c r="N55" s="56">
        <v>227923</v>
      </c>
      <c r="O55" s="56">
        <v>234350</v>
      </c>
      <c r="P55" s="56">
        <v>249937</v>
      </c>
      <c r="Q55" s="56">
        <v>236439</v>
      </c>
      <c r="R55" s="68">
        <v>225232</v>
      </c>
      <c r="S55" s="81">
        <f t="shared" si="4"/>
        <v>3797780</v>
      </c>
      <c r="T55" s="56">
        <v>289314</v>
      </c>
      <c r="U55" s="56">
        <v>281382</v>
      </c>
      <c r="V55" s="56">
        <v>270347</v>
      </c>
      <c r="W55" s="56">
        <v>85856</v>
      </c>
      <c r="X55" s="56">
        <v>84606</v>
      </c>
      <c r="Y55" s="56">
        <v>104610</v>
      </c>
      <c r="Z55" s="56">
        <v>69770</v>
      </c>
      <c r="AA55" s="56">
        <v>85372</v>
      </c>
      <c r="AB55" s="57">
        <v>120821</v>
      </c>
      <c r="AC55" s="58">
        <f t="shared" si="5"/>
        <v>1392078</v>
      </c>
      <c r="AD55" s="68">
        <v>305379</v>
      </c>
      <c r="AE55" s="81">
        <f t="shared" si="6"/>
        <v>305379</v>
      </c>
      <c r="AF55" s="58">
        <f t="shared" si="7"/>
        <v>5495237</v>
      </c>
    </row>
    <row r="56" spans="1:32">
      <c r="A56" s="1" t="s">
        <v>3</v>
      </c>
      <c r="B56" s="30" t="s">
        <v>108</v>
      </c>
      <c r="C56" s="40">
        <v>1</v>
      </c>
      <c r="D56" s="41">
        <v>0</v>
      </c>
      <c r="E56" s="41">
        <v>1</v>
      </c>
      <c r="F56" s="41">
        <v>0</v>
      </c>
      <c r="G56" s="41">
        <v>0</v>
      </c>
      <c r="H56" s="41">
        <v>0</v>
      </c>
      <c r="I56" s="41">
        <v>1</v>
      </c>
      <c r="J56" s="41">
        <v>0</v>
      </c>
      <c r="K56" s="41">
        <v>0</v>
      </c>
      <c r="L56" s="41">
        <v>0</v>
      </c>
      <c r="M56" s="41">
        <v>4</v>
      </c>
      <c r="N56" s="41">
        <v>0</v>
      </c>
      <c r="O56" s="41">
        <v>0</v>
      </c>
      <c r="P56" s="41">
        <v>0</v>
      </c>
      <c r="Q56" s="41">
        <v>0</v>
      </c>
      <c r="R56" s="65">
        <v>0</v>
      </c>
      <c r="S56" s="78"/>
      <c r="T56" s="41">
        <v>1</v>
      </c>
      <c r="U56" s="41">
        <v>1</v>
      </c>
      <c r="V56" s="41">
        <v>0</v>
      </c>
      <c r="W56" s="41">
        <v>1</v>
      </c>
      <c r="X56" s="41">
        <v>0</v>
      </c>
      <c r="Y56" s="41">
        <v>0</v>
      </c>
      <c r="Z56" s="41">
        <v>1</v>
      </c>
      <c r="AA56" s="41">
        <v>1</v>
      </c>
      <c r="AB56" s="42">
        <v>1</v>
      </c>
      <c r="AC56" s="43"/>
      <c r="AD56" s="65">
        <v>0</v>
      </c>
      <c r="AE56" s="78"/>
      <c r="AF56" s="43"/>
    </row>
    <row r="57" spans="1:32">
      <c r="A57" s="1" t="s">
        <v>3</v>
      </c>
      <c r="B57" s="16" t="s">
        <v>109</v>
      </c>
      <c r="C57" s="28" t="s">
        <v>110</v>
      </c>
      <c r="D57" s="11" t="s">
        <v>110</v>
      </c>
      <c r="E57" s="11" t="s">
        <v>110</v>
      </c>
      <c r="F57" s="11" t="s">
        <v>110</v>
      </c>
      <c r="G57" s="11" t="s">
        <v>110</v>
      </c>
      <c r="H57" s="11" t="s">
        <v>110</v>
      </c>
      <c r="I57" s="11" t="s">
        <v>110</v>
      </c>
      <c r="J57" s="11" t="s">
        <v>110</v>
      </c>
      <c r="K57" s="11" t="s">
        <v>110</v>
      </c>
      <c r="L57" s="11" t="s">
        <v>110</v>
      </c>
      <c r="M57" s="11" t="s">
        <v>110</v>
      </c>
      <c r="N57" s="11" t="s">
        <v>110</v>
      </c>
      <c r="O57" s="11" t="s">
        <v>110</v>
      </c>
      <c r="P57" s="11" t="s">
        <v>110</v>
      </c>
      <c r="Q57" s="11" t="s">
        <v>110</v>
      </c>
      <c r="R57" s="69" t="s">
        <v>110</v>
      </c>
      <c r="S57" s="82"/>
      <c r="T57" s="11" t="s">
        <v>110</v>
      </c>
      <c r="U57" s="11" t="s">
        <v>110</v>
      </c>
      <c r="V57" s="11" t="s">
        <v>110</v>
      </c>
      <c r="W57" s="11" t="s">
        <v>110</v>
      </c>
      <c r="X57" s="11" t="s">
        <v>110</v>
      </c>
      <c r="Y57" s="11" t="s">
        <v>110</v>
      </c>
      <c r="Z57" s="11" t="s">
        <v>110</v>
      </c>
      <c r="AA57" s="11" t="s">
        <v>110</v>
      </c>
      <c r="AB57" s="12" t="s">
        <v>110</v>
      </c>
      <c r="AC57" s="21"/>
      <c r="AD57" s="69" t="s">
        <v>110</v>
      </c>
      <c r="AE57" s="82"/>
      <c r="AF57" s="21"/>
    </row>
    <row r="58" spans="1:32" ht="19.5" thickBot="1">
      <c r="A58" s="1" t="s">
        <v>3</v>
      </c>
      <c r="B58" s="17" t="s">
        <v>111</v>
      </c>
      <c r="C58" s="29">
        <v>3660</v>
      </c>
      <c r="D58" s="13">
        <v>3560</v>
      </c>
      <c r="E58" s="13">
        <v>5360</v>
      </c>
      <c r="F58" s="13">
        <v>7610</v>
      </c>
      <c r="G58" s="13">
        <v>8590</v>
      </c>
      <c r="H58" s="13">
        <v>6970</v>
      </c>
      <c r="I58" s="13">
        <v>5330</v>
      </c>
      <c r="J58" s="13">
        <v>6740</v>
      </c>
      <c r="K58" s="13">
        <v>6790</v>
      </c>
      <c r="L58" s="13">
        <v>5430</v>
      </c>
      <c r="M58" s="13">
        <v>2310</v>
      </c>
      <c r="N58" s="13">
        <v>5630</v>
      </c>
      <c r="O58" s="13">
        <v>6250</v>
      </c>
      <c r="P58" s="13">
        <v>6960</v>
      </c>
      <c r="Q58" s="13">
        <v>6670</v>
      </c>
      <c r="R58" s="70">
        <v>5430</v>
      </c>
      <c r="S58" s="83">
        <f>SUM(C58:R58)</f>
        <v>93290</v>
      </c>
      <c r="T58" s="13">
        <v>7270</v>
      </c>
      <c r="U58" s="13">
        <v>6630</v>
      </c>
      <c r="V58" s="13">
        <v>7550</v>
      </c>
      <c r="W58" s="13">
        <v>0</v>
      </c>
      <c r="X58" s="13">
        <v>0</v>
      </c>
      <c r="Y58" s="13">
        <v>1000</v>
      </c>
      <c r="Z58" s="13">
        <v>0</v>
      </c>
      <c r="AA58" s="13">
        <v>0</v>
      </c>
      <c r="AB58" s="14">
        <v>0</v>
      </c>
      <c r="AC58" s="22">
        <f>SUM(T58:AB58)</f>
        <v>22450</v>
      </c>
      <c r="AD58" s="70">
        <v>10850</v>
      </c>
      <c r="AE58" s="83">
        <f>AD58</f>
        <v>10850</v>
      </c>
      <c r="AF58" s="22">
        <f>S58+AC58+AE58</f>
        <v>126590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7596-6675-4301-97D9-F3A156572C75}">
  <dimension ref="A1:O58"/>
  <sheetViews>
    <sheetView showZeros="0" zoomScaleNormal="100" workbookViewId="0">
      <pane xSplit="2" ySplit="8" topLeftCell="C9" activePane="bottomRight" state="frozen"/>
      <selection pane="bottomRight" activeCell="O58" activeCellId="2" sqref="O10:O23 O25:O55 O58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10" width="11.125" style="2" bestFit="1" customWidth="1"/>
    <col min="11" max="11" width="9" style="2" bestFit="1" customWidth="1"/>
    <col min="12" max="12" width="9.625" style="2" bestFit="1" customWidth="1"/>
    <col min="13" max="13" width="11.125" style="2" bestFit="1" customWidth="1"/>
    <col min="14" max="15" width="9.625" style="2" bestFit="1" customWidth="1"/>
    <col min="16" max="242" width="9" style="2"/>
    <col min="243" max="243" width="2.375" style="2" customWidth="1"/>
    <col min="244" max="244" width="13.25" style="2" bestFit="1" customWidth="1"/>
    <col min="245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60" width="11.125" style="2" bestFit="1" customWidth="1"/>
    <col min="261" max="261" width="9" style="2"/>
    <col min="262" max="263" width="11.125" style="2" bestFit="1" customWidth="1"/>
    <col min="264" max="264" width="9" style="2"/>
    <col min="265" max="269" width="11.125" style="2" bestFit="1" customWidth="1"/>
    <col min="270" max="270" width="9" style="2"/>
    <col min="271" max="271" width="9.625" style="2" bestFit="1" customWidth="1"/>
    <col min="272" max="498" width="9" style="2"/>
    <col min="499" max="499" width="2.375" style="2" customWidth="1"/>
    <col min="500" max="500" width="13.25" style="2" bestFit="1" customWidth="1"/>
    <col min="501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16" width="11.125" style="2" bestFit="1" customWidth="1"/>
    <col min="517" max="517" width="9" style="2"/>
    <col min="518" max="519" width="11.125" style="2" bestFit="1" customWidth="1"/>
    <col min="520" max="520" width="9" style="2"/>
    <col min="521" max="525" width="11.125" style="2" bestFit="1" customWidth="1"/>
    <col min="526" max="526" width="9" style="2"/>
    <col min="527" max="527" width="9.625" style="2" bestFit="1" customWidth="1"/>
    <col min="528" max="754" width="9" style="2"/>
    <col min="755" max="755" width="2.375" style="2" customWidth="1"/>
    <col min="756" max="756" width="13.25" style="2" bestFit="1" customWidth="1"/>
    <col min="757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72" width="11.125" style="2" bestFit="1" customWidth="1"/>
    <col min="773" max="773" width="9" style="2"/>
    <col min="774" max="775" width="11.125" style="2" bestFit="1" customWidth="1"/>
    <col min="776" max="776" width="9" style="2"/>
    <col min="777" max="781" width="11.125" style="2" bestFit="1" customWidth="1"/>
    <col min="782" max="782" width="9" style="2"/>
    <col min="783" max="783" width="9.625" style="2" bestFit="1" customWidth="1"/>
    <col min="784" max="1010" width="9" style="2"/>
    <col min="1011" max="1011" width="2.375" style="2" customWidth="1"/>
    <col min="1012" max="1012" width="13.25" style="2" bestFit="1" customWidth="1"/>
    <col min="1013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28" width="11.125" style="2" bestFit="1" customWidth="1"/>
    <col min="1029" max="1029" width="9" style="2"/>
    <col min="1030" max="1031" width="11.125" style="2" bestFit="1" customWidth="1"/>
    <col min="1032" max="1032" width="9" style="2"/>
    <col min="1033" max="1037" width="11.125" style="2" bestFit="1" customWidth="1"/>
    <col min="1038" max="1038" width="9" style="2"/>
    <col min="1039" max="1039" width="9.625" style="2" bestFit="1" customWidth="1"/>
    <col min="1040" max="1266" width="9" style="2"/>
    <col min="1267" max="1267" width="2.375" style="2" customWidth="1"/>
    <col min="1268" max="1268" width="13.25" style="2" bestFit="1" customWidth="1"/>
    <col min="1269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84" width="11.125" style="2" bestFit="1" customWidth="1"/>
    <col min="1285" max="1285" width="9" style="2"/>
    <col min="1286" max="1287" width="11.125" style="2" bestFit="1" customWidth="1"/>
    <col min="1288" max="1288" width="9" style="2"/>
    <col min="1289" max="1293" width="11.125" style="2" bestFit="1" customWidth="1"/>
    <col min="1294" max="1294" width="9" style="2"/>
    <col min="1295" max="1295" width="9.625" style="2" bestFit="1" customWidth="1"/>
    <col min="1296" max="1522" width="9" style="2"/>
    <col min="1523" max="1523" width="2.375" style="2" customWidth="1"/>
    <col min="1524" max="1524" width="13.25" style="2" bestFit="1" customWidth="1"/>
    <col min="1525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40" width="11.125" style="2" bestFit="1" customWidth="1"/>
    <col min="1541" max="1541" width="9" style="2"/>
    <col min="1542" max="1543" width="11.125" style="2" bestFit="1" customWidth="1"/>
    <col min="1544" max="1544" width="9" style="2"/>
    <col min="1545" max="1549" width="11.125" style="2" bestFit="1" customWidth="1"/>
    <col min="1550" max="1550" width="9" style="2"/>
    <col min="1551" max="1551" width="9.625" style="2" bestFit="1" customWidth="1"/>
    <col min="1552" max="1778" width="9" style="2"/>
    <col min="1779" max="1779" width="2.375" style="2" customWidth="1"/>
    <col min="1780" max="1780" width="13.25" style="2" bestFit="1" customWidth="1"/>
    <col min="1781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96" width="11.125" style="2" bestFit="1" customWidth="1"/>
    <col min="1797" max="1797" width="9" style="2"/>
    <col min="1798" max="1799" width="11.125" style="2" bestFit="1" customWidth="1"/>
    <col min="1800" max="1800" width="9" style="2"/>
    <col min="1801" max="1805" width="11.125" style="2" bestFit="1" customWidth="1"/>
    <col min="1806" max="1806" width="9" style="2"/>
    <col min="1807" max="1807" width="9.625" style="2" bestFit="1" customWidth="1"/>
    <col min="1808" max="2034" width="9" style="2"/>
    <col min="2035" max="2035" width="2.375" style="2" customWidth="1"/>
    <col min="2036" max="2036" width="13.25" style="2" bestFit="1" customWidth="1"/>
    <col min="2037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52" width="11.125" style="2" bestFit="1" customWidth="1"/>
    <col min="2053" max="2053" width="9" style="2"/>
    <col min="2054" max="2055" width="11.125" style="2" bestFit="1" customWidth="1"/>
    <col min="2056" max="2056" width="9" style="2"/>
    <col min="2057" max="2061" width="11.125" style="2" bestFit="1" customWidth="1"/>
    <col min="2062" max="2062" width="9" style="2"/>
    <col min="2063" max="2063" width="9.625" style="2" bestFit="1" customWidth="1"/>
    <col min="2064" max="2290" width="9" style="2"/>
    <col min="2291" max="2291" width="2.375" style="2" customWidth="1"/>
    <col min="2292" max="2292" width="13.25" style="2" bestFit="1" customWidth="1"/>
    <col min="2293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308" width="11.125" style="2" bestFit="1" customWidth="1"/>
    <col min="2309" max="2309" width="9" style="2"/>
    <col min="2310" max="2311" width="11.125" style="2" bestFit="1" customWidth="1"/>
    <col min="2312" max="2312" width="9" style="2"/>
    <col min="2313" max="2317" width="11.125" style="2" bestFit="1" customWidth="1"/>
    <col min="2318" max="2318" width="9" style="2"/>
    <col min="2319" max="2319" width="9.625" style="2" bestFit="1" customWidth="1"/>
    <col min="2320" max="2546" width="9" style="2"/>
    <col min="2547" max="2547" width="2.375" style="2" customWidth="1"/>
    <col min="2548" max="2548" width="13.25" style="2" bestFit="1" customWidth="1"/>
    <col min="2549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64" width="11.125" style="2" bestFit="1" customWidth="1"/>
    <col min="2565" max="2565" width="9" style="2"/>
    <col min="2566" max="2567" width="11.125" style="2" bestFit="1" customWidth="1"/>
    <col min="2568" max="2568" width="9" style="2"/>
    <col min="2569" max="2573" width="11.125" style="2" bestFit="1" customWidth="1"/>
    <col min="2574" max="2574" width="9" style="2"/>
    <col min="2575" max="2575" width="9.625" style="2" bestFit="1" customWidth="1"/>
    <col min="2576" max="2802" width="9" style="2"/>
    <col min="2803" max="2803" width="2.375" style="2" customWidth="1"/>
    <col min="2804" max="2804" width="13.25" style="2" bestFit="1" customWidth="1"/>
    <col min="2805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20" width="11.125" style="2" bestFit="1" customWidth="1"/>
    <col min="2821" max="2821" width="9" style="2"/>
    <col min="2822" max="2823" width="11.125" style="2" bestFit="1" customWidth="1"/>
    <col min="2824" max="2824" width="9" style="2"/>
    <col min="2825" max="2829" width="11.125" style="2" bestFit="1" customWidth="1"/>
    <col min="2830" max="2830" width="9" style="2"/>
    <col min="2831" max="2831" width="9.625" style="2" bestFit="1" customWidth="1"/>
    <col min="2832" max="3058" width="9" style="2"/>
    <col min="3059" max="3059" width="2.375" style="2" customWidth="1"/>
    <col min="3060" max="3060" width="13.25" style="2" bestFit="1" customWidth="1"/>
    <col min="3061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76" width="11.125" style="2" bestFit="1" customWidth="1"/>
    <col min="3077" max="3077" width="9" style="2"/>
    <col min="3078" max="3079" width="11.125" style="2" bestFit="1" customWidth="1"/>
    <col min="3080" max="3080" width="9" style="2"/>
    <col min="3081" max="3085" width="11.125" style="2" bestFit="1" customWidth="1"/>
    <col min="3086" max="3086" width="9" style="2"/>
    <col min="3087" max="3087" width="9.625" style="2" bestFit="1" customWidth="1"/>
    <col min="3088" max="3314" width="9" style="2"/>
    <col min="3315" max="3315" width="2.375" style="2" customWidth="1"/>
    <col min="3316" max="3316" width="13.25" style="2" bestFit="1" customWidth="1"/>
    <col min="3317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32" width="11.125" style="2" bestFit="1" customWidth="1"/>
    <col min="3333" max="3333" width="9" style="2"/>
    <col min="3334" max="3335" width="11.125" style="2" bestFit="1" customWidth="1"/>
    <col min="3336" max="3336" width="9" style="2"/>
    <col min="3337" max="3341" width="11.125" style="2" bestFit="1" customWidth="1"/>
    <col min="3342" max="3342" width="9" style="2"/>
    <col min="3343" max="3343" width="9.625" style="2" bestFit="1" customWidth="1"/>
    <col min="3344" max="3570" width="9" style="2"/>
    <col min="3571" max="3571" width="2.375" style="2" customWidth="1"/>
    <col min="3572" max="3572" width="13.25" style="2" bestFit="1" customWidth="1"/>
    <col min="3573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88" width="11.125" style="2" bestFit="1" customWidth="1"/>
    <col min="3589" max="3589" width="9" style="2"/>
    <col min="3590" max="3591" width="11.125" style="2" bestFit="1" customWidth="1"/>
    <col min="3592" max="3592" width="9" style="2"/>
    <col min="3593" max="3597" width="11.125" style="2" bestFit="1" customWidth="1"/>
    <col min="3598" max="3598" width="9" style="2"/>
    <col min="3599" max="3599" width="9.625" style="2" bestFit="1" customWidth="1"/>
    <col min="3600" max="3826" width="9" style="2"/>
    <col min="3827" max="3827" width="2.375" style="2" customWidth="1"/>
    <col min="3828" max="3828" width="13.25" style="2" bestFit="1" customWidth="1"/>
    <col min="3829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44" width="11.125" style="2" bestFit="1" customWidth="1"/>
    <col min="3845" max="3845" width="9" style="2"/>
    <col min="3846" max="3847" width="11.125" style="2" bestFit="1" customWidth="1"/>
    <col min="3848" max="3848" width="9" style="2"/>
    <col min="3849" max="3853" width="11.125" style="2" bestFit="1" customWidth="1"/>
    <col min="3854" max="3854" width="9" style="2"/>
    <col min="3855" max="3855" width="9.625" style="2" bestFit="1" customWidth="1"/>
    <col min="3856" max="4082" width="9" style="2"/>
    <col min="4083" max="4083" width="2.375" style="2" customWidth="1"/>
    <col min="4084" max="4084" width="13.25" style="2" bestFit="1" customWidth="1"/>
    <col min="4085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100" width="11.125" style="2" bestFit="1" customWidth="1"/>
    <col min="4101" max="4101" width="9" style="2"/>
    <col min="4102" max="4103" width="11.125" style="2" bestFit="1" customWidth="1"/>
    <col min="4104" max="4104" width="9" style="2"/>
    <col min="4105" max="4109" width="11.125" style="2" bestFit="1" customWidth="1"/>
    <col min="4110" max="4110" width="9" style="2"/>
    <col min="4111" max="4111" width="9.625" style="2" bestFit="1" customWidth="1"/>
    <col min="4112" max="4338" width="9" style="2"/>
    <col min="4339" max="4339" width="2.375" style="2" customWidth="1"/>
    <col min="4340" max="4340" width="13.25" style="2" bestFit="1" customWidth="1"/>
    <col min="4341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56" width="11.125" style="2" bestFit="1" customWidth="1"/>
    <col min="4357" max="4357" width="9" style="2"/>
    <col min="4358" max="4359" width="11.125" style="2" bestFit="1" customWidth="1"/>
    <col min="4360" max="4360" width="9" style="2"/>
    <col min="4361" max="4365" width="11.125" style="2" bestFit="1" customWidth="1"/>
    <col min="4366" max="4366" width="9" style="2"/>
    <col min="4367" max="4367" width="9.625" style="2" bestFit="1" customWidth="1"/>
    <col min="4368" max="4594" width="9" style="2"/>
    <col min="4595" max="4595" width="2.375" style="2" customWidth="1"/>
    <col min="4596" max="4596" width="13.25" style="2" bestFit="1" customWidth="1"/>
    <col min="4597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12" width="11.125" style="2" bestFit="1" customWidth="1"/>
    <col min="4613" max="4613" width="9" style="2"/>
    <col min="4614" max="4615" width="11.125" style="2" bestFit="1" customWidth="1"/>
    <col min="4616" max="4616" width="9" style="2"/>
    <col min="4617" max="4621" width="11.125" style="2" bestFit="1" customWidth="1"/>
    <col min="4622" max="4622" width="9" style="2"/>
    <col min="4623" max="4623" width="9.625" style="2" bestFit="1" customWidth="1"/>
    <col min="4624" max="4850" width="9" style="2"/>
    <col min="4851" max="4851" width="2.375" style="2" customWidth="1"/>
    <col min="4852" max="4852" width="13.25" style="2" bestFit="1" customWidth="1"/>
    <col min="4853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68" width="11.125" style="2" bestFit="1" customWidth="1"/>
    <col min="4869" max="4869" width="9" style="2"/>
    <col min="4870" max="4871" width="11.125" style="2" bestFit="1" customWidth="1"/>
    <col min="4872" max="4872" width="9" style="2"/>
    <col min="4873" max="4877" width="11.125" style="2" bestFit="1" customWidth="1"/>
    <col min="4878" max="4878" width="9" style="2"/>
    <col min="4879" max="4879" width="9.625" style="2" bestFit="1" customWidth="1"/>
    <col min="4880" max="5106" width="9" style="2"/>
    <col min="5107" max="5107" width="2.375" style="2" customWidth="1"/>
    <col min="5108" max="5108" width="13.25" style="2" bestFit="1" customWidth="1"/>
    <col min="5109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24" width="11.125" style="2" bestFit="1" customWidth="1"/>
    <col min="5125" max="5125" width="9" style="2"/>
    <col min="5126" max="5127" width="11.125" style="2" bestFit="1" customWidth="1"/>
    <col min="5128" max="5128" width="9" style="2"/>
    <col min="5129" max="5133" width="11.125" style="2" bestFit="1" customWidth="1"/>
    <col min="5134" max="5134" width="9" style="2"/>
    <col min="5135" max="5135" width="9.625" style="2" bestFit="1" customWidth="1"/>
    <col min="5136" max="5362" width="9" style="2"/>
    <col min="5363" max="5363" width="2.375" style="2" customWidth="1"/>
    <col min="5364" max="5364" width="13.25" style="2" bestFit="1" customWidth="1"/>
    <col min="5365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80" width="11.125" style="2" bestFit="1" customWidth="1"/>
    <col min="5381" max="5381" width="9" style="2"/>
    <col min="5382" max="5383" width="11.125" style="2" bestFit="1" customWidth="1"/>
    <col min="5384" max="5384" width="9" style="2"/>
    <col min="5385" max="5389" width="11.125" style="2" bestFit="1" customWidth="1"/>
    <col min="5390" max="5390" width="9" style="2"/>
    <col min="5391" max="5391" width="9.625" style="2" bestFit="1" customWidth="1"/>
    <col min="5392" max="5618" width="9" style="2"/>
    <col min="5619" max="5619" width="2.375" style="2" customWidth="1"/>
    <col min="5620" max="5620" width="13.25" style="2" bestFit="1" customWidth="1"/>
    <col min="5621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36" width="11.125" style="2" bestFit="1" customWidth="1"/>
    <col min="5637" max="5637" width="9" style="2"/>
    <col min="5638" max="5639" width="11.125" style="2" bestFit="1" customWidth="1"/>
    <col min="5640" max="5640" width="9" style="2"/>
    <col min="5641" max="5645" width="11.125" style="2" bestFit="1" customWidth="1"/>
    <col min="5646" max="5646" width="9" style="2"/>
    <col min="5647" max="5647" width="9.625" style="2" bestFit="1" customWidth="1"/>
    <col min="5648" max="5874" width="9" style="2"/>
    <col min="5875" max="5875" width="2.375" style="2" customWidth="1"/>
    <col min="5876" max="5876" width="13.25" style="2" bestFit="1" customWidth="1"/>
    <col min="5877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92" width="11.125" style="2" bestFit="1" customWidth="1"/>
    <col min="5893" max="5893" width="9" style="2"/>
    <col min="5894" max="5895" width="11.125" style="2" bestFit="1" customWidth="1"/>
    <col min="5896" max="5896" width="9" style="2"/>
    <col min="5897" max="5901" width="11.125" style="2" bestFit="1" customWidth="1"/>
    <col min="5902" max="5902" width="9" style="2"/>
    <col min="5903" max="5903" width="9.625" style="2" bestFit="1" customWidth="1"/>
    <col min="5904" max="6130" width="9" style="2"/>
    <col min="6131" max="6131" width="2.375" style="2" customWidth="1"/>
    <col min="6132" max="6132" width="13.25" style="2" bestFit="1" customWidth="1"/>
    <col min="6133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48" width="11.125" style="2" bestFit="1" customWidth="1"/>
    <col min="6149" max="6149" width="9" style="2"/>
    <col min="6150" max="6151" width="11.125" style="2" bestFit="1" customWidth="1"/>
    <col min="6152" max="6152" width="9" style="2"/>
    <col min="6153" max="6157" width="11.125" style="2" bestFit="1" customWidth="1"/>
    <col min="6158" max="6158" width="9" style="2"/>
    <col min="6159" max="6159" width="9.625" style="2" bestFit="1" customWidth="1"/>
    <col min="6160" max="6386" width="9" style="2"/>
    <col min="6387" max="6387" width="2.375" style="2" customWidth="1"/>
    <col min="6388" max="6388" width="13.25" style="2" bestFit="1" customWidth="1"/>
    <col min="6389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404" width="11.125" style="2" bestFit="1" customWidth="1"/>
    <col min="6405" max="6405" width="9" style="2"/>
    <col min="6406" max="6407" width="11.125" style="2" bestFit="1" customWidth="1"/>
    <col min="6408" max="6408" width="9" style="2"/>
    <col min="6409" max="6413" width="11.125" style="2" bestFit="1" customWidth="1"/>
    <col min="6414" max="6414" width="9" style="2"/>
    <col min="6415" max="6415" width="9.625" style="2" bestFit="1" customWidth="1"/>
    <col min="6416" max="6642" width="9" style="2"/>
    <col min="6643" max="6643" width="2.375" style="2" customWidth="1"/>
    <col min="6644" max="6644" width="13.25" style="2" bestFit="1" customWidth="1"/>
    <col min="6645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60" width="11.125" style="2" bestFit="1" customWidth="1"/>
    <col min="6661" max="6661" width="9" style="2"/>
    <col min="6662" max="6663" width="11.125" style="2" bestFit="1" customWidth="1"/>
    <col min="6664" max="6664" width="9" style="2"/>
    <col min="6665" max="6669" width="11.125" style="2" bestFit="1" customWidth="1"/>
    <col min="6670" max="6670" width="9" style="2"/>
    <col min="6671" max="6671" width="9.625" style="2" bestFit="1" customWidth="1"/>
    <col min="6672" max="6898" width="9" style="2"/>
    <col min="6899" max="6899" width="2.375" style="2" customWidth="1"/>
    <col min="6900" max="6900" width="13.25" style="2" bestFit="1" customWidth="1"/>
    <col min="6901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16" width="11.125" style="2" bestFit="1" customWidth="1"/>
    <col min="6917" max="6917" width="9" style="2"/>
    <col min="6918" max="6919" width="11.125" style="2" bestFit="1" customWidth="1"/>
    <col min="6920" max="6920" width="9" style="2"/>
    <col min="6921" max="6925" width="11.125" style="2" bestFit="1" customWidth="1"/>
    <col min="6926" max="6926" width="9" style="2"/>
    <col min="6927" max="6927" width="9.625" style="2" bestFit="1" customWidth="1"/>
    <col min="6928" max="7154" width="9" style="2"/>
    <col min="7155" max="7155" width="2.375" style="2" customWidth="1"/>
    <col min="7156" max="7156" width="13.25" style="2" bestFit="1" customWidth="1"/>
    <col min="7157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72" width="11.125" style="2" bestFit="1" customWidth="1"/>
    <col min="7173" max="7173" width="9" style="2"/>
    <col min="7174" max="7175" width="11.125" style="2" bestFit="1" customWidth="1"/>
    <col min="7176" max="7176" width="9" style="2"/>
    <col min="7177" max="7181" width="11.125" style="2" bestFit="1" customWidth="1"/>
    <col min="7182" max="7182" width="9" style="2"/>
    <col min="7183" max="7183" width="9.625" style="2" bestFit="1" customWidth="1"/>
    <col min="7184" max="7410" width="9" style="2"/>
    <col min="7411" max="7411" width="2.375" style="2" customWidth="1"/>
    <col min="7412" max="7412" width="13.25" style="2" bestFit="1" customWidth="1"/>
    <col min="7413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28" width="11.125" style="2" bestFit="1" customWidth="1"/>
    <col min="7429" max="7429" width="9" style="2"/>
    <col min="7430" max="7431" width="11.125" style="2" bestFit="1" customWidth="1"/>
    <col min="7432" max="7432" width="9" style="2"/>
    <col min="7433" max="7437" width="11.125" style="2" bestFit="1" customWidth="1"/>
    <col min="7438" max="7438" width="9" style="2"/>
    <col min="7439" max="7439" width="9.625" style="2" bestFit="1" customWidth="1"/>
    <col min="7440" max="7666" width="9" style="2"/>
    <col min="7667" max="7667" width="2.375" style="2" customWidth="1"/>
    <col min="7668" max="7668" width="13.25" style="2" bestFit="1" customWidth="1"/>
    <col min="7669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84" width="11.125" style="2" bestFit="1" customWidth="1"/>
    <col min="7685" max="7685" width="9" style="2"/>
    <col min="7686" max="7687" width="11.125" style="2" bestFit="1" customWidth="1"/>
    <col min="7688" max="7688" width="9" style="2"/>
    <col min="7689" max="7693" width="11.125" style="2" bestFit="1" customWidth="1"/>
    <col min="7694" max="7694" width="9" style="2"/>
    <col min="7695" max="7695" width="9.625" style="2" bestFit="1" customWidth="1"/>
    <col min="7696" max="7922" width="9" style="2"/>
    <col min="7923" max="7923" width="2.375" style="2" customWidth="1"/>
    <col min="7924" max="7924" width="13.25" style="2" bestFit="1" customWidth="1"/>
    <col min="7925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40" width="11.125" style="2" bestFit="1" customWidth="1"/>
    <col min="7941" max="7941" width="9" style="2"/>
    <col min="7942" max="7943" width="11.125" style="2" bestFit="1" customWidth="1"/>
    <col min="7944" max="7944" width="9" style="2"/>
    <col min="7945" max="7949" width="11.125" style="2" bestFit="1" customWidth="1"/>
    <col min="7950" max="7950" width="9" style="2"/>
    <col min="7951" max="7951" width="9.625" style="2" bestFit="1" customWidth="1"/>
    <col min="7952" max="8178" width="9" style="2"/>
    <col min="8179" max="8179" width="2.375" style="2" customWidth="1"/>
    <col min="8180" max="8180" width="13.25" style="2" bestFit="1" customWidth="1"/>
    <col min="8181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96" width="11.125" style="2" bestFit="1" customWidth="1"/>
    <col min="8197" max="8197" width="9" style="2"/>
    <col min="8198" max="8199" width="11.125" style="2" bestFit="1" customWidth="1"/>
    <col min="8200" max="8200" width="9" style="2"/>
    <col min="8201" max="8205" width="11.125" style="2" bestFit="1" customWidth="1"/>
    <col min="8206" max="8206" width="9" style="2"/>
    <col min="8207" max="8207" width="9.625" style="2" bestFit="1" customWidth="1"/>
    <col min="8208" max="8434" width="9" style="2"/>
    <col min="8435" max="8435" width="2.375" style="2" customWidth="1"/>
    <col min="8436" max="8436" width="13.25" style="2" bestFit="1" customWidth="1"/>
    <col min="8437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52" width="11.125" style="2" bestFit="1" customWidth="1"/>
    <col min="8453" max="8453" width="9" style="2"/>
    <col min="8454" max="8455" width="11.125" style="2" bestFit="1" customWidth="1"/>
    <col min="8456" max="8456" width="9" style="2"/>
    <col min="8457" max="8461" width="11.125" style="2" bestFit="1" customWidth="1"/>
    <col min="8462" max="8462" width="9" style="2"/>
    <col min="8463" max="8463" width="9.625" style="2" bestFit="1" customWidth="1"/>
    <col min="8464" max="8690" width="9" style="2"/>
    <col min="8691" max="8691" width="2.375" style="2" customWidth="1"/>
    <col min="8692" max="8692" width="13.25" style="2" bestFit="1" customWidth="1"/>
    <col min="8693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708" width="11.125" style="2" bestFit="1" customWidth="1"/>
    <col min="8709" max="8709" width="9" style="2"/>
    <col min="8710" max="8711" width="11.125" style="2" bestFit="1" customWidth="1"/>
    <col min="8712" max="8712" width="9" style="2"/>
    <col min="8713" max="8717" width="11.125" style="2" bestFit="1" customWidth="1"/>
    <col min="8718" max="8718" width="9" style="2"/>
    <col min="8719" max="8719" width="9.625" style="2" bestFit="1" customWidth="1"/>
    <col min="8720" max="8946" width="9" style="2"/>
    <col min="8947" max="8947" width="2.375" style="2" customWidth="1"/>
    <col min="8948" max="8948" width="13.25" style="2" bestFit="1" customWidth="1"/>
    <col min="8949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64" width="11.125" style="2" bestFit="1" customWidth="1"/>
    <col min="8965" max="8965" width="9" style="2"/>
    <col min="8966" max="8967" width="11.125" style="2" bestFit="1" customWidth="1"/>
    <col min="8968" max="8968" width="9" style="2"/>
    <col min="8969" max="8973" width="11.125" style="2" bestFit="1" customWidth="1"/>
    <col min="8974" max="8974" width="9" style="2"/>
    <col min="8975" max="8975" width="9.625" style="2" bestFit="1" customWidth="1"/>
    <col min="8976" max="9202" width="9" style="2"/>
    <col min="9203" max="9203" width="2.375" style="2" customWidth="1"/>
    <col min="9204" max="9204" width="13.25" style="2" bestFit="1" customWidth="1"/>
    <col min="9205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20" width="11.125" style="2" bestFit="1" customWidth="1"/>
    <col min="9221" max="9221" width="9" style="2"/>
    <col min="9222" max="9223" width="11.125" style="2" bestFit="1" customWidth="1"/>
    <col min="9224" max="9224" width="9" style="2"/>
    <col min="9225" max="9229" width="11.125" style="2" bestFit="1" customWidth="1"/>
    <col min="9230" max="9230" width="9" style="2"/>
    <col min="9231" max="9231" width="9.625" style="2" bestFit="1" customWidth="1"/>
    <col min="9232" max="9458" width="9" style="2"/>
    <col min="9459" max="9459" width="2.375" style="2" customWidth="1"/>
    <col min="9460" max="9460" width="13.25" style="2" bestFit="1" customWidth="1"/>
    <col min="9461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76" width="11.125" style="2" bestFit="1" customWidth="1"/>
    <col min="9477" max="9477" width="9" style="2"/>
    <col min="9478" max="9479" width="11.125" style="2" bestFit="1" customWidth="1"/>
    <col min="9480" max="9480" width="9" style="2"/>
    <col min="9481" max="9485" width="11.125" style="2" bestFit="1" customWidth="1"/>
    <col min="9486" max="9486" width="9" style="2"/>
    <col min="9487" max="9487" width="9.625" style="2" bestFit="1" customWidth="1"/>
    <col min="9488" max="9714" width="9" style="2"/>
    <col min="9715" max="9715" width="2.375" style="2" customWidth="1"/>
    <col min="9716" max="9716" width="13.25" style="2" bestFit="1" customWidth="1"/>
    <col min="9717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32" width="11.125" style="2" bestFit="1" customWidth="1"/>
    <col min="9733" max="9733" width="9" style="2"/>
    <col min="9734" max="9735" width="11.125" style="2" bestFit="1" customWidth="1"/>
    <col min="9736" max="9736" width="9" style="2"/>
    <col min="9737" max="9741" width="11.125" style="2" bestFit="1" customWidth="1"/>
    <col min="9742" max="9742" width="9" style="2"/>
    <col min="9743" max="9743" width="9.625" style="2" bestFit="1" customWidth="1"/>
    <col min="9744" max="9970" width="9" style="2"/>
    <col min="9971" max="9971" width="2.375" style="2" customWidth="1"/>
    <col min="9972" max="9972" width="13.25" style="2" bestFit="1" customWidth="1"/>
    <col min="9973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88" width="11.125" style="2" bestFit="1" customWidth="1"/>
    <col min="9989" max="9989" width="9" style="2"/>
    <col min="9990" max="9991" width="11.125" style="2" bestFit="1" customWidth="1"/>
    <col min="9992" max="9992" width="9" style="2"/>
    <col min="9993" max="9997" width="11.125" style="2" bestFit="1" customWidth="1"/>
    <col min="9998" max="9998" width="9" style="2"/>
    <col min="9999" max="9999" width="9.625" style="2" bestFit="1" customWidth="1"/>
    <col min="10000" max="10226" width="9" style="2"/>
    <col min="10227" max="10227" width="2.375" style="2" customWidth="1"/>
    <col min="10228" max="10228" width="13.25" style="2" bestFit="1" customWidth="1"/>
    <col min="10229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44" width="11.125" style="2" bestFit="1" customWidth="1"/>
    <col min="10245" max="10245" width="9" style="2"/>
    <col min="10246" max="10247" width="11.125" style="2" bestFit="1" customWidth="1"/>
    <col min="10248" max="10248" width="9" style="2"/>
    <col min="10249" max="10253" width="11.125" style="2" bestFit="1" customWidth="1"/>
    <col min="10254" max="10254" width="9" style="2"/>
    <col min="10255" max="10255" width="9.625" style="2" bestFit="1" customWidth="1"/>
    <col min="10256" max="10482" width="9" style="2"/>
    <col min="10483" max="10483" width="2.375" style="2" customWidth="1"/>
    <col min="10484" max="10484" width="13.25" style="2" bestFit="1" customWidth="1"/>
    <col min="10485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500" width="11.125" style="2" bestFit="1" customWidth="1"/>
    <col min="10501" max="10501" width="9" style="2"/>
    <col min="10502" max="10503" width="11.125" style="2" bestFit="1" customWidth="1"/>
    <col min="10504" max="10504" width="9" style="2"/>
    <col min="10505" max="10509" width="11.125" style="2" bestFit="1" customWidth="1"/>
    <col min="10510" max="10510" width="9" style="2"/>
    <col min="10511" max="10511" width="9.625" style="2" bestFit="1" customWidth="1"/>
    <col min="10512" max="10738" width="9" style="2"/>
    <col min="10739" max="10739" width="2.375" style="2" customWidth="1"/>
    <col min="10740" max="10740" width="13.25" style="2" bestFit="1" customWidth="1"/>
    <col min="10741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56" width="11.125" style="2" bestFit="1" customWidth="1"/>
    <col min="10757" max="10757" width="9" style="2"/>
    <col min="10758" max="10759" width="11.125" style="2" bestFit="1" customWidth="1"/>
    <col min="10760" max="10760" width="9" style="2"/>
    <col min="10761" max="10765" width="11.125" style="2" bestFit="1" customWidth="1"/>
    <col min="10766" max="10766" width="9" style="2"/>
    <col min="10767" max="10767" width="9.625" style="2" bestFit="1" customWidth="1"/>
    <col min="10768" max="10994" width="9" style="2"/>
    <col min="10995" max="10995" width="2.375" style="2" customWidth="1"/>
    <col min="10996" max="10996" width="13.25" style="2" bestFit="1" customWidth="1"/>
    <col min="10997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12" width="11.125" style="2" bestFit="1" customWidth="1"/>
    <col min="11013" max="11013" width="9" style="2"/>
    <col min="11014" max="11015" width="11.125" style="2" bestFit="1" customWidth="1"/>
    <col min="11016" max="11016" width="9" style="2"/>
    <col min="11017" max="11021" width="11.125" style="2" bestFit="1" customWidth="1"/>
    <col min="11022" max="11022" width="9" style="2"/>
    <col min="11023" max="11023" width="9.625" style="2" bestFit="1" customWidth="1"/>
    <col min="11024" max="11250" width="9" style="2"/>
    <col min="11251" max="11251" width="2.375" style="2" customWidth="1"/>
    <col min="11252" max="11252" width="13.25" style="2" bestFit="1" customWidth="1"/>
    <col min="11253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68" width="11.125" style="2" bestFit="1" customWidth="1"/>
    <col min="11269" max="11269" width="9" style="2"/>
    <col min="11270" max="11271" width="11.125" style="2" bestFit="1" customWidth="1"/>
    <col min="11272" max="11272" width="9" style="2"/>
    <col min="11273" max="11277" width="11.125" style="2" bestFit="1" customWidth="1"/>
    <col min="11278" max="11278" width="9" style="2"/>
    <col min="11279" max="11279" width="9.625" style="2" bestFit="1" customWidth="1"/>
    <col min="11280" max="11506" width="9" style="2"/>
    <col min="11507" max="11507" width="2.375" style="2" customWidth="1"/>
    <col min="11508" max="11508" width="13.25" style="2" bestFit="1" customWidth="1"/>
    <col min="11509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24" width="11.125" style="2" bestFit="1" customWidth="1"/>
    <col min="11525" max="11525" width="9" style="2"/>
    <col min="11526" max="11527" width="11.125" style="2" bestFit="1" customWidth="1"/>
    <col min="11528" max="11528" width="9" style="2"/>
    <col min="11529" max="11533" width="11.125" style="2" bestFit="1" customWidth="1"/>
    <col min="11534" max="11534" width="9" style="2"/>
    <col min="11535" max="11535" width="9.625" style="2" bestFit="1" customWidth="1"/>
    <col min="11536" max="11762" width="9" style="2"/>
    <col min="11763" max="11763" width="2.375" style="2" customWidth="1"/>
    <col min="11764" max="11764" width="13.25" style="2" bestFit="1" customWidth="1"/>
    <col min="11765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80" width="11.125" style="2" bestFit="1" customWidth="1"/>
    <col min="11781" max="11781" width="9" style="2"/>
    <col min="11782" max="11783" width="11.125" style="2" bestFit="1" customWidth="1"/>
    <col min="11784" max="11784" width="9" style="2"/>
    <col min="11785" max="11789" width="11.125" style="2" bestFit="1" customWidth="1"/>
    <col min="11790" max="11790" width="9" style="2"/>
    <col min="11791" max="11791" width="9.625" style="2" bestFit="1" customWidth="1"/>
    <col min="11792" max="12018" width="9" style="2"/>
    <col min="12019" max="12019" width="2.375" style="2" customWidth="1"/>
    <col min="12020" max="12020" width="13.25" style="2" bestFit="1" customWidth="1"/>
    <col min="12021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36" width="11.125" style="2" bestFit="1" customWidth="1"/>
    <col min="12037" max="12037" width="9" style="2"/>
    <col min="12038" max="12039" width="11.125" style="2" bestFit="1" customWidth="1"/>
    <col min="12040" max="12040" width="9" style="2"/>
    <col min="12041" max="12045" width="11.125" style="2" bestFit="1" customWidth="1"/>
    <col min="12046" max="12046" width="9" style="2"/>
    <col min="12047" max="12047" width="9.625" style="2" bestFit="1" customWidth="1"/>
    <col min="12048" max="12274" width="9" style="2"/>
    <col min="12275" max="12275" width="2.375" style="2" customWidth="1"/>
    <col min="12276" max="12276" width="13.25" style="2" bestFit="1" customWidth="1"/>
    <col min="12277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92" width="11.125" style="2" bestFit="1" customWidth="1"/>
    <col min="12293" max="12293" width="9" style="2"/>
    <col min="12294" max="12295" width="11.125" style="2" bestFit="1" customWidth="1"/>
    <col min="12296" max="12296" width="9" style="2"/>
    <col min="12297" max="12301" width="11.125" style="2" bestFit="1" customWidth="1"/>
    <col min="12302" max="12302" width="9" style="2"/>
    <col min="12303" max="12303" width="9.625" style="2" bestFit="1" customWidth="1"/>
    <col min="12304" max="12530" width="9" style="2"/>
    <col min="12531" max="12531" width="2.375" style="2" customWidth="1"/>
    <col min="12532" max="12532" width="13.25" style="2" bestFit="1" customWidth="1"/>
    <col min="12533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48" width="11.125" style="2" bestFit="1" customWidth="1"/>
    <col min="12549" max="12549" width="9" style="2"/>
    <col min="12550" max="12551" width="11.125" style="2" bestFit="1" customWidth="1"/>
    <col min="12552" max="12552" width="9" style="2"/>
    <col min="12553" max="12557" width="11.125" style="2" bestFit="1" customWidth="1"/>
    <col min="12558" max="12558" width="9" style="2"/>
    <col min="12559" max="12559" width="9.625" style="2" bestFit="1" customWidth="1"/>
    <col min="12560" max="12786" width="9" style="2"/>
    <col min="12787" max="12787" width="2.375" style="2" customWidth="1"/>
    <col min="12788" max="12788" width="13.25" style="2" bestFit="1" customWidth="1"/>
    <col min="12789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804" width="11.125" style="2" bestFit="1" customWidth="1"/>
    <col min="12805" max="12805" width="9" style="2"/>
    <col min="12806" max="12807" width="11.125" style="2" bestFit="1" customWidth="1"/>
    <col min="12808" max="12808" width="9" style="2"/>
    <col min="12809" max="12813" width="11.125" style="2" bestFit="1" customWidth="1"/>
    <col min="12814" max="12814" width="9" style="2"/>
    <col min="12815" max="12815" width="9.625" style="2" bestFit="1" customWidth="1"/>
    <col min="12816" max="13042" width="9" style="2"/>
    <col min="13043" max="13043" width="2.375" style="2" customWidth="1"/>
    <col min="13044" max="13044" width="13.25" style="2" bestFit="1" customWidth="1"/>
    <col min="13045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60" width="11.125" style="2" bestFit="1" customWidth="1"/>
    <col min="13061" max="13061" width="9" style="2"/>
    <col min="13062" max="13063" width="11.125" style="2" bestFit="1" customWidth="1"/>
    <col min="13064" max="13064" width="9" style="2"/>
    <col min="13065" max="13069" width="11.125" style="2" bestFit="1" customWidth="1"/>
    <col min="13070" max="13070" width="9" style="2"/>
    <col min="13071" max="13071" width="9.625" style="2" bestFit="1" customWidth="1"/>
    <col min="13072" max="13298" width="9" style="2"/>
    <col min="13299" max="13299" width="2.375" style="2" customWidth="1"/>
    <col min="13300" max="13300" width="13.25" style="2" bestFit="1" customWidth="1"/>
    <col min="13301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16" width="11.125" style="2" bestFit="1" customWidth="1"/>
    <col min="13317" max="13317" width="9" style="2"/>
    <col min="13318" max="13319" width="11.125" style="2" bestFit="1" customWidth="1"/>
    <col min="13320" max="13320" width="9" style="2"/>
    <col min="13321" max="13325" width="11.125" style="2" bestFit="1" customWidth="1"/>
    <col min="13326" max="13326" width="9" style="2"/>
    <col min="13327" max="13327" width="9.625" style="2" bestFit="1" customWidth="1"/>
    <col min="13328" max="13554" width="9" style="2"/>
    <col min="13555" max="13555" width="2.375" style="2" customWidth="1"/>
    <col min="13556" max="13556" width="13.25" style="2" bestFit="1" customWidth="1"/>
    <col min="13557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72" width="11.125" style="2" bestFit="1" customWidth="1"/>
    <col min="13573" max="13573" width="9" style="2"/>
    <col min="13574" max="13575" width="11.125" style="2" bestFit="1" customWidth="1"/>
    <col min="13576" max="13576" width="9" style="2"/>
    <col min="13577" max="13581" width="11.125" style="2" bestFit="1" customWidth="1"/>
    <col min="13582" max="13582" width="9" style="2"/>
    <col min="13583" max="13583" width="9.625" style="2" bestFit="1" customWidth="1"/>
    <col min="13584" max="13810" width="9" style="2"/>
    <col min="13811" max="13811" width="2.375" style="2" customWidth="1"/>
    <col min="13812" max="13812" width="13.25" style="2" bestFit="1" customWidth="1"/>
    <col min="13813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28" width="11.125" style="2" bestFit="1" customWidth="1"/>
    <col min="13829" max="13829" width="9" style="2"/>
    <col min="13830" max="13831" width="11.125" style="2" bestFit="1" customWidth="1"/>
    <col min="13832" max="13832" width="9" style="2"/>
    <col min="13833" max="13837" width="11.125" style="2" bestFit="1" customWidth="1"/>
    <col min="13838" max="13838" width="9" style="2"/>
    <col min="13839" max="13839" width="9.625" style="2" bestFit="1" customWidth="1"/>
    <col min="13840" max="14066" width="9" style="2"/>
    <col min="14067" max="14067" width="2.375" style="2" customWidth="1"/>
    <col min="14068" max="14068" width="13.25" style="2" bestFit="1" customWidth="1"/>
    <col min="14069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84" width="11.125" style="2" bestFit="1" customWidth="1"/>
    <col min="14085" max="14085" width="9" style="2"/>
    <col min="14086" max="14087" width="11.125" style="2" bestFit="1" customWidth="1"/>
    <col min="14088" max="14088" width="9" style="2"/>
    <col min="14089" max="14093" width="11.125" style="2" bestFit="1" customWidth="1"/>
    <col min="14094" max="14094" width="9" style="2"/>
    <col min="14095" max="14095" width="9.625" style="2" bestFit="1" customWidth="1"/>
    <col min="14096" max="14322" width="9" style="2"/>
    <col min="14323" max="14323" width="2.375" style="2" customWidth="1"/>
    <col min="14324" max="14324" width="13.25" style="2" bestFit="1" customWidth="1"/>
    <col min="14325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40" width="11.125" style="2" bestFit="1" customWidth="1"/>
    <col min="14341" max="14341" width="9" style="2"/>
    <col min="14342" max="14343" width="11.125" style="2" bestFit="1" customWidth="1"/>
    <col min="14344" max="14344" width="9" style="2"/>
    <col min="14345" max="14349" width="11.125" style="2" bestFit="1" customWidth="1"/>
    <col min="14350" max="14350" width="9" style="2"/>
    <col min="14351" max="14351" width="9.625" style="2" bestFit="1" customWidth="1"/>
    <col min="14352" max="14578" width="9" style="2"/>
    <col min="14579" max="14579" width="2.375" style="2" customWidth="1"/>
    <col min="14580" max="14580" width="13.25" style="2" bestFit="1" customWidth="1"/>
    <col min="14581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96" width="11.125" style="2" bestFit="1" customWidth="1"/>
    <col min="14597" max="14597" width="9" style="2"/>
    <col min="14598" max="14599" width="11.125" style="2" bestFit="1" customWidth="1"/>
    <col min="14600" max="14600" width="9" style="2"/>
    <col min="14601" max="14605" width="11.125" style="2" bestFit="1" customWidth="1"/>
    <col min="14606" max="14606" width="9" style="2"/>
    <col min="14607" max="14607" width="9.625" style="2" bestFit="1" customWidth="1"/>
    <col min="14608" max="14834" width="9" style="2"/>
    <col min="14835" max="14835" width="2.375" style="2" customWidth="1"/>
    <col min="14836" max="14836" width="13.25" style="2" bestFit="1" customWidth="1"/>
    <col min="14837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52" width="11.125" style="2" bestFit="1" customWidth="1"/>
    <col min="14853" max="14853" width="9" style="2"/>
    <col min="14854" max="14855" width="11.125" style="2" bestFit="1" customWidth="1"/>
    <col min="14856" max="14856" width="9" style="2"/>
    <col min="14857" max="14861" width="11.125" style="2" bestFit="1" customWidth="1"/>
    <col min="14862" max="14862" width="9" style="2"/>
    <col min="14863" max="14863" width="9.625" style="2" bestFit="1" customWidth="1"/>
    <col min="14864" max="15090" width="9" style="2"/>
    <col min="15091" max="15091" width="2.375" style="2" customWidth="1"/>
    <col min="15092" max="15092" width="13.25" style="2" bestFit="1" customWidth="1"/>
    <col min="15093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108" width="11.125" style="2" bestFit="1" customWidth="1"/>
    <col min="15109" max="15109" width="9" style="2"/>
    <col min="15110" max="15111" width="11.125" style="2" bestFit="1" customWidth="1"/>
    <col min="15112" max="15112" width="9" style="2"/>
    <col min="15113" max="15117" width="11.125" style="2" bestFit="1" customWidth="1"/>
    <col min="15118" max="15118" width="9" style="2"/>
    <col min="15119" max="15119" width="9.625" style="2" bestFit="1" customWidth="1"/>
    <col min="15120" max="15346" width="9" style="2"/>
    <col min="15347" max="15347" width="2.375" style="2" customWidth="1"/>
    <col min="15348" max="15348" width="13.25" style="2" bestFit="1" customWidth="1"/>
    <col min="15349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64" width="11.125" style="2" bestFit="1" customWidth="1"/>
    <col min="15365" max="15365" width="9" style="2"/>
    <col min="15366" max="15367" width="11.125" style="2" bestFit="1" customWidth="1"/>
    <col min="15368" max="15368" width="9" style="2"/>
    <col min="15369" max="15373" width="11.125" style="2" bestFit="1" customWidth="1"/>
    <col min="15374" max="15374" width="9" style="2"/>
    <col min="15375" max="15375" width="9.625" style="2" bestFit="1" customWidth="1"/>
    <col min="15376" max="15602" width="9" style="2"/>
    <col min="15603" max="15603" width="2.375" style="2" customWidth="1"/>
    <col min="15604" max="15604" width="13.25" style="2" bestFit="1" customWidth="1"/>
    <col min="15605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20" width="11.125" style="2" bestFit="1" customWidth="1"/>
    <col min="15621" max="15621" width="9" style="2"/>
    <col min="15622" max="15623" width="11.125" style="2" bestFit="1" customWidth="1"/>
    <col min="15624" max="15624" width="9" style="2"/>
    <col min="15625" max="15629" width="11.125" style="2" bestFit="1" customWidth="1"/>
    <col min="15630" max="15630" width="9" style="2"/>
    <col min="15631" max="15631" width="9.625" style="2" bestFit="1" customWidth="1"/>
    <col min="15632" max="15858" width="9" style="2"/>
    <col min="15859" max="15859" width="2.375" style="2" customWidth="1"/>
    <col min="15860" max="15860" width="13.25" style="2" bestFit="1" customWidth="1"/>
    <col min="15861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76" width="11.125" style="2" bestFit="1" customWidth="1"/>
    <col min="15877" max="15877" width="9" style="2"/>
    <col min="15878" max="15879" width="11.125" style="2" bestFit="1" customWidth="1"/>
    <col min="15880" max="15880" width="9" style="2"/>
    <col min="15881" max="15885" width="11.125" style="2" bestFit="1" customWidth="1"/>
    <col min="15886" max="15886" width="9" style="2"/>
    <col min="15887" max="15887" width="9.625" style="2" bestFit="1" customWidth="1"/>
    <col min="15888" max="16114" width="9" style="2"/>
    <col min="16115" max="16115" width="2.375" style="2" customWidth="1"/>
    <col min="16116" max="16116" width="13.25" style="2" bestFit="1" customWidth="1"/>
    <col min="16117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32" width="11.125" style="2" bestFit="1" customWidth="1"/>
    <col min="16133" max="16133" width="9" style="2"/>
    <col min="16134" max="16135" width="11.125" style="2" bestFit="1" customWidth="1"/>
    <col min="16136" max="16136" width="9" style="2"/>
    <col min="16137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/>
    </row>
    <row r="3" spans="1:15">
      <c r="A3" s="1" t="s">
        <v>1</v>
      </c>
    </row>
    <row r="4" spans="1:15">
      <c r="A4" s="1" t="s">
        <v>2</v>
      </c>
    </row>
    <row r="5" spans="1:15">
      <c r="A5" s="1" t="s">
        <v>3</v>
      </c>
    </row>
    <row r="6" spans="1:15" ht="19.5" thickBot="1">
      <c r="A6" s="1" t="s">
        <v>4</v>
      </c>
    </row>
    <row r="7" spans="1:15">
      <c r="B7" s="15"/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24" t="s">
        <v>30</v>
      </c>
      <c r="L7" s="71" t="s">
        <v>21</v>
      </c>
      <c r="M7" s="59" t="s">
        <v>31</v>
      </c>
      <c r="N7" s="72" t="s">
        <v>21</v>
      </c>
      <c r="O7" s="71" t="s">
        <v>32</v>
      </c>
    </row>
    <row r="8" spans="1:15" ht="19.5" thickBot="1">
      <c r="A8" s="3"/>
      <c r="B8" s="35" t="s">
        <v>33</v>
      </c>
      <c r="C8" s="37" t="s">
        <v>51</v>
      </c>
      <c r="D8" s="37" t="s">
        <v>52</v>
      </c>
      <c r="E8" s="37" t="s">
        <v>53</v>
      </c>
      <c r="F8" s="37" t="s">
        <v>54</v>
      </c>
      <c r="G8" s="37" t="s">
        <v>55</v>
      </c>
      <c r="H8" s="37" t="s">
        <v>56</v>
      </c>
      <c r="I8" s="37" t="s">
        <v>57</v>
      </c>
      <c r="J8" s="37" t="s">
        <v>58</v>
      </c>
      <c r="K8" s="38" t="s">
        <v>59</v>
      </c>
      <c r="L8" s="39" t="s">
        <v>60</v>
      </c>
      <c r="M8" s="60" t="s">
        <v>61</v>
      </c>
      <c r="N8" s="73" t="s">
        <v>62</v>
      </c>
      <c r="O8" s="39" t="s">
        <v>63</v>
      </c>
    </row>
    <row r="9" spans="1:15">
      <c r="A9" s="1" t="s">
        <v>3</v>
      </c>
      <c r="B9" s="30" t="s">
        <v>64</v>
      </c>
      <c r="C9" s="32">
        <v>21</v>
      </c>
      <c r="D9" s="32">
        <v>21</v>
      </c>
      <c r="E9" s="32">
        <v>20</v>
      </c>
      <c r="F9" s="32">
        <v>10</v>
      </c>
      <c r="G9" s="32">
        <v>13</v>
      </c>
      <c r="H9" s="32">
        <v>18</v>
      </c>
      <c r="I9" s="32">
        <v>8</v>
      </c>
      <c r="J9" s="32">
        <v>11</v>
      </c>
      <c r="K9" s="33">
        <v>22</v>
      </c>
      <c r="L9" s="34">
        <f>SUM(C9:K9)</f>
        <v>144</v>
      </c>
      <c r="M9" s="61">
        <v>21</v>
      </c>
      <c r="N9" s="74">
        <f>M9</f>
        <v>21</v>
      </c>
      <c r="O9" s="34">
        <f>L9+N9</f>
        <v>165</v>
      </c>
    </row>
    <row r="10" spans="1:15">
      <c r="A10" s="1" t="s">
        <v>3</v>
      </c>
      <c r="B10" s="16" t="s">
        <v>65</v>
      </c>
      <c r="C10" s="5">
        <v>0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6">
        <v>0</v>
      </c>
      <c r="L10" s="18">
        <f t="shared" ref="L10:L23" si="0">SUM(C10:K10)</f>
        <v>1</v>
      </c>
      <c r="M10" s="62">
        <v>0</v>
      </c>
      <c r="N10" s="75">
        <f t="shared" ref="N10:N23" si="1">M10</f>
        <v>0</v>
      </c>
      <c r="O10" s="18">
        <f t="shared" ref="O10:O23" si="2">L10+N10</f>
        <v>1</v>
      </c>
    </row>
    <row r="11" spans="1:15">
      <c r="A11" s="1" t="s">
        <v>3</v>
      </c>
      <c r="B11" s="16" t="s">
        <v>66</v>
      </c>
      <c r="C11" s="5">
        <v>0</v>
      </c>
      <c r="D11" s="5">
        <v>0</v>
      </c>
      <c r="E11" s="5">
        <v>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18">
        <f t="shared" si="0"/>
        <v>5</v>
      </c>
      <c r="M11" s="62">
        <v>0</v>
      </c>
      <c r="N11" s="75">
        <f t="shared" si="1"/>
        <v>0</v>
      </c>
      <c r="O11" s="18">
        <f t="shared" si="2"/>
        <v>5</v>
      </c>
    </row>
    <row r="12" spans="1:15">
      <c r="A12" s="1" t="s">
        <v>3</v>
      </c>
      <c r="B12" s="16" t="s">
        <v>67</v>
      </c>
      <c r="C12" s="5">
        <v>0</v>
      </c>
      <c r="D12" s="5">
        <v>0</v>
      </c>
      <c r="E12" s="5">
        <v>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6">
        <v>0</v>
      </c>
      <c r="L12" s="18">
        <f t="shared" si="0"/>
        <v>1</v>
      </c>
      <c r="M12" s="62">
        <v>0</v>
      </c>
      <c r="N12" s="75">
        <f t="shared" si="1"/>
        <v>0</v>
      </c>
      <c r="O12" s="18">
        <f t="shared" si="2"/>
        <v>1</v>
      </c>
    </row>
    <row r="13" spans="1:15">
      <c r="A13" s="1" t="s">
        <v>3</v>
      </c>
      <c r="B13" s="16" t="s">
        <v>68</v>
      </c>
      <c r="C13" s="5">
        <v>0</v>
      </c>
      <c r="D13" s="5">
        <v>0.5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6">
        <v>0</v>
      </c>
      <c r="L13" s="18">
        <f t="shared" si="0"/>
        <v>1.5</v>
      </c>
      <c r="M13" s="62">
        <v>0.5</v>
      </c>
      <c r="N13" s="75">
        <f t="shared" si="1"/>
        <v>0.5</v>
      </c>
      <c r="O13" s="18">
        <f t="shared" si="2"/>
        <v>2</v>
      </c>
    </row>
    <row r="14" spans="1:15">
      <c r="A14" s="1" t="s">
        <v>3</v>
      </c>
      <c r="B14" s="16" t="s">
        <v>69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6">
        <v>0</v>
      </c>
      <c r="L14" s="18">
        <f t="shared" si="0"/>
        <v>0</v>
      </c>
      <c r="M14" s="62">
        <v>0</v>
      </c>
      <c r="N14" s="75">
        <f t="shared" si="1"/>
        <v>0</v>
      </c>
      <c r="O14" s="18">
        <f t="shared" si="2"/>
        <v>0</v>
      </c>
    </row>
    <row r="15" spans="1:15">
      <c r="A15" s="1" t="s">
        <v>3</v>
      </c>
      <c r="B15" s="16" t="s">
        <v>70</v>
      </c>
      <c r="C15" s="7">
        <v>0</v>
      </c>
      <c r="D15" s="7">
        <v>0</v>
      </c>
      <c r="E15" s="7">
        <v>0</v>
      </c>
      <c r="F15" s="7">
        <v>2.9166666666666665</v>
      </c>
      <c r="G15" s="7">
        <v>3.3333333333333335</v>
      </c>
      <c r="H15" s="7">
        <v>4.125</v>
      </c>
      <c r="I15" s="7">
        <v>2.5416666666666665</v>
      </c>
      <c r="J15" s="7">
        <v>3.0833333333333335</v>
      </c>
      <c r="K15" s="8">
        <v>5.125</v>
      </c>
      <c r="L15" s="19">
        <f t="shared" si="0"/>
        <v>21.125</v>
      </c>
      <c r="M15" s="63">
        <v>0</v>
      </c>
      <c r="N15" s="76">
        <f t="shared" si="1"/>
        <v>0</v>
      </c>
      <c r="O15" s="19">
        <f t="shared" si="2"/>
        <v>21.125</v>
      </c>
    </row>
    <row r="16" spans="1:15">
      <c r="A16" s="1" t="s">
        <v>3</v>
      </c>
      <c r="B16" s="16" t="s">
        <v>71</v>
      </c>
      <c r="C16" s="7">
        <v>0</v>
      </c>
      <c r="D16" s="7">
        <v>1.375</v>
      </c>
      <c r="E16" s="7">
        <v>0.45833333333333331</v>
      </c>
      <c r="F16" s="7">
        <v>0</v>
      </c>
      <c r="G16" s="7">
        <v>0</v>
      </c>
      <c r="H16" s="7">
        <v>0</v>
      </c>
      <c r="I16" s="7">
        <v>0.125</v>
      </c>
      <c r="J16" s="7">
        <v>0</v>
      </c>
      <c r="K16" s="8">
        <v>0.16666666666666666</v>
      </c>
      <c r="L16" s="19">
        <f t="shared" si="0"/>
        <v>2.125</v>
      </c>
      <c r="M16" s="63">
        <v>0</v>
      </c>
      <c r="N16" s="76">
        <f t="shared" si="1"/>
        <v>0</v>
      </c>
      <c r="O16" s="19">
        <f t="shared" si="2"/>
        <v>2.125</v>
      </c>
    </row>
    <row r="17" spans="1:15">
      <c r="A17" s="1" t="s">
        <v>3</v>
      </c>
      <c r="B17" s="16" t="s">
        <v>72</v>
      </c>
      <c r="C17" s="7">
        <v>0</v>
      </c>
      <c r="D17" s="7">
        <v>4.1666666666666664E-2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0</v>
      </c>
      <c r="L17" s="19">
        <f t="shared" si="0"/>
        <v>4.1666666666666664E-2</v>
      </c>
      <c r="M17" s="63">
        <v>0</v>
      </c>
      <c r="N17" s="76">
        <f t="shared" si="1"/>
        <v>0</v>
      </c>
      <c r="O17" s="19">
        <f t="shared" si="2"/>
        <v>4.1666666666666664E-2</v>
      </c>
    </row>
    <row r="18" spans="1:15">
      <c r="A18" s="1" t="s">
        <v>3</v>
      </c>
      <c r="B18" s="16" t="s">
        <v>73</v>
      </c>
      <c r="C18" s="7">
        <v>0</v>
      </c>
      <c r="D18" s="7">
        <v>0</v>
      </c>
      <c r="E18" s="7">
        <v>1.5833333333333335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8">
        <v>0</v>
      </c>
      <c r="L18" s="19">
        <f t="shared" si="0"/>
        <v>1.5833333333333335</v>
      </c>
      <c r="M18" s="63">
        <v>0</v>
      </c>
      <c r="N18" s="76">
        <f t="shared" si="1"/>
        <v>0</v>
      </c>
      <c r="O18" s="19">
        <f t="shared" si="2"/>
        <v>1.5833333333333335</v>
      </c>
    </row>
    <row r="19" spans="1:15">
      <c r="A19" s="1" t="s">
        <v>3</v>
      </c>
      <c r="B19" s="16" t="s">
        <v>74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8">
        <v>0</v>
      </c>
      <c r="L19" s="19">
        <f t="shared" si="0"/>
        <v>0</v>
      </c>
      <c r="M19" s="63">
        <v>0</v>
      </c>
      <c r="N19" s="76">
        <f t="shared" si="1"/>
        <v>0</v>
      </c>
      <c r="O19" s="19">
        <f t="shared" si="2"/>
        <v>0</v>
      </c>
    </row>
    <row r="20" spans="1:15">
      <c r="A20" s="1" t="s">
        <v>3</v>
      </c>
      <c r="B20" s="16" t="s">
        <v>75</v>
      </c>
      <c r="C20" s="7">
        <v>0</v>
      </c>
      <c r="D20" s="7">
        <v>0</v>
      </c>
      <c r="E20" s="7">
        <v>0.375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8">
        <v>0</v>
      </c>
      <c r="L20" s="19">
        <f t="shared" si="0"/>
        <v>0.375</v>
      </c>
      <c r="M20" s="63">
        <v>0</v>
      </c>
      <c r="N20" s="76">
        <f t="shared" si="1"/>
        <v>0</v>
      </c>
      <c r="O20" s="19">
        <f t="shared" si="2"/>
        <v>0.375</v>
      </c>
    </row>
    <row r="21" spans="1:15">
      <c r="A21" s="1" t="s">
        <v>3</v>
      </c>
      <c r="B21" s="16" t="s">
        <v>76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8">
        <v>0</v>
      </c>
      <c r="L21" s="19">
        <f t="shared" si="0"/>
        <v>0</v>
      </c>
      <c r="M21" s="63">
        <v>0</v>
      </c>
      <c r="N21" s="76">
        <f t="shared" si="1"/>
        <v>0</v>
      </c>
      <c r="O21" s="19">
        <f t="shared" si="2"/>
        <v>0</v>
      </c>
    </row>
    <row r="22" spans="1:15">
      <c r="A22" s="1" t="s">
        <v>3</v>
      </c>
      <c r="B22" s="16" t="s">
        <v>77</v>
      </c>
      <c r="C22" s="7">
        <v>0</v>
      </c>
      <c r="D22" s="7">
        <v>0</v>
      </c>
      <c r="E22" s="7">
        <v>0</v>
      </c>
      <c r="F22" s="7">
        <v>0.29166666666666669</v>
      </c>
      <c r="G22" s="7">
        <v>0</v>
      </c>
      <c r="H22" s="7">
        <v>0</v>
      </c>
      <c r="I22" s="7">
        <v>0</v>
      </c>
      <c r="J22" s="7">
        <v>0</v>
      </c>
      <c r="K22" s="8">
        <v>0</v>
      </c>
      <c r="L22" s="19">
        <f t="shared" si="0"/>
        <v>0.29166666666666669</v>
      </c>
      <c r="M22" s="63">
        <v>0</v>
      </c>
      <c r="N22" s="76">
        <f t="shared" si="1"/>
        <v>0</v>
      </c>
      <c r="O22" s="19">
        <f t="shared" si="2"/>
        <v>0.29166666666666669</v>
      </c>
    </row>
    <row r="23" spans="1:15">
      <c r="A23" s="1" t="s">
        <v>3</v>
      </c>
      <c r="B23" s="16" t="s">
        <v>78</v>
      </c>
      <c r="C23" s="7">
        <v>0</v>
      </c>
      <c r="D23" s="7">
        <v>0</v>
      </c>
      <c r="E23" s="7">
        <v>0</v>
      </c>
      <c r="F23" s="7">
        <v>2.0833333333333335</v>
      </c>
      <c r="G23" s="7">
        <v>0</v>
      </c>
      <c r="H23" s="7">
        <v>0</v>
      </c>
      <c r="I23" s="7">
        <v>0.625</v>
      </c>
      <c r="J23" s="7">
        <v>2.0833333333333335</v>
      </c>
      <c r="K23" s="8">
        <v>1.4583333333333333</v>
      </c>
      <c r="L23" s="19">
        <f t="shared" si="0"/>
        <v>6.25</v>
      </c>
      <c r="M23" s="63">
        <v>0</v>
      </c>
      <c r="N23" s="76">
        <f t="shared" si="1"/>
        <v>0</v>
      </c>
      <c r="O23" s="19">
        <f t="shared" si="2"/>
        <v>6.25</v>
      </c>
    </row>
    <row r="24" spans="1:15">
      <c r="A24" s="1" t="s">
        <v>3</v>
      </c>
      <c r="B24" s="44" t="s">
        <v>79</v>
      </c>
      <c r="C24" s="46">
        <v>31</v>
      </c>
      <c r="D24" s="46">
        <v>39.5</v>
      </c>
      <c r="E24" s="46">
        <v>15</v>
      </c>
      <c r="F24" s="46">
        <v>6</v>
      </c>
      <c r="G24" s="46">
        <v>21</v>
      </c>
      <c r="H24" s="46">
        <v>21</v>
      </c>
      <c r="I24" s="46">
        <v>6</v>
      </c>
      <c r="J24" s="46">
        <v>20</v>
      </c>
      <c r="K24" s="47">
        <v>7</v>
      </c>
      <c r="L24" s="48"/>
      <c r="M24" s="64">
        <v>36.5</v>
      </c>
      <c r="N24" s="77"/>
      <c r="O24" s="48"/>
    </row>
    <row r="25" spans="1:15">
      <c r="A25" s="1" t="s">
        <v>3</v>
      </c>
      <c r="B25" s="30" t="s">
        <v>80</v>
      </c>
      <c r="C25" s="41">
        <v>370000</v>
      </c>
      <c r="D25" s="41">
        <v>285000</v>
      </c>
      <c r="E25" s="41">
        <v>225000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2">
        <v>0</v>
      </c>
      <c r="L25" s="43">
        <f t="shared" ref="L25:L55" si="3">SUM(C25:K25)</f>
        <v>880000</v>
      </c>
      <c r="M25" s="65">
        <v>390000</v>
      </c>
      <c r="N25" s="78">
        <f t="shared" ref="N25:N55" si="4">M25</f>
        <v>390000</v>
      </c>
      <c r="O25" s="43">
        <f t="shared" ref="O25:O55" si="5">L25+N25</f>
        <v>1270000</v>
      </c>
    </row>
    <row r="26" spans="1:15">
      <c r="A26" s="1" t="s">
        <v>3</v>
      </c>
      <c r="B26" s="16" t="s">
        <v>81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10">
        <v>0</v>
      </c>
      <c r="L26" s="20">
        <f t="shared" si="3"/>
        <v>0</v>
      </c>
      <c r="M26" s="66">
        <v>0</v>
      </c>
      <c r="N26" s="79">
        <f t="shared" si="4"/>
        <v>0</v>
      </c>
      <c r="O26" s="20">
        <f t="shared" si="5"/>
        <v>0</v>
      </c>
    </row>
    <row r="27" spans="1:15">
      <c r="A27" s="1" t="s">
        <v>3</v>
      </c>
      <c r="B27" s="16" t="s">
        <v>82</v>
      </c>
      <c r="C27" s="9">
        <v>0</v>
      </c>
      <c r="D27" s="9">
        <v>3000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10">
        <v>0</v>
      </c>
      <c r="L27" s="20">
        <f t="shared" si="3"/>
        <v>3000</v>
      </c>
      <c r="M27" s="66">
        <v>0</v>
      </c>
      <c r="N27" s="79">
        <f t="shared" si="4"/>
        <v>0</v>
      </c>
      <c r="O27" s="20">
        <f t="shared" si="5"/>
        <v>3000</v>
      </c>
    </row>
    <row r="28" spans="1:15">
      <c r="A28" s="1" t="s">
        <v>3</v>
      </c>
      <c r="B28" s="16" t="s">
        <v>83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10">
        <v>0</v>
      </c>
      <c r="L28" s="20">
        <f t="shared" si="3"/>
        <v>0</v>
      </c>
      <c r="M28" s="66">
        <v>0</v>
      </c>
      <c r="N28" s="79">
        <f t="shared" si="4"/>
        <v>0</v>
      </c>
      <c r="O28" s="20">
        <f t="shared" si="5"/>
        <v>0</v>
      </c>
    </row>
    <row r="29" spans="1:15">
      <c r="A29" s="1" t="s">
        <v>3</v>
      </c>
      <c r="B29" s="16" t="s">
        <v>84</v>
      </c>
      <c r="C29" s="9">
        <v>0</v>
      </c>
      <c r="D29" s="9">
        <v>0</v>
      </c>
      <c r="E29" s="9">
        <v>0</v>
      </c>
      <c r="F29" s="9">
        <v>68250</v>
      </c>
      <c r="G29" s="9">
        <v>82800</v>
      </c>
      <c r="H29" s="9">
        <v>105930</v>
      </c>
      <c r="I29" s="9">
        <v>59475</v>
      </c>
      <c r="J29" s="9">
        <v>72150</v>
      </c>
      <c r="K29" s="10">
        <v>119925</v>
      </c>
      <c r="L29" s="20">
        <f t="shared" si="3"/>
        <v>508530</v>
      </c>
      <c r="M29" s="66">
        <v>0</v>
      </c>
      <c r="N29" s="79">
        <f t="shared" si="4"/>
        <v>0</v>
      </c>
      <c r="O29" s="20">
        <f t="shared" si="5"/>
        <v>508530</v>
      </c>
    </row>
    <row r="30" spans="1:15">
      <c r="A30" s="1" t="s">
        <v>3</v>
      </c>
      <c r="B30" s="16" t="s">
        <v>85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10">
        <v>0</v>
      </c>
      <c r="L30" s="20">
        <f t="shared" si="3"/>
        <v>0</v>
      </c>
      <c r="M30" s="66">
        <v>0</v>
      </c>
      <c r="N30" s="79">
        <f t="shared" si="4"/>
        <v>0</v>
      </c>
      <c r="O30" s="20">
        <f t="shared" si="5"/>
        <v>0</v>
      </c>
    </row>
    <row r="31" spans="1:15">
      <c r="A31" s="1" t="s">
        <v>3</v>
      </c>
      <c r="B31" s="16" t="s">
        <v>86</v>
      </c>
      <c r="C31" s="9">
        <v>0</v>
      </c>
      <c r="D31" s="9">
        <v>0</v>
      </c>
      <c r="E31" s="9">
        <v>0</v>
      </c>
      <c r="F31" s="9">
        <v>6825</v>
      </c>
      <c r="G31" s="9">
        <v>0</v>
      </c>
      <c r="H31" s="9">
        <v>0</v>
      </c>
      <c r="I31" s="9">
        <v>0</v>
      </c>
      <c r="J31" s="9">
        <v>0</v>
      </c>
      <c r="K31" s="10">
        <v>0</v>
      </c>
      <c r="L31" s="20">
        <f t="shared" si="3"/>
        <v>6825</v>
      </c>
      <c r="M31" s="66">
        <v>0</v>
      </c>
      <c r="N31" s="79">
        <f t="shared" si="4"/>
        <v>0</v>
      </c>
      <c r="O31" s="20">
        <f t="shared" si="5"/>
        <v>6825</v>
      </c>
    </row>
    <row r="32" spans="1:15">
      <c r="A32" s="1" t="s">
        <v>3</v>
      </c>
      <c r="B32" s="16" t="s">
        <v>87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10">
        <v>0</v>
      </c>
      <c r="L32" s="20">
        <f t="shared" si="3"/>
        <v>0</v>
      </c>
      <c r="M32" s="66">
        <v>0</v>
      </c>
      <c r="N32" s="79">
        <f t="shared" si="4"/>
        <v>0</v>
      </c>
      <c r="O32" s="20">
        <f t="shared" si="5"/>
        <v>0</v>
      </c>
    </row>
    <row r="33" spans="1:15">
      <c r="A33" s="1" t="s">
        <v>3</v>
      </c>
      <c r="B33" s="16" t="s">
        <v>71</v>
      </c>
      <c r="C33" s="9">
        <v>0</v>
      </c>
      <c r="D33" s="9">
        <v>71148</v>
      </c>
      <c r="E33" s="9">
        <v>18524</v>
      </c>
      <c r="F33" s="9">
        <v>0</v>
      </c>
      <c r="G33" s="9">
        <v>0</v>
      </c>
      <c r="H33" s="9">
        <v>0</v>
      </c>
      <c r="I33" s="9">
        <v>3657</v>
      </c>
      <c r="J33" s="9">
        <v>0</v>
      </c>
      <c r="K33" s="10">
        <v>4876</v>
      </c>
      <c r="L33" s="20">
        <f t="shared" si="3"/>
        <v>98205</v>
      </c>
      <c r="M33" s="66">
        <v>0</v>
      </c>
      <c r="N33" s="79">
        <f t="shared" si="4"/>
        <v>0</v>
      </c>
      <c r="O33" s="20">
        <f t="shared" si="5"/>
        <v>98205</v>
      </c>
    </row>
    <row r="34" spans="1:15">
      <c r="A34" s="1" t="s">
        <v>3</v>
      </c>
      <c r="B34" s="16" t="s">
        <v>88</v>
      </c>
      <c r="C34" s="9">
        <v>0</v>
      </c>
      <c r="D34" s="9">
        <v>2329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10">
        <v>0</v>
      </c>
      <c r="L34" s="20">
        <f t="shared" si="3"/>
        <v>2329</v>
      </c>
      <c r="M34" s="66">
        <v>0</v>
      </c>
      <c r="N34" s="79">
        <f t="shared" si="4"/>
        <v>0</v>
      </c>
      <c r="O34" s="20">
        <f t="shared" si="5"/>
        <v>2329</v>
      </c>
    </row>
    <row r="35" spans="1:15">
      <c r="A35" s="1" t="s">
        <v>3</v>
      </c>
      <c r="B35" s="16" t="s">
        <v>89</v>
      </c>
      <c r="C35" s="9">
        <v>0</v>
      </c>
      <c r="D35" s="9">
        <v>0</v>
      </c>
      <c r="E35" s="9">
        <v>69084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10">
        <v>0</v>
      </c>
      <c r="L35" s="20">
        <f t="shared" si="3"/>
        <v>69084</v>
      </c>
      <c r="M35" s="66">
        <v>0</v>
      </c>
      <c r="N35" s="79">
        <f t="shared" si="4"/>
        <v>0</v>
      </c>
      <c r="O35" s="20">
        <f t="shared" si="5"/>
        <v>69084</v>
      </c>
    </row>
    <row r="36" spans="1:15">
      <c r="A36" s="1" t="s">
        <v>3</v>
      </c>
      <c r="B36" s="16" t="s">
        <v>90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10">
        <v>0</v>
      </c>
      <c r="L36" s="20">
        <f t="shared" si="3"/>
        <v>0</v>
      </c>
      <c r="M36" s="66">
        <v>0</v>
      </c>
      <c r="N36" s="79">
        <f t="shared" si="4"/>
        <v>0</v>
      </c>
      <c r="O36" s="20">
        <f t="shared" si="5"/>
        <v>0</v>
      </c>
    </row>
    <row r="37" spans="1:15">
      <c r="A37" s="1" t="s">
        <v>3</v>
      </c>
      <c r="B37" s="16" t="s">
        <v>91</v>
      </c>
      <c r="C37" s="9">
        <v>0</v>
      </c>
      <c r="D37" s="9">
        <v>0</v>
      </c>
      <c r="E37" s="9">
        <v>4239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10">
        <v>0</v>
      </c>
      <c r="L37" s="20">
        <f t="shared" si="3"/>
        <v>4239</v>
      </c>
      <c r="M37" s="66">
        <v>0</v>
      </c>
      <c r="N37" s="79">
        <f t="shared" si="4"/>
        <v>0</v>
      </c>
      <c r="O37" s="20">
        <f t="shared" si="5"/>
        <v>4239</v>
      </c>
    </row>
    <row r="38" spans="1:15">
      <c r="A38" s="1" t="s">
        <v>3</v>
      </c>
      <c r="B38" s="16" t="s">
        <v>76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10">
        <v>0</v>
      </c>
      <c r="L38" s="20">
        <f t="shared" si="3"/>
        <v>0</v>
      </c>
      <c r="M38" s="66">
        <v>0</v>
      </c>
      <c r="N38" s="79">
        <f t="shared" si="4"/>
        <v>0</v>
      </c>
      <c r="O38" s="20">
        <f t="shared" si="5"/>
        <v>0</v>
      </c>
    </row>
    <row r="39" spans="1:15">
      <c r="A39" s="1" t="s">
        <v>3</v>
      </c>
      <c r="B39" s="49" t="s">
        <v>78</v>
      </c>
      <c r="C39" s="51">
        <v>0</v>
      </c>
      <c r="D39" s="51">
        <v>0</v>
      </c>
      <c r="E39" s="51">
        <v>0</v>
      </c>
      <c r="F39" s="51">
        <v>12200</v>
      </c>
      <c r="G39" s="51">
        <v>0</v>
      </c>
      <c r="H39" s="51">
        <v>0</v>
      </c>
      <c r="I39" s="51">
        <v>3660</v>
      </c>
      <c r="J39" s="51">
        <v>12200</v>
      </c>
      <c r="K39" s="52">
        <v>8540</v>
      </c>
      <c r="L39" s="53">
        <f t="shared" si="3"/>
        <v>36600</v>
      </c>
      <c r="M39" s="67">
        <v>0</v>
      </c>
      <c r="N39" s="80">
        <f t="shared" si="4"/>
        <v>0</v>
      </c>
      <c r="O39" s="53">
        <f t="shared" si="5"/>
        <v>36600</v>
      </c>
    </row>
    <row r="40" spans="1:15">
      <c r="A40" s="1" t="s">
        <v>3</v>
      </c>
      <c r="B40" s="54" t="s">
        <v>92</v>
      </c>
      <c r="C40" s="56">
        <v>370000</v>
      </c>
      <c r="D40" s="56">
        <v>361477</v>
      </c>
      <c r="E40" s="56">
        <v>316847</v>
      </c>
      <c r="F40" s="56">
        <v>87275</v>
      </c>
      <c r="G40" s="56">
        <v>82800</v>
      </c>
      <c r="H40" s="56">
        <v>105930</v>
      </c>
      <c r="I40" s="56">
        <v>66792</v>
      </c>
      <c r="J40" s="56">
        <v>84350</v>
      </c>
      <c r="K40" s="57">
        <v>133341</v>
      </c>
      <c r="L40" s="58">
        <f t="shared" si="3"/>
        <v>1608812</v>
      </c>
      <c r="M40" s="68">
        <v>390000</v>
      </c>
      <c r="N40" s="81">
        <f t="shared" si="4"/>
        <v>390000</v>
      </c>
      <c r="O40" s="58">
        <f t="shared" si="5"/>
        <v>1998812</v>
      </c>
    </row>
    <row r="41" spans="1:15">
      <c r="A41" s="1" t="s">
        <v>3</v>
      </c>
      <c r="B41" s="54" t="s">
        <v>93</v>
      </c>
      <c r="C41" s="56">
        <v>3780</v>
      </c>
      <c r="D41" s="56">
        <v>5669</v>
      </c>
      <c r="E41" s="56">
        <v>8590</v>
      </c>
      <c r="F41" s="56">
        <v>4581</v>
      </c>
      <c r="G41" s="56">
        <v>2978</v>
      </c>
      <c r="H41" s="56">
        <v>2577</v>
      </c>
      <c r="I41" s="56">
        <v>2978</v>
      </c>
      <c r="J41" s="56">
        <v>4410</v>
      </c>
      <c r="K41" s="57">
        <v>14488</v>
      </c>
      <c r="L41" s="58">
        <f t="shared" si="3"/>
        <v>50051</v>
      </c>
      <c r="M41" s="68">
        <v>8189</v>
      </c>
      <c r="N41" s="81">
        <f t="shared" si="4"/>
        <v>8189</v>
      </c>
      <c r="O41" s="58">
        <f t="shared" si="5"/>
        <v>58240</v>
      </c>
    </row>
    <row r="42" spans="1:15">
      <c r="A42" s="1" t="s">
        <v>3</v>
      </c>
      <c r="B42" s="54" t="s">
        <v>94</v>
      </c>
      <c r="C42" s="56">
        <v>3780</v>
      </c>
      <c r="D42" s="56">
        <v>5669</v>
      </c>
      <c r="E42" s="56">
        <v>8590</v>
      </c>
      <c r="F42" s="56">
        <v>4581</v>
      </c>
      <c r="G42" s="56">
        <v>2978</v>
      </c>
      <c r="H42" s="56">
        <v>2577</v>
      </c>
      <c r="I42" s="56">
        <v>2978</v>
      </c>
      <c r="J42" s="56">
        <v>4410</v>
      </c>
      <c r="K42" s="57">
        <v>14488</v>
      </c>
      <c r="L42" s="58">
        <f t="shared" si="3"/>
        <v>50051</v>
      </c>
      <c r="M42" s="68">
        <v>8189</v>
      </c>
      <c r="N42" s="81">
        <f t="shared" si="4"/>
        <v>8189</v>
      </c>
      <c r="O42" s="58">
        <f t="shared" si="5"/>
        <v>58240</v>
      </c>
    </row>
    <row r="43" spans="1:15">
      <c r="A43" s="1" t="s">
        <v>3</v>
      </c>
      <c r="B43" s="54" t="s">
        <v>95</v>
      </c>
      <c r="C43" s="56">
        <v>373780</v>
      </c>
      <c r="D43" s="56">
        <v>367146</v>
      </c>
      <c r="E43" s="56">
        <v>325437</v>
      </c>
      <c r="F43" s="56">
        <v>91856</v>
      </c>
      <c r="G43" s="56">
        <v>85778</v>
      </c>
      <c r="H43" s="56">
        <v>108507</v>
      </c>
      <c r="I43" s="56">
        <v>69770</v>
      </c>
      <c r="J43" s="56">
        <v>88760</v>
      </c>
      <c r="K43" s="57">
        <v>147829</v>
      </c>
      <c r="L43" s="58">
        <f t="shared" si="3"/>
        <v>1658863</v>
      </c>
      <c r="M43" s="68">
        <v>398189</v>
      </c>
      <c r="N43" s="81">
        <f t="shared" si="4"/>
        <v>398189</v>
      </c>
      <c r="O43" s="58">
        <f t="shared" si="5"/>
        <v>2057052</v>
      </c>
    </row>
    <row r="44" spans="1:15">
      <c r="A44" s="1" t="s">
        <v>3</v>
      </c>
      <c r="B44" s="30" t="s">
        <v>96</v>
      </c>
      <c r="C44" s="41">
        <v>18360</v>
      </c>
      <c r="D44" s="41">
        <v>20910</v>
      </c>
      <c r="E44" s="41">
        <v>13260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2">
        <v>6834</v>
      </c>
      <c r="L44" s="43">
        <f t="shared" si="3"/>
        <v>59364</v>
      </c>
      <c r="M44" s="65">
        <v>19380</v>
      </c>
      <c r="N44" s="78">
        <f t="shared" si="4"/>
        <v>19380</v>
      </c>
      <c r="O44" s="43">
        <f t="shared" si="5"/>
        <v>78744</v>
      </c>
    </row>
    <row r="45" spans="1:15">
      <c r="A45" s="1" t="s">
        <v>3</v>
      </c>
      <c r="B45" s="16" t="s">
        <v>97</v>
      </c>
      <c r="C45" s="9">
        <v>3240</v>
      </c>
      <c r="D45" s="9">
        <v>3690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10">
        <v>0</v>
      </c>
      <c r="L45" s="20">
        <f t="shared" si="3"/>
        <v>6930</v>
      </c>
      <c r="M45" s="66">
        <v>3420</v>
      </c>
      <c r="N45" s="79">
        <f t="shared" si="4"/>
        <v>3420</v>
      </c>
      <c r="O45" s="20">
        <f t="shared" si="5"/>
        <v>10350</v>
      </c>
    </row>
    <row r="46" spans="1:15">
      <c r="A46" s="1" t="s">
        <v>3</v>
      </c>
      <c r="B46" s="16" t="s">
        <v>98</v>
      </c>
      <c r="C46" s="9">
        <v>32940</v>
      </c>
      <c r="D46" s="9">
        <v>37515</v>
      </c>
      <c r="E46" s="9">
        <v>23790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0">
        <v>12261</v>
      </c>
      <c r="L46" s="20">
        <f t="shared" si="3"/>
        <v>106506</v>
      </c>
      <c r="M46" s="66">
        <v>34770</v>
      </c>
      <c r="N46" s="79">
        <f t="shared" si="4"/>
        <v>34770</v>
      </c>
      <c r="O46" s="20">
        <f t="shared" si="5"/>
        <v>141276</v>
      </c>
    </row>
    <row r="47" spans="1:15">
      <c r="A47" s="1" t="s">
        <v>3</v>
      </c>
      <c r="B47" s="49" t="s">
        <v>99</v>
      </c>
      <c r="C47" s="51">
        <v>2056</v>
      </c>
      <c r="D47" s="51">
        <v>2019</v>
      </c>
      <c r="E47" s="51">
        <v>1790</v>
      </c>
      <c r="F47" s="51">
        <v>0</v>
      </c>
      <c r="G47" s="51">
        <v>472</v>
      </c>
      <c r="H47" s="51">
        <v>597</v>
      </c>
      <c r="I47" s="51">
        <v>0</v>
      </c>
      <c r="J47" s="51">
        <v>488</v>
      </c>
      <c r="K47" s="52">
        <v>813</v>
      </c>
      <c r="L47" s="53">
        <f t="shared" si="3"/>
        <v>8235</v>
      </c>
      <c r="M47" s="67">
        <v>2190</v>
      </c>
      <c r="N47" s="80">
        <f t="shared" si="4"/>
        <v>2190</v>
      </c>
      <c r="O47" s="53">
        <f t="shared" si="5"/>
        <v>10425</v>
      </c>
    </row>
    <row r="48" spans="1:15">
      <c r="A48" s="1" t="s">
        <v>3</v>
      </c>
      <c r="B48" s="54" t="s">
        <v>100</v>
      </c>
      <c r="C48" s="56">
        <v>56596</v>
      </c>
      <c r="D48" s="56">
        <v>64134</v>
      </c>
      <c r="E48" s="56">
        <v>38840</v>
      </c>
      <c r="F48" s="56">
        <v>0</v>
      </c>
      <c r="G48" s="56">
        <v>472</v>
      </c>
      <c r="H48" s="56">
        <v>597</v>
      </c>
      <c r="I48" s="56">
        <v>0</v>
      </c>
      <c r="J48" s="56">
        <v>488</v>
      </c>
      <c r="K48" s="57">
        <v>19908</v>
      </c>
      <c r="L48" s="58">
        <f t="shared" si="3"/>
        <v>181035</v>
      </c>
      <c r="M48" s="68">
        <v>59760</v>
      </c>
      <c r="N48" s="81">
        <f t="shared" si="4"/>
        <v>59760</v>
      </c>
      <c r="O48" s="58">
        <f t="shared" si="5"/>
        <v>240795</v>
      </c>
    </row>
    <row r="49" spans="1:15">
      <c r="A49" s="1" t="s">
        <v>3</v>
      </c>
      <c r="B49" s="30" t="s">
        <v>101</v>
      </c>
      <c r="C49" s="41">
        <v>7270</v>
      </c>
      <c r="D49" s="41">
        <v>6630</v>
      </c>
      <c r="E49" s="41">
        <v>7550</v>
      </c>
      <c r="F49" s="41">
        <v>0</v>
      </c>
      <c r="G49" s="41">
        <v>0</v>
      </c>
      <c r="H49" s="41">
        <v>1000</v>
      </c>
      <c r="I49" s="41">
        <v>0</v>
      </c>
      <c r="J49" s="41">
        <v>0</v>
      </c>
      <c r="K49" s="42">
        <v>0</v>
      </c>
      <c r="L49" s="43">
        <f t="shared" si="3"/>
        <v>22450</v>
      </c>
      <c r="M49" s="65">
        <v>10850</v>
      </c>
      <c r="N49" s="78">
        <f t="shared" si="4"/>
        <v>10850</v>
      </c>
      <c r="O49" s="43">
        <f t="shared" si="5"/>
        <v>33300</v>
      </c>
    </row>
    <row r="50" spans="1:15">
      <c r="A50" s="1" t="s">
        <v>3</v>
      </c>
      <c r="B50" s="16" t="s">
        <v>102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10">
        <v>0</v>
      </c>
      <c r="L50" s="20">
        <f t="shared" si="3"/>
        <v>0</v>
      </c>
      <c r="M50" s="66">
        <v>0</v>
      </c>
      <c r="N50" s="79">
        <f t="shared" si="4"/>
        <v>0</v>
      </c>
      <c r="O50" s="20">
        <f t="shared" si="5"/>
        <v>0</v>
      </c>
    </row>
    <row r="51" spans="1:15">
      <c r="A51" s="1" t="s">
        <v>3</v>
      </c>
      <c r="B51" s="49" t="s">
        <v>103</v>
      </c>
      <c r="C51" s="51">
        <v>20600</v>
      </c>
      <c r="D51" s="51">
        <v>15000</v>
      </c>
      <c r="E51" s="51">
        <v>8700</v>
      </c>
      <c r="F51" s="51">
        <v>6000</v>
      </c>
      <c r="G51" s="51">
        <v>700</v>
      </c>
      <c r="H51" s="51">
        <v>2300</v>
      </c>
      <c r="I51" s="51">
        <v>0</v>
      </c>
      <c r="J51" s="51">
        <v>2900</v>
      </c>
      <c r="K51" s="52">
        <v>7100</v>
      </c>
      <c r="L51" s="53">
        <f t="shared" si="3"/>
        <v>63300</v>
      </c>
      <c r="M51" s="67">
        <v>22200</v>
      </c>
      <c r="N51" s="80">
        <f t="shared" si="4"/>
        <v>22200</v>
      </c>
      <c r="O51" s="53">
        <f t="shared" si="5"/>
        <v>85500</v>
      </c>
    </row>
    <row r="52" spans="1:15">
      <c r="A52" s="1" t="s">
        <v>3</v>
      </c>
      <c r="B52" s="54" t="s">
        <v>104</v>
      </c>
      <c r="C52" s="56">
        <v>84466</v>
      </c>
      <c r="D52" s="56">
        <v>85764</v>
      </c>
      <c r="E52" s="56">
        <v>55090</v>
      </c>
      <c r="F52" s="56">
        <v>6000</v>
      </c>
      <c r="G52" s="56">
        <v>1172</v>
      </c>
      <c r="H52" s="56">
        <v>3897</v>
      </c>
      <c r="I52" s="56">
        <v>0</v>
      </c>
      <c r="J52" s="56">
        <v>3388</v>
      </c>
      <c r="K52" s="57">
        <v>27008</v>
      </c>
      <c r="L52" s="58">
        <f t="shared" si="3"/>
        <v>266785</v>
      </c>
      <c r="M52" s="68">
        <v>92810</v>
      </c>
      <c r="N52" s="81">
        <f t="shared" si="4"/>
        <v>92810</v>
      </c>
      <c r="O52" s="58">
        <f t="shared" si="5"/>
        <v>359595</v>
      </c>
    </row>
    <row r="53" spans="1:15">
      <c r="A53" s="1" t="s">
        <v>3</v>
      </c>
      <c r="B53" s="54" t="s">
        <v>105</v>
      </c>
      <c r="C53" s="56">
        <v>313404</v>
      </c>
      <c r="D53" s="56">
        <v>297343</v>
      </c>
      <c r="E53" s="56">
        <v>278007</v>
      </c>
      <c r="F53" s="56">
        <v>87275</v>
      </c>
      <c r="G53" s="56">
        <v>82328</v>
      </c>
      <c r="H53" s="56">
        <v>105333</v>
      </c>
      <c r="I53" s="56">
        <v>66792</v>
      </c>
      <c r="J53" s="56">
        <v>83862</v>
      </c>
      <c r="K53" s="57">
        <v>113433</v>
      </c>
      <c r="L53" s="58">
        <f t="shared" si="3"/>
        <v>1427777</v>
      </c>
      <c r="M53" s="68">
        <v>330240</v>
      </c>
      <c r="N53" s="81">
        <f t="shared" si="4"/>
        <v>330240</v>
      </c>
      <c r="O53" s="58">
        <f t="shared" si="5"/>
        <v>1758017</v>
      </c>
    </row>
    <row r="54" spans="1:15">
      <c r="A54" s="1" t="s">
        <v>3</v>
      </c>
      <c r="B54" s="54" t="s">
        <v>106</v>
      </c>
      <c r="C54" s="56">
        <v>289314</v>
      </c>
      <c r="D54" s="56">
        <v>281382</v>
      </c>
      <c r="E54" s="56">
        <v>270347</v>
      </c>
      <c r="F54" s="56">
        <v>85856</v>
      </c>
      <c r="G54" s="56">
        <v>84606</v>
      </c>
      <c r="H54" s="56">
        <v>104610</v>
      </c>
      <c r="I54" s="56">
        <v>69770</v>
      </c>
      <c r="J54" s="56">
        <v>85372</v>
      </c>
      <c r="K54" s="57">
        <v>120821</v>
      </c>
      <c r="L54" s="58">
        <f t="shared" si="3"/>
        <v>1392078</v>
      </c>
      <c r="M54" s="68">
        <v>305379</v>
      </c>
      <c r="N54" s="81">
        <f t="shared" si="4"/>
        <v>305379</v>
      </c>
      <c r="O54" s="58">
        <f t="shared" si="5"/>
        <v>1697457</v>
      </c>
    </row>
    <row r="55" spans="1:15">
      <c r="A55" s="1" t="s">
        <v>3</v>
      </c>
      <c r="B55" s="54" t="s">
        <v>107</v>
      </c>
      <c r="C55" s="56">
        <v>289314</v>
      </c>
      <c r="D55" s="56">
        <v>281382</v>
      </c>
      <c r="E55" s="56">
        <v>270347</v>
      </c>
      <c r="F55" s="56">
        <v>85856</v>
      </c>
      <c r="G55" s="56">
        <v>84606</v>
      </c>
      <c r="H55" s="56">
        <v>104610</v>
      </c>
      <c r="I55" s="56">
        <v>69770</v>
      </c>
      <c r="J55" s="56">
        <v>85372</v>
      </c>
      <c r="K55" s="57">
        <v>120821</v>
      </c>
      <c r="L55" s="58">
        <f t="shared" si="3"/>
        <v>1392078</v>
      </c>
      <c r="M55" s="68">
        <v>305379</v>
      </c>
      <c r="N55" s="81">
        <f t="shared" si="4"/>
        <v>305379</v>
      </c>
      <c r="O55" s="58">
        <f t="shared" si="5"/>
        <v>1697457</v>
      </c>
    </row>
    <row r="56" spans="1:15">
      <c r="A56" s="1" t="s">
        <v>3</v>
      </c>
      <c r="B56" s="30" t="s">
        <v>108</v>
      </c>
      <c r="C56" s="41">
        <v>1</v>
      </c>
      <c r="D56" s="41">
        <v>1</v>
      </c>
      <c r="E56" s="41">
        <v>0</v>
      </c>
      <c r="F56" s="41">
        <v>1</v>
      </c>
      <c r="G56" s="41">
        <v>0</v>
      </c>
      <c r="H56" s="41">
        <v>0</v>
      </c>
      <c r="I56" s="41">
        <v>1</v>
      </c>
      <c r="J56" s="41">
        <v>1</v>
      </c>
      <c r="K56" s="42">
        <v>1</v>
      </c>
      <c r="L56" s="43"/>
      <c r="M56" s="65">
        <v>0</v>
      </c>
      <c r="N56" s="78"/>
      <c r="O56" s="43"/>
    </row>
    <row r="57" spans="1:15">
      <c r="A57" s="1" t="s">
        <v>3</v>
      </c>
      <c r="B57" s="16" t="s">
        <v>109</v>
      </c>
      <c r="C57" s="11" t="s">
        <v>110</v>
      </c>
      <c r="D57" s="11" t="s">
        <v>110</v>
      </c>
      <c r="E57" s="11" t="s">
        <v>110</v>
      </c>
      <c r="F57" s="11" t="s">
        <v>110</v>
      </c>
      <c r="G57" s="11" t="s">
        <v>110</v>
      </c>
      <c r="H57" s="11" t="s">
        <v>110</v>
      </c>
      <c r="I57" s="11" t="s">
        <v>110</v>
      </c>
      <c r="J57" s="11" t="s">
        <v>110</v>
      </c>
      <c r="K57" s="12" t="s">
        <v>110</v>
      </c>
      <c r="L57" s="21"/>
      <c r="M57" s="69" t="s">
        <v>110</v>
      </c>
      <c r="N57" s="82"/>
      <c r="O57" s="21"/>
    </row>
    <row r="58" spans="1:15" ht="19.5" thickBot="1">
      <c r="A58" s="1" t="s">
        <v>3</v>
      </c>
      <c r="B58" s="17" t="s">
        <v>111</v>
      </c>
      <c r="C58" s="13">
        <v>7270</v>
      </c>
      <c r="D58" s="13">
        <v>6630</v>
      </c>
      <c r="E58" s="13">
        <v>7550</v>
      </c>
      <c r="F58" s="13">
        <v>0</v>
      </c>
      <c r="G58" s="13">
        <v>0</v>
      </c>
      <c r="H58" s="13">
        <v>1000</v>
      </c>
      <c r="I58" s="13">
        <v>0</v>
      </c>
      <c r="J58" s="13">
        <v>0</v>
      </c>
      <c r="K58" s="14">
        <v>0</v>
      </c>
      <c r="L58" s="22">
        <f>SUM(C58:K58)</f>
        <v>22450</v>
      </c>
      <c r="M58" s="70">
        <v>10850</v>
      </c>
      <c r="N58" s="83">
        <f>M58</f>
        <v>10850</v>
      </c>
      <c r="O58" s="22">
        <f>L58+N58</f>
        <v>33300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0B44-62B2-485A-9059-D678F3D068B1}">
  <dimension ref="A1:S58"/>
  <sheetViews>
    <sheetView showZeros="0" zoomScaleNormal="100" workbookViewId="0">
      <pane xSplit="2" ySplit="8" topLeftCell="C9" activePane="bottomRight" state="frozen"/>
      <selection pane="bottomRight" activeCell="T1" sqref="T1:AF1048576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8" width="9" style="2" bestFit="1" customWidth="1"/>
    <col min="19" max="19" width="9.625" style="2" bestFit="1" customWidth="1"/>
    <col min="20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64" width="11.125" style="2" bestFit="1" customWidth="1"/>
    <col min="265" max="265" width="9" style="2"/>
    <col min="266" max="267" width="11.125" style="2" bestFit="1" customWidth="1"/>
    <col min="268" max="268" width="9" style="2"/>
    <col min="269" max="273" width="11.125" style="2" bestFit="1" customWidth="1"/>
    <col min="274" max="274" width="9" style="2"/>
    <col min="275" max="275" width="9.625" style="2" bestFit="1" customWidth="1"/>
    <col min="276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20" width="11.125" style="2" bestFit="1" customWidth="1"/>
    <col min="521" max="521" width="9" style="2"/>
    <col min="522" max="523" width="11.125" style="2" bestFit="1" customWidth="1"/>
    <col min="524" max="524" width="9" style="2"/>
    <col min="525" max="529" width="11.125" style="2" bestFit="1" customWidth="1"/>
    <col min="530" max="530" width="9" style="2"/>
    <col min="531" max="531" width="9.625" style="2" bestFit="1" customWidth="1"/>
    <col min="532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76" width="11.125" style="2" bestFit="1" customWidth="1"/>
    <col min="777" max="777" width="9" style="2"/>
    <col min="778" max="779" width="11.125" style="2" bestFit="1" customWidth="1"/>
    <col min="780" max="780" width="9" style="2"/>
    <col min="781" max="785" width="11.125" style="2" bestFit="1" customWidth="1"/>
    <col min="786" max="786" width="9" style="2"/>
    <col min="787" max="787" width="9.625" style="2" bestFit="1" customWidth="1"/>
    <col min="788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32" width="11.125" style="2" bestFit="1" customWidth="1"/>
    <col min="1033" max="1033" width="9" style="2"/>
    <col min="1034" max="1035" width="11.125" style="2" bestFit="1" customWidth="1"/>
    <col min="1036" max="1036" width="9" style="2"/>
    <col min="1037" max="1041" width="11.125" style="2" bestFit="1" customWidth="1"/>
    <col min="1042" max="1042" width="9" style="2"/>
    <col min="1043" max="1043" width="9.625" style="2" bestFit="1" customWidth="1"/>
    <col min="1044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88" width="11.125" style="2" bestFit="1" customWidth="1"/>
    <col min="1289" max="1289" width="9" style="2"/>
    <col min="1290" max="1291" width="11.125" style="2" bestFit="1" customWidth="1"/>
    <col min="1292" max="1292" width="9" style="2"/>
    <col min="1293" max="1297" width="11.125" style="2" bestFit="1" customWidth="1"/>
    <col min="1298" max="1298" width="9" style="2"/>
    <col min="1299" max="1299" width="9.625" style="2" bestFit="1" customWidth="1"/>
    <col min="1300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44" width="11.125" style="2" bestFit="1" customWidth="1"/>
    <col min="1545" max="1545" width="9" style="2"/>
    <col min="1546" max="1547" width="11.125" style="2" bestFit="1" customWidth="1"/>
    <col min="1548" max="1548" width="9" style="2"/>
    <col min="1549" max="1553" width="11.125" style="2" bestFit="1" customWidth="1"/>
    <col min="1554" max="1554" width="9" style="2"/>
    <col min="1555" max="1555" width="9.625" style="2" bestFit="1" customWidth="1"/>
    <col min="1556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800" width="11.125" style="2" bestFit="1" customWidth="1"/>
    <col min="1801" max="1801" width="9" style="2"/>
    <col min="1802" max="1803" width="11.125" style="2" bestFit="1" customWidth="1"/>
    <col min="1804" max="1804" width="9" style="2"/>
    <col min="1805" max="1809" width="11.125" style="2" bestFit="1" customWidth="1"/>
    <col min="1810" max="1810" width="9" style="2"/>
    <col min="1811" max="1811" width="9.625" style="2" bestFit="1" customWidth="1"/>
    <col min="1812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56" width="11.125" style="2" bestFit="1" customWidth="1"/>
    <col min="2057" max="2057" width="9" style="2"/>
    <col min="2058" max="2059" width="11.125" style="2" bestFit="1" customWidth="1"/>
    <col min="2060" max="2060" width="9" style="2"/>
    <col min="2061" max="2065" width="11.125" style="2" bestFit="1" customWidth="1"/>
    <col min="2066" max="2066" width="9" style="2"/>
    <col min="2067" max="2067" width="9.625" style="2" bestFit="1" customWidth="1"/>
    <col min="2068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12" width="11.125" style="2" bestFit="1" customWidth="1"/>
    <col min="2313" max="2313" width="9" style="2"/>
    <col min="2314" max="2315" width="11.125" style="2" bestFit="1" customWidth="1"/>
    <col min="2316" max="2316" width="9" style="2"/>
    <col min="2317" max="2321" width="11.125" style="2" bestFit="1" customWidth="1"/>
    <col min="2322" max="2322" width="9" style="2"/>
    <col min="2323" max="2323" width="9.625" style="2" bestFit="1" customWidth="1"/>
    <col min="2324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68" width="11.125" style="2" bestFit="1" customWidth="1"/>
    <col min="2569" max="2569" width="9" style="2"/>
    <col min="2570" max="2571" width="11.125" style="2" bestFit="1" customWidth="1"/>
    <col min="2572" max="2572" width="9" style="2"/>
    <col min="2573" max="2577" width="11.125" style="2" bestFit="1" customWidth="1"/>
    <col min="2578" max="2578" width="9" style="2"/>
    <col min="2579" max="2579" width="9.625" style="2" bestFit="1" customWidth="1"/>
    <col min="2580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24" width="11.125" style="2" bestFit="1" customWidth="1"/>
    <col min="2825" max="2825" width="9" style="2"/>
    <col min="2826" max="2827" width="11.125" style="2" bestFit="1" customWidth="1"/>
    <col min="2828" max="2828" width="9" style="2"/>
    <col min="2829" max="2833" width="11.125" style="2" bestFit="1" customWidth="1"/>
    <col min="2834" max="2834" width="9" style="2"/>
    <col min="2835" max="2835" width="9.625" style="2" bestFit="1" customWidth="1"/>
    <col min="2836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80" width="11.125" style="2" bestFit="1" customWidth="1"/>
    <col min="3081" max="3081" width="9" style="2"/>
    <col min="3082" max="3083" width="11.125" style="2" bestFit="1" customWidth="1"/>
    <col min="3084" max="3084" width="9" style="2"/>
    <col min="3085" max="3089" width="11.125" style="2" bestFit="1" customWidth="1"/>
    <col min="3090" max="3090" width="9" style="2"/>
    <col min="3091" max="3091" width="9.625" style="2" bestFit="1" customWidth="1"/>
    <col min="3092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36" width="11.125" style="2" bestFit="1" customWidth="1"/>
    <col min="3337" max="3337" width="9" style="2"/>
    <col min="3338" max="3339" width="11.125" style="2" bestFit="1" customWidth="1"/>
    <col min="3340" max="3340" width="9" style="2"/>
    <col min="3341" max="3345" width="11.125" style="2" bestFit="1" customWidth="1"/>
    <col min="3346" max="3346" width="9" style="2"/>
    <col min="3347" max="3347" width="9.625" style="2" bestFit="1" customWidth="1"/>
    <col min="3348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92" width="11.125" style="2" bestFit="1" customWidth="1"/>
    <col min="3593" max="3593" width="9" style="2"/>
    <col min="3594" max="3595" width="11.125" style="2" bestFit="1" customWidth="1"/>
    <col min="3596" max="3596" width="9" style="2"/>
    <col min="3597" max="3601" width="11.125" style="2" bestFit="1" customWidth="1"/>
    <col min="3602" max="3602" width="9" style="2"/>
    <col min="3603" max="3603" width="9.625" style="2" bestFit="1" customWidth="1"/>
    <col min="3604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48" width="11.125" style="2" bestFit="1" customWidth="1"/>
    <col min="3849" max="3849" width="9" style="2"/>
    <col min="3850" max="3851" width="11.125" style="2" bestFit="1" customWidth="1"/>
    <col min="3852" max="3852" width="9" style="2"/>
    <col min="3853" max="3857" width="11.125" style="2" bestFit="1" customWidth="1"/>
    <col min="3858" max="3858" width="9" style="2"/>
    <col min="3859" max="3859" width="9.625" style="2" bestFit="1" customWidth="1"/>
    <col min="3860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104" width="11.125" style="2" bestFit="1" customWidth="1"/>
    <col min="4105" max="4105" width="9" style="2"/>
    <col min="4106" max="4107" width="11.125" style="2" bestFit="1" customWidth="1"/>
    <col min="4108" max="4108" width="9" style="2"/>
    <col min="4109" max="4113" width="11.125" style="2" bestFit="1" customWidth="1"/>
    <col min="4114" max="4114" width="9" style="2"/>
    <col min="4115" max="4115" width="9.625" style="2" bestFit="1" customWidth="1"/>
    <col min="4116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60" width="11.125" style="2" bestFit="1" customWidth="1"/>
    <col min="4361" max="4361" width="9" style="2"/>
    <col min="4362" max="4363" width="11.125" style="2" bestFit="1" customWidth="1"/>
    <col min="4364" max="4364" width="9" style="2"/>
    <col min="4365" max="4369" width="11.125" style="2" bestFit="1" customWidth="1"/>
    <col min="4370" max="4370" width="9" style="2"/>
    <col min="4371" max="4371" width="9.625" style="2" bestFit="1" customWidth="1"/>
    <col min="4372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16" width="11.125" style="2" bestFit="1" customWidth="1"/>
    <col min="4617" max="4617" width="9" style="2"/>
    <col min="4618" max="4619" width="11.125" style="2" bestFit="1" customWidth="1"/>
    <col min="4620" max="4620" width="9" style="2"/>
    <col min="4621" max="4625" width="11.125" style="2" bestFit="1" customWidth="1"/>
    <col min="4626" max="4626" width="9" style="2"/>
    <col min="4627" max="4627" width="9.625" style="2" bestFit="1" customWidth="1"/>
    <col min="4628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72" width="11.125" style="2" bestFit="1" customWidth="1"/>
    <col min="4873" max="4873" width="9" style="2"/>
    <col min="4874" max="4875" width="11.125" style="2" bestFit="1" customWidth="1"/>
    <col min="4876" max="4876" width="9" style="2"/>
    <col min="4877" max="4881" width="11.125" style="2" bestFit="1" customWidth="1"/>
    <col min="4882" max="4882" width="9" style="2"/>
    <col min="4883" max="4883" width="9.625" style="2" bestFit="1" customWidth="1"/>
    <col min="4884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28" width="11.125" style="2" bestFit="1" customWidth="1"/>
    <col min="5129" max="5129" width="9" style="2"/>
    <col min="5130" max="5131" width="11.125" style="2" bestFit="1" customWidth="1"/>
    <col min="5132" max="5132" width="9" style="2"/>
    <col min="5133" max="5137" width="11.125" style="2" bestFit="1" customWidth="1"/>
    <col min="5138" max="5138" width="9" style="2"/>
    <col min="5139" max="5139" width="9.625" style="2" bestFit="1" customWidth="1"/>
    <col min="5140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84" width="11.125" style="2" bestFit="1" customWidth="1"/>
    <col min="5385" max="5385" width="9" style="2"/>
    <col min="5386" max="5387" width="11.125" style="2" bestFit="1" customWidth="1"/>
    <col min="5388" max="5388" width="9" style="2"/>
    <col min="5389" max="5393" width="11.125" style="2" bestFit="1" customWidth="1"/>
    <col min="5394" max="5394" width="9" style="2"/>
    <col min="5395" max="5395" width="9.625" style="2" bestFit="1" customWidth="1"/>
    <col min="5396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40" width="11.125" style="2" bestFit="1" customWidth="1"/>
    <col min="5641" max="5641" width="9" style="2"/>
    <col min="5642" max="5643" width="11.125" style="2" bestFit="1" customWidth="1"/>
    <col min="5644" max="5644" width="9" style="2"/>
    <col min="5645" max="5649" width="11.125" style="2" bestFit="1" customWidth="1"/>
    <col min="5650" max="5650" width="9" style="2"/>
    <col min="5651" max="5651" width="9.625" style="2" bestFit="1" customWidth="1"/>
    <col min="5652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96" width="11.125" style="2" bestFit="1" customWidth="1"/>
    <col min="5897" max="5897" width="9" style="2"/>
    <col min="5898" max="5899" width="11.125" style="2" bestFit="1" customWidth="1"/>
    <col min="5900" max="5900" width="9" style="2"/>
    <col min="5901" max="5905" width="11.125" style="2" bestFit="1" customWidth="1"/>
    <col min="5906" max="5906" width="9" style="2"/>
    <col min="5907" max="5907" width="9.625" style="2" bestFit="1" customWidth="1"/>
    <col min="5908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52" width="11.125" style="2" bestFit="1" customWidth="1"/>
    <col min="6153" max="6153" width="9" style="2"/>
    <col min="6154" max="6155" width="11.125" style="2" bestFit="1" customWidth="1"/>
    <col min="6156" max="6156" width="9" style="2"/>
    <col min="6157" max="6161" width="11.125" style="2" bestFit="1" customWidth="1"/>
    <col min="6162" max="6162" width="9" style="2"/>
    <col min="6163" max="6163" width="9.625" style="2" bestFit="1" customWidth="1"/>
    <col min="6164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408" width="11.125" style="2" bestFit="1" customWidth="1"/>
    <col min="6409" max="6409" width="9" style="2"/>
    <col min="6410" max="6411" width="11.125" style="2" bestFit="1" customWidth="1"/>
    <col min="6412" max="6412" width="9" style="2"/>
    <col min="6413" max="6417" width="11.125" style="2" bestFit="1" customWidth="1"/>
    <col min="6418" max="6418" width="9" style="2"/>
    <col min="6419" max="6419" width="9.625" style="2" bestFit="1" customWidth="1"/>
    <col min="6420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64" width="11.125" style="2" bestFit="1" customWidth="1"/>
    <col min="6665" max="6665" width="9" style="2"/>
    <col min="6666" max="6667" width="11.125" style="2" bestFit="1" customWidth="1"/>
    <col min="6668" max="6668" width="9" style="2"/>
    <col min="6669" max="6673" width="11.125" style="2" bestFit="1" customWidth="1"/>
    <col min="6674" max="6674" width="9" style="2"/>
    <col min="6675" max="6675" width="9.625" style="2" bestFit="1" customWidth="1"/>
    <col min="6676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20" width="11.125" style="2" bestFit="1" customWidth="1"/>
    <col min="6921" max="6921" width="9" style="2"/>
    <col min="6922" max="6923" width="11.125" style="2" bestFit="1" customWidth="1"/>
    <col min="6924" max="6924" width="9" style="2"/>
    <col min="6925" max="6929" width="11.125" style="2" bestFit="1" customWidth="1"/>
    <col min="6930" max="6930" width="9" style="2"/>
    <col min="6931" max="6931" width="9.625" style="2" bestFit="1" customWidth="1"/>
    <col min="6932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76" width="11.125" style="2" bestFit="1" customWidth="1"/>
    <col min="7177" max="7177" width="9" style="2"/>
    <col min="7178" max="7179" width="11.125" style="2" bestFit="1" customWidth="1"/>
    <col min="7180" max="7180" width="9" style="2"/>
    <col min="7181" max="7185" width="11.125" style="2" bestFit="1" customWidth="1"/>
    <col min="7186" max="7186" width="9" style="2"/>
    <col min="7187" max="7187" width="9.625" style="2" bestFit="1" customWidth="1"/>
    <col min="7188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32" width="11.125" style="2" bestFit="1" customWidth="1"/>
    <col min="7433" max="7433" width="9" style="2"/>
    <col min="7434" max="7435" width="11.125" style="2" bestFit="1" customWidth="1"/>
    <col min="7436" max="7436" width="9" style="2"/>
    <col min="7437" max="7441" width="11.125" style="2" bestFit="1" customWidth="1"/>
    <col min="7442" max="7442" width="9" style="2"/>
    <col min="7443" max="7443" width="9.625" style="2" bestFit="1" customWidth="1"/>
    <col min="7444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88" width="11.125" style="2" bestFit="1" customWidth="1"/>
    <col min="7689" max="7689" width="9" style="2"/>
    <col min="7690" max="7691" width="11.125" style="2" bestFit="1" customWidth="1"/>
    <col min="7692" max="7692" width="9" style="2"/>
    <col min="7693" max="7697" width="11.125" style="2" bestFit="1" customWidth="1"/>
    <col min="7698" max="7698" width="9" style="2"/>
    <col min="7699" max="7699" width="9.625" style="2" bestFit="1" customWidth="1"/>
    <col min="7700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44" width="11.125" style="2" bestFit="1" customWidth="1"/>
    <col min="7945" max="7945" width="9" style="2"/>
    <col min="7946" max="7947" width="11.125" style="2" bestFit="1" customWidth="1"/>
    <col min="7948" max="7948" width="9" style="2"/>
    <col min="7949" max="7953" width="11.125" style="2" bestFit="1" customWidth="1"/>
    <col min="7954" max="7954" width="9" style="2"/>
    <col min="7955" max="7955" width="9.625" style="2" bestFit="1" customWidth="1"/>
    <col min="7956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200" width="11.125" style="2" bestFit="1" customWidth="1"/>
    <col min="8201" max="8201" width="9" style="2"/>
    <col min="8202" max="8203" width="11.125" style="2" bestFit="1" customWidth="1"/>
    <col min="8204" max="8204" width="9" style="2"/>
    <col min="8205" max="8209" width="11.125" style="2" bestFit="1" customWidth="1"/>
    <col min="8210" max="8210" width="9" style="2"/>
    <col min="8211" max="8211" width="9.625" style="2" bestFit="1" customWidth="1"/>
    <col min="8212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56" width="11.125" style="2" bestFit="1" customWidth="1"/>
    <col min="8457" max="8457" width="9" style="2"/>
    <col min="8458" max="8459" width="11.125" style="2" bestFit="1" customWidth="1"/>
    <col min="8460" max="8460" width="9" style="2"/>
    <col min="8461" max="8465" width="11.125" style="2" bestFit="1" customWidth="1"/>
    <col min="8466" max="8466" width="9" style="2"/>
    <col min="8467" max="8467" width="9.625" style="2" bestFit="1" customWidth="1"/>
    <col min="8468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12" width="11.125" style="2" bestFit="1" customWidth="1"/>
    <col min="8713" max="8713" width="9" style="2"/>
    <col min="8714" max="8715" width="11.125" style="2" bestFit="1" customWidth="1"/>
    <col min="8716" max="8716" width="9" style="2"/>
    <col min="8717" max="8721" width="11.125" style="2" bestFit="1" customWidth="1"/>
    <col min="8722" max="8722" width="9" style="2"/>
    <col min="8723" max="8723" width="9.625" style="2" bestFit="1" customWidth="1"/>
    <col min="8724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68" width="11.125" style="2" bestFit="1" customWidth="1"/>
    <col min="8969" max="8969" width="9" style="2"/>
    <col min="8970" max="8971" width="11.125" style="2" bestFit="1" customWidth="1"/>
    <col min="8972" max="8972" width="9" style="2"/>
    <col min="8973" max="8977" width="11.125" style="2" bestFit="1" customWidth="1"/>
    <col min="8978" max="8978" width="9" style="2"/>
    <col min="8979" max="8979" width="9.625" style="2" bestFit="1" customWidth="1"/>
    <col min="8980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24" width="11.125" style="2" bestFit="1" customWidth="1"/>
    <col min="9225" max="9225" width="9" style="2"/>
    <col min="9226" max="9227" width="11.125" style="2" bestFit="1" customWidth="1"/>
    <col min="9228" max="9228" width="9" style="2"/>
    <col min="9229" max="9233" width="11.125" style="2" bestFit="1" customWidth="1"/>
    <col min="9234" max="9234" width="9" style="2"/>
    <col min="9235" max="9235" width="9.625" style="2" bestFit="1" customWidth="1"/>
    <col min="9236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80" width="11.125" style="2" bestFit="1" customWidth="1"/>
    <col min="9481" max="9481" width="9" style="2"/>
    <col min="9482" max="9483" width="11.125" style="2" bestFit="1" customWidth="1"/>
    <col min="9484" max="9484" width="9" style="2"/>
    <col min="9485" max="9489" width="11.125" style="2" bestFit="1" customWidth="1"/>
    <col min="9490" max="9490" width="9" style="2"/>
    <col min="9491" max="9491" width="9.625" style="2" bestFit="1" customWidth="1"/>
    <col min="9492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36" width="11.125" style="2" bestFit="1" customWidth="1"/>
    <col min="9737" max="9737" width="9" style="2"/>
    <col min="9738" max="9739" width="11.125" style="2" bestFit="1" customWidth="1"/>
    <col min="9740" max="9740" width="9" style="2"/>
    <col min="9741" max="9745" width="11.125" style="2" bestFit="1" customWidth="1"/>
    <col min="9746" max="9746" width="9" style="2"/>
    <col min="9747" max="9747" width="9.625" style="2" bestFit="1" customWidth="1"/>
    <col min="9748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92" width="11.125" style="2" bestFit="1" customWidth="1"/>
    <col min="9993" max="9993" width="9" style="2"/>
    <col min="9994" max="9995" width="11.125" style="2" bestFit="1" customWidth="1"/>
    <col min="9996" max="9996" width="9" style="2"/>
    <col min="9997" max="10001" width="11.125" style="2" bestFit="1" customWidth="1"/>
    <col min="10002" max="10002" width="9" style="2"/>
    <col min="10003" max="10003" width="9.625" style="2" bestFit="1" customWidth="1"/>
    <col min="10004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48" width="11.125" style="2" bestFit="1" customWidth="1"/>
    <col min="10249" max="10249" width="9" style="2"/>
    <col min="10250" max="10251" width="11.125" style="2" bestFit="1" customWidth="1"/>
    <col min="10252" max="10252" width="9" style="2"/>
    <col min="10253" max="10257" width="11.125" style="2" bestFit="1" customWidth="1"/>
    <col min="10258" max="10258" width="9" style="2"/>
    <col min="10259" max="10259" width="9.625" style="2" bestFit="1" customWidth="1"/>
    <col min="10260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504" width="11.125" style="2" bestFit="1" customWidth="1"/>
    <col min="10505" max="10505" width="9" style="2"/>
    <col min="10506" max="10507" width="11.125" style="2" bestFit="1" customWidth="1"/>
    <col min="10508" max="10508" width="9" style="2"/>
    <col min="10509" max="10513" width="11.125" style="2" bestFit="1" customWidth="1"/>
    <col min="10514" max="10514" width="9" style="2"/>
    <col min="10515" max="10515" width="9.625" style="2" bestFit="1" customWidth="1"/>
    <col min="10516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60" width="11.125" style="2" bestFit="1" customWidth="1"/>
    <col min="10761" max="10761" width="9" style="2"/>
    <col min="10762" max="10763" width="11.125" style="2" bestFit="1" customWidth="1"/>
    <col min="10764" max="10764" width="9" style="2"/>
    <col min="10765" max="10769" width="11.125" style="2" bestFit="1" customWidth="1"/>
    <col min="10770" max="10770" width="9" style="2"/>
    <col min="10771" max="10771" width="9.625" style="2" bestFit="1" customWidth="1"/>
    <col min="10772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16" width="11.125" style="2" bestFit="1" customWidth="1"/>
    <col min="11017" max="11017" width="9" style="2"/>
    <col min="11018" max="11019" width="11.125" style="2" bestFit="1" customWidth="1"/>
    <col min="11020" max="11020" width="9" style="2"/>
    <col min="11021" max="11025" width="11.125" style="2" bestFit="1" customWidth="1"/>
    <col min="11026" max="11026" width="9" style="2"/>
    <col min="11027" max="11027" width="9.625" style="2" bestFit="1" customWidth="1"/>
    <col min="11028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72" width="11.125" style="2" bestFit="1" customWidth="1"/>
    <col min="11273" max="11273" width="9" style="2"/>
    <col min="11274" max="11275" width="11.125" style="2" bestFit="1" customWidth="1"/>
    <col min="11276" max="11276" width="9" style="2"/>
    <col min="11277" max="11281" width="11.125" style="2" bestFit="1" customWidth="1"/>
    <col min="11282" max="11282" width="9" style="2"/>
    <col min="11283" max="11283" width="9.625" style="2" bestFit="1" customWidth="1"/>
    <col min="11284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28" width="11.125" style="2" bestFit="1" customWidth="1"/>
    <col min="11529" max="11529" width="9" style="2"/>
    <col min="11530" max="11531" width="11.125" style="2" bestFit="1" customWidth="1"/>
    <col min="11532" max="11532" width="9" style="2"/>
    <col min="11533" max="11537" width="11.125" style="2" bestFit="1" customWidth="1"/>
    <col min="11538" max="11538" width="9" style="2"/>
    <col min="11539" max="11539" width="9.625" style="2" bestFit="1" customWidth="1"/>
    <col min="11540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84" width="11.125" style="2" bestFit="1" customWidth="1"/>
    <col min="11785" max="11785" width="9" style="2"/>
    <col min="11786" max="11787" width="11.125" style="2" bestFit="1" customWidth="1"/>
    <col min="11788" max="11788" width="9" style="2"/>
    <col min="11789" max="11793" width="11.125" style="2" bestFit="1" customWidth="1"/>
    <col min="11794" max="11794" width="9" style="2"/>
    <col min="11795" max="11795" width="9.625" style="2" bestFit="1" customWidth="1"/>
    <col min="11796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40" width="11.125" style="2" bestFit="1" customWidth="1"/>
    <col min="12041" max="12041" width="9" style="2"/>
    <col min="12042" max="12043" width="11.125" style="2" bestFit="1" customWidth="1"/>
    <col min="12044" max="12044" width="9" style="2"/>
    <col min="12045" max="12049" width="11.125" style="2" bestFit="1" customWidth="1"/>
    <col min="12050" max="12050" width="9" style="2"/>
    <col min="12051" max="12051" width="9.625" style="2" bestFit="1" customWidth="1"/>
    <col min="12052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96" width="11.125" style="2" bestFit="1" customWidth="1"/>
    <col min="12297" max="12297" width="9" style="2"/>
    <col min="12298" max="12299" width="11.125" style="2" bestFit="1" customWidth="1"/>
    <col min="12300" max="12300" width="9" style="2"/>
    <col min="12301" max="12305" width="11.125" style="2" bestFit="1" customWidth="1"/>
    <col min="12306" max="12306" width="9" style="2"/>
    <col min="12307" max="12307" width="9.625" style="2" bestFit="1" customWidth="1"/>
    <col min="12308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52" width="11.125" style="2" bestFit="1" customWidth="1"/>
    <col min="12553" max="12553" width="9" style="2"/>
    <col min="12554" max="12555" width="11.125" style="2" bestFit="1" customWidth="1"/>
    <col min="12556" max="12556" width="9" style="2"/>
    <col min="12557" max="12561" width="11.125" style="2" bestFit="1" customWidth="1"/>
    <col min="12562" max="12562" width="9" style="2"/>
    <col min="12563" max="12563" width="9.625" style="2" bestFit="1" customWidth="1"/>
    <col min="12564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808" width="11.125" style="2" bestFit="1" customWidth="1"/>
    <col min="12809" max="12809" width="9" style="2"/>
    <col min="12810" max="12811" width="11.125" style="2" bestFit="1" customWidth="1"/>
    <col min="12812" max="12812" width="9" style="2"/>
    <col min="12813" max="12817" width="11.125" style="2" bestFit="1" customWidth="1"/>
    <col min="12818" max="12818" width="9" style="2"/>
    <col min="12819" max="12819" width="9.625" style="2" bestFit="1" customWidth="1"/>
    <col min="12820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64" width="11.125" style="2" bestFit="1" customWidth="1"/>
    <col min="13065" max="13065" width="9" style="2"/>
    <col min="13066" max="13067" width="11.125" style="2" bestFit="1" customWidth="1"/>
    <col min="13068" max="13068" width="9" style="2"/>
    <col min="13069" max="13073" width="11.125" style="2" bestFit="1" customWidth="1"/>
    <col min="13074" max="13074" width="9" style="2"/>
    <col min="13075" max="13075" width="9.625" style="2" bestFit="1" customWidth="1"/>
    <col min="13076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20" width="11.125" style="2" bestFit="1" customWidth="1"/>
    <col min="13321" max="13321" width="9" style="2"/>
    <col min="13322" max="13323" width="11.125" style="2" bestFit="1" customWidth="1"/>
    <col min="13324" max="13324" width="9" style="2"/>
    <col min="13325" max="13329" width="11.125" style="2" bestFit="1" customWidth="1"/>
    <col min="13330" max="13330" width="9" style="2"/>
    <col min="13331" max="13331" width="9.625" style="2" bestFit="1" customWidth="1"/>
    <col min="13332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76" width="11.125" style="2" bestFit="1" customWidth="1"/>
    <col min="13577" max="13577" width="9" style="2"/>
    <col min="13578" max="13579" width="11.125" style="2" bestFit="1" customWidth="1"/>
    <col min="13580" max="13580" width="9" style="2"/>
    <col min="13581" max="13585" width="11.125" style="2" bestFit="1" customWidth="1"/>
    <col min="13586" max="13586" width="9" style="2"/>
    <col min="13587" max="13587" width="9.625" style="2" bestFit="1" customWidth="1"/>
    <col min="13588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32" width="11.125" style="2" bestFit="1" customWidth="1"/>
    <col min="13833" max="13833" width="9" style="2"/>
    <col min="13834" max="13835" width="11.125" style="2" bestFit="1" customWidth="1"/>
    <col min="13836" max="13836" width="9" style="2"/>
    <col min="13837" max="13841" width="11.125" style="2" bestFit="1" customWidth="1"/>
    <col min="13842" max="13842" width="9" style="2"/>
    <col min="13843" max="13843" width="9.625" style="2" bestFit="1" customWidth="1"/>
    <col min="13844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88" width="11.125" style="2" bestFit="1" customWidth="1"/>
    <col min="14089" max="14089" width="9" style="2"/>
    <col min="14090" max="14091" width="11.125" style="2" bestFit="1" customWidth="1"/>
    <col min="14092" max="14092" width="9" style="2"/>
    <col min="14093" max="14097" width="11.125" style="2" bestFit="1" customWidth="1"/>
    <col min="14098" max="14098" width="9" style="2"/>
    <col min="14099" max="14099" width="9.625" style="2" bestFit="1" customWidth="1"/>
    <col min="14100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44" width="11.125" style="2" bestFit="1" customWidth="1"/>
    <col min="14345" max="14345" width="9" style="2"/>
    <col min="14346" max="14347" width="11.125" style="2" bestFit="1" customWidth="1"/>
    <col min="14348" max="14348" width="9" style="2"/>
    <col min="14349" max="14353" width="11.125" style="2" bestFit="1" customWidth="1"/>
    <col min="14354" max="14354" width="9" style="2"/>
    <col min="14355" max="14355" width="9.625" style="2" bestFit="1" customWidth="1"/>
    <col min="14356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600" width="11.125" style="2" bestFit="1" customWidth="1"/>
    <col min="14601" max="14601" width="9" style="2"/>
    <col min="14602" max="14603" width="11.125" style="2" bestFit="1" customWidth="1"/>
    <col min="14604" max="14604" width="9" style="2"/>
    <col min="14605" max="14609" width="11.125" style="2" bestFit="1" customWidth="1"/>
    <col min="14610" max="14610" width="9" style="2"/>
    <col min="14611" max="14611" width="9.625" style="2" bestFit="1" customWidth="1"/>
    <col min="14612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56" width="11.125" style="2" bestFit="1" customWidth="1"/>
    <col min="14857" max="14857" width="9" style="2"/>
    <col min="14858" max="14859" width="11.125" style="2" bestFit="1" customWidth="1"/>
    <col min="14860" max="14860" width="9" style="2"/>
    <col min="14861" max="14865" width="11.125" style="2" bestFit="1" customWidth="1"/>
    <col min="14866" max="14866" width="9" style="2"/>
    <col min="14867" max="14867" width="9.625" style="2" bestFit="1" customWidth="1"/>
    <col min="14868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12" width="11.125" style="2" bestFit="1" customWidth="1"/>
    <col min="15113" max="15113" width="9" style="2"/>
    <col min="15114" max="15115" width="11.125" style="2" bestFit="1" customWidth="1"/>
    <col min="15116" max="15116" width="9" style="2"/>
    <col min="15117" max="15121" width="11.125" style="2" bestFit="1" customWidth="1"/>
    <col min="15122" max="15122" width="9" style="2"/>
    <col min="15123" max="15123" width="9.625" style="2" bestFit="1" customWidth="1"/>
    <col min="15124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68" width="11.125" style="2" bestFit="1" customWidth="1"/>
    <col min="15369" max="15369" width="9" style="2"/>
    <col min="15370" max="15371" width="11.125" style="2" bestFit="1" customWidth="1"/>
    <col min="15372" max="15372" width="9" style="2"/>
    <col min="15373" max="15377" width="11.125" style="2" bestFit="1" customWidth="1"/>
    <col min="15378" max="15378" width="9" style="2"/>
    <col min="15379" max="15379" width="9.625" style="2" bestFit="1" customWidth="1"/>
    <col min="15380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24" width="11.125" style="2" bestFit="1" customWidth="1"/>
    <col min="15625" max="15625" width="9" style="2"/>
    <col min="15626" max="15627" width="11.125" style="2" bestFit="1" customWidth="1"/>
    <col min="15628" max="15628" width="9" style="2"/>
    <col min="15629" max="15633" width="11.125" style="2" bestFit="1" customWidth="1"/>
    <col min="15634" max="15634" width="9" style="2"/>
    <col min="15635" max="15635" width="9.625" style="2" bestFit="1" customWidth="1"/>
    <col min="15636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80" width="11.125" style="2" bestFit="1" customWidth="1"/>
    <col min="15881" max="15881" width="9" style="2"/>
    <col min="15882" max="15883" width="11.125" style="2" bestFit="1" customWidth="1"/>
    <col min="15884" max="15884" width="9" style="2"/>
    <col min="15885" max="15889" width="11.125" style="2" bestFit="1" customWidth="1"/>
    <col min="15890" max="15890" width="9" style="2"/>
    <col min="15891" max="15891" width="9.625" style="2" bestFit="1" customWidth="1"/>
    <col min="15892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36" width="11.125" style="2" bestFit="1" customWidth="1"/>
    <col min="16137" max="16137" width="9" style="2"/>
    <col min="16138" max="16139" width="11.125" style="2" bestFit="1" customWidth="1"/>
    <col min="16140" max="16140" width="9" style="2"/>
    <col min="16141" max="16145" width="11.125" style="2" bestFit="1" customWidth="1"/>
    <col min="16146" max="16146" width="9" style="2"/>
    <col min="16147" max="16147" width="9.625" style="2" bestFit="1" customWidth="1"/>
    <col min="16148" max="16384" width="9" style="2"/>
  </cols>
  <sheetData>
    <row r="1" spans="1:19">
      <c r="A1" s="1" t="s">
        <v>0</v>
      </c>
    </row>
    <row r="2" spans="1:19">
      <c r="A2" s="1"/>
    </row>
    <row r="3" spans="1:19">
      <c r="A3" s="1" t="s">
        <v>1</v>
      </c>
    </row>
    <row r="4" spans="1:19">
      <c r="A4" s="1" t="s">
        <v>2</v>
      </c>
    </row>
    <row r="5" spans="1:19">
      <c r="A5" s="1" t="s">
        <v>3</v>
      </c>
    </row>
    <row r="6" spans="1:19" ht="19.5" thickBot="1">
      <c r="A6" s="1" t="s">
        <v>4</v>
      </c>
    </row>
    <row r="7" spans="1:19">
      <c r="B7" s="15"/>
      <c r="C7" s="23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59" t="s">
        <v>20</v>
      </c>
      <c r="S7" s="72" t="s">
        <v>21</v>
      </c>
    </row>
    <row r="8" spans="1:19" ht="19.5" thickBot="1">
      <c r="A8" s="3"/>
      <c r="B8" s="35" t="s">
        <v>33</v>
      </c>
      <c r="C8" s="36" t="s">
        <v>34</v>
      </c>
      <c r="D8" s="37" t="s">
        <v>35</v>
      </c>
      <c r="E8" s="37" t="s">
        <v>36</v>
      </c>
      <c r="F8" s="37" t="s">
        <v>37</v>
      </c>
      <c r="G8" s="37" t="s">
        <v>38</v>
      </c>
      <c r="H8" s="37" t="s">
        <v>39</v>
      </c>
      <c r="I8" s="37" t="s">
        <v>40</v>
      </c>
      <c r="J8" s="37" t="s">
        <v>41</v>
      </c>
      <c r="K8" s="37" t="s">
        <v>42</v>
      </c>
      <c r="L8" s="37" t="s">
        <v>43</v>
      </c>
      <c r="M8" s="37" t="s">
        <v>44</v>
      </c>
      <c r="N8" s="37" t="s">
        <v>45</v>
      </c>
      <c r="O8" s="37" t="s">
        <v>46</v>
      </c>
      <c r="P8" s="37" t="s">
        <v>47</v>
      </c>
      <c r="Q8" s="37" t="s">
        <v>48</v>
      </c>
      <c r="R8" s="60" t="s">
        <v>49</v>
      </c>
      <c r="S8" s="73" t="s">
        <v>50</v>
      </c>
    </row>
    <row r="9" spans="1:19">
      <c r="A9" s="1" t="s">
        <v>3</v>
      </c>
      <c r="B9" s="30" t="s">
        <v>64</v>
      </c>
      <c r="C9" s="31">
        <v>21</v>
      </c>
      <c r="D9" s="32">
        <v>16</v>
      </c>
      <c r="E9" s="32">
        <v>19</v>
      </c>
      <c r="F9" s="32">
        <v>20</v>
      </c>
      <c r="G9" s="32">
        <v>20</v>
      </c>
      <c r="H9" s="32">
        <v>21</v>
      </c>
      <c r="I9" s="32">
        <v>20</v>
      </c>
      <c r="J9" s="32">
        <v>21</v>
      </c>
      <c r="K9" s="32">
        <v>21</v>
      </c>
      <c r="L9" s="32">
        <v>21</v>
      </c>
      <c r="M9" s="32">
        <v>20</v>
      </c>
      <c r="N9" s="32">
        <v>21</v>
      </c>
      <c r="O9" s="32">
        <v>19</v>
      </c>
      <c r="P9" s="32">
        <v>20</v>
      </c>
      <c r="Q9" s="32">
        <v>20</v>
      </c>
      <c r="R9" s="61">
        <v>21</v>
      </c>
      <c r="S9" s="74">
        <f>SUM(C9:R9)</f>
        <v>321</v>
      </c>
    </row>
    <row r="10" spans="1:19">
      <c r="A10" s="1" t="s">
        <v>3</v>
      </c>
      <c r="B10" s="16" t="s">
        <v>65</v>
      </c>
      <c r="C10" s="25">
        <v>1</v>
      </c>
      <c r="D10" s="5">
        <v>0</v>
      </c>
      <c r="E10" s="5">
        <v>4</v>
      </c>
      <c r="F10" s="5">
        <v>2</v>
      </c>
      <c r="G10" s="5">
        <v>3</v>
      </c>
      <c r="H10" s="5">
        <v>3</v>
      </c>
      <c r="I10" s="5">
        <v>4</v>
      </c>
      <c r="J10" s="5">
        <v>2</v>
      </c>
      <c r="K10" s="5">
        <v>2</v>
      </c>
      <c r="L10" s="5">
        <v>2</v>
      </c>
      <c r="M10" s="5">
        <v>2</v>
      </c>
      <c r="N10" s="5">
        <v>2</v>
      </c>
      <c r="O10" s="5">
        <v>1</v>
      </c>
      <c r="P10" s="5">
        <v>2</v>
      </c>
      <c r="Q10" s="5">
        <v>3</v>
      </c>
      <c r="R10" s="62">
        <v>2</v>
      </c>
      <c r="S10" s="75">
        <f t="shared" ref="S10:S23" si="0">SUM(C10:R10)</f>
        <v>35</v>
      </c>
    </row>
    <row r="11" spans="1:19">
      <c r="A11" s="1" t="s">
        <v>3</v>
      </c>
      <c r="B11" s="16" t="s">
        <v>66</v>
      </c>
      <c r="C11" s="25">
        <v>3</v>
      </c>
      <c r="D11" s="5">
        <v>2</v>
      </c>
      <c r="E11" s="5">
        <v>0</v>
      </c>
      <c r="F11" s="5">
        <v>0</v>
      </c>
      <c r="G11" s="5">
        <v>2</v>
      </c>
      <c r="H11" s="5">
        <v>1</v>
      </c>
      <c r="I11" s="5">
        <v>0</v>
      </c>
      <c r="J11" s="5">
        <v>3</v>
      </c>
      <c r="K11" s="5">
        <v>3</v>
      </c>
      <c r="L11" s="5">
        <v>1</v>
      </c>
      <c r="M11" s="5">
        <v>3</v>
      </c>
      <c r="N11" s="5">
        <v>1</v>
      </c>
      <c r="O11" s="5">
        <v>3</v>
      </c>
      <c r="P11" s="5">
        <v>1</v>
      </c>
      <c r="Q11" s="5">
        <v>0</v>
      </c>
      <c r="R11" s="62">
        <v>4</v>
      </c>
      <c r="S11" s="75">
        <f t="shared" si="0"/>
        <v>27</v>
      </c>
    </row>
    <row r="12" spans="1:19">
      <c r="A12" s="1" t="s">
        <v>3</v>
      </c>
      <c r="B12" s="16" t="s">
        <v>67</v>
      </c>
      <c r="C12" s="2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2</v>
      </c>
      <c r="P12" s="5">
        <v>0</v>
      </c>
      <c r="Q12" s="5">
        <v>1</v>
      </c>
      <c r="R12" s="62">
        <v>0</v>
      </c>
      <c r="S12" s="75">
        <f t="shared" si="0"/>
        <v>3</v>
      </c>
    </row>
    <row r="13" spans="1:19">
      <c r="A13" s="1" t="s">
        <v>3</v>
      </c>
      <c r="B13" s="16" t="s">
        <v>68</v>
      </c>
      <c r="C13" s="25">
        <v>0</v>
      </c>
      <c r="D13" s="5">
        <v>1</v>
      </c>
      <c r="E13" s="5">
        <v>2</v>
      </c>
      <c r="F13" s="5">
        <v>1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1</v>
      </c>
      <c r="Q13" s="5">
        <v>0</v>
      </c>
      <c r="R13" s="62">
        <v>0</v>
      </c>
      <c r="S13" s="75">
        <f t="shared" si="0"/>
        <v>8</v>
      </c>
    </row>
    <row r="14" spans="1:19">
      <c r="A14" s="1" t="s">
        <v>3</v>
      </c>
      <c r="B14" s="16" t="s">
        <v>69</v>
      </c>
      <c r="C14" s="25">
        <v>0</v>
      </c>
      <c r="D14" s="5">
        <v>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62">
        <v>0</v>
      </c>
      <c r="S14" s="75">
        <f t="shared" si="0"/>
        <v>4</v>
      </c>
    </row>
    <row r="15" spans="1:19">
      <c r="A15" s="1" t="s">
        <v>3</v>
      </c>
      <c r="B15" s="16" t="s">
        <v>70</v>
      </c>
      <c r="C15" s="26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63">
        <v>0</v>
      </c>
      <c r="S15" s="76">
        <f t="shared" si="0"/>
        <v>0</v>
      </c>
    </row>
    <row r="16" spans="1:19">
      <c r="A16" s="1" t="s">
        <v>3</v>
      </c>
      <c r="B16" s="16" t="s">
        <v>71</v>
      </c>
      <c r="C16" s="26">
        <v>0.91666666666666663</v>
      </c>
      <c r="D16" s="7">
        <v>1.2083333333333333</v>
      </c>
      <c r="E16" s="7">
        <v>0.83333333333333337</v>
      </c>
      <c r="F16" s="7">
        <v>1.7083333333333335</v>
      </c>
      <c r="G16" s="7">
        <v>2.0416666666666665</v>
      </c>
      <c r="H16" s="7">
        <v>2.0416666666666665</v>
      </c>
      <c r="I16" s="7">
        <v>1.5833333333333335</v>
      </c>
      <c r="J16" s="7">
        <v>1.4166666666666667</v>
      </c>
      <c r="K16" s="7">
        <v>1.4166666666666667</v>
      </c>
      <c r="L16" s="7">
        <v>1.2083333333333333</v>
      </c>
      <c r="M16" s="7">
        <v>0.79166666666666663</v>
      </c>
      <c r="N16" s="7">
        <v>1.0833333333333333</v>
      </c>
      <c r="O16" s="7">
        <v>2.25</v>
      </c>
      <c r="P16" s="7">
        <v>2.5</v>
      </c>
      <c r="Q16" s="7">
        <v>1.125</v>
      </c>
      <c r="R16" s="63">
        <v>0.875</v>
      </c>
      <c r="S16" s="76">
        <f t="shared" si="0"/>
        <v>23</v>
      </c>
    </row>
    <row r="17" spans="1:19">
      <c r="A17" s="1" t="s">
        <v>3</v>
      </c>
      <c r="B17" s="16" t="s">
        <v>72</v>
      </c>
      <c r="C17" s="26">
        <v>0.20833333333333334</v>
      </c>
      <c r="D17" s="7">
        <v>0</v>
      </c>
      <c r="E17" s="7">
        <v>1.4583333333333333</v>
      </c>
      <c r="F17" s="7">
        <v>0.83333333333333337</v>
      </c>
      <c r="G17" s="7">
        <v>1.375</v>
      </c>
      <c r="H17" s="7">
        <v>1.2916666666666667</v>
      </c>
      <c r="I17" s="7">
        <v>1.4583333333333333</v>
      </c>
      <c r="J17" s="7">
        <v>0.875</v>
      </c>
      <c r="K17" s="7">
        <v>0.75</v>
      </c>
      <c r="L17" s="7">
        <v>0.75</v>
      </c>
      <c r="M17" s="7">
        <v>0.45833333333333331</v>
      </c>
      <c r="N17" s="7">
        <v>0.75</v>
      </c>
      <c r="O17" s="7">
        <v>0</v>
      </c>
      <c r="P17" s="7">
        <v>0.875</v>
      </c>
      <c r="Q17" s="7">
        <v>0.75</v>
      </c>
      <c r="R17" s="63">
        <v>0.54166666666666663</v>
      </c>
      <c r="S17" s="76">
        <f t="shared" si="0"/>
        <v>12.375</v>
      </c>
    </row>
    <row r="18" spans="1:19">
      <c r="A18" s="1" t="s">
        <v>3</v>
      </c>
      <c r="B18" s="16" t="s">
        <v>73</v>
      </c>
      <c r="C18" s="26">
        <v>1</v>
      </c>
      <c r="D18" s="7">
        <v>0.5</v>
      </c>
      <c r="E18" s="7">
        <v>0</v>
      </c>
      <c r="F18" s="7">
        <v>0</v>
      </c>
      <c r="G18" s="7">
        <v>0.5</v>
      </c>
      <c r="H18" s="7">
        <v>0.29166666666666669</v>
      </c>
      <c r="I18" s="7">
        <v>0</v>
      </c>
      <c r="J18" s="7">
        <v>1</v>
      </c>
      <c r="K18" s="7">
        <v>0.83333333333333337</v>
      </c>
      <c r="L18" s="7">
        <v>0.125</v>
      </c>
      <c r="M18" s="7">
        <v>0.79166666666666663</v>
      </c>
      <c r="N18" s="7">
        <v>0.25</v>
      </c>
      <c r="O18" s="7">
        <v>0.95833333333333337</v>
      </c>
      <c r="P18" s="7">
        <v>0.33333333333333331</v>
      </c>
      <c r="Q18" s="7">
        <v>0</v>
      </c>
      <c r="R18" s="63">
        <v>1.125</v>
      </c>
      <c r="S18" s="76">
        <f t="shared" si="0"/>
        <v>7.708333333333333</v>
      </c>
    </row>
    <row r="19" spans="1:19">
      <c r="A19" s="1" t="s">
        <v>3</v>
      </c>
      <c r="B19" s="16" t="s">
        <v>74</v>
      </c>
      <c r="C19" s="26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0.20833333333333334</v>
      </c>
      <c r="P19" s="7">
        <v>0</v>
      </c>
      <c r="Q19" s="7">
        <v>0.41666666666666669</v>
      </c>
      <c r="R19" s="63">
        <v>0</v>
      </c>
      <c r="S19" s="76">
        <f t="shared" si="0"/>
        <v>0.625</v>
      </c>
    </row>
    <row r="20" spans="1:19">
      <c r="A20" s="1" t="s">
        <v>3</v>
      </c>
      <c r="B20" s="16" t="s">
        <v>75</v>
      </c>
      <c r="C20" s="26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0.16666666666666666</v>
      </c>
      <c r="P20" s="7">
        <v>0</v>
      </c>
      <c r="Q20" s="7">
        <v>0</v>
      </c>
      <c r="R20" s="63">
        <v>0</v>
      </c>
      <c r="S20" s="76">
        <f t="shared" si="0"/>
        <v>0.16666666666666666</v>
      </c>
    </row>
    <row r="21" spans="1:19">
      <c r="A21" s="1" t="s">
        <v>3</v>
      </c>
      <c r="B21" s="16" t="s">
        <v>76</v>
      </c>
      <c r="C21" s="2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4.1666666666666664E-2</v>
      </c>
      <c r="P21" s="7">
        <v>0</v>
      </c>
      <c r="Q21" s="7">
        <v>0</v>
      </c>
      <c r="R21" s="63">
        <v>0</v>
      </c>
      <c r="S21" s="76">
        <f t="shared" si="0"/>
        <v>4.1666666666666664E-2</v>
      </c>
    </row>
    <row r="22" spans="1:19">
      <c r="A22" s="1" t="s">
        <v>3</v>
      </c>
      <c r="B22" s="16" t="s">
        <v>77</v>
      </c>
      <c r="C22" s="26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63">
        <v>0</v>
      </c>
      <c r="S22" s="76">
        <f t="shared" si="0"/>
        <v>0</v>
      </c>
    </row>
    <row r="23" spans="1:19">
      <c r="A23" s="1" t="s">
        <v>3</v>
      </c>
      <c r="B23" s="16" t="s">
        <v>78</v>
      </c>
      <c r="C23" s="26">
        <v>0.25</v>
      </c>
      <c r="D23" s="7">
        <v>4.1666666666666664E-2</v>
      </c>
      <c r="E23" s="7">
        <v>0.125</v>
      </c>
      <c r="F23" s="7">
        <v>1.0416666666666667</v>
      </c>
      <c r="G23" s="7">
        <v>0.75</v>
      </c>
      <c r="H23" s="7">
        <v>0.20833333333333334</v>
      </c>
      <c r="I23" s="7">
        <v>0.25</v>
      </c>
      <c r="J23" s="7">
        <v>0.33333333333333331</v>
      </c>
      <c r="K23" s="7">
        <v>0.41666666666666669</v>
      </c>
      <c r="L23" s="7">
        <v>0.5</v>
      </c>
      <c r="M23" s="7">
        <v>4.1666666666666664E-2</v>
      </c>
      <c r="N23" s="7">
        <v>0.41666666666666669</v>
      </c>
      <c r="O23" s="7">
        <v>1.2916666666666667</v>
      </c>
      <c r="P23" s="7">
        <v>1.2083333333333333</v>
      </c>
      <c r="Q23" s="7">
        <v>1.125</v>
      </c>
      <c r="R23" s="63">
        <v>8.3333333333333329E-2</v>
      </c>
      <c r="S23" s="76">
        <f t="shared" si="0"/>
        <v>8.0833333333333339</v>
      </c>
    </row>
    <row r="24" spans="1:19">
      <c r="A24" s="1" t="s">
        <v>3</v>
      </c>
      <c r="B24" s="44" t="s">
        <v>79</v>
      </c>
      <c r="C24" s="45">
        <v>17</v>
      </c>
      <c r="D24" s="46">
        <v>18</v>
      </c>
      <c r="E24" s="46">
        <v>33</v>
      </c>
      <c r="F24" s="46">
        <v>37</v>
      </c>
      <c r="G24" s="46">
        <v>33</v>
      </c>
      <c r="H24" s="46">
        <v>28</v>
      </c>
      <c r="I24" s="46">
        <v>35</v>
      </c>
      <c r="J24" s="46">
        <v>33.5</v>
      </c>
      <c r="K24" s="46">
        <v>34.5</v>
      </c>
      <c r="L24" s="46">
        <v>34</v>
      </c>
      <c r="M24" s="46">
        <v>30</v>
      </c>
      <c r="N24" s="46">
        <v>34.5</v>
      </c>
      <c r="O24" s="46">
        <v>14</v>
      </c>
      <c r="P24" s="46">
        <v>16</v>
      </c>
      <c r="Q24" s="46">
        <v>24</v>
      </c>
      <c r="R24" s="64">
        <v>0</v>
      </c>
      <c r="S24" s="77"/>
    </row>
    <row r="25" spans="1:19">
      <c r="A25" s="1" t="s">
        <v>3</v>
      </c>
      <c r="B25" s="30" t="s">
        <v>80</v>
      </c>
      <c r="C25" s="40">
        <v>182000</v>
      </c>
      <c r="D25" s="41">
        <v>192000</v>
      </c>
      <c r="E25" s="41">
        <v>197000</v>
      </c>
      <c r="F25" s="41">
        <v>197000</v>
      </c>
      <c r="G25" s="41">
        <v>197000</v>
      </c>
      <c r="H25" s="41">
        <v>182000</v>
      </c>
      <c r="I25" s="41">
        <v>187000</v>
      </c>
      <c r="J25" s="41">
        <v>182000</v>
      </c>
      <c r="K25" s="41">
        <v>197000</v>
      </c>
      <c r="L25" s="41">
        <v>192000</v>
      </c>
      <c r="M25" s="41">
        <v>192000</v>
      </c>
      <c r="N25" s="41">
        <v>182000</v>
      </c>
      <c r="O25" s="41">
        <v>175000</v>
      </c>
      <c r="P25" s="41">
        <v>175000</v>
      </c>
      <c r="Q25" s="41">
        <v>180000</v>
      </c>
      <c r="R25" s="65">
        <v>175000</v>
      </c>
      <c r="S25" s="78">
        <f t="shared" ref="S25:S55" si="1">SUM(C25:R25)</f>
        <v>2984000</v>
      </c>
    </row>
    <row r="26" spans="1:19">
      <c r="A26" s="1" t="s">
        <v>3</v>
      </c>
      <c r="B26" s="16" t="s">
        <v>81</v>
      </c>
      <c r="C26" s="27">
        <v>0</v>
      </c>
      <c r="D26" s="9">
        <v>0</v>
      </c>
      <c r="E26" s="9">
        <v>20000</v>
      </c>
      <c r="F26" s="9">
        <v>20000</v>
      </c>
      <c r="G26" s="9">
        <v>0</v>
      </c>
      <c r="H26" s="9">
        <v>0</v>
      </c>
      <c r="I26" s="9">
        <v>5000</v>
      </c>
      <c r="J26" s="9">
        <v>0</v>
      </c>
      <c r="K26" s="9">
        <v>0</v>
      </c>
      <c r="L26" s="9">
        <v>0</v>
      </c>
      <c r="M26" s="9">
        <v>5000</v>
      </c>
      <c r="N26" s="9">
        <v>0</v>
      </c>
      <c r="O26" s="9">
        <v>0</v>
      </c>
      <c r="P26" s="9">
        <v>0</v>
      </c>
      <c r="Q26" s="9">
        <v>0</v>
      </c>
      <c r="R26" s="66">
        <v>0</v>
      </c>
      <c r="S26" s="79">
        <f t="shared" si="1"/>
        <v>50000</v>
      </c>
    </row>
    <row r="27" spans="1:19">
      <c r="A27" s="1" t="s">
        <v>3</v>
      </c>
      <c r="B27" s="16" t="s">
        <v>82</v>
      </c>
      <c r="C27" s="27">
        <v>0</v>
      </c>
      <c r="D27" s="9">
        <v>0</v>
      </c>
      <c r="E27" s="9">
        <v>3000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66">
        <v>0</v>
      </c>
      <c r="S27" s="79">
        <f t="shared" si="1"/>
        <v>3000</v>
      </c>
    </row>
    <row r="28" spans="1:19">
      <c r="A28" s="1" t="s">
        <v>3</v>
      </c>
      <c r="B28" s="16" t="s">
        <v>83</v>
      </c>
      <c r="C28" s="27">
        <v>0</v>
      </c>
      <c r="D28" s="9">
        <v>0</v>
      </c>
      <c r="E28" s="9">
        <v>0</v>
      </c>
      <c r="F28" s="9">
        <v>7069</v>
      </c>
      <c r="G28" s="9">
        <v>6264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94523</v>
      </c>
      <c r="N28" s="9">
        <v>10783</v>
      </c>
      <c r="O28" s="9">
        <v>0</v>
      </c>
      <c r="P28" s="9">
        <v>0</v>
      </c>
      <c r="Q28" s="9">
        <v>47050</v>
      </c>
      <c r="R28" s="66">
        <v>0</v>
      </c>
      <c r="S28" s="79">
        <f t="shared" si="1"/>
        <v>165689</v>
      </c>
    </row>
    <row r="29" spans="1:19">
      <c r="A29" s="1" t="s">
        <v>3</v>
      </c>
      <c r="B29" s="16" t="s">
        <v>84</v>
      </c>
      <c r="C29" s="27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66">
        <v>0</v>
      </c>
      <c r="S29" s="79">
        <f t="shared" si="1"/>
        <v>0</v>
      </c>
    </row>
    <row r="30" spans="1:19">
      <c r="A30" s="1" t="s">
        <v>3</v>
      </c>
      <c r="B30" s="16" t="s">
        <v>85</v>
      </c>
      <c r="C30" s="27">
        <v>3500</v>
      </c>
      <c r="D30" s="9">
        <v>0</v>
      </c>
      <c r="E30" s="9">
        <v>3500</v>
      </c>
      <c r="F30" s="9">
        <v>3500</v>
      </c>
      <c r="G30" s="9">
        <v>3500</v>
      </c>
      <c r="H30" s="9">
        <v>3500</v>
      </c>
      <c r="I30" s="9">
        <v>3500</v>
      </c>
      <c r="J30" s="9">
        <v>3500</v>
      </c>
      <c r="K30" s="9">
        <v>3500</v>
      </c>
      <c r="L30" s="9">
        <v>3500</v>
      </c>
      <c r="M30" s="9">
        <v>2000</v>
      </c>
      <c r="N30" s="9">
        <v>3500</v>
      </c>
      <c r="O30" s="9">
        <v>1000</v>
      </c>
      <c r="P30" s="9">
        <v>2000</v>
      </c>
      <c r="Q30" s="9">
        <v>2000</v>
      </c>
      <c r="R30" s="66">
        <v>0</v>
      </c>
      <c r="S30" s="79">
        <f t="shared" si="1"/>
        <v>42000</v>
      </c>
    </row>
    <row r="31" spans="1:19">
      <c r="A31" s="1" t="s">
        <v>3</v>
      </c>
      <c r="B31" s="16" t="s">
        <v>86</v>
      </c>
      <c r="C31" s="27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66">
        <v>0</v>
      </c>
      <c r="S31" s="79">
        <f t="shared" si="1"/>
        <v>0</v>
      </c>
    </row>
    <row r="32" spans="1:19">
      <c r="A32" s="1" t="s">
        <v>3</v>
      </c>
      <c r="B32" s="16" t="s">
        <v>87</v>
      </c>
      <c r="C32" s="27">
        <v>0</v>
      </c>
      <c r="D32" s="9">
        <v>36744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66">
        <v>0</v>
      </c>
      <c r="S32" s="79">
        <f t="shared" si="1"/>
        <v>36744</v>
      </c>
    </row>
    <row r="33" spans="1:19">
      <c r="A33" s="1" t="s">
        <v>3</v>
      </c>
      <c r="B33" s="16" t="s">
        <v>71</v>
      </c>
      <c r="C33" s="27">
        <v>30558</v>
      </c>
      <c r="D33" s="9">
        <v>41702</v>
      </c>
      <c r="E33" s="9">
        <v>33460</v>
      </c>
      <c r="F33" s="9">
        <v>67650</v>
      </c>
      <c r="G33" s="9">
        <v>73549</v>
      </c>
      <c r="H33" s="9">
        <v>68061</v>
      </c>
      <c r="I33" s="9">
        <v>55632</v>
      </c>
      <c r="J33" s="9">
        <v>47226</v>
      </c>
      <c r="K33" s="9">
        <v>51034</v>
      </c>
      <c r="L33" s="9">
        <v>42456</v>
      </c>
      <c r="M33" s="9">
        <v>28310</v>
      </c>
      <c r="N33" s="9">
        <v>36114</v>
      </c>
      <c r="O33" s="9">
        <v>71172</v>
      </c>
      <c r="P33" s="9">
        <v>79500</v>
      </c>
      <c r="Q33" s="9">
        <v>36801</v>
      </c>
      <c r="R33" s="66">
        <v>27510</v>
      </c>
      <c r="S33" s="79">
        <f t="shared" si="1"/>
        <v>790735</v>
      </c>
    </row>
    <row r="34" spans="1:19">
      <c r="A34" s="1" t="s">
        <v>3</v>
      </c>
      <c r="B34" s="16" t="s">
        <v>88</v>
      </c>
      <c r="C34" s="27">
        <v>7500</v>
      </c>
      <c r="D34" s="9">
        <v>0</v>
      </c>
      <c r="E34" s="9">
        <v>63210</v>
      </c>
      <c r="F34" s="9">
        <v>35640</v>
      </c>
      <c r="G34" s="9">
        <v>53493</v>
      </c>
      <c r="H34" s="9">
        <v>46500</v>
      </c>
      <c r="I34" s="9">
        <v>55335</v>
      </c>
      <c r="J34" s="9">
        <v>31500</v>
      </c>
      <c r="K34" s="9">
        <v>29178</v>
      </c>
      <c r="L34" s="9">
        <v>28458</v>
      </c>
      <c r="M34" s="9">
        <v>17699</v>
      </c>
      <c r="N34" s="9">
        <v>27000</v>
      </c>
      <c r="O34" s="9">
        <v>0</v>
      </c>
      <c r="P34" s="9">
        <v>30051</v>
      </c>
      <c r="Q34" s="9">
        <v>26496</v>
      </c>
      <c r="R34" s="66">
        <v>18395</v>
      </c>
      <c r="S34" s="79">
        <f t="shared" si="1"/>
        <v>470455</v>
      </c>
    </row>
    <row r="35" spans="1:19">
      <c r="A35" s="1" t="s">
        <v>3</v>
      </c>
      <c r="B35" s="16" t="s">
        <v>89</v>
      </c>
      <c r="C35" s="27">
        <v>36000</v>
      </c>
      <c r="D35" s="9">
        <v>18636</v>
      </c>
      <c r="E35" s="9">
        <v>0</v>
      </c>
      <c r="F35" s="9">
        <v>0</v>
      </c>
      <c r="G35" s="9">
        <v>19452</v>
      </c>
      <c r="H35" s="9">
        <v>10500</v>
      </c>
      <c r="I35" s="9">
        <v>0</v>
      </c>
      <c r="J35" s="9">
        <v>36000</v>
      </c>
      <c r="K35" s="9">
        <v>32420</v>
      </c>
      <c r="L35" s="9">
        <v>4743</v>
      </c>
      <c r="M35" s="9">
        <v>30571</v>
      </c>
      <c r="N35" s="9">
        <v>9000</v>
      </c>
      <c r="O35" s="9">
        <v>32729</v>
      </c>
      <c r="P35" s="9">
        <v>11448</v>
      </c>
      <c r="Q35" s="9">
        <v>0</v>
      </c>
      <c r="R35" s="66">
        <v>38205</v>
      </c>
      <c r="S35" s="79">
        <f t="shared" si="1"/>
        <v>279704</v>
      </c>
    </row>
    <row r="36" spans="1:19">
      <c r="A36" s="1" t="s">
        <v>3</v>
      </c>
      <c r="B36" s="16" t="s">
        <v>90</v>
      </c>
      <c r="C36" s="27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1845</v>
      </c>
      <c r="P36" s="9">
        <v>0</v>
      </c>
      <c r="Q36" s="9">
        <v>3820</v>
      </c>
      <c r="R36" s="66">
        <v>0</v>
      </c>
      <c r="S36" s="79">
        <f t="shared" si="1"/>
        <v>5665</v>
      </c>
    </row>
    <row r="37" spans="1:19">
      <c r="A37" s="1" t="s">
        <v>3</v>
      </c>
      <c r="B37" s="16" t="s">
        <v>91</v>
      </c>
      <c r="C37" s="27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1476</v>
      </c>
      <c r="P37" s="9">
        <v>0</v>
      </c>
      <c r="Q37" s="9">
        <v>0</v>
      </c>
      <c r="R37" s="66">
        <v>0</v>
      </c>
      <c r="S37" s="79">
        <f t="shared" si="1"/>
        <v>1476</v>
      </c>
    </row>
    <row r="38" spans="1:19">
      <c r="A38" s="1" t="s">
        <v>3</v>
      </c>
      <c r="B38" s="16" t="s">
        <v>76</v>
      </c>
      <c r="C38" s="27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264</v>
      </c>
      <c r="P38" s="9">
        <v>0</v>
      </c>
      <c r="Q38" s="9">
        <v>0</v>
      </c>
      <c r="R38" s="66">
        <v>0</v>
      </c>
      <c r="S38" s="79">
        <f t="shared" si="1"/>
        <v>264</v>
      </c>
    </row>
    <row r="39" spans="1:19">
      <c r="A39" s="1" t="s">
        <v>3</v>
      </c>
      <c r="B39" s="49" t="s">
        <v>78</v>
      </c>
      <c r="C39" s="50">
        <v>1668</v>
      </c>
      <c r="D39" s="51">
        <v>288</v>
      </c>
      <c r="E39" s="51">
        <v>1005</v>
      </c>
      <c r="F39" s="51">
        <v>8250</v>
      </c>
      <c r="G39" s="51">
        <v>5400</v>
      </c>
      <c r="H39" s="51">
        <v>1390</v>
      </c>
      <c r="I39" s="51">
        <v>1758</v>
      </c>
      <c r="J39" s="51">
        <v>2224</v>
      </c>
      <c r="K39" s="51">
        <v>3000</v>
      </c>
      <c r="L39" s="51">
        <v>3516</v>
      </c>
      <c r="M39" s="51">
        <v>298</v>
      </c>
      <c r="N39" s="51">
        <v>2780</v>
      </c>
      <c r="O39" s="51">
        <v>8184</v>
      </c>
      <c r="P39" s="51">
        <v>7685</v>
      </c>
      <c r="Q39" s="51">
        <v>7371</v>
      </c>
      <c r="R39" s="67">
        <v>524</v>
      </c>
      <c r="S39" s="80">
        <f t="shared" si="1"/>
        <v>55341</v>
      </c>
    </row>
    <row r="40" spans="1:19">
      <c r="A40" s="1" t="s">
        <v>3</v>
      </c>
      <c r="B40" s="54" t="s">
        <v>92</v>
      </c>
      <c r="C40" s="55">
        <v>261226</v>
      </c>
      <c r="D40" s="56">
        <v>215882</v>
      </c>
      <c r="E40" s="56">
        <v>321175</v>
      </c>
      <c r="F40" s="56">
        <v>339109</v>
      </c>
      <c r="G40" s="56">
        <v>358658</v>
      </c>
      <c r="H40" s="56">
        <v>311951</v>
      </c>
      <c r="I40" s="56">
        <v>308225</v>
      </c>
      <c r="J40" s="56">
        <v>302450</v>
      </c>
      <c r="K40" s="56">
        <v>316132</v>
      </c>
      <c r="L40" s="56">
        <v>274673</v>
      </c>
      <c r="M40" s="56">
        <v>370401</v>
      </c>
      <c r="N40" s="56">
        <v>271177</v>
      </c>
      <c r="O40" s="56">
        <v>291670</v>
      </c>
      <c r="P40" s="56">
        <v>305684</v>
      </c>
      <c r="Q40" s="56">
        <v>303538</v>
      </c>
      <c r="R40" s="68">
        <v>259634</v>
      </c>
      <c r="S40" s="81">
        <f t="shared" si="1"/>
        <v>4811585</v>
      </c>
    </row>
    <row r="41" spans="1:19">
      <c r="A41" s="1" t="s">
        <v>3</v>
      </c>
      <c r="B41" s="54" t="s">
        <v>93</v>
      </c>
      <c r="C41" s="55">
        <v>14316</v>
      </c>
      <c r="D41" s="56">
        <v>2577</v>
      </c>
      <c r="E41" s="56">
        <v>5927</v>
      </c>
      <c r="F41" s="56">
        <v>3150</v>
      </c>
      <c r="G41" s="56">
        <v>2864</v>
      </c>
      <c r="H41" s="56">
        <v>2864</v>
      </c>
      <c r="I41" s="56">
        <v>1375</v>
      </c>
      <c r="J41" s="56">
        <v>3722</v>
      </c>
      <c r="K41" s="56">
        <v>5956</v>
      </c>
      <c r="L41" s="56">
        <v>8246</v>
      </c>
      <c r="M41" s="56">
        <v>7158</v>
      </c>
      <c r="N41" s="56">
        <v>11682</v>
      </c>
      <c r="O41" s="56">
        <v>8561</v>
      </c>
      <c r="P41" s="56">
        <v>8561</v>
      </c>
      <c r="Q41" s="56">
        <v>2635</v>
      </c>
      <c r="R41" s="68">
        <v>11911</v>
      </c>
      <c r="S41" s="81">
        <f t="shared" si="1"/>
        <v>101505</v>
      </c>
    </row>
    <row r="42" spans="1:19">
      <c r="A42" s="1" t="s">
        <v>3</v>
      </c>
      <c r="B42" s="54" t="s">
        <v>94</v>
      </c>
      <c r="C42" s="55">
        <v>14316</v>
      </c>
      <c r="D42" s="56">
        <v>2577</v>
      </c>
      <c r="E42" s="56">
        <v>5927</v>
      </c>
      <c r="F42" s="56">
        <v>3150</v>
      </c>
      <c r="G42" s="56">
        <v>2864</v>
      </c>
      <c r="H42" s="56">
        <v>2864</v>
      </c>
      <c r="I42" s="56">
        <v>1375</v>
      </c>
      <c r="J42" s="56">
        <v>3722</v>
      </c>
      <c r="K42" s="56">
        <v>5956</v>
      </c>
      <c r="L42" s="56">
        <v>8246</v>
      </c>
      <c r="M42" s="56">
        <v>7158</v>
      </c>
      <c r="N42" s="56">
        <v>11682</v>
      </c>
      <c r="O42" s="56">
        <v>8561</v>
      </c>
      <c r="P42" s="56">
        <v>8561</v>
      </c>
      <c r="Q42" s="56">
        <v>2635</v>
      </c>
      <c r="R42" s="68">
        <v>11911</v>
      </c>
      <c r="S42" s="81">
        <f t="shared" si="1"/>
        <v>101505</v>
      </c>
    </row>
    <row r="43" spans="1:19">
      <c r="A43" s="1" t="s">
        <v>3</v>
      </c>
      <c r="B43" s="54" t="s">
        <v>95</v>
      </c>
      <c r="C43" s="55">
        <v>275542</v>
      </c>
      <c r="D43" s="56">
        <v>218459</v>
      </c>
      <c r="E43" s="56">
        <v>327102</v>
      </c>
      <c r="F43" s="56">
        <v>342259</v>
      </c>
      <c r="G43" s="56">
        <v>361522</v>
      </c>
      <c r="H43" s="56">
        <v>314815</v>
      </c>
      <c r="I43" s="56">
        <v>309600</v>
      </c>
      <c r="J43" s="56">
        <v>306172</v>
      </c>
      <c r="K43" s="56">
        <v>322088</v>
      </c>
      <c r="L43" s="56">
        <v>282919</v>
      </c>
      <c r="M43" s="56">
        <v>377559</v>
      </c>
      <c r="N43" s="56">
        <v>282859</v>
      </c>
      <c r="O43" s="56">
        <v>300231</v>
      </c>
      <c r="P43" s="56">
        <v>314245</v>
      </c>
      <c r="Q43" s="56">
        <v>306173</v>
      </c>
      <c r="R43" s="68">
        <v>271545</v>
      </c>
      <c r="S43" s="81">
        <f t="shared" si="1"/>
        <v>4913090</v>
      </c>
    </row>
    <row r="44" spans="1:19">
      <c r="A44" s="1" t="s">
        <v>3</v>
      </c>
      <c r="B44" s="30" t="s">
        <v>96</v>
      </c>
      <c r="C44" s="40">
        <v>15300</v>
      </c>
      <c r="D44" s="41">
        <v>16320</v>
      </c>
      <c r="E44" s="41">
        <v>19380</v>
      </c>
      <c r="F44" s="41">
        <v>19380</v>
      </c>
      <c r="G44" s="41">
        <v>19380</v>
      </c>
      <c r="H44" s="41">
        <v>16320</v>
      </c>
      <c r="I44" s="41">
        <v>15300</v>
      </c>
      <c r="J44" s="41">
        <v>15300</v>
      </c>
      <c r="K44" s="41">
        <v>19380</v>
      </c>
      <c r="L44" s="41">
        <v>18360</v>
      </c>
      <c r="M44" s="41">
        <v>19380</v>
      </c>
      <c r="N44" s="41">
        <v>15300</v>
      </c>
      <c r="O44" s="41">
        <v>16320</v>
      </c>
      <c r="P44" s="41">
        <v>14280</v>
      </c>
      <c r="Q44" s="41">
        <v>16320</v>
      </c>
      <c r="R44" s="65">
        <v>13260</v>
      </c>
      <c r="S44" s="78">
        <f t="shared" si="1"/>
        <v>269280</v>
      </c>
    </row>
    <row r="45" spans="1:19">
      <c r="A45" s="1" t="s">
        <v>3</v>
      </c>
      <c r="B45" s="16" t="s">
        <v>97</v>
      </c>
      <c r="C45" s="27">
        <v>2700</v>
      </c>
      <c r="D45" s="9">
        <v>2880</v>
      </c>
      <c r="E45" s="9">
        <v>3420</v>
      </c>
      <c r="F45" s="9">
        <v>3420</v>
      </c>
      <c r="G45" s="9">
        <v>0</v>
      </c>
      <c r="H45" s="9">
        <v>2880</v>
      </c>
      <c r="I45" s="9">
        <v>2700</v>
      </c>
      <c r="J45" s="9">
        <v>2700</v>
      </c>
      <c r="K45" s="9">
        <v>3420</v>
      </c>
      <c r="L45" s="9">
        <v>3240</v>
      </c>
      <c r="M45" s="9">
        <v>3420</v>
      </c>
      <c r="N45" s="9">
        <v>2700</v>
      </c>
      <c r="O45" s="9">
        <v>2880</v>
      </c>
      <c r="P45" s="9">
        <v>2520</v>
      </c>
      <c r="Q45" s="9">
        <v>2880</v>
      </c>
      <c r="R45" s="66">
        <v>2340</v>
      </c>
      <c r="S45" s="79">
        <f t="shared" si="1"/>
        <v>44100</v>
      </c>
    </row>
    <row r="46" spans="1:19">
      <c r="A46" s="1" t="s">
        <v>3</v>
      </c>
      <c r="B46" s="16" t="s">
        <v>98</v>
      </c>
      <c r="C46" s="27">
        <v>27450</v>
      </c>
      <c r="D46" s="9">
        <v>29280</v>
      </c>
      <c r="E46" s="9">
        <v>34770</v>
      </c>
      <c r="F46" s="9">
        <v>34770</v>
      </c>
      <c r="G46" s="9">
        <v>34770</v>
      </c>
      <c r="H46" s="9">
        <v>29280</v>
      </c>
      <c r="I46" s="9">
        <v>27450</v>
      </c>
      <c r="J46" s="9">
        <v>27450</v>
      </c>
      <c r="K46" s="9">
        <v>34770</v>
      </c>
      <c r="L46" s="9">
        <v>32940</v>
      </c>
      <c r="M46" s="9">
        <v>34770</v>
      </c>
      <c r="N46" s="9">
        <v>27450</v>
      </c>
      <c r="O46" s="9">
        <v>29280</v>
      </c>
      <c r="P46" s="9">
        <v>25620</v>
      </c>
      <c r="Q46" s="9">
        <v>29280</v>
      </c>
      <c r="R46" s="66">
        <v>23790</v>
      </c>
      <c r="S46" s="79">
        <f t="shared" si="1"/>
        <v>483120</v>
      </c>
    </row>
    <row r="47" spans="1:19">
      <c r="A47" s="1" t="s">
        <v>3</v>
      </c>
      <c r="B47" s="49" t="s">
        <v>99</v>
      </c>
      <c r="C47" s="50">
        <v>1515</v>
      </c>
      <c r="D47" s="51">
        <v>1202</v>
      </c>
      <c r="E47" s="51">
        <v>1799</v>
      </c>
      <c r="F47" s="51">
        <v>1882</v>
      </c>
      <c r="G47" s="51">
        <v>1988</v>
      </c>
      <c r="H47" s="51">
        <v>1731</v>
      </c>
      <c r="I47" s="51">
        <v>1703</v>
      </c>
      <c r="J47" s="51">
        <v>1684</v>
      </c>
      <c r="K47" s="51">
        <v>1771</v>
      </c>
      <c r="L47" s="51">
        <v>1556</v>
      </c>
      <c r="M47" s="51">
        <v>2077</v>
      </c>
      <c r="N47" s="51">
        <v>1556</v>
      </c>
      <c r="O47" s="51">
        <v>1651</v>
      </c>
      <c r="P47" s="51">
        <v>1728</v>
      </c>
      <c r="Q47" s="51">
        <v>1684</v>
      </c>
      <c r="R47" s="67">
        <v>1493</v>
      </c>
      <c r="S47" s="80">
        <f t="shared" si="1"/>
        <v>27020</v>
      </c>
    </row>
    <row r="48" spans="1:19">
      <c r="A48" s="1" t="s">
        <v>3</v>
      </c>
      <c r="B48" s="54" t="s">
        <v>100</v>
      </c>
      <c r="C48" s="55">
        <v>46965</v>
      </c>
      <c r="D48" s="56">
        <v>49682</v>
      </c>
      <c r="E48" s="56">
        <v>59369</v>
      </c>
      <c r="F48" s="56">
        <v>59452</v>
      </c>
      <c r="G48" s="56">
        <v>56138</v>
      </c>
      <c r="H48" s="56">
        <v>50211</v>
      </c>
      <c r="I48" s="56">
        <v>47153</v>
      </c>
      <c r="J48" s="56">
        <v>47134</v>
      </c>
      <c r="K48" s="56">
        <v>59341</v>
      </c>
      <c r="L48" s="56">
        <v>56096</v>
      </c>
      <c r="M48" s="56">
        <v>59647</v>
      </c>
      <c r="N48" s="56">
        <v>47006</v>
      </c>
      <c r="O48" s="56">
        <v>50131</v>
      </c>
      <c r="P48" s="56">
        <v>44148</v>
      </c>
      <c r="Q48" s="56">
        <v>50164</v>
      </c>
      <c r="R48" s="68">
        <v>40883</v>
      </c>
      <c r="S48" s="81">
        <f t="shared" si="1"/>
        <v>823520</v>
      </c>
    </row>
    <row r="49" spans="1:19">
      <c r="A49" s="1" t="s">
        <v>3</v>
      </c>
      <c r="B49" s="30" t="s">
        <v>101</v>
      </c>
      <c r="C49" s="40">
        <v>3660</v>
      </c>
      <c r="D49" s="41">
        <v>3560</v>
      </c>
      <c r="E49" s="41">
        <v>5360</v>
      </c>
      <c r="F49" s="41">
        <v>7610</v>
      </c>
      <c r="G49" s="41">
        <v>8590</v>
      </c>
      <c r="H49" s="41">
        <v>6970</v>
      </c>
      <c r="I49" s="41">
        <v>5330</v>
      </c>
      <c r="J49" s="41">
        <v>6740</v>
      </c>
      <c r="K49" s="41">
        <v>6790</v>
      </c>
      <c r="L49" s="41">
        <v>5430</v>
      </c>
      <c r="M49" s="41">
        <v>2310</v>
      </c>
      <c r="N49" s="41">
        <v>5630</v>
      </c>
      <c r="O49" s="41">
        <v>6250</v>
      </c>
      <c r="P49" s="41">
        <v>6960</v>
      </c>
      <c r="Q49" s="41">
        <v>6670</v>
      </c>
      <c r="R49" s="65">
        <v>5430</v>
      </c>
      <c r="S49" s="78">
        <f t="shared" si="1"/>
        <v>93290</v>
      </c>
    </row>
    <row r="50" spans="1:19">
      <c r="A50" s="1" t="s">
        <v>3</v>
      </c>
      <c r="B50" s="16" t="s">
        <v>102</v>
      </c>
      <c r="C50" s="27">
        <v>1300</v>
      </c>
      <c r="D50" s="9">
        <v>1300</v>
      </c>
      <c r="E50" s="9">
        <v>1300</v>
      </c>
      <c r="F50" s="9">
        <v>0</v>
      </c>
      <c r="G50" s="9">
        <v>1300</v>
      </c>
      <c r="H50" s="9">
        <v>1300</v>
      </c>
      <c r="I50" s="9">
        <v>1300</v>
      </c>
      <c r="J50" s="9">
        <v>1300</v>
      </c>
      <c r="K50" s="9">
        <v>1300</v>
      </c>
      <c r="L50" s="9">
        <v>1300</v>
      </c>
      <c r="M50" s="9">
        <v>1300</v>
      </c>
      <c r="N50" s="9">
        <v>1300</v>
      </c>
      <c r="O50" s="9">
        <v>1300</v>
      </c>
      <c r="P50" s="9">
        <v>1300</v>
      </c>
      <c r="Q50" s="9">
        <v>0</v>
      </c>
      <c r="R50" s="66">
        <v>0</v>
      </c>
      <c r="S50" s="79">
        <f t="shared" si="1"/>
        <v>16900</v>
      </c>
    </row>
    <row r="51" spans="1:19">
      <c r="A51" s="1" t="s">
        <v>3</v>
      </c>
      <c r="B51" s="49" t="s">
        <v>103</v>
      </c>
      <c r="C51" s="50">
        <v>9200</v>
      </c>
      <c r="D51" s="51">
        <v>14700</v>
      </c>
      <c r="E51" s="51">
        <v>21000</v>
      </c>
      <c r="F51" s="51">
        <v>17900</v>
      </c>
      <c r="G51" s="51">
        <v>14400</v>
      </c>
      <c r="H51" s="51">
        <v>13800</v>
      </c>
      <c r="I51" s="51">
        <v>10700</v>
      </c>
      <c r="J51" s="51">
        <v>13900</v>
      </c>
      <c r="K51" s="51">
        <v>15400</v>
      </c>
      <c r="L51" s="51">
        <v>15100</v>
      </c>
      <c r="M51" s="51">
        <v>1500</v>
      </c>
      <c r="N51" s="51">
        <v>1000</v>
      </c>
      <c r="O51" s="51">
        <v>8200</v>
      </c>
      <c r="P51" s="51">
        <v>11900</v>
      </c>
      <c r="Q51" s="51">
        <v>12900</v>
      </c>
      <c r="R51" s="67">
        <v>0</v>
      </c>
      <c r="S51" s="80">
        <f t="shared" si="1"/>
        <v>181600</v>
      </c>
    </row>
    <row r="52" spans="1:19">
      <c r="A52" s="1" t="s">
        <v>3</v>
      </c>
      <c r="B52" s="54" t="s">
        <v>104</v>
      </c>
      <c r="C52" s="55">
        <v>61125</v>
      </c>
      <c r="D52" s="56">
        <v>69242</v>
      </c>
      <c r="E52" s="56">
        <v>87029</v>
      </c>
      <c r="F52" s="56">
        <v>84962</v>
      </c>
      <c r="G52" s="56">
        <v>80428</v>
      </c>
      <c r="H52" s="56">
        <v>72281</v>
      </c>
      <c r="I52" s="56">
        <v>64483</v>
      </c>
      <c r="J52" s="56">
        <v>69074</v>
      </c>
      <c r="K52" s="56">
        <v>82831</v>
      </c>
      <c r="L52" s="56">
        <v>77926</v>
      </c>
      <c r="M52" s="56">
        <v>64757</v>
      </c>
      <c r="N52" s="56">
        <v>54936</v>
      </c>
      <c r="O52" s="56">
        <v>65881</v>
      </c>
      <c r="P52" s="56">
        <v>64308</v>
      </c>
      <c r="Q52" s="56">
        <v>69734</v>
      </c>
      <c r="R52" s="68">
        <v>46313</v>
      </c>
      <c r="S52" s="81">
        <f t="shared" si="1"/>
        <v>1115310</v>
      </c>
    </row>
    <row r="53" spans="1:19">
      <c r="A53" s="1" t="s">
        <v>3</v>
      </c>
      <c r="B53" s="54" t="s">
        <v>105</v>
      </c>
      <c r="C53" s="55">
        <v>214261</v>
      </c>
      <c r="D53" s="56">
        <v>166200</v>
      </c>
      <c r="E53" s="56">
        <v>261806</v>
      </c>
      <c r="F53" s="56">
        <v>279657</v>
      </c>
      <c r="G53" s="56">
        <v>302520</v>
      </c>
      <c r="H53" s="56">
        <v>261740</v>
      </c>
      <c r="I53" s="56">
        <v>261072</v>
      </c>
      <c r="J53" s="56">
        <v>255316</v>
      </c>
      <c r="K53" s="56">
        <v>256791</v>
      </c>
      <c r="L53" s="56">
        <v>218577</v>
      </c>
      <c r="M53" s="56">
        <v>310754</v>
      </c>
      <c r="N53" s="56">
        <v>224171</v>
      </c>
      <c r="O53" s="56">
        <v>241539</v>
      </c>
      <c r="P53" s="56">
        <v>261536</v>
      </c>
      <c r="Q53" s="56">
        <v>253374</v>
      </c>
      <c r="R53" s="68">
        <v>218751</v>
      </c>
      <c r="S53" s="81">
        <f t="shared" si="1"/>
        <v>3988065</v>
      </c>
    </row>
    <row r="54" spans="1:19">
      <c r="A54" s="1" t="s">
        <v>3</v>
      </c>
      <c r="B54" s="54" t="s">
        <v>106</v>
      </c>
      <c r="C54" s="55">
        <v>214417</v>
      </c>
      <c r="D54" s="56">
        <v>149217</v>
      </c>
      <c r="E54" s="56">
        <v>240073</v>
      </c>
      <c r="F54" s="56">
        <v>257297</v>
      </c>
      <c r="G54" s="56">
        <v>281094</v>
      </c>
      <c r="H54" s="56">
        <v>242534</v>
      </c>
      <c r="I54" s="56">
        <v>245117</v>
      </c>
      <c r="J54" s="56">
        <v>237098</v>
      </c>
      <c r="K54" s="56">
        <v>239257</v>
      </c>
      <c r="L54" s="56">
        <v>204993</v>
      </c>
      <c r="M54" s="56">
        <v>312802</v>
      </c>
      <c r="N54" s="56">
        <v>227923</v>
      </c>
      <c r="O54" s="56">
        <v>234350</v>
      </c>
      <c r="P54" s="56">
        <v>249937</v>
      </c>
      <c r="Q54" s="56">
        <v>236439</v>
      </c>
      <c r="R54" s="68">
        <v>225232</v>
      </c>
      <c r="S54" s="81">
        <f t="shared" si="1"/>
        <v>3797780</v>
      </c>
    </row>
    <row r="55" spans="1:19">
      <c r="A55" s="1" t="s">
        <v>3</v>
      </c>
      <c r="B55" s="54" t="s">
        <v>107</v>
      </c>
      <c r="C55" s="55">
        <v>214417</v>
      </c>
      <c r="D55" s="56">
        <v>149217</v>
      </c>
      <c r="E55" s="56">
        <v>240073</v>
      </c>
      <c r="F55" s="56">
        <v>257297</v>
      </c>
      <c r="G55" s="56">
        <v>281094</v>
      </c>
      <c r="H55" s="56">
        <v>242534</v>
      </c>
      <c r="I55" s="56">
        <v>245117</v>
      </c>
      <c r="J55" s="56">
        <v>237098</v>
      </c>
      <c r="K55" s="56">
        <v>239257</v>
      </c>
      <c r="L55" s="56">
        <v>204993</v>
      </c>
      <c r="M55" s="56">
        <v>312802</v>
      </c>
      <c r="N55" s="56">
        <v>227923</v>
      </c>
      <c r="O55" s="56">
        <v>234350</v>
      </c>
      <c r="P55" s="56">
        <v>249937</v>
      </c>
      <c r="Q55" s="56">
        <v>236439</v>
      </c>
      <c r="R55" s="68">
        <v>225232</v>
      </c>
      <c r="S55" s="81">
        <f t="shared" si="1"/>
        <v>3797780</v>
      </c>
    </row>
    <row r="56" spans="1:19">
      <c r="A56" s="1" t="s">
        <v>3</v>
      </c>
      <c r="B56" s="30" t="s">
        <v>108</v>
      </c>
      <c r="C56" s="40">
        <v>1</v>
      </c>
      <c r="D56" s="41">
        <v>0</v>
      </c>
      <c r="E56" s="41">
        <v>1</v>
      </c>
      <c r="F56" s="41">
        <v>0</v>
      </c>
      <c r="G56" s="41">
        <v>0</v>
      </c>
      <c r="H56" s="41">
        <v>0</v>
      </c>
      <c r="I56" s="41">
        <v>1</v>
      </c>
      <c r="J56" s="41">
        <v>0</v>
      </c>
      <c r="K56" s="41">
        <v>0</v>
      </c>
      <c r="L56" s="41">
        <v>0</v>
      </c>
      <c r="M56" s="41">
        <v>4</v>
      </c>
      <c r="N56" s="41">
        <v>0</v>
      </c>
      <c r="O56" s="41">
        <v>0</v>
      </c>
      <c r="P56" s="41">
        <v>0</v>
      </c>
      <c r="Q56" s="41">
        <v>0</v>
      </c>
      <c r="R56" s="65">
        <v>0</v>
      </c>
      <c r="S56" s="78"/>
    </row>
    <row r="57" spans="1:19">
      <c r="A57" s="1" t="s">
        <v>3</v>
      </c>
      <c r="B57" s="16" t="s">
        <v>109</v>
      </c>
      <c r="C57" s="28" t="s">
        <v>110</v>
      </c>
      <c r="D57" s="11" t="s">
        <v>110</v>
      </c>
      <c r="E57" s="11" t="s">
        <v>110</v>
      </c>
      <c r="F57" s="11" t="s">
        <v>110</v>
      </c>
      <c r="G57" s="11" t="s">
        <v>110</v>
      </c>
      <c r="H57" s="11" t="s">
        <v>110</v>
      </c>
      <c r="I57" s="11" t="s">
        <v>110</v>
      </c>
      <c r="J57" s="11" t="s">
        <v>110</v>
      </c>
      <c r="K57" s="11" t="s">
        <v>110</v>
      </c>
      <c r="L57" s="11" t="s">
        <v>110</v>
      </c>
      <c r="M57" s="11" t="s">
        <v>110</v>
      </c>
      <c r="N57" s="11" t="s">
        <v>110</v>
      </c>
      <c r="O57" s="11" t="s">
        <v>110</v>
      </c>
      <c r="P57" s="11" t="s">
        <v>110</v>
      </c>
      <c r="Q57" s="11" t="s">
        <v>110</v>
      </c>
      <c r="R57" s="69" t="s">
        <v>110</v>
      </c>
      <c r="S57" s="82"/>
    </row>
    <row r="58" spans="1:19" ht="19.5" thickBot="1">
      <c r="A58" s="1" t="s">
        <v>3</v>
      </c>
      <c r="B58" s="17" t="s">
        <v>111</v>
      </c>
      <c r="C58" s="29">
        <v>3660</v>
      </c>
      <c r="D58" s="13">
        <v>3560</v>
      </c>
      <c r="E58" s="13">
        <v>5360</v>
      </c>
      <c r="F58" s="13">
        <v>7610</v>
      </c>
      <c r="G58" s="13">
        <v>8590</v>
      </c>
      <c r="H58" s="13">
        <v>6970</v>
      </c>
      <c r="I58" s="13">
        <v>5330</v>
      </c>
      <c r="J58" s="13">
        <v>6740</v>
      </c>
      <c r="K58" s="13">
        <v>6790</v>
      </c>
      <c r="L58" s="13">
        <v>5430</v>
      </c>
      <c r="M58" s="13">
        <v>2310</v>
      </c>
      <c r="N58" s="13">
        <v>5630</v>
      </c>
      <c r="O58" s="13">
        <v>6250</v>
      </c>
      <c r="P58" s="13">
        <v>6960</v>
      </c>
      <c r="Q58" s="13">
        <v>6670</v>
      </c>
      <c r="R58" s="70">
        <v>5430</v>
      </c>
      <c r="S58" s="83">
        <f>SUM(C58:R58)</f>
        <v>93290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2025-07-09T01:49:31Z</dcterms:created>
  <dcterms:modified xsi:type="dcterms:W3CDTF">2025-09-24T04:36:17Z</dcterms:modified>
  <cp:category/>
  <cp:contentStatus/>
</cp:coreProperties>
</file>