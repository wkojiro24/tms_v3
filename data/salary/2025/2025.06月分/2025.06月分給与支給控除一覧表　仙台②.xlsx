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6月分\"/>
    </mc:Choice>
  </mc:AlternateContent>
  <xr:revisionPtr revIDLastSave="0" documentId="13_ncr:1_{4052AF43-FA6F-421B-9F9F-9CCFAD26E7F8}" xr6:coauthVersionLast="47" xr6:coauthVersionMax="47" xr10:uidLastSave="{00000000-0000-0000-0000-000000000000}"/>
  <bookViews>
    <workbookView xWindow="-120" yWindow="-120" windowWidth="20730" windowHeight="11160" xr2:uid="{7D01CD4D-1539-460D-9D8A-B74C6610CC7D}"/>
  </bookViews>
  <sheets>
    <sheet name="2025年 6月度給与" sheetId="2" r:id="rId1"/>
    <sheet name="2025年 6月度給与 (2)" sheetId="3" r:id="rId2"/>
    <sheet name="2025年 6月度給与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5" i="4" l="1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F55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N55" i="2"/>
  <c r="O55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2" i="2"/>
  <c r="O22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J55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2" i="2"/>
  <c r="J21" i="2"/>
  <c r="O21" i="2" s="1"/>
  <c r="J20" i="2"/>
  <c r="J19" i="2"/>
  <c r="J18" i="2"/>
  <c r="J17" i="2"/>
  <c r="J16" i="2"/>
  <c r="J15" i="2"/>
  <c r="J14" i="2"/>
  <c r="J13" i="2"/>
  <c r="J12" i="2"/>
  <c r="J11" i="2"/>
  <c r="J10" i="2"/>
  <c r="O9" i="2"/>
  <c r="N9" i="2"/>
  <c r="J9" i="2"/>
  <c r="N21" i="2"/>
</calcChain>
</file>

<file path=xl/sharedStrings.xml><?xml version="1.0" encoding="utf-8"?>
<sst xmlns="http://schemas.openxmlformats.org/spreadsheetml/2006/main" count="370" uniqueCount="75">
  <si>
    <t>支給控除一覧表</t>
    <phoneticPr fontId="4"/>
  </si>
  <si>
    <t>若林運送株式会社</t>
    <phoneticPr fontId="4"/>
  </si>
  <si>
    <t>2025年 7月 9日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</si>
  <si>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</si>
  <si>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</si>
  <si>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</si>
  <si>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</si>
  <si>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</si>
  <si>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</si>
  <si>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</si>
  <si>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</si>
  <si>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</si>
  <si>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</si>
  <si>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</si>
  <si>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</si>
  <si>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</si>
  <si>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</si>
  <si>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</si>
  <si>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</si>
  <si>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</si>
  <si>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佐藤　禎尚</t>
    <phoneticPr fontId="4"/>
  </si>
  <si>
    <t>土谷　栄</t>
    <phoneticPr fontId="4"/>
  </si>
  <si>
    <t>小田島　健司</t>
    <phoneticPr fontId="4"/>
  </si>
  <si>
    <t>白井　博</t>
    <phoneticPr fontId="4"/>
  </si>
  <si>
    <t>鈴木　大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</si>
  <si>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</si>
  <si>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</si>
  <si>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</si>
  <si>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</si>
  <si>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</si>
  <si>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</si>
  <si>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</si>
  <si>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</si>
  <si>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</si>
  <si>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</si>
  <si>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</si>
  <si>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</si>
  <si>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</si>
  <si>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</si>
  <si>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</si>
  <si>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</si>
  <si>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</si>
  <si>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</si>
  <si>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</si>
  <si>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</si>
  <si>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</si>
  <si>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</si>
  <si>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</si>
  <si>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</si>
  <si>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</si>
  <si>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</si>
  <si>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</si>
  <si>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</si>
  <si>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</si>
  <si>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</si>
  <si>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</si>
  <si>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</si>
  <si>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</si>
  <si>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</si>
  <si>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</si>
  <si>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</si>
  <si>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</si>
  <si>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</si>
  <si>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</si>
  <si>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</si>
  <si>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</si>
  <si>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</si>
  <si>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</si>
  <si>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</si>
  <si>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</si>
  <si>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6月度給与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</si>
  <si>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</si>
  <si>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</si>
  <si>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3名</t>
    <rPh sb="1" eb="2">
      <t>メイ</t>
    </rPh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</si>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</sst>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0" fontId="2" fillId="0" borderId="44" xfId="1" applyFont="1" applyBorder="1" applyAlignment="1">
      <alignment horizontal="center"/>
    </xf>
  </cellXfs>
  <cellStyles count="2">
    <cellStyle name="標準" xfId="0" builtinId="0"/>
    <cellStyle name="標準 2" xfId="1" xr:uid="{0BD7970F-617F-4976-907B-54C2A11F7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FC3A-EF43-40E6-93A5-DD95EF0241AF}">
  <dimension ref="A1:O55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N48" sqref="N48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9" width="9" style="2" bestFit="1" customWidth="1"/>
    <col min="10" max="10" width="9.625" style="2" bestFit="1" customWidth="1"/>
    <col min="11" max="12" width="11.125" style="2" bestFit="1" customWidth="1"/>
    <col min="13" max="13" width="13.25" style="2" bestFit="1" customWidth="1"/>
    <col min="14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 bestFit="1"/>
    <col min="268" max="268" width="13.25" style="2" bestFit="1" customWidth="1"/>
    <col min="269" max="270" width="9" style="2" bestFit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 bestFit="1"/>
    <col min="524" max="524" width="13.25" style="2" bestFit="1" customWidth="1"/>
    <col min="525" max="526" width="9" style="2" bestFit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 bestFit="1"/>
    <col min="780" max="780" width="13.25" style="2" bestFit="1" customWidth="1"/>
    <col min="781" max="782" width="9" style="2" bestFit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 bestFit="1"/>
    <col min="1036" max="1036" width="13.25" style="2" bestFit="1" customWidth="1"/>
    <col min="1037" max="1038" width="9" style="2" bestFit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 bestFit="1"/>
    <col min="1292" max="1292" width="13.25" style="2" bestFit="1" customWidth="1"/>
    <col min="1293" max="1294" width="9" style="2" bestFit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 bestFit="1"/>
    <col min="1548" max="1548" width="13.25" style="2" bestFit="1" customWidth="1"/>
    <col min="1549" max="1550" width="9" style="2" bestFit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 bestFit="1"/>
    <col min="1804" max="1804" width="13.25" style="2" bestFit="1" customWidth="1"/>
    <col min="1805" max="1806" width="9" style="2" bestFit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 bestFit="1"/>
    <col min="2060" max="2060" width="13.25" style="2" bestFit="1" customWidth="1"/>
    <col min="2061" max="2062" width="9" style="2" bestFit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 bestFit="1"/>
    <col min="2316" max="2316" width="13.25" style="2" bestFit="1" customWidth="1"/>
    <col min="2317" max="2318" width="9" style="2" bestFit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 bestFit="1"/>
    <col min="2572" max="2572" width="13.25" style="2" bestFit="1" customWidth="1"/>
    <col min="2573" max="2574" width="9" style="2" bestFit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 bestFit="1"/>
    <col min="2828" max="2828" width="13.25" style="2" bestFit="1" customWidth="1"/>
    <col min="2829" max="2830" width="9" style="2" bestFit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 bestFit="1"/>
    <col min="3084" max="3084" width="13.25" style="2" bestFit="1" customWidth="1"/>
    <col min="3085" max="3086" width="9" style="2" bestFit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 bestFit="1"/>
    <col min="3340" max="3340" width="13.25" style="2" bestFit="1" customWidth="1"/>
    <col min="3341" max="3342" width="9" style="2" bestFit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 bestFit="1"/>
    <col min="3596" max="3596" width="13.25" style="2" bestFit="1" customWidth="1"/>
    <col min="3597" max="3598" width="9" style="2" bestFit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 bestFit="1"/>
    <col min="3852" max="3852" width="13.25" style="2" bestFit="1" customWidth="1"/>
    <col min="3853" max="3854" width="9" style="2" bestFit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 bestFit="1"/>
    <col min="4108" max="4108" width="13.25" style="2" bestFit="1" customWidth="1"/>
    <col min="4109" max="4110" width="9" style="2" bestFit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 bestFit="1"/>
    <col min="4364" max="4364" width="13.25" style="2" bestFit="1" customWidth="1"/>
    <col min="4365" max="4366" width="9" style="2" bestFit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 bestFit="1"/>
    <col min="4620" max="4620" width="13.25" style="2" bestFit="1" customWidth="1"/>
    <col min="4621" max="4622" width="9" style="2" bestFit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 bestFit="1"/>
    <col min="4876" max="4876" width="13.25" style="2" bestFit="1" customWidth="1"/>
    <col min="4877" max="4878" width="9" style="2" bestFit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 bestFit="1"/>
    <col min="5132" max="5132" width="13.25" style="2" bestFit="1" customWidth="1"/>
    <col min="5133" max="5134" width="9" style="2" bestFit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 bestFit="1"/>
    <col min="5388" max="5388" width="13.25" style="2" bestFit="1" customWidth="1"/>
    <col min="5389" max="5390" width="9" style="2" bestFit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 bestFit="1"/>
    <col min="5644" max="5644" width="13.25" style="2" bestFit="1" customWidth="1"/>
    <col min="5645" max="5646" width="9" style="2" bestFit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 bestFit="1"/>
    <col min="5900" max="5900" width="13.25" style="2" bestFit="1" customWidth="1"/>
    <col min="5901" max="5902" width="9" style="2" bestFit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 bestFit="1"/>
    <col min="6156" max="6156" width="13.25" style="2" bestFit="1" customWidth="1"/>
    <col min="6157" max="6158" width="9" style="2" bestFit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 bestFit="1"/>
    <col min="6412" max="6412" width="13.25" style="2" bestFit="1" customWidth="1"/>
    <col min="6413" max="6414" width="9" style="2" bestFit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 bestFit="1"/>
    <col min="6668" max="6668" width="13.25" style="2" bestFit="1" customWidth="1"/>
    <col min="6669" max="6670" width="9" style="2" bestFit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 bestFit="1"/>
    <col min="6924" max="6924" width="13.25" style="2" bestFit="1" customWidth="1"/>
    <col min="6925" max="6926" width="9" style="2" bestFit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 bestFit="1"/>
    <col min="7180" max="7180" width="13.25" style="2" bestFit="1" customWidth="1"/>
    <col min="7181" max="7182" width="9" style="2" bestFit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 bestFit="1"/>
    <col min="7436" max="7436" width="13.25" style="2" bestFit="1" customWidth="1"/>
    <col min="7437" max="7438" width="9" style="2" bestFit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 bestFit="1"/>
    <col min="7692" max="7692" width="13.25" style="2" bestFit="1" customWidth="1"/>
    <col min="7693" max="7694" width="9" style="2" bestFit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 bestFit="1"/>
    <col min="7948" max="7948" width="13.25" style="2" bestFit="1" customWidth="1"/>
    <col min="7949" max="7950" width="9" style="2" bestFit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 bestFit="1"/>
    <col min="8204" max="8204" width="13.25" style="2" bestFit="1" customWidth="1"/>
    <col min="8205" max="8206" width="9" style="2" bestFit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 bestFit="1"/>
    <col min="8460" max="8460" width="13.25" style="2" bestFit="1" customWidth="1"/>
    <col min="8461" max="8462" width="9" style="2" bestFit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 bestFit="1"/>
    <col min="8716" max="8716" width="13.25" style="2" bestFit="1" customWidth="1"/>
    <col min="8717" max="8718" width="9" style="2" bestFit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 bestFit="1"/>
    <col min="8972" max="8972" width="13.25" style="2" bestFit="1" customWidth="1"/>
    <col min="8973" max="8974" width="9" style="2" bestFit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 bestFit="1"/>
    <col min="9228" max="9228" width="13.25" style="2" bestFit="1" customWidth="1"/>
    <col min="9229" max="9230" width="9" style="2" bestFit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 bestFit="1"/>
    <col min="9484" max="9484" width="13.25" style="2" bestFit="1" customWidth="1"/>
    <col min="9485" max="9486" width="9" style="2" bestFit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 bestFit="1"/>
    <col min="9740" max="9740" width="13.25" style="2" bestFit="1" customWidth="1"/>
    <col min="9741" max="9742" width="9" style="2" bestFit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 bestFit="1"/>
    <col min="9996" max="9996" width="13.25" style="2" bestFit="1" customWidth="1"/>
    <col min="9997" max="9998" width="9" style="2" bestFit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 bestFit="1"/>
    <col min="10252" max="10252" width="13.25" style="2" bestFit="1" customWidth="1"/>
    <col min="10253" max="10254" width="9" style="2" bestFit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 bestFit="1"/>
    <col min="10508" max="10508" width="13.25" style="2" bestFit="1" customWidth="1"/>
    <col min="10509" max="10510" width="9" style="2" bestFit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 bestFit="1"/>
    <col min="10764" max="10764" width="13.25" style="2" bestFit="1" customWidth="1"/>
    <col min="10765" max="10766" width="9" style="2" bestFit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 bestFit="1"/>
    <col min="11020" max="11020" width="13.25" style="2" bestFit="1" customWidth="1"/>
    <col min="11021" max="11022" width="9" style="2" bestFit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 bestFit="1"/>
    <col min="11276" max="11276" width="13.25" style="2" bestFit="1" customWidth="1"/>
    <col min="11277" max="11278" width="9" style="2" bestFit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 bestFit="1"/>
    <col min="11532" max="11532" width="13.25" style="2" bestFit="1" customWidth="1"/>
    <col min="11533" max="11534" width="9" style="2" bestFit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 bestFit="1"/>
    <col min="11788" max="11788" width="13.25" style="2" bestFit="1" customWidth="1"/>
    <col min="11789" max="11790" width="9" style="2" bestFit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 bestFit="1"/>
    <col min="12044" max="12044" width="13.25" style="2" bestFit="1" customWidth="1"/>
    <col min="12045" max="12046" width="9" style="2" bestFit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 bestFit="1"/>
    <col min="12300" max="12300" width="13.25" style="2" bestFit="1" customWidth="1"/>
    <col min="12301" max="12302" width="9" style="2" bestFit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 bestFit="1"/>
    <col min="12556" max="12556" width="13.25" style="2" bestFit="1" customWidth="1"/>
    <col min="12557" max="12558" width="9" style="2" bestFit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 bestFit="1"/>
    <col min="12812" max="12812" width="13.25" style="2" bestFit="1" customWidth="1"/>
    <col min="12813" max="12814" width="9" style="2" bestFit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 bestFit="1"/>
    <col min="13068" max="13068" width="13.25" style="2" bestFit="1" customWidth="1"/>
    <col min="13069" max="13070" width="9" style="2" bestFit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 bestFit="1"/>
    <col min="13324" max="13324" width="13.25" style="2" bestFit="1" customWidth="1"/>
    <col min="13325" max="13326" width="9" style="2" bestFit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 bestFit="1"/>
    <col min="13580" max="13580" width="13.25" style="2" bestFit="1" customWidth="1"/>
    <col min="13581" max="13582" width="9" style="2" bestFit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 bestFit="1"/>
    <col min="13836" max="13836" width="13.25" style="2" bestFit="1" customWidth="1"/>
    <col min="13837" max="13838" width="9" style="2" bestFit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 bestFit="1"/>
    <col min="14092" max="14092" width="13.25" style="2" bestFit="1" customWidth="1"/>
    <col min="14093" max="14094" width="9" style="2" bestFit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 bestFit="1"/>
    <col min="14348" max="14348" width="13.25" style="2" bestFit="1" customWidth="1"/>
    <col min="14349" max="14350" width="9" style="2" bestFit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 bestFit="1"/>
    <col min="14604" max="14604" width="13.25" style="2" bestFit="1" customWidth="1"/>
    <col min="14605" max="14606" width="9" style="2" bestFit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 bestFit="1"/>
    <col min="14860" max="14860" width="13.25" style="2" bestFit="1" customWidth="1"/>
    <col min="14861" max="14862" width="9" style="2" bestFit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 bestFit="1"/>
    <col min="15116" max="15116" width="13.25" style="2" bestFit="1" customWidth="1"/>
    <col min="15117" max="15118" width="9" style="2" bestFit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 bestFit="1"/>
    <col min="15372" max="15372" width="13.25" style="2" bestFit="1" customWidth="1"/>
    <col min="15373" max="15374" width="9" style="2" bestFit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 bestFit="1"/>
    <col min="15628" max="15628" width="13.25" style="2" bestFit="1" customWidth="1"/>
    <col min="15629" max="15630" width="9" style="2" bestFit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 bestFit="1"/>
    <col min="15884" max="15884" width="13.25" style="2" bestFit="1" customWidth="1"/>
    <col min="15885" max="15886" width="9" style="2" bestFit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 bestFit="1"/>
    <col min="16140" max="16140" width="13.25" style="2" bestFit="1" customWidth="1"/>
    <col min="16141" max="16142" width="9" style="2" bestFit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70</v>
      </c>
    </row>
    <row r="7" spans="1:15">
      <c r="B7" s="15"/>
      <c r="C7" s="23" t="s">
        <v>4</v>
      </c>
      <c r="D7" s="4" t="s">
        <v>5</v>
      </c>
      <c r="E7" s="4" t="s">
        <v>6</v>
      </c>
      <c r="F7" s="4" t="s">
        <v>10</v>
      </c>
      <c r="G7" s="4" t="s">
        <v>11</v>
      </c>
      <c r="H7" s="4" t="s">
        <v>12</v>
      </c>
      <c r="I7" s="24" t="s">
        <v>13</v>
      </c>
      <c r="J7" s="71" t="s">
        <v>71</v>
      </c>
      <c r="K7" s="4" t="s">
        <v>7</v>
      </c>
      <c r="L7" s="4" t="s">
        <v>9</v>
      </c>
      <c r="M7" s="59" t="s">
        <v>8</v>
      </c>
      <c r="N7" s="83" t="s">
        <v>71</v>
      </c>
      <c r="O7" s="83" t="s">
        <v>25</v>
      </c>
    </row>
    <row r="8" spans="1:15" ht="19.5" thickBot="1">
      <c r="A8" s="3"/>
      <c r="B8" s="35" t="s">
        <v>14</v>
      </c>
      <c r="C8" s="36" t="s">
        <v>15</v>
      </c>
      <c r="D8" s="37" t="s">
        <v>16</v>
      </c>
      <c r="E8" s="37" t="s">
        <v>17</v>
      </c>
      <c r="F8" s="37" t="s">
        <v>21</v>
      </c>
      <c r="G8" s="37" t="s">
        <v>22</v>
      </c>
      <c r="H8" s="37" t="s">
        <v>23</v>
      </c>
      <c r="I8" s="38" t="s">
        <v>24</v>
      </c>
      <c r="J8" s="39" t="s">
        <v>72</v>
      </c>
      <c r="K8" s="37" t="s">
        <v>18</v>
      </c>
      <c r="L8" s="37" t="s">
        <v>20</v>
      </c>
      <c r="M8" s="60" t="s">
        <v>19</v>
      </c>
      <c r="N8" s="72" t="s">
        <v>73</v>
      </c>
      <c r="O8" s="72" t="s">
        <v>74</v>
      </c>
    </row>
    <row r="9" spans="1:15">
      <c r="A9" s="1" t="s">
        <v>3</v>
      </c>
      <c r="B9" s="30" t="s">
        <v>26</v>
      </c>
      <c r="C9" s="31">
        <v>21</v>
      </c>
      <c r="D9" s="32">
        <v>19</v>
      </c>
      <c r="E9" s="32">
        <v>15</v>
      </c>
      <c r="F9" s="32">
        <v>21</v>
      </c>
      <c r="G9" s="32">
        <v>21</v>
      </c>
      <c r="H9" s="32">
        <v>21</v>
      </c>
      <c r="I9" s="33">
        <v>0</v>
      </c>
      <c r="J9" s="34">
        <f>SUM(C9:I9)</f>
        <v>118</v>
      </c>
      <c r="K9" s="32">
        <v>19</v>
      </c>
      <c r="L9" s="32">
        <v>20</v>
      </c>
      <c r="M9" s="61">
        <v>18</v>
      </c>
      <c r="N9" s="73">
        <f>SUM(K9:M9)</f>
        <v>57</v>
      </c>
      <c r="O9" s="73">
        <f>J9+N9</f>
        <v>175</v>
      </c>
    </row>
    <row r="10" spans="1:15">
      <c r="A10" s="1" t="s">
        <v>3</v>
      </c>
      <c r="B10" s="16" t="s">
        <v>27</v>
      </c>
      <c r="C10" s="25">
        <v>3</v>
      </c>
      <c r="D10" s="5">
        <v>2</v>
      </c>
      <c r="E10" s="5">
        <v>4</v>
      </c>
      <c r="F10" s="5">
        <v>3</v>
      </c>
      <c r="G10" s="5">
        <v>2</v>
      </c>
      <c r="H10" s="5">
        <v>1</v>
      </c>
      <c r="I10" s="6">
        <v>0</v>
      </c>
      <c r="J10" s="18">
        <f t="shared" ref="J10:J22" si="0">SUM(C10:I10)</f>
        <v>15</v>
      </c>
      <c r="K10" s="5">
        <v>0</v>
      </c>
      <c r="L10" s="5">
        <v>0</v>
      </c>
      <c r="M10" s="62">
        <v>2</v>
      </c>
      <c r="N10" s="74">
        <f t="shared" ref="N10:N20" si="1">SUM(K10:M10)</f>
        <v>2</v>
      </c>
      <c r="O10" s="74">
        <f t="shared" ref="O10:O20" si="2">J10+N10</f>
        <v>17</v>
      </c>
    </row>
    <row r="11" spans="1:15">
      <c r="A11" s="1" t="s">
        <v>3</v>
      </c>
      <c r="B11" s="16" t="s">
        <v>28</v>
      </c>
      <c r="C11" s="25">
        <v>1</v>
      </c>
      <c r="D11" s="5">
        <v>3</v>
      </c>
      <c r="E11" s="5">
        <v>4</v>
      </c>
      <c r="F11" s="5">
        <v>0</v>
      </c>
      <c r="G11" s="5">
        <v>2</v>
      </c>
      <c r="H11" s="5">
        <v>2</v>
      </c>
      <c r="I11" s="6">
        <v>0</v>
      </c>
      <c r="J11" s="18">
        <f t="shared" si="0"/>
        <v>12</v>
      </c>
      <c r="K11" s="5">
        <v>0</v>
      </c>
      <c r="L11" s="5">
        <v>0</v>
      </c>
      <c r="M11" s="62">
        <v>0</v>
      </c>
      <c r="N11" s="74">
        <f t="shared" si="1"/>
        <v>0</v>
      </c>
      <c r="O11" s="74">
        <f t="shared" si="2"/>
        <v>12</v>
      </c>
    </row>
    <row r="12" spans="1:15">
      <c r="A12" s="1" t="s">
        <v>3</v>
      </c>
      <c r="B12" s="16" t="s">
        <v>29</v>
      </c>
      <c r="C12" s="25">
        <v>0</v>
      </c>
      <c r="D12" s="5">
        <v>2</v>
      </c>
      <c r="E12" s="5">
        <v>5</v>
      </c>
      <c r="F12" s="5">
        <v>0</v>
      </c>
      <c r="G12" s="5">
        <v>0</v>
      </c>
      <c r="H12" s="5">
        <v>0</v>
      </c>
      <c r="I12" s="6">
        <v>0</v>
      </c>
      <c r="J12" s="18">
        <f t="shared" si="0"/>
        <v>7</v>
      </c>
      <c r="K12" s="5">
        <v>0</v>
      </c>
      <c r="L12" s="5">
        <v>0</v>
      </c>
      <c r="M12" s="62">
        <v>0</v>
      </c>
      <c r="N12" s="74">
        <f t="shared" si="1"/>
        <v>0</v>
      </c>
      <c r="O12" s="74">
        <f t="shared" si="2"/>
        <v>7</v>
      </c>
    </row>
    <row r="13" spans="1:15">
      <c r="A13" s="1" t="s">
        <v>3</v>
      </c>
      <c r="B13" s="16" t="s">
        <v>30</v>
      </c>
      <c r="C13" s="25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6">
        <v>6</v>
      </c>
      <c r="J13" s="18">
        <f t="shared" si="0"/>
        <v>7</v>
      </c>
      <c r="K13" s="5">
        <v>0</v>
      </c>
      <c r="L13" s="5">
        <v>0</v>
      </c>
      <c r="M13" s="62">
        <v>3.5</v>
      </c>
      <c r="N13" s="74">
        <f t="shared" si="1"/>
        <v>3.5</v>
      </c>
      <c r="O13" s="74">
        <f t="shared" si="2"/>
        <v>10.5</v>
      </c>
    </row>
    <row r="14" spans="1:15">
      <c r="A14" s="1" t="s">
        <v>3</v>
      </c>
      <c r="B14" s="16" t="s">
        <v>31</v>
      </c>
      <c r="C14" s="2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15</v>
      </c>
      <c r="J14" s="18">
        <f t="shared" si="0"/>
        <v>15</v>
      </c>
      <c r="K14" s="5">
        <v>0</v>
      </c>
      <c r="L14" s="5">
        <v>0</v>
      </c>
      <c r="M14" s="62">
        <v>0</v>
      </c>
      <c r="N14" s="74">
        <f t="shared" si="1"/>
        <v>0</v>
      </c>
      <c r="O14" s="74">
        <f t="shared" si="2"/>
        <v>15</v>
      </c>
    </row>
    <row r="15" spans="1:15">
      <c r="A15" s="1" t="s">
        <v>3</v>
      </c>
      <c r="B15" s="16" t="s">
        <v>32</v>
      </c>
      <c r="C15" s="26">
        <v>1.75</v>
      </c>
      <c r="D15" s="7">
        <v>0.45833333333333331</v>
      </c>
      <c r="E15" s="7">
        <v>1.0416666666666667</v>
      </c>
      <c r="F15" s="7">
        <v>2.2083333333333335</v>
      </c>
      <c r="G15" s="7">
        <v>2.4166666666666665</v>
      </c>
      <c r="H15" s="7">
        <v>2.5833333333333335</v>
      </c>
      <c r="I15" s="8">
        <v>0</v>
      </c>
      <c r="J15" s="19">
        <f t="shared" si="0"/>
        <v>10.458333333333334</v>
      </c>
      <c r="K15" s="7">
        <v>0</v>
      </c>
      <c r="L15" s="7">
        <v>0</v>
      </c>
      <c r="M15" s="63">
        <v>0.125</v>
      </c>
      <c r="N15" s="75">
        <f t="shared" si="1"/>
        <v>0.125</v>
      </c>
      <c r="O15" s="75">
        <f t="shared" si="2"/>
        <v>10.583333333333334</v>
      </c>
    </row>
    <row r="16" spans="1:15">
      <c r="A16" s="1" t="s">
        <v>3</v>
      </c>
      <c r="B16" s="16" t="s">
        <v>33</v>
      </c>
      <c r="C16" s="26">
        <v>1.3333333333333333</v>
      </c>
      <c r="D16" s="7">
        <v>0.33333333333333331</v>
      </c>
      <c r="E16" s="7">
        <v>0.75</v>
      </c>
      <c r="F16" s="7">
        <v>1.25</v>
      </c>
      <c r="G16" s="7">
        <v>0.75</v>
      </c>
      <c r="H16" s="7">
        <v>0.33333333333333331</v>
      </c>
      <c r="I16" s="8">
        <v>0</v>
      </c>
      <c r="J16" s="19">
        <f t="shared" si="0"/>
        <v>4.7499999999999991</v>
      </c>
      <c r="K16" s="7">
        <v>0</v>
      </c>
      <c r="L16" s="7">
        <v>0</v>
      </c>
      <c r="M16" s="63">
        <v>0.54166666666666663</v>
      </c>
      <c r="N16" s="75">
        <f t="shared" si="1"/>
        <v>0.54166666666666663</v>
      </c>
      <c r="O16" s="75">
        <f t="shared" si="2"/>
        <v>5.2916666666666661</v>
      </c>
    </row>
    <row r="17" spans="1:15">
      <c r="A17" s="1" t="s">
        <v>3</v>
      </c>
      <c r="B17" s="16" t="s">
        <v>34</v>
      </c>
      <c r="C17" s="26">
        <v>0.5</v>
      </c>
      <c r="D17" s="7">
        <v>0.66666666666666663</v>
      </c>
      <c r="E17" s="7">
        <v>0.375</v>
      </c>
      <c r="F17" s="7">
        <v>0</v>
      </c>
      <c r="G17" s="7">
        <v>0.625</v>
      </c>
      <c r="H17" s="7">
        <v>0.54166666666666663</v>
      </c>
      <c r="I17" s="8">
        <v>0</v>
      </c>
      <c r="J17" s="19">
        <f t="shared" si="0"/>
        <v>2.708333333333333</v>
      </c>
      <c r="K17" s="7">
        <v>0</v>
      </c>
      <c r="L17" s="7">
        <v>0</v>
      </c>
      <c r="M17" s="63">
        <v>0</v>
      </c>
      <c r="N17" s="75">
        <f t="shared" si="1"/>
        <v>0</v>
      </c>
      <c r="O17" s="75">
        <f t="shared" si="2"/>
        <v>2.708333333333333</v>
      </c>
    </row>
    <row r="18" spans="1:15">
      <c r="A18" s="1" t="s">
        <v>3</v>
      </c>
      <c r="B18" s="16" t="s">
        <v>35</v>
      </c>
      <c r="C18" s="26">
        <v>0</v>
      </c>
      <c r="D18" s="7">
        <v>0.33333333333333331</v>
      </c>
      <c r="E18" s="7">
        <v>0.75</v>
      </c>
      <c r="F18" s="7">
        <v>0</v>
      </c>
      <c r="G18" s="7">
        <v>0</v>
      </c>
      <c r="H18" s="7">
        <v>0</v>
      </c>
      <c r="I18" s="8">
        <v>0</v>
      </c>
      <c r="J18" s="19">
        <f t="shared" si="0"/>
        <v>1.0833333333333333</v>
      </c>
      <c r="K18" s="7">
        <v>0</v>
      </c>
      <c r="L18" s="7">
        <v>0</v>
      </c>
      <c r="M18" s="63">
        <v>0</v>
      </c>
      <c r="N18" s="75">
        <f t="shared" si="1"/>
        <v>0</v>
      </c>
      <c r="O18" s="75">
        <f t="shared" si="2"/>
        <v>1.0833333333333333</v>
      </c>
    </row>
    <row r="19" spans="1:15">
      <c r="A19" s="1" t="s">
        <v>3</v>
      </c>
      <c r="B19" s="16" t="s">
        <v>36</v>
      </c>
      <c r="C19" s="26">
        <v>0</v>
      </c>
      <c r="D19" s="7">
        <v>0.33333333333333331</v>
      </c>
      <c r="E19" s="7">
        <v>1.125</v>
      </c>
      <c r="F19" s="7">
        <v>0</v>
      </c>
      <c r="G19" s="7">
        <v>0</v>
      </c>
      <c r="H19" s="7">
        <v>0</v>
      </c>
      <c r="I19" s="8">
        <v>0</v>
      </c>
      <c r="J19" s="19">
        <f t="shared" si="0"/>
        <v>1.4583333333333333</v>
      </c>
      <c r="K19" s="7">
        <v>0</v>
      </c>
      <c r="L19" s="7">
        <v>0</v>
      </c>
      <c r="M19" s="63">
        <v>0</v>
      </c>
      <c r="N19" s="75">
        <f t="shared" si="1"/>
        <v>0</v>
      </c>
      <c r="O19" s="75">
        <f t="shared" si="2"/>
        <v>1.4583333333333333</v>
      </c>
    </row>
    <row r="20" spans="1:15">
      <c r="A20" s="1" t="s">
        <v>3</v>
      </c>
      <c r="B20" s="16" t="s">
        <v>37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8.3333333333333329E-2</v>
      </c>
      <c r="I20" s="8">
        <v>0</v>
      </c>
      <c r="J20" s="19">
        <f t="shared" si="0"/>
        <v>8.3333333333333329E-2</v>
      </c>
      <c r="K20" s="7">
        <v>0</v>
      </c>
      <c r="L20" s="7">
        <v>0</v>
      </c>
      <c r="M20" s="63">
        <v>0</v>
      </c>
      <c r="N20" s="75">
        <f t="shared" si="1"/>
        <v>0</v>
      </c>
      <c r="O20" s="75">
        <f t="shared" si="2"/>
        <v>8.3333333333333329E-2</v>
      </c>
    </row>
    <row r="21" spans="1:15">
      <c r="A21" s="1" t="s">
        <v>3</v>
      </c>
      <c r="B21" s="16" t="s">
        <v>38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8">
        <v>0</v>
      </c>
      <c r="J21" s="19">
        <f t="shared" si="0"/>
        <v>0</v>
      </c>
      <c r="K21" s="7">
        <v>0</v>
      </c>
      <c r="L21" s="7">
        <v>0</v>
      </c>
      <c r="M21" s="63">
        <v>0.41666666666666669</v>
      </c>
      <c r="N21" s="75">
        <f>SUM(C21:I21)</f>
        <v>0</v>
      </c>
      <c r="O21" s="75">
        <f>SUM(D21:K21)</f>
        <v>0</v>
      </c>
    </row>
    <row r="22" spans="1:15">
      <c r="A22" s="1" t="s">
        <v>3</v>
      </c>
      <c r="B22" s="16" t="s">
        <v>39</v>
      </c>
      <c r="C22" s="26">
        <v>1.125</v>
      </c>
      <c r="D22" s="7">
        <v>3.25</v>
      </c>
      <c r="E22" s="7">
        <v>3.0833333333333335</v>
      </c>
      <c r="F22" s="7">
        <v>0.54166666666666663</v>
      </c>
      <c r="G22" s="7">
        <v>1.3333333333333333</v>
      </c>
      <c r="H22" s="7">
        <v>0.54166666666666663</v>
      </c>
      <c r="I22" s="8">
        <v>0</v>
      </c>
      <c r="J22" s="19">
        <f t="shared" si="0"/>
        <v>9.875</v>
      </c>
      <c r="K22" s="7">
        <v>0.20833333333333334</v>
      </c>
      <c r="L22" s="7">
        <v>0</v>
      </c>
      <c r="M22" s="63">
        <v>0</v>
      </c>
      <c r="N22" s="75">
        <f>SUM(K22:M22)</f>
        <v>0.20833333333333334</v>
      </c>
      <c r="O22" s="75">
        <f>J22+N22</f>
        <v>10.083333333333334</v>
      </c>
    </row>
    <row r="23" spans="1:15">
      <c r="A23" s="1" t="s">
        <v>3</v>
      </c>
      <c r="B23" s="44" t="s">
        <v>40</v>
      </c>
      <c r="C23" s="45">
        <v>38</v>
      </c>
      <c r="D23" s="46">
        <v>36</v>
      </c>
      <c r="E23" s="46">
        <v>26</v>
      </c>
      <c r="F23" s="46">
        <v>23</v>
      </c>
      <c r="G23" s="46">
        <v>14</v>
      </c>
      <c r="H23" s="46">
        <v>16</v>
      </c>
      <c r="I23" s="47">
        <v>2</v>
      </c>
      <c r="J23" s="48"/>
      <c r="K23" s="46">
        <v>40</v>
      </c>
      <c r="L23" s="46">
        <v>33.5</v>
      </c>
      <c r="M23" s="64">
        <v>33.5</v>
      </c>
      <c r="N23" s="76"/>
      <c r="O23" s="76"/>
    </row>
    <row r="24" spans="1:15">
      <c r="A24" s="1" t="s">
        <v>3</v>
      </c>
      <c r="B24" s="30" t="s">
        <v>41</v>
      </c>
      <c r="C24" s="40">
        <v>187000</v>
      </c>
      <c r="D24" s="41">
        <v>187000</v>
      </c>
      <c r="E24" s="41">
        <v>182000</v>
      </c>
      <c r="F24" s="41">
        <v>182000</v>
      </c>
      <c r="G24" s="41">
        <v>182000</v>
      </c>
      <c r="H24" s="41">
        <v>175000</v>
      </c>
      <c r="I24" s="42">
        <v>175000</v>
      </c>
      <c r="J24" s="43">
        <f t="shared" ref="J24:J52" si="3">SUM(C24:I24)</f>
        <v>1270000</v>
      </c>
      <c r="K24" s="41">
        <v>370000</v>
      </c>
      <c r="L24" s="41">
        <v>360000</v>
      </c>
      <c r="M24" s="65">
        <v>180000</v>
      </c>
      <c r="N24" s="77">
        <f t="shared" ref="N24:N52" si="4">SUM(K24:M24)</f>
        <v>910000</v>
      </c>
      <c r="O24" s="77">
        <f t="shared" ref="O24:O52" si="5">J24+N24</f>
        <v>2180000</v>
      </c>
    </row>
    <row r="25" spans="1:15">
      <c r="A25" s="1" t="s">
        <v>3</v>
      </c>
      <c r="B25" s="16" t="s">
        <v>42</v>
      </c>
      <c r="C25" s="27">
        <v>5000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  <c r="J25" s="20">
        <f t="shared" si="3"/>
        <v>5000</v>
      </c>
      <c r="K25" s="9">
        <v>0</v>
      </c>
      <c r="L25" s="9">
        <v>0</v>
      </c>
      <c r="M25" s="66">
        <v>0</v>
      </c>
      <c r="N25" s="78">
        <f t="shared" si="4"/>
        <v>0</v>
      </c>
      <c r="O25" s="78">
        <f t="shared" si="5"/>
        <v>5000</v>
      </c>
    </row>
    <row r="26" spans="1:15">
      <c r="A26" s="1" t="s">
        <v>3</v>
      </c>
      <c r="B26" s="16" t="s">
        <v>43</v>
      </c>
      <c r="C26" s="27">
        <v>6000</v>
      </c>
      <c r="D26" s="9">
        <v>10000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  <c r="J26" s="20">
        <f t="shared" si="3"/>
        <v>16000</v>
      </c>
      <c r="K26" s="9">
        <v>0</v>
      </c>
      <c r="L26" s="9">
        <v>0</v>
      </c>
      <c r="M26" s="66">
        <v>6000</v>
      </c>
      <c r="N26" s="78">
        <f t="shared" si="4"/>
        <v>6000</v>
      </c>
      <c r="O26" s="78">
        <f t="shared" si="5"/>
        <v>22000</v>
      </c>
    </row>
    <row r="27" spans="1:15">
      <c r="A27" s="1" t="s">
        <v>3</v>
      </c>
      <c r="B27" s="16" t="s">
        <v>44</v>
      </c>
      <c r="C27" s="27">
        <v>3500</v>
      </c>
      <c r="D27" s="9">
        <v>3500</v>
      </c>
      <c r="E27" s="9">
        <v>3500</v>
      </c>
      <c r="F27" s="9">
        <v>3500</v>
      </c>
      <c r="G27" s="9">
        <v>3500</v>
      </c>
      <c r="H27" s="9">
        <v>0</v>
      </c>
      <c r="I27" s="10">
        <v>0</v>
      </c>
      <c r="J27" s="20">
        <f t="shared" si="3"/>
        <v>17500</v>
      </c>
      <c r="K27" s="9">
        <v>0</v>
      </c>
      <c r="L27" s="9">
        <v>0</v>
      </c>
      <c r="M27" s="66">
        <v>0</v>
      </c>
      <c r="N27" s="78">
        <f t="shared" si="4"/>
        <v>0</v>
      </c>
      <c r="O27" s="78">
        <f t="shared" si="5"/>
        <v>17500</v>
      </c>
    </row>
    <row r="28" spans="1:15">
      <c r="A28" s="1" t="s">
        <v>3</v>
      </c>
      <c r="B28" s="16" t="s">
        <v>45</v>
      </c>
      <c r="C28" s="27">
        <v>0</v>
      </c>
      <c r="D28" s="9">
        <v>7600</v>
      </c>
      <c r="E28" s="9">
        <v>0</v>
      </c>
      <c r="F28" s="9">
        <v>0</v>
      </c>
      <c r="G28" s="9">
        <v>0</v>
      </c>
      <c r="H28" s="9">
        <v>0</v>
      </c>
      <c r="I28" s="10">
        <v>0</v>
      </c>
      <c r="J28" s="20">
        <f t="shared" si="3"/>
        <v>7600</v>
      </c>
      <c r="K28" s="9">
        <v>0</v>
      </c>
      <c r="L28" s="9">
        <v>0</v>
      </c>
      <c r="M28" s="66">
        <v>0</v>
      </c>
      <c r="N28" s="78">
        <f t="shared" si="4"/>
        <v>0</v>
      </c>
      <c r="O28" s="78">
        <f t="shared" si="5"/>
        <v>7600</v>
      </c>
    </row>
    <row r="29" spans="1:15">
      <c r="A29" s="1" t="s">
        <v>3</v>
      </c>
      <c r="B29" s="16" t="s">
        <v>46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10">
        <v>125595</v>
      </c>
      <c r="J29" s="20">
        <f t="shared" si="3"/>
        <v>125595</v>
      </c>
      <c r="K29" s="9">
        <v>0</v>
      </c>
      <c r="L29" s="9">
        <v>0</v>
      </c>
      <c r="M29" s="66">
        <v>0</v>
      </c>
      <c r="N29" s="78">
        <f t="shared" si="4"/>
        <v>0</v>
      </c>
      <c r="O29" s="78">
        <f t="shared" si="5"/>
        <v>125595</v>
      </c>
    </row>
    <row r="30" spans="1:15">
      <c r="A30" s="1" t="s">
        <v>3</v>
      </c>
      <c r="B30" s="16" t="s">
        <v>32</v>
      </c>
      <c r="C30" s="27">
        <v>63378</v>
      </c>
      <c r="D30" s="9">
        <v>17138</v>
      </c>
      <c r="E30" s="9">
        <v>34725</v>
      </c>
      <c r="F30" s="9">
        <v>73617</v>
      </c>
      <c r="G30" s="9">
        <v>80562</v>
      </c>
      <c r="H30" s="9">
        <v>81220</v>
      </c>
      <c r="I30" s="10">
        <v>0</v>
      </c>
      <c r="J30" s="20">
        <f t="shared" si="3"/>
        <v>350640</v>
      </c>
      <c r="K30" s="9">
        <v>0</v>
      </c>
      <c r="L30" s="9">
        <v>0</v>
      </c>
      <c r="M30" s="66">
        <v>4779</v>
      </c>
      <c r="N30" s="78">
        <f t="shared" si="4"/>
        <v>4779</v>
      </c>
      <c r="O30" s="78">
        <f t="shared" si="5"/>
        <v>355419</v>
      </c>
    </row>
    <row r="31" spans="1:15">
      <c r="A31" s="1" t="s">
        <v>3</v>
      </c>
      <c r="B31" s="16" t="s">
        <v>47</v>
      </c>
      <c r="C31" s="27">
        <v>52128</v>
      </c>
      <c r="D31" s="9">
        <v>13456</v>
      </c>
      <c r="E31" s="9">
        <v>27000</v>
      </c>
      <c r="F31" s="9">
        <v>45000</v>
      </c>
      <c r="G31" s="9">
        <v>27000</v>
      </c>
      <c r="H31" s="9">
        <v>11320</v>
      </c>
      <c r="I31" s="10">
        <v>0</v>
      </c>
      <c r="J31" s="20">
        <f t="shared" si="3"/>
        <v>175904</v>
      </c>
      <c r="K31" s="9">
        <v>0</v>
      </c>
      <c r="L31" s="9">
        <v>0</v>
      </c>
      <c r="M31" s="66">
        <v>22360</v>
      </c>
      <c r="N31" s="78">
        <f t="shared" si="4"/>
        <v>22360</v>
      </c>
      <c r="O31" s="78">
        <f t="shared" si="5"/>
        <v>198264</v>
      </c>
    </row>
    <row r="32" spans="1:15">
      <c r="A32" s="1" t="s">
        <v>3</v>
      </c>
      <c r="B32" s="16" t="s">
        <v>48</v>
      </c>
      <c r="C32" s="27">
        <v>19548</v>
      </c>
      <c r="D32" s="9">
        <v>26912</v>
      </c>
      <c r="E32" s="9">
        <v>13500</v>
      </c>
      <c r="F32" s="9">
        <v>0</v>
      </c>
      <c r="G32" s="9">
        <v>22500</v>
      </c>
      <c r="H32" s="9">
        <v>18395</v>
      </c>
      <c r="I32" s="10">
        <v>0</v>
      </c>
      <c r="J32" s="20">
        <f t="shared" si="3"/>
        <v>100855</v>
      </c>
      <c r="K32" s="9">
        <v>0</v>
      </c>
      <c r="L32" s="9">
        <v>0</v>
      </c>
      <c r="M32" s="66">
        <v>0</v>
      </c>
      <c r="N32" s="78">
        <f t="shared" si="4"/>
        <v>0</v>
      </c>
      <c r="O32" s="78">
        <f t="shared" si="5"/>
        <v>100855</v>
      </c>
    </row>
    <row r="33" spans="1:15">
      <c r="A33" s="1" t="s">
        <v>3</v>
      </c>
      <c r="B33" s="16" t="s">
        <v>49</v>
      </c>
      <c r="C33" s="27">
        <v>0</v>
      </c>
      <c r="D33" s="9">
        <v>3488</v>
      </c>
      <c r="E33" s="9">
        <v>7002</v>
      </c>
      <c r="F33" s="9">
        <v>0</v>
      </c>
      <c r="G33" s="9">
        <v>0</v>
      </c>
      <c r="H33" s="9">
        <v>0</v>
      </c>
      <c r="I33" s="10">
        <v>0</v>
      </c>
      <c r="J33" s="20">
        <f t="shared" si="3"/>
        <v>10490</v>
      </c>
      <c r="K33" s="9">
        <v>0</v>
      </c>
      <c r="L33" s="9">
        <v>0</v>
      </c>
      <c r="M33" s="66">
        <v>0</v>
      </c>
      <c r="N33" s="78">
        <f t="shared" si="4"/>
        <v>0</v>
      </c>
      <c r="O33" s="78">
        <f t="shared" si="5"/>
        <v>10490</v>
      </c>
    </row>
    <row r="34" spans="1:15">
      <c r="A34" s="1" t="s">
        <v>3</v>
      </c>
      <c r="B34" s="16" t="s">
        <v>50</v>
      </c>
      <c r="C34" s="27">
        <v>0</v>
      </c>
      <c r="D34" s="9">
        <v>3488</v>
      </c>
      <c r="E34" s="9">
        <v>10503</v>
      </c>
      <c r="F34" s="9">
        <v>0</v>
      </c>
      <c r="G34" s="9">
        <v>0</v>
      </c>
      <c r="H34" s="9">
        <v>0</v>
      </c>
      <c r="I34" s="10">
        <v>0</v>
      </c>
      <c r="J34" s="20">
        <f t="shared" si="3"/>
        <v>13991</v>
      </c>
      <c r="K34" s="9">
        <v>0</v>
      </c>
      <c r="L34" s="9">
        <v>0</v>
      </c>
      <c r="M34" s="66">
        <v>0</v>
      </c>
      <c r="N34" s="78">
        <f t="shared" si="4"/>
        <v>0</v>
      </c>
      <c r="O34" s="78">
        <f t="shared" si="5"/>
        <v>13991</v>
      </c>
    </row>
    <row r="35" spans="1:15">
      <c r="A35" s="1" t="s">
        <v>3</v>
      </c>
      <c r="B35" s="16" t="s">
        <v>37</v>
      </c>
      <c r="C35" s="27">
        <v>0</v>
      </c>
      <c r="D35" s="9">
        <v>0</v>
      </c>
      <c r="E35" s="9">
        <v>0</v>
      </c>
      <c r="F35" s="9">
        <v>0</v>
      </c>
      <c r="G35" s="9">
        <v>0</v>
      </c>
      <c r="H35" s="9">
        <v>524</v>
      </c>
      <c r="I35" s="10">
        <v>0</v>
      </c>
      <c r="J35" s="20">
        <f t="shared" si="3"/>
        <v>524</v>
      </c>
      <c r="K35" s="9">
        <v>0</v>
      </c>
      <c r="L35" s="9">
        <v>0</v>
      </c>
      <c r="M35" s="66">
        <v>0</v>
      </c>
      <c r="N35" s="78">
        <f t="shared" si="4"/>
        <v>0</v>
      </c>
      <c r="O35" s="78">
        <f t="shared" si="5"/>
        <v>524</v>
      </c>
    </row>
    <row r="36" spans="1:15">
      <c r="A36" s="1" t="s">
        <v>3</v>
      </c>
      <c r="B36" s="16" t="s">
        <v>38</v>
      </c>
      <c r="C36" s="27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0">
        <v>0</v>
      </c>
      <c r="J36" s="20">
        <f t="shared" si="3"/>
        <v>0</v>
      </c>
      <c r="K36" s="9">
        <v>0</v>
      </c>
      <c r="L36" s="9">
        <v>0</v>
      </c>
      <c r="M36" s="66">
        <v>12740</v>
      </c>
      <c r="N36" s="78">
        <f t="shared" si="4"/>
        <v>12740</v>
      </c>
      <c r="O36" s="78">
        <f t="shared" si="5"/>
        <v>12740</v>
      </c>
    </row>
    <row r="37" spans="1:15">
      <c r="A37" s="1" t="s">
        <v>3</v>
      </c>
      <c r="B37" s="49" t="s">
        <v>39</v>
      </c>
      <c r="C37" s="50">
        <v>8154</v>
      </c>
      <c r="D37" s="51">
        <v>24336</v>
      </c>
      <c r="E37" s="51">
        <v>20572</v>
      </c>
      <c r="F37" s="51">
        <v>3614</v>
      </c>
      <c r="G37" s="51">
        <v>8896</v>
      </c>
      <c r="H37" s="51">
        <v>3406</v>
      </c>
      <c r="I37" s="52">
        <v>0</v>
      </c>
      <c r="J37" s="53">
        <f t="shared" si="3"/>
        <v>68978</v>
      </c>
      <c r="K37" s="51">
        <v>2770</v>
      </c>
      <c r="L37" s="51">
        <v>0</v>
      </c>
      <c r="M37" s="67">
        <v>0</v>
      </c>
      <c r="N37" s="79">
        <f t="shared" si="4"/>
        <v>2770</v>
      </c>
      <c r="O37" s="79">
        <f t="shared" si="5"/>
        <v>71748</v>
      </c>
    </row>
    <row r="38" spans="1:15">
      <c r="A38" s="1" t="s">
        <v>3</v>
      </c>
      <c r="B38" s="54" t="s">
        <v>51</v>
      </c>
      <c r="C38" s="55">
        <v>344708</v>
      </c>
      <c r="D38" s="56">
        <v>296918</v>
      </c>
      <c r="E38" s="56">
        <v>298802</v>
      </c>
      <c r="F38" s="56">
        <v>307731</v>
      </c>
      <c r="G38" s="56">
        <v>324458</v>
      </c>
      <c r="H38" s="56">
        <v>289865</v>
      </c>
      <c r="I38" s="57">
        <v>49405</v>
      </c>
      <c r="J38" s="58">
        <f t="shared" si="3"/>
        <v>1911887</v>
      </c>
      <c r="K38" s="56">
        <v>372770</v>
      </c>
      <c r="L38" s="56">
        <v>360000</v>
      </c>
      <c r="M38" s="68">
        <v>225879</v>
      </c>
      <c r="N38" s="80">
        <f t="shared" si="4"/>
        <v>958649</v>
      </c>
      <c r="O38" s="80">
        <f t="shared" si="5"/>
        <v>2870536</v>
      </c>
    </row>
    <row r="39" spans="1:15">
      <c r="A39" s="1" t="s">
        <v>3</v>
      </c>
      <c r="B39" s="54" t="s">
        <v>52</v>
      </c>
      <c r="C39" s="55">
        <v>10322</v>
      </c>
      <c r="D39" s="56">
        <v>2643</v>
      </c>
      <c r="E39" s="56">
        <v>2533</v>
      </c>
      <c r="F39" s="56">
        <v>7927</v>
      </c>
      <c r="G39" s="56">
        <v>1377</v>
      </c>
      <c r="H39" s="56">
        <v>6606</v>
      </c>
      <c r="I39" s="57">
        <v>0</v>
      </c>
      <c r="J39" s="58">
        <f t="shared" si="3"/>
        <v>31408</v>
      </c>
      <c r="K39" s="56">
        <v>7514</v>
      </c>
      <c r="L39" s="56">
        <v>18496</v>
      </c>
      <c r="M39" s="68">
        <v>551</v>
      </c>
      <c r="N39" s="80">
        <f t="shared" si="4"/>
        <v>26561</v>
      </c>
      <c r="O39" s="80">
        <f t="shared" si="5"/>
        <v>57969</v>
      </c>
    </row>
    <row r="40" spans="1:15">
      <c r="A40" s="1" t="s">
        <v>3</v>
      </c>
      <c r="B40" s="54" t="s">
        <v>53</v>
      </c>
      <c r="C40" s="55">
        <v>10322</v>
      </c>
      <c r="D40" s="56">
        <v>2643</v>
      </c>
      <c r="E40" s="56">
        <v>2533</v>
      </c>
      <c r="F40" s="56">
        <v>7927</v>
      </c>
      <c r="G40" s="56">
        <v>1377</v>
      </c>
      <c r="H40" s="56">
        <v>6606</v>
      </c>
      <c r="I40" s="57">
        <v>0</v>
      </c>
      <c r="J40" s="58">
        <f t="shared" si="3"/>
        <v>31408</v>
      </c>
      <c r="K40" s="56">
        <v>7514</v>
      </c>
      <c r="L40" s="56">
        <v>18496</v>
      </c>
      <c r="M40" s="68">
        <v>551</v>
      </c>
      <c r="N40" s="80">
        <f t="shared" si="4"/>
        <v>26561</v>
      </c>
      <c r="O40" s="80">
        <f t="shared" si="5"/>
        <v>57969</v>
      </c>
    </row>
    <row r="41" spans="1:15">
      <c r="A41" s="1" t="s">
        <v>3</v>
      </c>
      <c r="B41" s="54" t="s">
        <v>54</v>
      </c>
      <c r="C41" s="55">
        <v>355030</v>
      </c>
      <c r="D41" s="56">
        <v>299561</v>
      </c>
      <c r="E41" s="56">
        <v>301335</v>
      </c>
      <c r="F41" s="56">
        <v>315658</v>
      </c>
      <c r="G41" s="56">
        <v>325835</v>
      </c>
      <c r="H41" s="56">
        <v>296471</v>
      </c>
      <c r="I41" s="57">
        <v>49405</v>
      </c>
      <c r="J41" s="58">
        <f t="shared" si="3"/>
        <v>1943295</v>
      </c>
      <c r="K41" s="56">
        <v>380284</v>
      </c>
      <c r="L41" s="56">
        <v>378496</v>
      </c>
      <c r="M41" s="68">
        <v>226430</v>
      </c>
      <c r="N41" s="80">
        <f t="shared" si="4"/>
        <v>985210</v>
      </c>
      <c r="O41" s="80">
        <f t="shared" si="5"/>
        <v>2928505</v>
      </c>
    </row>
    <row r="42" spans="1:15">
      <c r="A42" s="1" t="s">
        <v>3</v>
      </c>
      <c r="B42" s="30" t="s">
        <v>55</v>
      </c>
      <c r="C42" s="40">
        <v>18360</v>
      </c>
      <c r="D42" s="41">
        <v>15300</v>
      </c>
      <c r="E42" s="41">
        <v>16320</v>
      </c>
      <c r="F42" s="41">
        <v>15300</v>
      </c>
      <c r="G42" s="41">
        <v>17340</v>
      </c>
      <c r="H42" s="41">
        <v>13260</v>
      </c>
      <c r="I42" s="42">
        <v>0</v>
      </c>
      <c r="J42" s="43">
        <f t="shared" si="3"/>
        <v>95880</v>
      </c>
      <c r="K42" s="41">
        <v>19380</v>
      </c>
      <c r="L42" s="41">
        <v>19380</v>
      </c>
      <c r="M42" s="65">
        <v>11220</v>
      </c>
      <c r="N42" s="77">
        <f t="shared" si="4"/>
        <v>49980</v>
      </c>
      <c r="O42" s="77">
        <f t="shared" si="5"/>
        <v>145860</v>
      </c>
    </row>
    <row r="43" spans="1:15">
      <c r="A43" s="1" t="s">
        <v>3</v>
      </c>
      <c r="B43" s="16" t="s">
        <v>56</v>
      </c>
      <c r="C43" s="27">
        <v>3240</v>
      </c>
      <c r="D43" s="9">
        <v>2700</v>
      </c>
      <c r="E43" s="9">
        <v>2880</v>
      </c>
      <c r="F43" s="9">
        <v>2700</v>
      </c>
      <c r="G43" s="9">
        <v>3060</v>
      </c>
      <c r="H43" s="9">
        <v>2340</v>
      </c>
      <c r="I43" s="10">
        <v>0</v>
      </c>
      <c r="J43" s="20">
        <f t="shared" si="3"/>
        <v>16920</v>
      </c>
      <c r="K43" s="9">
        <v>3420</v>
      </c>
      <c r="L43" s="9">
        <v>3420</v>
      </c>
      <c r="M43" s="66">
        <v>0</v>
      </c>
      <c r="N43" s="78">
        <f t="shared" si="4"/>
        <v>6840</v>
      </c>
      <c r="O43" s="78">
        <f t="shared" si="5"/>
        <v>23760</v>
      </c>
    </row>
    <row r="44" spans="1:15">
      <c r="A44" s="1" t="s">
        <v>3</v>
      </c>
      <c r="B44" s="16" t="s">
        <v>57</v>
      </c>
      <c r="C44" s="27">
        <v>32940</v>
      </c>
      <c r="D44" s="9">
        <v>27450</v>
      </c>
      <c r="E44" s="9">
        <v>29280</v>
      </c>
      <c r="F44" s="9">
        <v>27450</v>
      </c>
      <c r="G44" s="9">
        <v>31110</v>
      </c>
      <c r="H44" s="9">
        <v>23790</v>
      </c>
      <c r="I44" s="10">
        <v>0</v>
      </c>
      <c r="J44" s="20">
        <f t="shared" si="3"/>
        <v>172020</v>
      </c>
      <c r="K44" s="9">
        <v>34770</v>
      </c>
      <c r="L44" s="9">
        <v>34770</v>
      </c>
      <c r="M44" s="66">
        <v>20130</v>
      </c>
      <c r="N44" s="78">
        <f t="shared" si="4"/>
        <v>89670</v>
      </c>
      <c r="O44" s="78">
        <f t="shared" si="5"/>
        <v>261690</v>
      </c>
    </row>
    <row r="45" spans="1:15">
      <c r="A45" s="1" t="s">
        <v>3</v>
      </c>
      <c r="B45" s="49" t="s">
        <v>58</v>
      </c>
      <c r="C45" s="50">
        <v>1953</v>
      </c>
      <c r="D45" s="51">
        <v>1648</v>
      </c>
      <c r="E45" s="51">
        <v>1657</v>
      </c>
      <c r="F45" s="51">
        <v>1736</v>
      </c>
      <c r="G45" s="51">
        <v>1792</v>
      </c>
      <c r="H45" s="51">
        <v>1631</v>
      </c>
      <c r="I45" s="52">
        <v>272</v>
      </c>
      <c r="J45" s="53">
        <f t="shared" si="3"/>
        <v>10689</v>
      </c>
      <c r="K45" s="51">
        <v>2092</v>
      </c>
      <c r="L45" s="51">
        <v>2082</v>
      </c>
      <c r="M45" s="67">
        <v>1245</v>
      </c>
      <c r="N45" s="79">
        <f t="shared" si="4"/>
        <v>5419</v>
      </c>
      <c r="O45" s="79">
        <f t="shared" si="5"/>
        <v>16108</v>
      </c>
    </row>
    <row r="46" spans="1:15">
      <c r="A46" s="1" t="s">
        <v>3</v>
      </c>
      <c r="B46" s="54" t="s">
        <v>59</v>
      </c>
      <c r="C46" s="55">
        <v>56493</v>
      </c>
      <c r="D46" s="56">
        <v>47098</v>
      </c>
      <c r="E46" s="56">
        <v>50137</v>
      </c>
      <c r="F46" s="56">
        <v>47186</v>
      </c>
      <c r="G46" s="56">
        <v>53302</v>
      </c>
      <c r="H46" s="56">
        <v>41021</v>
      </c>
      <c r="I46" s="57">
        <v>272</v>
      </c>
      <c r="J46" s="58">
        <f t="shared" si="3"/>
        <v>295509</v>
      </c>
      <c r="K46" s="56">
        <v>59662</v>
      </c>
      <c r="L46" s="56">
        <v>59652</v>
      </c>
      <c r="M46" s="68">
        <v>32595</v>
      </c>
      <c r="N46" s="80">
        <f t="shared" si="4"/>
        <v>151909</v>
      </c>
      <c r="O46" s="80">
        <f t="shared" si="5"/>
        <v>447418</v>
      </c>
    </row>
    <row r="47" spans="1:15">
      <c r="A47" s="1" t="s">
        <v>3</v>
      </c>
      <c r="B47" s="30" t="s">
        <v>60</v>
      </c>
      <c r="C47" s="40">
        <v>3070</v>
      </c>
      <c r="D47" s="41">
        <v>3310</v>
      </c>
      <c r="E47" s="41">
        <v>6500</v>
      </c>
      <c r="F47" s="41">
        <v>6930</v>
      </c>
      <c r="G47" s="41">
        <v>5690</v>
      </c>
      <c r="H47" s="41">
        <v>4890</v>
      </c>
      <c r="I47" s="42">
        <v>0</v>
      </c>
      <c r="J47" s="43">
        <f t="shared" si="3"/>
        <v>30390</v>
      </c>
      <c r="K47" s="41">
        <v>9450</v>
      </c>
      <c r="L47" s="41">
        <v>8410</v>
      </c>
      <c r="M47" s="65">
        <v>4520</v>
      </c>
      <c r="N47" s="77">
        <f t="shared" si="4"/>
        <v>22380</v>
      </c>
      <c r="O47" s="77">
        <f t="shared" si="5"/>
        <v>52770</v>
      </c>
    </row>
    <row r="48" spans="1:15">
      <c r="A48" s="1" t="s">
        <v>3</v>
      </c>
      <c r="B48" s="49" t="s">
        <v>61</v>
      </c>
      <c r="C48" s="50">
        <v>9800</v>
      </c>
      <c r="D48" s="51">
        <v>11100</v>
      </c>
      <c r="E48" s="51">
        <v>13600</v>
      </c>
      <c r="F48" s="51">
        <v>12700</v>
      </c>
      <c r="G48" s="51">
        <v>11300</v>
      </c>
      <c r="H48" s="51">
        <v>9900</v>
      </c>
      <c r="I48" s="52">
        <v>0</v>
      </c>
      <c r="J48" s="53">
        <f t="shared" si="3"/>
        <v>68400</v>
      </c>
      <c r="K48" s="51">
        <v>19100</v>
      </c>
      <c r="L48" s="51">
        <v>20200</v>
      </c>
      <c r="M48" s="67">
        <v>9300</v>
      </c>
      <c r="N48" s="79">
        <f t="shared" si="4"/>
        <v>48600</v>
      </c>
      <c r="O48" s="79">
        <f t="shared" si="5"/>
        <v>117000</v>
      </c>
    </row>
    <row r="49" spans="1:15">
      <c r="A49" s="1" t="s">
        <v>3</v>
      </c>
      <c r="B49" s="54" t="s">
        <v>62</v>
      </c>
      <c r="C49" s="55">
        <v>69363</v>
      </c>
      <c r="D49" s="56">
        <v>61508</v>
      </c>
      <c r="E49" s="56">
        <v>70237</v>
      </c>
      <c r="F49" s="56">
        <v>66816</v>
      </c>
      <c r="G49" s="56">
        <v>70292</v>
      </c>
      <c r="H49" s="56">
        <v>55811</v>
      </c>
      <c r="I49" s="57">
        <v>272</v>
      </c>
      <c r="J49" s="58">
        <f t="shared" si="3"/>
        <v>394299</v>
      </c>
      <c r="K49" s="56">
        <v>88212</v>
      </c>
      <c r="L49" s="56">
        <v>88262</v>
      </c>
      <c r="M49" s="68">
        <v>46415</v>
      </c>
      <c r="N49" s="80">
        <f t="shared" si="4"/>
        <v>222889</v>
      </c>
      <c r="O49" s="80">
        <f t="shared" si="5"/>
        <v>617188</v>
      </c>
    </row>
    <row r="50" spans="1:15">
      <c r="A50" s="1" t="s">
        <v>3</v>
      </c>
      <c r="B50" s="54" t="s">
        <v>63</v>
      </c>
      <c r="C50" s="55">
        <v>288215</v>
      </c>
      <c r="D50" s="56">
        <v>249820</v>
      </c>
      <c r="E50" s="56">
        <v>248665</v>
      </c>
      <c r="F50" s="56">
        <v>260545</v>
      </c>
      <c r="G50" s="56">
        <v>271156</v>
      </c>
      <c r="H50" s="56">
        <v>248844</v>
      </c>
      <c r="I50" s="57">
        <v>49133</v>
      </c>
      <c r="J50" s="58">
        <f t="shared" si="3"/>
        <v>1616378</v>
      </c>
      <c r="K50" s="56">
        <v>313108</v>
      </c>
      <c r="L50" s="56">
        <v>300348</v>
      </c>
      <c r="M50" s="68">
        <v>193284</v>
      </c>
      <c r="N50" s="80">
        <f t="shared" si="4"/>
        <v>806740</v>
      </c>
      <c r="O50" s="80">
        <f t="shared" si="5"/>
        <v>2423118</v>
      </c>
    </row>
    <row r="51" spans="1:15">
      <c r="A51" s="1" t="s">
        <v>3</v>
      </c>
      <c r="B51" s="54" t="s">
        <v>64</v>
      </c>
      <c r="C51" s="55">
        <v>285667</v>
      </c>
      <c r="D51" s="56">
        <v>238053</v>
      </c>
      <c r="E51" s="56">
        <v>231098</v>
      </c>
      <c r="F51" s="56">
        <v>248842</v>
      </c>
      <c r="G51" s="56">
        <v>255543</v>
      </c>
      <c r="H51" s="56">
        <v>240660</v>
      </c>
      <c r="I51" s="57">
        <v>49133</v>
      </c>
      <c r="J51" s="58">
        <f t="shared" si="3"/>
        <v>1548996</v>
      </c>
      <c r="K51" s="56">
        <v>292072</v>
      </c>
      <c r="L51" s="56">
        <v>290234</v>
      </c>
      <c r="M51" s="68">
        <v>180015</v>
      </c>
      <c r="N51" s="80">
        <f t="shared" si="4"/>
        <v>762321</v>
      </c>
      <c r="O51" s="80">
        <f t="shared" si="5"/>
        <v>2311317</v>
      </c>
    </row>
    <row r="52" spans="1:15">
      <c r="A52" s="1" t="s">
        <v>3</v>
      </c>
      <c r="B52" s="54" t="s">
        <v>65</v>
      </c>
      <c r="C52" s="55">
        <v>285667</v>
      </c>
      <c r="D52" s="56">
        <v>238053</v>
      </c>
      <c r="E52" s="56">
        <v>231098</v>
      </c>
      <c r="F52" s="56">
        <v>248842</v>
      </c>
      <c r="G52" s="56">
        <v>255543</v>
      </c>
      <c r="H52" s="56">
        <v>240660</v>
      </c>
      <c r="I52" s="57">
        <v>49133</v>
      </c>
      <c r="J52" s="58">
        <f t="shared" si="3"/>
        <v>1548996</v>
      </c>
      <c r="K52" s="56">
        <v>292072</v>
      </c>
      <c r="L52" s="56">
        <v>290234</v>
      </c>
      <c r="M52" s="68">
        <v>180015</v>
      </c>
      <c r="N52" s="80">
        <f t="shared" si="4"/>
        <v>762321</v>
      </c>
      <c r="O52" s="80">
        <f t="shared" si="5"/>
        <v>2311317</v>
      </c>
    </row>
    <row r="53" spans="1:15">
      <c r="A53" s="1" t="s">
        <v>3</v>
      </c>
      <c r="B53" s="30" t="s">
        <v>66</v>
      </c>
      <c r="C53" s="40">
        <v>3</v>
      </c>
      <c r="D53" s="41">
        <v>2</v>
      </c>
      <c r="E53" s="41">
        <v>0</v>
      </c>
      <c r="F53" s="41">
        <v>0</v>
      </c>
      <c r="G53" s="41">
        <v>1</v>
      </c>
      <c r="H53" s="41">
        <v>1</v>
      </c>
      <c r="I53" s="42">
        <v>0</v>
      </c>
      <c r="J53" s="43"/>
      <c r="K53" s="41">
        <v>0</v>
      </c>
      <c r="L53" s="41">
        <v>0</v>
      </c>
      <c r="M53" s="65">
        <v>0</v>
      </c>
      <c r="N53" s="77"/>
      <c r="O53" s="77"/>
    </row>
    <row r="54" spans="1:15">
      <c r="A54" s="1" t="s">
        <v>3</v>
      </c>
      <c r="B54" s="16" t="s">
        <v>67</v>
      </c>
      <c r="C54" s="28" t="s">
        <v>68</v>
      </c>
      <c r="D54" s="11" t="s">
        <v>68</v>
      </c>
      <c r="E54" s="11" t="s">
        <v>68</v>
      </c>
      <c r="F54" s="11" t="s">
        <v>68</v>
      </c>
      <c r="G54" s="11" t="s">
        <v>68</v>
      </c>
      <c r="H54" s="11" t="s">
        <v>68</v>
      </c>
      <c r="I54" s="12" t="s">
        <v>68</v>
      </c>
      <c r="J54" s="21"/>
      <c r="K54" s="11" t="s">
        <v>68</v>
      </c>
      <c r="L54" s="11" t="s">
        <v>68</v>
      </c>
      <c r="M54" s="69" t="s">
        <v>68</v>
      </c>
      <c r="N54" s="81"/>
      <c r="O54" s="81"/>
    </row>
    <row r="55" spans="1:15" ht="19.5" thickBot="1">
      <c r="A55" s="1" t="s">
        <v>3</v>
      </c>
      <c r="B55" s="17" t="s">
        <v>69</v>
      </c>
      <c r="C55" s="29">
        <v>3070</v>
      </c>
      <c r="D55" s="13">
        <v>3310</v>
      </c>
      <c r="E55" s="13">
        <v>6500</v>
      </c>
      <c r="F55" s="13">
        <v>6930</v>
      </c>
      <c r="G55" s="13">
        <v>5690</v>
      </c>
      <c r="H55" s="13">
        <v>4890</v>
      </c>
      <c r="I55" s="14">
        <v>0</v>
      </c>
      <c r="J55" s="22">
        <f>SUM(C55:I55)</f>
        <v>30390</v>
      </c>
      <c r="K55" s="13">
        <v>9450</v>
      </c>
      <c r="L55" s="13">
        <v>8410</v>
      </c>
      <c r="M55" s="70">
        <v>4520</v>
      </c>
      <c r="N55" s="82">
        <f>SUM(K55:M55)</f>
        <v>22380</v>
      </c>
      <c r="O55" s="82">
        <f>J55+N55</f>
        <v>52770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5F27-CAFE-4D58-A2EE-5261DBDD5626}">
  <dimension ref="A1:F55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" sqref="G1:G104857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9.625" style="2" bestFit="1" customWidth="1"/>
    <col min="7" max="249" width="9" style="2"/>
    <col min="250" max="250" width="2.375" style="2" customWidth="1"/>
    <col min="251" max="251" width="13.25" style="2" bestFit="1" customWidth="1"/>
    <col min="252" max="253" width="9" style="2"/>
    <col min="254" max="255" width="11.125" style="2" bestFit="1" customWidth="1"/>
    <col min="256" max="256" width="13.25" style="2" bestFit="1" customWidth="1"/>
    <col min="257" max="257" width="11.125" style="2" bestFit="1" customWidth="1"/>
    <col min="258" max="258" width="9" style="2"/>
    <col min="259" max="259" width="13.25" style="2" bestFit="1" customWidth="1"/>
    <col min="260" max="261" width="9" style="2"/>
    <col min="262" max="262" width="9.625" style="2" bestFit="1" customWidth="1"/>
    <col min="263" max="505" width="9" style="2"/>
    <col min="506" max="506" width="2.375" style="2" customWidth="1"/>
    <col min="507" max="507" width="13.25" style="2" bestFit="1" customWidth="1"/>
    <col min="508" max="509" width="9" style="2"/>
    <col min="510" max="511" width="11.125" style="2" bestFit="1" customWidth="1"/>
    <col min="512" max="512" width="13.25" style="2" bestFit="1" customWidth="1"/>
    <col min="513" max="513" width="11.125" style="2" bestFit="1" customWidth="1"/>
    <col min="514" max="514" width="9" style="2"/>
    <col min="515" max="515" width="13.25" style="2" bestFit="1" customWidth="1"/>
    <col min="516" max="517" width="9" style="2"/>
    <col min="518" max="518" width="9.625" style="2" bestFit="1" customWidth="1"/>
    <col min="519" max="761" width="9" style="2"/>
    <col min="762" max="762" width="2.375" style="2" customWidth="1"/>
    <col min="763" max="763" width="13.25" style="2" bestFit="1" customWidth="1"/>
    <col min="764" max="765" width="9" style="2"/>
    <col min="766" max="767" width="11.125" style="2" bestFit="1" customWidth="1"/>
    <col min="768" max="768" width="13.25" style="2" bestFit="1" customWidth="1"/>
    <col min="769" max="769" width="11.125" style="2" bestFit="1" customWidth="1"/>
    <col min="770" max="770" width="9" style="2"/>
    <col min="771" max="771" width="13.25" style="2" bestFit="1" customWidth="1"/>
    <col min="772" max="773" width="9" style="2"/>
    <col min="774" max="774" width="9.625" style="2" bestFit="1" customWidth="1"/>
    <col min="775" max="1017" width="9" style="2"/>
    <col min="1018" max="1018" width="2.375" style="2" customWidth="1"/>
    <col min="1019" max="1019" width="13.25" style="2" bestFit="1" customWidth="1"/>
    <col min="1020" max="1021" width="9" style="2"/>
    <col min="1022" max="1023" width="11.125" style="2" bestFit="1" customWidth="1"/>
    <col min="1024" max="1024" width="13.25" style="2" bestFit="1" customWidth="1"/>
    <col min="1025" max="1025" width="11.125" style="2" bestFit="1" customWidth="1"/>
    <col min="1026" max="1026" width="9" style="2"/>
    <col min="1027" max="1027" width="13.25" style="2" bestFit="1" customWidth="1"/>
    <col min="1028" max="1029" width="9" style="2"/>
    <col min="1030" max="1030" width="9.625" style="2" bestFit="1" customWidth="1"/>
    <col min="1031" max="1273" width="9" style="2"/>
    <col min="1274" max="1274" width="2.375" style="2" customWidth="1"/>
    <col min="1275" max="1275" width="13.25" style="2" bestFit="1" customWidth="1"/>
    <col min="1276" max="1277" width="9" style="2"/>
    <col min="1278" max="1279" width="11.125" style="2" bestFit="1" customWidth="1"/>
    <col min="1280" max="1280" width="13.25" style="2" bestFit="1" customWidth="1"/>
    <col min="1281" max="1281" width="11.125" style="2" bestFit="1" customWidth="1"/>
    <col min="1282" max="1282" width="9" style="2"/>
    <col min="1283" max="1283" width="13.25" style="2" bestFit="1" customWidth="1"/>
    <col min="1284" max="1285" width="9" style="2"/>
    <col min="1286" max="1286" width="9.625" style="2" bestFit="1" customWidth="1"/>
    <col min="1287" max="1529" width="9" style="2"/>
    <col min="1530" max="1530" width="2.375" style="2" customWidth="1"/>
    <col min="1531" max="1531" width="13.25" style="2" bestFit="1" customWidth="1"/>
    <col min="1532" max="1533" width="9" style="2"/>
    <col min="1534" max="1535" width="11.125" style="2" bestFit="1" customWidth="1"/>
    <col min="1536" max="1536" width="13.25" style="2" bestFit="1" customWidth="1"/>
    <col min="1537" max="1537" width="11.125" style="2" bestFit="1" customWidth="1"/>
    <col min="1538" max="1538" width="9" style="2"/>
    <col min="1539" max="1539" width="13.25" style="2" bestFit="1" customWidth="1"/>
    <col min="1540" max="1541" width="9" style="2"/>
    <col min="1542" max="1542" width="9.625" style="2" bestFit="1" customWidth="1"/>
    <col min="1543" max="1785" width="9" style="2"/>
    <col min="1786" max="1786" width="2.375" style="2" customWidth="1"/>
    <col min="1787" max="1787" width="13.25" style="2" bestFit="1" customWidth="1"/>
    <col min="1788" max="1789" width="9" style="2"/>
    <col min="1790" max="1791" width="11.125" style="2" bestFit="1" customWidth="1"/>
    <col min="1792" max="1792" width="13.25" style="2" bestFit="1" customWidth="1"/>
    <col min="1793" max="1793" width="11.125" style="2" bestFit="1" customWidth="1"/>
    <col min="1794" max="1794" width="9" style="2"/>
    <col min="1795" max="1795" width="13.25" style="2" bestFit="1" customWidth="1"/>
    <col min="1796" max="1797" width="9" style="2"/>
    <col min="1798" max="1798" width="9.625" style="2" bestFit="1" customWidth="1"/>
    <col min="1799" max="2041" width="9" style="2"/>
    <col min="2042" max="2042" width="2.375" style="2" customWidth="1"/>
    <col min="2043" max="2043" width="13.25" style="2" bestFit="1" customWidth="1"/>
    <col min="2044" max="2045" width="9" style="2"/>
    <col min="2046" max="2047" width="11.125" style="2" bestFit="1" customWidth="1"/>
    <col min="2048" max="2048" width="13.25" style="2" bestFit="1" customWidth="1"/>
    <col min="2049" max="2049" width="11.125" style="2" bestFit="1" customWidth="1"/>
    <col min="2050" max="2050" width="9" style="2"/>
    <col min="2051" max="2051" width="13.25" style="2" bestFit="1" customWidth="1"/>
    <col min="2052" max="2053" width="9" style="2"/>
    <col min="2054" max="2054" width="9.625" style="2" bestFit="1" customWidth="1"/>
    <col min="2055" max="2297" width="9" style="2"/>
    <col min="2298" max="2298" width="2.375" style="2" customWidth="1"/>
    <col min="2299" max="2299" width="13.25" style="2" bestFit="1" customWidth="1"/>
    <col min="2300" max="2301" width="9" style="2"/>
    <col min="2302" max="2303" width="11.125" style="2" bestFit="1" customWidth="1"/>
    <col min="2304" max="2304" width="13.25" style="2" bestFit="1" customWidth="1"/>
    <col min="2305" max="2305" width="11.125" style="2" bestFit="1" customWidth="1"/>
    <col min="2306" max="2306" width="9" style="2"/>
    <col min="2307" max="2307" width="13.25" style="2" bestFit="1" customWidth="1"/>
    <col min="2308" max="2309" width="9" style="2"/>
    <col min="2310" max="2310" width="9.625" style="2" bestFit="1" customWidth="1"/>
    <col min="2311" max="2553" width="9" style="2"/>
    <col min="2554" max="2554" width="2.375" style="2" customWidth="1"/>
    <col min="2555" max="2555" width="13.25" style="2" bestFit="1" customWidth="1"/>
    <col min="2556" max="2557" width="9" style="2"/>
    <col min="2558" max="2559" width="11.125" style="2" bestFit="1" customWidth="1"/>
    <col min="2560" max="2560" width="13.25" style="2" bestFit="1" customWidth="1"/>
    <col min="2561" max="2561" width="11.125" style="2" bestFit="1" customWidth="1"/>
    <col min="2562" max="2562" width="9" style="2"/>
    <col min="2563" max="2563" width="13.25" style="2" bestFit="1" customWidth="1"/>
    <col min="2564" max="2565" width="9" style="2"/>
    <col min="2566" max="2566" width="9.625" style="2" bestFit="1" customWidth="1"/>
    <col min="2567" max="2809" width="9" style="2"/>
    <col min="2810" max="2810" width="2.375" style="2" customWidth="1"/>
    <col min="2811" max="2811" width="13.25" style="2" bestFit="1" customWidth="1"/>
    <col min="2812" max="2813" width="9" style="2"/>
    <col min="2814" max="2815" width="11.125" style="2" bestFit="1" customWidth="1"/>
    <col min="2816" max="2816" width="13.25" style="2" bestFit="1" customWidth="1"/>
    <col min="2817" max="2817" width="11.125" style="2" bestFit="1" customWidth="1"/>
    <col min="2818" max="2818" width="9" style="2"/>
    <col min="2819" max="2819" width="13.25" style="2" bestFit="1" customWidth="1"/>
    <col min="2820" max="2821" width="9" style="2"/>
    <col min="2822" max="2822" width="9.625" style="2" bestFit="1" customWidth="1"/>
    <col min="2823" max="3065" width="9" style="2"/>
    <col min="3066" max="3066" width="2.375" style="2" customWidth="1"/>
    <col min="3067" max="3067" width="13.25" style="2" bestFit="1" customWidth="1"/>
    <col min="3068" max="3069" width="9" style="2"/>
    <col min="3070" max="3071" width="11.125" style="2" bestFit="1" customWidth="1"/>
    <col min="3072" max="3072" width="13.25" style="2" bestFit="1" customWidth="1"/>
    <col min="3073" max="3073" width="11.125" style="2" bestFit="1" customWidth="1"/>
    <col min="3074" max="3074" width="9" style="2"/>
    <col min="3075" max="3075" width="13.25" style="2" bestFit="1" customWidth="1"/>
    <col min="3076" max="3077" width="9" style="2"/>
    <col min="3078" max="3078" width="9.625" style="2" bestFit="1" customWidth="1"/>
    <col min="3079" max="3321" width="9" style="2"/>
    <col min="3322" max="3322" width="2.375" style="2" customWidth="1"/>
    <col min="3323" max="3323" width="13.25" style="2" bestFit="1" customWidth="1"/>
    <col min="3324" max="3325" width="9" style="2"/>
    <col min="3326" max="3327" width="11.125" style="2" bestFit="1" customWidth="1"/>
    <col min="3328" max="3328" width="13.25" style="2" bestFit="1" customWidth="1"/>
    <col min="3329" max="3329" width="11.125" style="2" bestFit="1" customWidth="1"/>
    <col min="3330" max="3330" width="9" style="2"/>
    <col min="3331" max="3331" width="13.25" style="2" bestFit="1" customWidth="1"/>
    <col min="3332" max="3333" width="9" style="2"/>
    <col min="3334" max="3334" width="9.625" style="2" bestFit="1" customWidth="1"/>
    <col min="3335" max="3577" width="9" style="2"/>
    <col min="3578" max="3578" width="2.375" style="2" customWidth="1"/>
    <col min="3579" max="3579" width="13.25" style="2" bestFit="1" customWidth="1"/>
    <col min="3580" max="3581" width="9" style="2"/>
    <col min="3582" max="3583" width="11.125" style="2" bestFit="1" customWidth="1"/>
    <col min="3584" max="3584" width="13.25" style="2" bestFit="1" customWidth="1"/>
    <col min="3585" max="3585" width="11.125" style="2" bestFit="1" customWidth="1"/>
    <col min="3586" max="3586" width="9" style="2"/>
    <col min="3587" max="3587" width="13.25" style="2" bestFit="1" customWidth="1"/>
    <col min="3588" max="3589" width="9" style="2"/>
    <col min="3590" max="3590" width="9.625" style="2" bestFit="1" customWidth="1"/>
    <col min="3591" max="3833" width="9" style="2"/>
    <col min="3834" max="3834" width="2.375" style="2" customWidth="1"/>
    <col min="3835" max="3835" width="13.25" style="2" bestFit="1" customWidth="1"/>
    <col min="3836" max="3837" width="9" style="2"/>
    <col min="3838" max="3839" width="11.125" style="2" bestFit="1" customWidth="1"/>
    <col min="3840" max="3840" width="13.25" style="2" bestFit="1" customWidth="1"/>
    <col min="3841" max="3841" width="11.125" style="2" bestFit="1" customWidth="1"/>
    <col min="3842" max="3842" width="9" style="2"/>
    <col min="3843" max="3843" width="13.25" style="2" bestFit="1" customWidth="1"/>
    <col min="3844" max="3845" width="9" style="2"/>
    <col min="3846" max="3846" width="9.625" style="2" bestFit="1" customWidth="1"/>
    <col min="3847" max="4089" width="9" style="2"/>
    <col min="4090" max="4090" width="2.375" style="2" customWidth="1"/>
    <col min="4091" max="4091" width="13.25" style="2" bestFit="1" customWidth="1"/>
    <col min="4092" max="4093" width="9" style="2"/>
    <col min="4094" max="4095" width="11.125" style="2" bestFit="1" customWidth="1"/>
    <col min="4096" max="4096" width="13.25" style="2" bestFit="1" customWidth="1"/>
    <col min="4097" max="4097" width="11.125" style="2" bestFit="1" customWidth="1"/>
    <col min="4098" max="4098" width="9" style="2"/>
    <col min="4099" max="4099" width="13.25" style="2" bestFit="1" customWidth="1"/>
    <col min="4100" max="4101" width="9" style="2"/>
    <col min="4102" max="4102" width="9.625" style="2" bestFit="1" customWidth="1"/>
    <col min="4103" max="4345" width="9" style="2"/>
    <col min="4346" max="4346" width="2.375" style="2" customWidth="1"/>
    <col min="4347" max="4347" width="13.25" style="2" bestFit="1" customWidth="1"/>
    <col min="4348" max="4349" width="9" style="2"/>
    <col min="4350" max="4351" width="11.125" style="2" bestFit="1" customWidth="1"/>
    <col min="4352" max="4352" width="13.25" style="2" bestFit="1" customWidth="1"/>
    <col min="4353" max="4353" width="11.125" style="2" bestFit="1" customWidth="1"/>
    <col min="4354" max="4354" width="9" style="2"/>
    <col min="4355" max="4355" width="13.25" style="2" bestFit="1" customWidth="1"/>
    <col min="4356" max="4357" width="9" style="2"/>
    <col min="4358" max="4358" width="9.625" style="2" bestFit="1" customWidth="1"/>
    <col min="4359" max="4601" width="9" style="2"/>
    <col min="4602" max="4602" width="2.375" style="2" customWidth="1"/>
    <col min="4603" max="4603" width="13.25" style="2" bestFit="1" customWidth="1"/>
    <col min="4604" max="4605" width="9" style="2"/>
    <col min="4606" max="4607" width="11.125" style="2" bestFit="1" customWidth="1"/>
    <col min="4608" max="4608" width="13.25" style="2" bestFit="1" customWidth="1"/>
    <col min="4609" max="4609" width="11.125" style="2" bestFit="1" customWidth="1"/>
    <col min="4610" max="4610" width="9" style="2"/>
    <col min="4611" max="4611" width="13.25" style="2" bestFit="1" customWidth="1"/>
    <col min="4612" max="4613" width="9" style="2"/>
    <col min="4614" max="4614" width="9.625" style="2" bestFit="1" customWidth="1"/>
    <col min="4615" max="4857" width="9" style="2"/>
    <col min="4858" max="4858" width="2.375" style="2" customWidth="1"/>
    <col min="4859" max="4859" width="13.25" style="2" bestFit="1" customWidth="1"/>
    <col min="4860" max="4861" width="9" style="2"/>
    <col min="4862" max="4863" width="11.125" style="2" bestFit="1" customWidth="1"/>
    <col min="4864" max="4864" width="13.25" style="2" bestFit="1" customWidth="1"/>
    <col min="4865" max="4865" width="11.125" style="2" bestFit="1" customWidth="1"/>
    <col min="4866" max="4866" width="9" style="2"/>
    <col min="4867" max="4867" width="13.25" style="2" bestFit="1" customWidth="1"/>
    <col min="4868" max="4869" width="9" style="2"/>
    <col min="4870" max="4870" width="9.625" style="2" bestFit="1" customWidth="1"/>
    <col min="4871" max="5113" width="9" style="2"/>
    <col min="5114" max="5114" width="2.375" style="2" customWidth="1"/>
    <col min="5115" max="5115" width="13.25" style="2" bestFit="1" customWidth="1"/>
    <col min="5116" max="5117" width="9" style="2"/>
    <col min="5118" max="5119" width="11.125" style="2" bestFit="1" customWidth="1"/>
    <col min="5120" max="5120" width="13.25" style="2" bestFit="1" customWidth="1"/>
    <col min="5121" max="5121" width="11.125" style="2" bestFit="1" customWidth="1"/>
    <col min="5122" max="5122" width="9" style="2"/>
    <col min="5123" max="5123" width="13.25" style="2" bestFit="1" customWidth="1"/>
    <col min="5124" max="5125" width="9" style="2"/>
    <col min="5126" max="5126" width="9.625" style="2" bestFit="1" customWidth="1"/>
    <col min="5127" max="5369" width="9" style="2"/>
    <col min="5370" max="5370" width="2.375" style="2" customWidth="1"/>
    <col min="5371" max="5371" width="13.25" style="2" bestFit="1" customWidth="1"/>
    <col min="5372" max="5373" width="9" style="2"/>
    <col min="5374" max="5375" width="11.125" style="2" bestFit="1" customWidth="1"/>
    <col min="5376" max="5376" width="13.25" style="2" bestFit="1" customWidth="1"/>
    <col min="5377" max="5377" width="11.125" style="2" bestFit="1" customWidth="1"/>
    <col min="5378" max="5378" width="9" style="2"/>
    <col min="5379" max="5379" width="13.25" style="2" bestFit="1" customWidth="1"/>
    <col min="5380" max="5381" width="9" style="2"/>
    <col min="5382" max="5382" width="9.625" style="2" bestFit="1" customWidth="1"/>
    <col min="5383" max="5625" width="9" style="2"/>
    <col min="5626" max="5626" width="2.375" style="2" customWidth="1"/>
    <col min="5627" max="5627" width="13.25" style="2" bestFit="1" customWidth="1"/>
    <col min="5628" max="5629" width="9" style="2"/>
    <col min="5630" max="5631" width="11.125" style="2" bestFit="1" customWidth="1"/>
    <col min="5632" max="5632" width="13.25" style="2" bestFit="1" customWidth="1"/>
    <col min="5633" max="5633" width="11.125" style="2" bestFit="1" customWidth="1"/>
    <col min="5634" max="5634" width="9" style="2"/>
    <col min="5635" max="5635" width="13.25" style="2" bestFit="1" customWidth="1"/>
    <col min="5636" max="5637" width="9" style="2"/>
    <col min="5638" max="5638" width="9.625" style="2" bestFit="1" customWidth="1"/>
    <col min="5639" max="5881" width="9" style="2"/>
    <col min="5882" max="5882" width="2.375" style="2" customWidth="1"/>
    <col min="5883" max="5883" width="13.25" style="2" bestFit="1" customWidth="1"/>
    <col min="5884" max="5885" width="9" style="2"/>
    <col min="5886" max="5887" width="11.125" style="2" bestFit="1" customWidth="1"/>
    <col min="5888" max="5888" width="13.25" style="2" bestFit="1" customWidth="1"/>
    <col min="5889" max="5889" width="11.125" style="2" bestFit="1" customWidth="1"/>
    <col min="5890" max="5890" width="9" style="2"/>
    <col min="5891" max="5891" width="13.25" style="2" bestFit="1" customWidth="1"/>
    <col min="5892" max="5893" width="9" style="2"/>
    <col min="5894" max="5894" width="9.625" style="2" bestFit="1" customWidth="1"/>
    <col min="5895" max="6137" width="9" style="2"/>
    <col min="6138" max="6138" width="2.375" style="2" customWidth="1"/>
    <col min="6139" max="6139" width="13.25" style="2" bestFit="1" customWidth="1"/>
    <col min="6140" max="6141" width="9" style="2"/>
    <col min="6142" max="6143" width="11.125" style="2" bestFit="1" customWidth="1"/>
    <col min="6144" max="6144" width="13.25" style="2" bestFit="1" customWidth="1"/>
    <col min="6145" max="6145" width="11.125" style="2" bestFit="1" customWidth="1"/>
    <col min="6146" max="6146" width="9" style="2"/>
    <col min="6147" max="6147" width="13.25" style="2" bestFit="1" customWidth="1"/>
    <col min="6148" max="6149" width="9" style="2"/>
    <col min="6150" max="6150" width="9.625" style="2" bestFit="1" customWidth="1"/>
    <col min="6151" max="6393" width="9" style="2"/>
    <col min="6394" max="6394" width="2.375" style="2" customWidth="1"/>
    <col min="6395" max="6395" width="13.25" style="2" bestFit="1" customWidth="1"/>
    <col min="6396" max="6397" width="9" style="2"/>
    <col min="6398" max="6399" width="11.125" style="2" bestFit="1" customWidth="1"/>
    <col min="6400" max="6400" width="13.25" style="2" bestFit="1" customWidth="1"/>
    <col min="6401" max="6401" width="11.125" style="2" bestFit="1" customWidth="1"/>
    <col min="6402" max="6402" width="9" style="2"/>
    <col min="6403" max="6403" width="13.25" style="2" bestFit="1" customWidth="1"/>
    <col min="6404" max="6405" width="9" style="2"/>
    <col min="6406" max="6406" width="9.625" style="2" bestFit="1" customWidth="1"/>
    <col min="6407" max="6649" width="9" style="2"/>
    <col min="6650" max="6650" width="2.375" style="2" customWidth="1"/>
    <col min="6651" max="6651" width="13.25" style="2" bestFit="1" customWidth="1"/>
    <col min="6652" max="6653" width="9" style="2"/>
    <col min="6654" max="6655" width="11.125" style="2" bestFit="1" customWidth="1"/>
    <col min="6656" max="6656" width="13.25" style="2" bestFit="1" customWidth="1"/>
    <col min="6657" max="6657" width="11.125" style="2" bestFit="1" customWidth="1"/>
    <col min="6658" max="6658" width="9" style="2"/>
    <col min="6659" max="6659" width="13.25" style="2" bestFit="1" customWidth="1"/>
    <col min="6660" max="6661" width="9" style="2"/>
    <col min="6662" max="6662" width="9.625" style="2" bestFit="1" customWidth="1"/>
    <col min="6663" max="6905" width="9" style="2"/>
    <col min="6906" max="6906" width="2.375" style="2" customWidth="1"/>
    <col min="6907" max="6907" width="13.25" style="2" bestFit="1" customWidth="1"/>
    <col min="6908" max="6909" width="9" style="2"/>
    <col min="6910" max="6911" width="11.125" style="2" bestFit="1" customWidth="1"/>
    <col min="6912" max="6912" width="13.25" style="2" bestFit="1" customWidth="1"/>
    <col min="6913" max="6913" width="11.125" style="2" bestFit="1" customWidth="1"/>
    <col min="6914" max="6914" width="9" style="2"/>
    <col min="6915" max="6915" width="13.25" style="2" bestFit="1" customWidth="1"/>
    <col min="6916" max="6917" width="9" style="2"/>
    <col min="6918" max="6918" width="9.625" style="2" bestFit="1" customWidth="1"/>
    <col min="6919" max="7161" width="9" style="2"/>
    <col min="7162" max="7162" width="2.375" style="2" customWidth="1"/>
    <col min="7163" max="7163" width="13.25" style="2" bestFit="1" customWidth="1"/>
    <col min="7164" max="7165" width="9" style="2"/>
    <col min="7166" max="7167" width="11.125" style="2" bestFit="1" customWidth="1"/>
    <col min="7168" max="7168" width="13.25" style="2" bestFit="1" customWidth="1"/>
    <col min="7169" max="7169" width="11.125" style="2" bestFit="1" customWidth="1"/>
    <col min="7170" max="7170" width="9" style="2"/>
    <col min="7171" max="7171" width="13.25" style="2" bestFit="1" customWidth="1"/>
    <col min="7172" max="7173" width="9" style="2"/>
    <col min="7174" max="7174" width="9.625" style="2" bestFit="1" customWidth="1"/>
    <col min="7175" max="7417" width="9" style="2"/>
    <col min="7418" max="7418" width="2.375" style="2" customWidth="1"/>
    <col min="7419" max="7419" width="13.25" style="2" bestFit="1" customWidth="1"/>
    <col min="7420" max="7421" width="9" style="2"/>
    <col min="7422" max="7423" width="11.125" style="2" bestFit="1" customWidth="1"/>
    <col min="7424" max="7424" width="13.25" style="2" bestFit="1" customWidth="1"/>
    <col min="7425" max="7425" width="11.125" style="2" bestFit="1" customWidth="1"/>
    <col min="7426" max="7426" width="9" style="2"/>
    <col min="7427" max="7427" width="13.25" style="2" bestFit="1" customWidth="1"/>
    <col min="7428" max="7429" width="9" style="2"/>
    <col min="7430" max="7430" width="9.625" style="2" bestFit="1" customWidth="1"/>
    <col min="7431" max="7673" width="9" style="2"/>
    <col min="7674" max="7674" width="2.375" style="2" customWidth="1"/>
    <col min="7675" max="7675" width="13.25" style="2" bestFit="1" customWidth="1"/>
    <col min="7676" max="7677" width="9" style="2"/>
    <col min="7678" max="7679" width="11.125" style="2" bestFit="1" customWidth="1"/>
    <col min="7680" max="7680" width="13.25" style="2" bestFit="1" customWidth="1"/>
    <col min="7681" max="7681" width="11.125" style="2" bestFit="1" customWidth="1"/>
    <col min="7682" max="7682" width="9" style="2"/>
    <col min="7683" max="7683" width="13.25" style="2" bestFit="1" customWidth="1"/>
    <col min="7684" max="7685" width="9" style="2"/>
    <col min="7686" max="7686" width="9.625" style="2" bestFit="1" customWidth="1"/>
    <col min="7687" max="7929" width="9" style="2"/>
    <col min="7930" max="7930" width="2.375" style="2" customWidth="1"/>
    <col min="7931" max="7931" width="13.25" style="2" bestFit="1" customWidth="1"/>
    <col min="7932" max="7933" width="9" style="2"/>
    <col min="7934" max="7935" width="11.125" style="2" bestFit="1" customWidth="1"/>
    <col min="7936" max="7936" width="13.25" style="2" bestFit="1" customWidth="1"/>
    <col min="7937" max="7937" width="11.125" style="2" bestFit="1" customWidth="1"/>
    <col min="7938" max="7938" width="9" style="2"/>
    <col min="7939" max="7939" width="13.25" style="2" bestFit="1" customWidth="1"/>
    <col min="7940" max="7941" width="9" style="2"/>
    <col min="7942" max="7942" width="9.625" style="2" bestFit="1" customWidth="1"/>
    <col min="7943" max="8185" width="9" style="2"/>
    <col min="8186" max="8186" width="2.375" style="2" customWidth="1"/>
    <col min="8187" max="8187" width="13.25" style="2" bestFit="1" customWidth="1"/>
    <col min="8188" max="8189" width="9" style="2"/>
    <col min="8190" max="8191" width="11.125" style="2" bestFit="1" customWidth="1"/>
    <col min="8192" max="8192" width="13.25" style="2" bestFit="1" customWidth="1"/>
    <col min="8193" max="8193" width="11.125" style="2" bestFit="1" customWidth="1"/>
    <col min="8194" max="8194" width="9" style="2"/>
    <col min="8195" max="8195" width="13.25" style="2" bestFit="1" customWidth="1"/>
    <col min="8196" max="8197" width="9" style="2"/>
    <col min="8198" max="8198" width="9.625" style="2" bestFit="1" customWidth="1"/>
    <col min="8199" max="8441" width="9" style="2"/>
    <col min="8442" max="8442" width="2.375" style="2" customWidth="1"/>
    <col min="8443" max="8443" width="13.25" style="2" bestFit="1" customWidth="1"/>
    <col min="8444" max="8445" width="9" style="2"/>
    <col min="8446" max="8447" width="11.125" style="2" bestFit="1" customWidth="1"/>
    <col min="8448" max="8448" width="13.25" style="2" bestFit="1" customWidth="1"/>
    <col min="8449" max="8449" width="11.125" style="2" bestFit="1" customWidth="1"/>
    <col min="8450" max="8450" width="9" style="2"/>
    <col min="8451" max="8451" width="13.25" style="2" bestFit="1" customWidth="1"/>
    <col min="8452" max="8453" width="9" style="2"/>
    <col min="8454" max="8454" width="9.625" style="2" bestFit="1" customWidth="1"/>
    <col min="8455" max="8697" width="9" style="2"/>
    <col min="8698" max="8698" width="2.375" style="2" customWidth="1"/>
    <col min="8699" max="8699" width="13.25" style="2" bestFit="1" customWidth="1"/>
    <col min="8700" max="8701" width="9" style="2"/>
    <col min="8702" max="8703" width="11.125" style="2" bestFit="1" customWidth="1"/>
    <col min="8704" max="8704" width="13.25" style="2" bestFit="1" customWidth="1"/>
    <col min="8705" max="8705" width="11.125" style="2" bestFit="1" customWidth="1"/>
    <col min="8706" max="8706" width="9" style="2"/>
    <col min="8707" max="8707" width="13.25" style="2" bestFit="1" customWidth="1"/>
    <col min="8708" max="8709" width="9" style="2"/>
    <col min="8710" max="8710" width="9.625" style="2" bestFit="1" customWidth="1"/>
    <col min="8711" max="8953" width="9" style="2"/>
    <col min="8954" max="8954" width="2.375" style="2" customWidth="1"/>
    <col min="8955" max="8955" width="13.25" style="2" bestFit="1" customWidth="1"/>
    <col min="8956" max="8957" width="9" style="2"/>
    <col min="8958" max="8959" width="11.125" style="2" bestFit="1" customWidth="1"/>
    <col min="8960" max="8960" width="13.25" style="2" bestFit="1" customWidth="1"/>
    <col min="8961" max="8961" width="11.125" style="2" bestFit="1" customWidth="1"/>
    <col min="8962" max="8962" width="9" style="2"/>
    <col min="8963" max="8963" width="13.25" style="2" bestFit="1" customWidth="1"/>
    <col min="8964" max="8965" width="9" style="2"/>
    <col min="8966" max="8966" width="9.625" style="2" bestFit="1" customWidth="1"/>
    <col min="8967" max="9209" width="9" style="2"/>
    <col min="9210" max="9210" width="2.375" style="2" customWidth="1"/>
    <col min="9211" max="9211" width="13.25" style="2" bestFit="1" customWidth="1"/>
    <col min="9212" max="9213" width="9" style="2"/>
    <col min="9214" max="9215" width="11.125" style="2" bestFit="1" customWidth="1"/>
    <col min="9216" max="9216" width="13.25" style="2" bestFit="1" customWidth="1"/>
    <col min="9217" max="9217" width="11.125" style="2" bestFit="1" customWidth="1"/>
    <col min="9218" max="9218" width="9" style="2"/>
    <col min="9219" max="9219" width="13.25" style="2" bestFit="1" customWidth="1"/>
    <col min="9220" max="9221" width="9" style="2"/>
    <col min="9222" max="9222" width="9.625" style="2" bestFit="1" customWidth="1"/>
    <col min="9223" max="9465" width="9" style="2"/>
    <col min="9466" max="9466" width="2.375" style="2" customWidth="1"/>
    <col min="9467" max="9467" width="13.25" style="2" bestFit="1" customWidth="1"/>
    <col min="9468" max="9469" width="9" style="2"/>
    <col min="9470" max="9471" width="11.125" style="2" bestFit="1" customWidth="1"/>
    <col min="9472" max="9472" width="13.25" style="2" bestFit="1" customWidth="1"/>
    <col min="9473" max="9473" width="11.125" style="2" bestFit="1" customWidth="1"/>
    <col min="9474" max="9474" width="9" style="2"/>
    <col min="9475" max="9475" width="13.25" style="2" bestFit="1" customWidth="1"/>
    <col min="9476" max="9477" width="9" style="2"/>
    <col min="9478" max="9478" width="9.625" style="2" bestFit="1" customWidth="1"/>
    <col min="9479" max="9721" width="9" style="2"/>
    <col min="9722" max="9722" width="2.375" style="2" customWidth="1"/>
    <col min="9723" max="9723" width="13.25" style="2" bestFit="1" customWidth="1"/>
    <col min="9724" max="9725" width="9" style="2"/>
    <col min="9726" max="9727" width="11.125" style="2" bestFit="1" customWidth="1"/>
    <col min="9728" max="9728" width="13.25" style="2" bestFit="1" customWidth="1"/>
    <col min="9729" max="9729" width="11.125" style="2" bestFit="1" customWidth="1"/>
    <col min="9730" max="9730" width="9" style="2"/>
    <col min="9731" max="9731" width="13.25" style="2" bestFit="1" customWidth="1"/>
    <col min="9732" max="9733" width="9" style="2"/>
    <col min="9734" max="9734" width="9.625" style="2" bestFit="1" customWidth="1"/>
    <col min="9735" max="9977" width="9" style="2"/>
    <col min="9978" max="9978" width="2.375" style="2" customWidth="1"/>
    <col min="9979" max="9979" width="13.25" style="2" bestFit="1" customWidth="1"/>
    <col min="9980" max="9981" width="9" style="2"/>
    <col min="9982" max="9983" width="11.125" style="2" bestFit="1" customWidth="1"/>
    <col min="9984" max="9984" width="13.25" style="2" bestFit="1" customWidth="1"/>
    <col min="9985" max="9985" width="11.125" style="2" bestFit="1" customWidth="1"/>
    <col min="9986" max="9986" width="9" style="2"/>
    <col min="9987" max="9987" width="13.25" style="2" bestFit="1" customWidth="1"/>
    <col min="9988" max="9989" width="9" style="2"/>
    <col min="9990" max="9990" width="9.625" style="2" bestFit="1" customWidth="1"/>
    <col min="9991" max="10233" width="9" style="2"/>
    <col min="10234" max="10234" width="2.375" style="2" customWidth="1"/>
    <col min="10235" max="10235" width="13.25" style="2" bestFit="1" customWidth="1"/>
    <col min="10236" max="10237" width="9" style="2"/>
    <col min="10238" max="10239" width="11.125" style="2" bestFit="1" customWidth="1"/>
    <col min="10240" max="10240" width="13.25" style="2" bestFit="1" customWidth="1"/>
    <col min="10241" max="10241" width="11.125" style="2" bestFit="1" customWidth="1"/>
    <col min="10242" max="10242" width="9" style="2"/>
    <col min="10243" max="10243" width="13.25" style="2" bestFit="1" customWidth="1"/>
    <col min="10244" max="10245" width="9" style="2"/>
    <col min="10246" max="10246" width="9.625" style="2" bestFit="1" customWidth="1"/>
    <col min="10247" max="10489" width="9" style="2"/>
    <col min="10490" max="10490" width="2.375" style="2" customWidth="1"/>
    <col min="10491" max="10491" width="13.25" style="2" bestFit="1" customWidth="1"/>
    <col min="10492" max="10493" width="9" style="2"/>
    <col min="10494" max="10495" width="11.125" style="2" bestFit="1" customWidth="1"/>
    <col min="10496" max="10496" width="13.25" style="2" bestFit="1" customWidth="1"/>
    <col min="10497" max="10497" width="11.125" style="2" bestFit="1" customWidth="1"/>
    <col min="10498" max="10498" width="9" style="2"/>
    <col min="10499" max="10499" width="13.25" style="2" bestFit="1" customWidth="1"/>
    <col min="10500" max="10501" width="9" style="2"/>
    <col min="10502" max="10502" width="9.625" style="2" bestFit="1" customWidth="1"/>
    <col min="10503" max="10745" width="9" style="2"/>
    <col min="10746" max="10746" width="2.375" style="2" customWidth="1"/>
    <col min="10747" max="10747" width="13.25" style="2" bestFit="1" customWidth="1"/>
    <col min="10748" max="10749" width="9" style="2"/>
    <col min="10750" max="10751" width="11.125" style="2" bestFit="1" customWidth="1"/>
    <col min="10752" max="10752" width="13.25" style="2" bestFit="1" customWidth="1"/>
    <col min="10753" max="10753" width="11.125" style="2" bestFit="1" customWidth="1"/>
    <col min="10754" max="10754" width="9" style="2"/>
    <col min="10755" max="10755" width="13.25" style="2" bestFit="1" customWidth="1"/>
    <col min="10756" max="10757" width="9" style="2"/>
    <col min="10758" max="10758" width="9.625" style="2" bestFit="1" customWidth="1"/>
    <col min="10759" max="11001" width="9" style="2"/>
    <col min="11002" max="11002" width="2.375" style="2" customWidth="1"/>
    <col min="11003" max="11003" width="13.25" style="2" bestFit="1" customWidth="1"/>
    <col min="11004" max="11005" width="9" style="2"/>
    <col min="11006" max="11007" width="11.125" style="2" bestFit="1" customWidth="1"/>
    <col min="11008" max="11008" width="13.25" style="2" bestFit="1" customWidth="1"/>
    <col min="11009" max="11009" width="11.125" style="2" bestFit="1" customWidth="1"/>
    <col min="11010" max="11010" width="9" style="2"/>
    <col min="11011" max="11011" width="13.25" style="2" bestFit="1" customWidth="1"/>
    <col min="11012" max="11013" width="9" style="2"/>
    <col min="11014" max="11014" width="9.625" style="2" bestFit="1" customWidth="1"/>
    <col min="11015" max="11257" width="9" style="2"/>
    <col min="11258" max="11258" width="2.375" style="2" customWidth="1"/>
    <col min="11259" max="11259" width="13.25" style="2" bestFit="1" customWidth="1"/>
    <col min="11260" max="11261" width="9" style="2"/>
    <col min="11262" max="11263" width="11.125" style="2" bestFit="1" customWidth="1"/>
    <col min="11264" max="11264" width="13.25" style="2" bestFit="1" customWidth="1"/>
    <col min="11265" max="11265" width="11.125" style="2" bestFit="1" customWidth="1"/>
    <col min="11266" max="11266" width="9" style="2"/>
    <col min="11267" max="11267" width="13.25" style="2" bestFit="1" customWidth="1"/>
    <col min="11268" max="11269" width="9" style="2"/>
    <col min="11270" max="11270" width="9.625" style="2" bestFit="1" customWidth="1"/>
    <col min="11271" max="11513" width="9" style="2"/>
    <col min="11514" max="11514" width="2.375" style="2" customWidth="1"/>
    <col min="11515" max="11515" width="13.25" style="2" bestFit="1" customWidth="1"/>
    <col min="11516" max="11517" width="9" style="2"/>
    <col min="11518" max="11519" width="11.125" style="2" bestFit="1" customWidth="1"/>
    <col min="11520" max="11520" width="13.25" style="2" bestFit="1" customWidth="1"/>
    <col min="11521" max="11521" width="11.125" style="2" bestFit="1" customWidth="1"/>
    <col min="11522" max="11522" width="9" style="2"/>
    <col min="11523" max="11523" width="13.25" style="2" bestFit="1" customWidth="1"/>
    <col min="11524" max="11525" width="9" style="2"/>
    <col min="11526" max="11526" width="9.625" style="2" bestFit="1" customWidth="1"/>
    <col min="11527" max="11769" width="9" style="2"/>
    <col min="11770" max="11770" width="2.375" style="2" customWidth="1"/>
    <col min="11771" max="11771" width="13.25" style="2" bestFit="1" customWidth="1"/>
    <col min="11772" max="11773" width="9" style="2"/>
    <col min="11774" max="11775" width="11.125" style="2" bestFit="1" customWidth="1"/>
    <col min="11776" max="11776" width="13.25" style="2" bestFit="1" customWidth="1"/>
    <col min="11777" max="11777" width="11.125" style="2" bestFit="1" customWidth="1"/>
    <col min="11778" max="11778" width="9" style="2"/>
    <col min="11779" max="11779" width="13.25" style="2" bestFit="1" customWidth="1"/>
    <col min="11780" max="11781" width="9" style="2"/>
    <col min="11782" max="11782" width="9.625" style="2" bestFit="1" customWidth="1"/>
    <col min="11783" max="12025" width="9" style="2"/>
    <col min="12026" max="12026" width="2.375" style="2" customWidth="1"/>
    <col min="12027" max="12027" width="13.25" style="2" bestFit="1" customWidth="1"/>
    <col min="12028" max="12029" width="9" style="2"/>
    <col min="12030" max="12031" width="11.125" style="2" bestFit="1" customWidth="1"/>
    <col min="12032" max="12032" width="13.25" style="2" bestFit="1" customWidth="1"/>
    <col min="12033" max="12033" width="11.125" style="2" bestFit="1" customWidth="1"/>
    <col min="12034" max="12034" width="9" style="2"/>
    <col min="12035" max="12035" width="13.25" style="2" bestFit="1" customWidth="1"/>
    <col min="12036" max="12037" width="9" style="2"/>
    <col min="12038" max="12038" width="9.625" style="2" bestFit="1" customWidth="1"/>
    <col min="12039" max="12281" width="9" style="2"/>
    <col min="12282" max="12282" width="2.375" style="2" customWidth="1"/>
    <col min="12283" max="12283" width="13.25" style="2" bestFit="1" customWidth="1"/>
    <col min="12284" max="12285" width="9" style="2"/>
    <col min="12286" max="12287" width="11.125" style="2" bestFit="1" customWidth="1"/>
    <col min="12288" max="12288" width="13.25" style="2" bestFit="1" customWidth="1"/>
    <col min="12289" max="12289" width="11.125" style="2" bestFit="1" customWidth="1"/>
    <col min="12290" max="12290" width="9" style="2"/>
    <col min="12291" max="12291" width="13.25" style="2" bestFit="1" customWidth="1"/>
    <col min="12292" max="12293" width="9" style="2"/>
    <col min="12294" max="12294" width="9.625" style="2" bestFit="1" customWidth="1"/>
    <col min="12295" max="12537" width="9" style="2"/>
    <col min="12538" max="12538" width="2.375" style="2" customWidth="1"/>
    <col min="12539" max="12539" width="13.25" style="2" bestFit="1" customWidth="1"/>
    <col min="12540" max="12541" width="9" style="2"/>
    <col min="12542" max="12543" width="11.125" style="2" bestFit="1" customWidth="1"/>
    <col min="12544" max="12544" width="13.25" style="2" bestFit="1" customWidth="1"/>
    <col min="12545" max="12545" width="11.125" style="2" bestFit="1" customWidth="1"/>
    <col min="12546" max="12546" width="9" style="2"/>
    <col min="12547" max="12547" width="13.25" style="2" bestFit="1" customWidth="1"/>
    <col min="12548" max="12549" width="9" style="2"/>
    <col min="12550" max="12550" width="9.625" style="2" bestFit="1" customWidth="1"/>
    <col min="12551" max="12793" width="9" style="2"/>
    <col min="12794" max="12794" width="2.375" style="2" customWidth="1"/>
    <col min="12795" max="12795" width="13.25" style="2" bestFit="1" customWidth="1"/>
    <col min="12796" max="12797" width="9" style="2"/>
    <col min="12798" max="12799" width="11.125" style="2" bestFit="1" customWidth="1"/>
    <col min="12800" max="12800" width="13.25" style="2" bestFit="1" customWidth="1"/>
    <col min="12801" max="12801" width="11.125" style="2" bestFit="1" customWidth="1"/>
    <col min="12802" max="12802" width="9" style="2"/>
    <col min="12803" max="12803" width="13.25" style="2" bestFit="1" customWidth="1"/>
    <col min="12804" max="12805" width="9" style="2"/>
    <col min="12806" max="12806" width="9.625" style="2" bestFit="1" customWidth="1"/>
    <col min="12807" max="13049" width="9" style="2"/>
    <col min="13050" max="13050" width="2.375" style="2" customWidth="1"/>
    <col min="13051" max="13051" width="13.25" style="2" bestFit="1" customWidth="1"/>
    <col min="13052" max="13053" width="9" style="2"/>
    <col min="13054" max="13055" width="11.125" style="2" bestFit="1" customWidth="1"/>
    <col min="13056" max="13056" width="13.25" style="2" bestFit="1" customWidth="1"/>
    <col min="13057" max="13057" width="11.125" style="2" bestFit="1" customWidth="1"/>
    <col min="13058" max="13058" width="9" style="2"/>
    <col min="13059" max="13059" width="13.25" style="2" bestFit="1" customWidth="1"/>
    <col min="13060" max="13061" width="9" style="2"/>
    <col min="13062" max="13062" width="9.625" style="2" bestFit="1" customWidth="1"/>
    <col min="13063" max="13305" width="9" style="2"/>
    <col min="13306" max="13306" width="2.375" style="2" customWidth="1"/>
    <col min="13307" max="13307" width="13.25" style="2" bestFit="1" customWidth="1"/>
    <col min="13308" max="13309" width="9" style="2"/>
    <col min="13310" max="13311" width="11.125" style="2" bestFit="1" customWidth="1"/>
    <col min="13312" max="13312" width="13.25" style="2" bestFit="1" customWidth="1"/>
    <col min="13313" max="13313" width="11.125" style="2" bestFit="1" customWidth="1"/>
    <col min="13314" max="13314" width="9" style="2"/>
    <col min="13315" max="13315" width="13.25" style="2" bestFit="1" customWidth="1"/>
    <col min="13316" max="13317" width="9" style="2"/>
    <col min="13318" max="13318" width="9.625" style="2" bestFit="1" customWidth="1"/>
    <col min="13319" max="13561" width="9" style="2"/>
    <col min="13562" max="13562" width="2.375" style="2" customWidth="1"/>
    <col min="13563" max="13563" width="13.25" style="2" bestFit="1" customWidth="1"/>
    <col min="13564" max="13565" width="9" style="2"/>
    <col min="13566" max="13567" width="11.125" style="2" bestFit="1" customWidth="1"/>
    <col min="13568" max="13568" width="13.25" style="2" bestFit="1" customWidth="1"/>
    <col min="13569" max="13569" width="11.125" style="2" bestFit="1" customWidth="1"/>
    <col min="13570" max="13570" width="9" style="2"/>
    <col min="13571" max="13571" width="13.25" style="2" bestFit="1" customWidth="1"/>
    <col min="13572" max="13573" width="9" style="2"/>
    <col min="13574" max="13574" width="9.625" style="2" bestFit="1" customWidth="1"/>
    <col min="13575" max="13817" width="9" style="2"/>
    <col min="13818" max="13818" width="2.375" style="2" customWidth="1"/>
    <col min="13819" max="13819" width="13.25" style="2" bestFit="1" customWidth="1"/>
    <col min="13820" max="13821" width="9" style="2"/>
    <col min="13822" max="13823" width="11.125" style="2" bestFit="1" customWidth="1"/>
    <col min="13824" max="13824" width="13.25" style="2" bestFit="1" customWidth="1"/>
    <col min="13825" max="13825" width="11.125" style="2" bestFit="1" customWidth="1"/>
    <col min="13826" max="13826" width="9" style="2"/>
    <col min="13827" max="13827" width="13.25" style="2" bestFit="1" customWidth="1"/>
    <col min="13828" max="13829" width="9" style="2"/>
    <col min="13830" max="13830" width="9.625" style="2" bestFit="1" customWidth="1"/>
    <col min="13831" max="14073" width="9" style="2"/>
    <col min="14074" max="14074" width="2.375" style="2" customWidth="1"/>
    <col min="14075" max="14075" width="13.25" style="2" bestFit="1" customWidth="1"/>
    <col min="14076" max="14077" width="9" style="2"/>
    <col min="14078" max="14079" width="11.125" style="2" bestFit="1" customWidth="1"/>
    <col min="14080" max="14080" width="13.25" style="2" bestFit="1" customWidth="1"/>
    <col min="14081" max="14081" width="11.125" style="2" bestFit="1" customWidth="1"/>
    <col min="14082" max="14082" width="9" style="2"/>
    <col min="14083" max="14083" width="13.25" style="2" bestFit="1" customWidth="1"/>
    <col min="14084" max="14085" width="9" style="2"/>
    <col min="14086" max="14086" width="9.625" style="2" bestFit="1" customWidth="1"/>
    <col min="14087" max="14329" width="9" style="2"/>
    <col min="14330" max="14330" width="2.375" style="2" customWidth="1"/>
    <col min="14331" max="14331" width="13.25" style="2" bestFit="1" customWidth="1"/>
    <col min="14332" max="14333" width="9" style="2"/>
    <col min="14334" max="14335" width="11.125" style="2" bestFit="1" customWidth="1"/>
    <col min="14336" max="14336" width="13.25" style="2" bestFit="1" customWidth="1"/>
    <col min="14337" max="14337" width="11.125" style="2" bestFit="1" customWidth="1"/>
    <col min="14338" max="14338" width="9" style="2"/>
    <col min="14339" max="14339" width="13.25" style="2" bestFit="1" customWidth="1"/>
    <col min="14340" max="14341" width="9" style="2"/>
    <col min="14342" max="14342" width="9.625" style="2" bestFit="1" customWidth="1"/>
    <col min="14343" max="14585" width="9" style="2"/>
    <col min="14586" max="14586" width="2.375" style="2" customWidth="1"/>
    <col min="14587" max="14587" width="13.25" style="2" bestFit="1" customWidth="1"/>
    <col min="14588" max="14589" width="9" style="2"/>
    <col min="14590" max="14591" width="11.125" style="2" bestFit="1" customWidth="1"/>
    <col min="14592" max="14592" width="13.25" style="2" bestFit="1" customWidth="1"/>
    <col min="14593" max="14593" width="11.125" style="2" bestFit="1" customWidth="1"/>
    <col min="14594" max="14594" width="9" style="2"/>
    <col min="14595" max="14595" width="13.25" style="2" bestFit="1" customWidth="1"/>
    <col min="14596" max="14597" width="9" style="2"/>
    <col min="14598" max="14598" width="9.625" style="2" bestFit="1" customWidth="1"/>
    <col min="14599" max="14841" width="9" style="2"/>
    <col min="14842" max="14842" width="2.375" style="2" customWidth="1"/>
    <col min="14843" max="14843" width="13.25" style="2" bestFit="1" customWidth="1"/>
    <col min="14844" max="14845" width="9" style="2"/>
    <col min="14846" max="14847" width="11.125" style="2" bestFit="1" customWidth="1"/>
    <col min="14848" max="14848" width="13.25" style="2" bestFit="1" customWidth="1"/>
    <col min="14849" max="14849" width="11.125" style="2" bestFit="1" customWidth="1"/>
    <col min="14850" max="14850" width="9" style="2"/>
    <col min="14851" max="14851" width="13.25" style="2" bestFit="1" customWidth="1"/>
    <col min="14852" max="14853" width="9" style="2"/>
    <col min="14854" max="14854" width="9.625" style="2" bestFit="1" customWidth="1"/>
    <col min="14855" max="15097" width="9" style="2"/>
    <col min="15098" max="15098" width="2.375" style="2" customWidth="1"/>
    <col min="15099" max="15099" width="13.25" style="2" bestFit="1" customWidth="1"/>
    <col min="15100" max="15101" width="9" style="2"/>
    <col min="15102" max="15103" width="11.125" style="2" bestFit="1" customWidth="1"/>
    <col min="15104" max="15104" width="13.25" style="2" bestFit="1" customWidth="1"/>
    <col min="15105" max="15105" width="11.125" style="2" bestFit="1" customWidth="1"/>
    <col min="15106" max="15106" width="9" style="2"/>
    <col min="15107" max="15107" width="13.25" style="2" bestFit="1" customWidth="1"/>
    <col min="15108" max="15109" width="9" style="2"/>
    <col min="15110" max="15110" width="9.625" style="2" bestFit="1" customWidth="1"/>
    <col min="15111" max="15353" width="9" style="2"/>
    <col min="15354" max="15354" width="2.375" style="2" customWidth="1"/>
    <col min="15355" max="15355" width="13.25" style="2" bestFit="1" customWidth="1"/>
    <col min="15356" max="15357" width="9" style="2"/>
    <col min="15358" max="15359" width="11.125" style="2" bestFit="1" customWidth="1"/>
    <col min="15360" max="15360" width="13.25" style="2" bestFit="1" customWidth="1"/>
    <col min="15361" max="15361" width="11.125" style="2" bestFit="1" customWidth="1"/>
    <col min="15362" max="15362" width="9" style="2"/>
    <col min="15363" max="15363" width="13.25" style="2" bestFit="1" customWidth="1"/>
    <col min="15364" max="15365" width="9" style="2"/>
    <col min="15366" max="15366" width="9.625" style="2" bestFit="1" customWidth="1"/>
    <col min="15367" max="15609" width="9" style="2"/>
    <col min="15610" max="15610" width="2.375" style="2" customWidth="1"/>
    <col min="15611" max="15611" width="13.25" style="2" bestFit="1" customWidth="1"/>
    <col min="15612" max="15613" width="9" style="2"/>
    <col min="15614" max="15615" width="11.125" style="2" bestFit="1" customWidth="1"/>
    <col min="15616" max="15616" width="13.25" style="2" bestFit="1" customWidth="1"/>
    <col min="15617" max="15617" width="11.125" style="2" bestFit="1" customWidth="1"/>
    <col min="15618" max="15618" width="9" style="2"/>
    <col min="15619" max="15619" width="13.25" style="2" bestFit="1" customWidth="1"/>
    <col min="15620" max="15621" width="9" style="2"/>
    <col min="15622" max="15622" width="9.625" style="2" bestFit="1" customWidth="1"/>
    <col min="15623" max="15865" width="9" style="2"/>
    <col min="15866" max="15866" width="2.375" style="2" customWidth="1"/>
    <col min="15867" max="15867" width="13.25" style="2" bestFit="1" customWidth="1"/>
    <col min="15868" max="15869" width="9" style="2"/>
    <col min="15870" max="15871" width="11.125" style="2" bestFit="1" customWidth="1"/>
    <col min="15872" max="15872" width="13.25" style="2" bestFit="1" customWidth="1"/>
    <col min="15873" max="15873" width="11.125" style="2" bestFit="1" customWidth="1"/>
    <col min="15874" max="15874" width="9" style="2"/>
    <col min="15875" max="15875" width="13.25" style="2" bestFit="1" customWidth="1"/>
    <col min="15876" max="15877" width="9" style="2"/>
    <col min="15878" max="15878" width="9.625" style="2" bestFit="1" customWidth="1"/>
    <col min="15879" max="16121" width="9" style="2"/>
    <col min="16122" max="16122" width="2.375" style="2" customWidth="1"/>
    <col min="16123" max="16123" width="13.25" style="2" bestFit="1" customWidth="1"/>
    <col min="16124" max="16125" width="9" style="2"/>
    <col min="16126" max="16127" width="11.125" style="2" bestFit="1" customWidth="1"/>
    <col min="16128" max="16128" width="13.25" style="2" bestFit="1" customWidth="1"/>
    <col min="16129" max="16129" width="11.125" style="2" bestFit="1" customWidth="1"/>
    <col min="16130" max="16130" width="9" style="2"/>
    <col min="16131" max="16131" width="13.25" style="2" bestFit="1" customWidth="1"/>
    <col min="16132" max="16133" width="9" style="2"/>
    <col min="16134" max="16134" width="9.625" style="2" bestFit="1" customWidth="1"/>
    <col min="16135" max="16384" width="9" style="2"/>
  </cols>
  <sheetData>
    <row r="1" spans="1:6">
      <c r="A1" s="1" t="s">
        <v>0</v>
      </c>
    </row>
    <row r="2" spans="1:6">
      <c r="A2" s="1"/>
    </row>
    <row r="3" spans="1:6">
      <c r="A3" s="1" t="s">
        <v>1</v>
      </c>
    </row>
    <row r="4" spans="1:6">
      <c r="A4" s="1" t="s">
        <v>2</v>
      </c>
    </row>
    <row r="5" spans="1:6">
      <c r="A5" s="1" t="s">
        <v>3</v>
      </c>
    </row>
    <row r="6" spans="1:6" ht="19.5" thickBot="1">
      <c r="A6" s="1" t="s">
        <v>70</v>
      </c>
    </row>
    <row r="7" spans="1:6">
      <c r="B7" s="15"/>
      <c r="C7" s="4" t="s">
        <v>7</v>
      </c>
      <c r="D7" s="4" t="s">
        <v>9</v>
      </c>
      <c r="E7" s="59" t="s">
        <v>8</v>
      </c>
      <c r="F7" s="83" t="s">
        <v>71</v>
      </c>
    </row>
    <row r="8" spans="1:6" ht="19.5" thickBot="1">
      <c r="A8" s="3"/>
      <c r="B8" s="35" t="s">
        <v>14</v>
      </c>
      <c r="C8" s="37" t="s">
        <v>18</v>
      </c>
      <c r="D8" s="37" t="s">
        <v>20</v>
      </c>
      <c r="E8" s="60" t="s">
        <v>19</v>
      </c>
      <c r="F8" s="72" t="s">
        <v>73</v>
      </c>
    </row>
    <row r="9" spans="1:6">
      <c r="A9" s="1" t="s">
        <v>3</v>
      </c>
      <c r="B9" s="30" t="s">
        <v>26</v>
      </c>
      <c r="C9" s="32">
        <v>19</v>
      </c>
      <c r="D9" s="32">
        <v>20</v>
      </c>
      <c r="E9" s="61">
        <v>18</v>
      </c>
      <c r="F9" s="73">
        <f>SUM(C9:E9)</f>
        <v>57</v>
      </c>
    </row>
    <row r="10" spans="1:6">
      <c r="A10" s="1" t="s">
        <v>3</v>
      </c>
      <c r="B10" s="16" t="s">
        <v>27</v>
      </c>
      <c r="C10" s="5">
        <v>0</v>
      </c>
      <c r="D10" s="5">
        <v>0</v>
      </c>
      <c r="E10" s="62">
        <v>2</v>
      </c>
      <c r="F10" s="74">
        <f t="shared" ref="F10:F20" si="0">SUM(C10:E10)</f>
        <v>2</v>
      </c>
    </row>
    <row r="11" spans="1:6">
      <c r="A11" s="1" t="s">
        <v>3</v>
      </c>
      <c r="B11" s="16" t="s">
        <v>28</v>
      </c>
      <c r="C11" s="5">
        <v>0</v>
      </c>
      <c r="D11" s="5">
        <v>0</v>
      </c>
      <c r="E11" s="62">
        <v>0</v>
      </c>
      <c r="F11" s="74">
        <f t="shared" si="0"/>
        <v>0</v>
      </c>
    </row>
    <row r="12" spans="1:6">
      <c r="A12" s="1" t="s">
        <v>3</v>
      </c>
      <c r="B12" s="16" t="s">
        <v>29</v>
      </c>
      <c r="C12" s="5">
        <v>0</v>
      </c>
      <c r="D12" s="5">
        <v>0</v>
      </c>
      <c r="E12" s="62">
        <v>0</v>
      </c>
      <c r="F12" s="74">
        <f t="shared" si="0"/>
        <v>0</v>
      </c>
    </row>
    <row r="13" spans="1:6">
      <c r="A13" s="1" t="s">
        <v>3</v>
      </c>
      <c r="B13" s="16" t="s">
        <v>30</v>
      </c>
      <c r="C13" s="5">
        <v>0</v>
      </c>
      <c r="D13" s="5">
        <v>0</v>
      </c>
      <c r="E13" s="62">
        <v>3.5</v>
      </c>
      <c r="F13" s="74">
        <f t="shared" si="0"/>
        <v>3.5</v>
      </c>
    </row>
    <row r="14" spans="1:6">
      <c r="A14" s="1" t="s">
        <v>3</v>
      </c>
      <c r="B14" s="16" t="s">
        <v>31</v>
      </c>
      <c r="C14" s="5">
        <v>0</v>
      </c>
      <c r="D14" s="5">
        <v>0</v>
      </c>
      <c r="E14" s="62">
        <v>0</v>
      </c>
      <c r="F14" s="74">
        <f t="shared" si="0"/>
        <v>0</v>
      </c>
    </row>
    <row r="15" spans="1:6">
      <c r="A15" s="1" t="s">
        <v>3</v>
      </c>
      <c r="B15" s="16" t="s">
        <v>32</v>
      </c>
      <c r="C15" s="7">
        <v>0</v>
      </c>
      <c r="D15" s="7">
        <v>0</v>
      </c>
      <c r="E15" s="63">
        <v>0.125</v>
      </c>
      <c r="F15" s="75">
        <f t="shared" si="0"/>
        <v>0.125</v>
      </c>
    </row>
    <row r="16" spans="1:6">
      <c r="A16" s="1" t="s">
        <v>3</v>
      </c>
      <c r="B16" s="16" t="s">
        <v>33</v>
      </c>
      <c r="C16" s="7">
        <v>0</v>
      </c>
      <c r="D16" s="7">
        <v>0</v>
      </c>
      <c r="E16" s="63">
        <v>0.54166666666666663</v>
      </c>
      <c r="F16" s="75">
        <f t="shared" si="0"/>
        <v>0.54166666666666663</v>
      </c>
    </row>
    <row r="17" spans="1:6">
      <c r="A17" s="1" t="s">
        <v>3</v>
      </c>
      <c r="B17" s="16" t="s">
        <v>34</v>
      </c>
      <c r="C17" s="7">
        <v>0</v>
      </c>
      <c r="D17" s="7">
        <v>0</v>
      </c>
      <c r="E17" s="63">
        <v>0</v>
      </c>
      <c r="F17" s="75">
        <f t="shared" si="0"/>
        <v>0</v>
      </c>
    </row>
    <row r="18" spans="1:6">
      <c r="A18" s="1" t="s">
        <v>3</v>
      </c>
      <c r="B18" s="16" t="s">
        <v>35</v>
      </c>
      <c r="C18" s="7">
        <v>0</v>
      </c>
      <c r="D18" s="7">
        <v>0</v>
      </c>
      <c r="E18" s="63">
        <v>0</v>
      </c>
      <c r="F18" s="75">
        <f t="shared" si="0"/>
        <v>0</v>
      </c>
    </row>
    <row r="19" spans="1:6">
      <c r="A19" s="1" t="s">
        <v>3</v>
      </c>
      <c r="B19" s="16" t="s">
        <v>36</v>
      </c>
      <c r="C19" s="7">
        <v>0</v>
      </c>
      <c r="D19" s="7">
        <v>0</v>
      </c>
      <c r="E19" s="63">
        <v>0</v>
      </c>
      <c r="F19" s="75">
        <f t="shared" si="0"/>
        <v>0</v>
      </c>
    </row>
    <row r="20" spans="1:6">
      <c r="A20" s="1" t="s">
        <v>3</v>
      </c>
      <c r="B20" s="16" t="s">
        <v>37</v>
      </c>
      <c r="C20" s="7">
        <v>0</v>
      </c>
      <c r="D20" s="7">
        <v>0</v>
      </c>
      <c r="E20" s="63">
        <v>0</v>
      </c>
      <c r="F20" s="75">
        <f t="shared" si="0"/>
        <v>0</v>
      </c>
    </row>
    <row r="21" spans="1:6">
      <c r="A21" s="1" t="s">
        <v>3</v>
      </c>
      <c r="B21" s="16" t="s">
        <v>38</v>
      </c>
      <c r="C21" s="7">
        <v>0</v>
      </c>
      <c r="D21" s="7">
        <v>0</v>
      </c>
      <c r="E21" s="63">
        <v>0.41666666666666669</v>
      </c>
      <c r="F21" s="75" t="e">
        <f>SUM(#REF!)</f>
        <v>#REF!</v>
      </c>
    </row>
    <row r="22" spans="1:6">
      <c r="A22" s="1" t="s">
        <v>3</v>
      </c>
      <c r="B22" s="16" t="s">
        <v>39</v>
      </c>
      <c r="C22" s="7">
        <v>0.20833333333333334</v>
      </c>
      <c r="D22" s="7">
        <v>0</v>
      </c>
      <c r="E22" s="63">
        <v>0</v>
      </c>
      <c r="F22" s="75">
        <f>SUM(C22:E22)</f>
        <v>0.20833333333333334</v>
      </c>
    </row>
    <row r="23" spans="1:6">
      <c r="A23" s="1" t="s">
        <v>3</v>
      </c>
      <c r="B23" s="44" t="s">
        <v>40</v>
      </c>
      <c r="C23" s="46">
        <v>40</v>
      </c>
      <c r="D23" s="46">
        <v>33.5</v>
      </c>
      <c r="E23" s="64">
        <v>33.5</v>
      </c>
      <c r="F23" s="76"/>
    </row>
    <row r="24" spans="1:6">
      <c r="A24" s="1" t="s">
        <v>3</v>
      </c>
      <c r="B24" s="30" t="s">
        <v>41</v>
      </c>
      <c r="C24" s="41">
        <v>370000</v>
      </c>
      <c r="D24" s="41">
        <v>360000</v>
      </c>
      <c r="E24" s="65">
        <v>180000</v>
      </c>
      <c r="F24" s="77">
        <f t="shared" ref="F24:F52" si="1">SUM(C24:E24)</f>
        <v>910000</v>
      </c>
    </row>
    <row r="25" spans="1:6">
      <c r="A25" s="1" t="s">
        <v>3</v>
      </c>
      <c r="B25" s="16" t="s">
        <v>42</v>
      </c>
      <c r="C25" s="9">
        <v>0</v>
      </c>
      <c r="D25" s="9">
        <v>0</v>
      </c>
      <c r="E25" s="66">
        <v>0</v>
      </c>
      <c r="F25" s="78">
        <f t="shared" si="1"/>
        <v>0</v>
      </c>
    </row>
    <row r="26" spans="1:6">
      <c r="A26" s="1" t="s">
        <v>3</v>
      </c>
      <c r="B26" s="16" t="s">
        <v>43</v>
      </c>
      <c r="C26" s="9">
        <v>0</v>
      </c>
      <c r="D26" s="9">
        <v>0</v>
      </c>
      <c r="E26" s="66">
        <v>6000</v>
      </c>
      <c r="F26" s="78">
        <f t="shared" si="1"/>
        <v>6000</v>
      </c>
    </row>
    <row r="27" spans="1:6">
      <c r="A27" s="1" t="s">
        <v>3</v>
      </c>
      <c r="B27" s="16" t="s">
        <v>44</v>
      </c>
      <c r="C27" s="9">
        <v>0</v>
      </c>
      <c r="D27" s="9">
        <v>0</v>
      </c>
      <c r="E27" s="66">
        <v>0</v>
      </c>
      <c r="F27" s="78">
        <f t="shared" si="1"/>
        <v>0</v>
      </c>
    </row>
    <row r="28" spans="1:6">
      <c r="A28" s="1" t="s">
        <v>3</v>
      </c>
      <c r="B28" s="16" t="s">
        <v>45</v>
      </c>
      <c r="C28" s="9">
        <v>0</v>
      </c>
      <c r="D28" s="9">
        <v>0</v>
      </c>
      <c r="E28" s="66">
        <v>0</v>
      </c>
      <c r="F28" s="78">
        <f t="shared" si="1"/>
        <v>0</v>
      </c>
    </row>
    <row r="29" spans="1:6">
      <c r="A29" s="1" t="s">
        <v>3</v>
      </c>
      <c r="B29" s="16" t="s">
        <v>46</v>
      </c>
      <c r="C29" s="9">
        <v>0</v>
      </c>
      <c r="D29" s="9">
        <v>0</v>
      </c>
      <c r="E29" s="66">
        <v>0</v>
      </c>
      <c r="F29" s="78">
        <f t="shared" si="1"/>
        <v>0</v>
      </c>
    </row>
    <row r="30" spans="1:6">
      <c r="A30" s="1" t="s">
        <v>3</v>
      </c>
      <c r="B30" s="16" t="s">
        <v>32</v>
      </c>
      <c r="C30" s="9">
        <v>0</v>
      </c>
      <c r="D30" s="9">
        <v>0</v>
      </c>
      <c r="E30" s="66">
        <v>4779</v>
      </c>
      <c r="F30" s="78">
        <f t="shared" si="1"/>
        <v>4779</v>
      </c>
    </row>
    <row r="31" spans="1:6">
      <c r="A31" s="1" t="s">
        <v>3</v>
      </c>
      <c r="B31" s="16" t="s">
        <v>47</v>
      </c>
      <c r="C31" s="9">
        <v>0</v>
      </c>
      <c r="D31" s="9">
        <v>0</v>
      </c>
      <c r="E31" s="66">
        <v>22360</v>
      </c>
      <c r="F31" s="78">
        <f t="shared" si="1"/>
        <v>22360</v>
      </c>
    </row>
    <row r="32" spans="1:6">
      <c r="A32" s="1" t="s">
        <v>3</v>
      </c>
      <c r="B32" s="16" t="s">
        <v>48</v>
      </c>
      <c r="C32" s="9">
        <v>0</v>
      </c>
      <c r="D32" s="9">
        <v>0</v>
      </c>
      <c r="E32" s="66">
        <v>0</v>
      </c>
      <c r="F32" s="78">
        <f t="shared" si="1"/>
        <v>0</v>
      </c>
    </row>
    <row r="33" spans="1:6">
      <c r="A33" s="1" t="s">
        <v>3</v>
      </c>
      <c r="B33" s="16" t="s">
        <v>49</v>
      </c>
      <c r="C33" s="9">
        <v>0</v>
      </c>
      <c r="D33" s="9">
        <v>0</v>
      </c>
      <c r="E33" s="66">
        <v>0</v>
      </c>
      <c r="F33" s="78">
        <f t="shared" si="1"/>
        <v>0</v>
      </c>
    </row>
    <row r="34" spans="1:6">
      <c r="A34" s="1" t="s">
        <v>3</v>
      </c>
      <c r="B34" s="16" t="s">
        <v>50</v>
      </c>
      <c r="C34" s="9">
        <v>0</v>
      </c>
      <c r="D34" s="9">
        <v>0</v>
      </c>
      <c r="E34" s="66">
        <v>0</v>
      </c>
      <c r="F34" s="78">
        <f t="shared" si="1"/>
        <v>0</v>
      </c>
    </row>
    <row r="35" spans="1:6">
      <c r="A35" s="1" t="s">
        <v>3</v>
      </c>
      <c r="B35" s="16" t="s">
        <v>37</v>
      </c>
      <c r="C35" s="9">
        <v>0</v>
      </c>
      <c r="D35" s="9">
        <v>0</v>
      </c>
      <c r="E35" s="66">
        <v>0</v>
      </c>
      <c r="F35" s="78">
        <f t="shared" si="1"/>
        <v>0</v>
      </c>
    </row>
    <row r="36" spans="1:6">
      <c r="A36" s="1" t="s">
        <v>3</v>
      </c>
      <c r="B36" s="16" t="s">
        <v>38</v>
      </c>
      <c r="C36" s="9">
        <v>0</v>
      </c>
      <c r="D36" s="9">
        <v>0</v>
      </c>
      <c r="E36" s="66">
        <v>12740</v>
      </c>
      <c r="F36" s="78">
        <f t="shared" si="1"/>
        <v>12740</v>
      </c>
    </row>
    <row r="37" spans="1:6">
      <c r="A37" s="1" t="s">
        <v>3</v>
      </c>
      <c r="B37" s="49" t="s">
        <v>39</v>
      </c>
      <c r="C37" s="51">
        <v>2770</v>
      </c>
      <c r="D37" s="51">
        <v>0</v>
      </c>
      <c r="E37" s="67">
        <v>0</v>
      </c>
      <c r="F37" s="79">
        <f t="shared" si="1"/>
        <v>2770</v>
      </c>
    </row>
    <row r="38" spans="1:6">
      <c r="A38" s="1" t="s">
        <v>3</v>
      </c>
      <c r="B38" s="54" t="s">
        <v>51</v>
      </c>
      <c r="C38" s="56">
        <v>372770</v>
      </c>
      <c r="D38" s="56">
        <v>360000</v>
      </c>
      <c r="E38" s="68">
        <v>225879</v>
      </c>
      <c r="F38" s="80">
        <f t="shared" si="1"/>
        <v>958649</v>
      </c>
    </row>
    <row r="39" spans="1:6">
      <c r="A39" s="1" t="s">
        <v>3</v>
      </c>
      <c r="B39" s="54" t="s">
        <v>52</v>
      </c>
      <c r="C39" s="56">
        <v>7514</v>
      </c>
      <c r="D39" s="56">
        <v>18496</v>
      </c>
      <c r="E39" s="68">
        <v>551</v>
      </c>
      <c r="F39" s="80">
        <f t="shared" si="1"/>
        <v>26561</v>
      </c>
    </row>
    <row r="40" spans="1:6">
      <c r="A40" s="1" t="s">
        <v>3</v>
      </c>
      <c r="B40" s="54" t="s">
        <v>53</v>
      </c>
      <c r="C40" s="56">
        <v>7514</v>
      </c>
      <c r="D40" s="56">
        <v>18496</v>
      </c>
      <c r="E40" s="68">
        <v>551</v>
      </c>
      <c r="F40" s="80">
        <f t="shared" si="1"/>
        <v>26561</v>
      </c>
    </row>
    <row r="41" spans="1:6">
      <c r="A41" s="1" t="s">
        <v>3</v>
      </c>
      <c r="B41" s="54" t="s">
        <v>54</v>
      </c>
      <c r="C41" s="56">
        <v>380284</v>
      </c>
      <c r="D41" s="56">
        <v>378496</v>
      </c>
      <c r="E41" s="68">
        <v>226430</v>
      </c>
      <c r="F41" s="80">
        <f t="shared" si="1"/>
        <v>985210</v>
      </c>
    </row>
    <row r="42" spans="1:6">
      <c r="A42" s="1" t="s">
        <v>3</v>
      </c>
      <c r="B42" s="30" t="s">
        <v>55</v>
      </c>
      <c r="C42" s="41">
        <v>19380</v>
      </c>
      <c r="D42" s="41">
        <v>19380</v>
      </c>
      <c r="E42" s="65">
        <v>11220</v>
      </c>
      <c r="F42" s="77">
        <f t="shared" si="1"/>
        <v>49980</v>
      </c>
    </row>
    <row r="43" spans="1:6">
      <c r="A43" s="1" t="s">
        <v>3</v>
      </c>
      <c r="B43" s="16" t="s">
        <v>56</v>
      </c>
      <c r="C43" s="9">
        <v>3420</v>
      </c>
      <c r="D43" s="9">
        <v>3420</v>
      </c>
      <c r="E43" s="66">
        <v>0</v>
      </c>
      <c r="F43" s="78">
        <f t="shared" si="1"/>
        <v>6840</v>
      </c>
    </row>
    <row r="44" spans="1:6">
      <c r="A44" s="1" t="s">
        <v>3</v>
      </c>
      <c r="B44" s="16" t="s">
        <v>57</v>
      </c>
      <c r="C44" s="9">
        <v>34770</v>
      </c>
      <c r="D44" s="9">
        <v>34770</v>
      </c>
      <c r="E44" s="66">
        <v>20130</v>
      </c>
      <c r="F44" s="78">
        <f t="shared" si="1"/>
        <v>89670</v>
      </c>
    </row>
    <row r="45" spans="1:6">
      <c r="A45" s="1" t="s">
        <v>3</v>
      </c>
      <c r="B45" s="49" t="s">
        <v>58</v>
      </c>
      <c r="C45" s="51">
        <v>2092</v>
      </c>
      <c r="D45" s="51">
        <v>2082</v>
      </c>
      <c r="E45" s="67">
        <v>1245</v>
      </c>
      <c r="F45" s="79">
        <f t="shared" si="1"/>
        <v>5419</v>
      </c>
    </row>
    <row r="46" spans="1:6">
      <c r="A46" s="1" t="s">
        <v>3</v>
      </c>
      <c r="B46" s="54" t="s">
        <v>59</v>
      </c>
      <c r="C46" s="56">
        <v>59662</v>
      </c>
      <c r="D46" s="56">
        <v>59652</v>
      </c>
      <c r="E46" s="68">
        <v>32595</v>
      </c>
      <c r="F46" s="80">
        <f t="shared" si="1"/>
        <v>151909</v>
      </c>
    </row>
    <row r="47" spans="1:6">
      <c r="A47" s="1" t="s">
        <v>3</v>
      </c>
      <c r="B47" s="30" t="s">
        <v>60</v>
      </c>
      <c r="C47" s="41">
        <v>9450</v>
      </c>
      <c r="D47" s="41">
        <v>8410</v>
      </c>
      <c r="E47" s="65">
        <v>4520</v>
      </c>
      <c r="F47" s="77">
        <f t="shared" si="1"/>
        <v>22380</v>
      </c>
    </row>
    <row r="48" spans="1:6">
      <c r="A48" s="1" t="s">
        <v>3</v>
      </c>
      <c r="B48" s="49" t="s">
        <v>61</v>
      </c>
      <c r="C48" s="51">
        <v>19100</v>
      </c>
      <c r="D48" s="51">
        <v>20200</v>
      </c>
      <c r="E48" s="67">
        <v>9300</v>
      </c>
      <c r="F48" s="79">
        <f t="shared" si="1"/>
        <v>48600</v>
      </c>
    </row>
    <row r="49" spans="1:6">
      <c r="A49" s="1" t="s">
        <v>3</v>
      </c>
      <c r="B49" s="54" t="s">
        <v>62</v>
      </c>
      <c r="C49" s="56">
        <v>88212</v>
      </c>
      <c r="D49" s="56">
        <v>88262</v>
      </c>
      <c r="E49" s="68">
        <v>46415</v>
      </c>
      <c r="F49" s="80">
        <f t="shared" si="1"/>
        <v>222889</v>
      </c>
    </row>
    <row r="50" spans="1:6">
      <c r="A50" s="1" t="s">
        <v>3</v>
      </c>
      <c r="B50" s="54" t="s">
        <v>63</v>
      </c>
      <c r="C50" s="56">
        <v>313108</v>
      </c>
      <c r="D50" s="56">
        <v>300348</v>
      </c>
      <c r="E50" s="68">
        <v>193284</v>
      </c>
      <c r="F50" s="80">
        <f t="shared" si="1"/>
        <v>806740</v>
      </c>
    </row>
    <row r="51" spans="1:6">
      <c r="A51" s="1" t="s">
        <v>3</v>
      </c>
      <c r="B51" s="54" t="s">
        <v>64</v>
      </c>
      <c r="C51" s="56">
        <v>292072</v>
      </c>
      <c r="D51" s="56">
        <v>290234</v>
      </c>
      <c r="E51" s="68">
        <v>180015</v>
      </c>
      <c r="F51" s="80">
        <f t="shared" si="1"/>
        <v>762321</v>
      </c>
    </row>
    <row r="52" spans="1:6">
      <c r="A52" s="1" t="s">
        <v>3</v>
      </c>
      <c r="B52" s="54" t="s">
        <v>65</v>
      </c>
      <c r="C52" s="56">
        <v>292072</v>
      </c>
      <c r="D52" s="56">
        <v>290234</v>
      </c>
      <c r="E52" s="68">
        <v>180015</v>
      </c>
      <c r="F52" s="80">
        <f t="shared" si="1"/>
        <v>762321</v>
      </c>
    </row>
    <row r="53" spans="1:6">
      <c r="A53" s="1" t="s">
        <v>3</v>
      </c>
      <c r="B53" s="30" t="s">
        <v>66</v>
      </c>
      <c r="C53" s="41">
        <v>0</v>
      </c>
      <c r="D53" s="41">
        <v>0</v>
      </c>
      <c r="E53" s="65">
        <v>0</v>
      </c>
      <c r="F53" s="77"/>
    </row>
    <row r="54" spans="1:6">
      <c r="A54" s="1" t="s">
        <v>3</v>
      </c>
      <c r="B54" s="16" t="s">
        <v>67</v>
      </c>
      <c r="C54" s="11" t="s">
        <v>68</v>
      </c>
      <c r="D54" s="11" t="s">
        <v>68</v>
      </c>
      <c r="E54" s="69" t="s">
        <v>68</v>
      </c>
      <c r="F54" s="81"/>
    </row>
    <row r="55" spans="1:6" ht="19.5" thickBot="1">
      <c r="A55" s="1" t="s">
        <v>3</v>
      </c>
      <c r="B55" s="17" t="s">
        <v>69</v>
      </c>
      <c r="C55" s="13">
        <v>9450</v>
      </c>
      <c r="D55" s="13">
        <v>8410</v>
      </c>
      <c r="E55" s="70">
        <v>4520</v>
      </c>
      <c r="F55" s="82">
        <f>SUM(C55:E55)</f>
        <v>22380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001A-2F13-4BD9-81A5-EFADC89C49E1}">
  <dimension ref="A1:J55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1" sqref="K1:O1048576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9" width="9" style="2" bestFit="1" customWidth="1"/>
    <col min="10" max="10" width="9.625" style="2" bestFit="1" customWidth="1"/>
    <col min="11" max="253" width="9" style="2"/>
    <col min="254" max="254" width="2.375" style="2" customWidth="1"/>
    <col min="255" max="255" width="13.25" style="2" bestFit="1" customWidth="1"/>
    <col min="256" max="257" width="9" style="2"/>
    <col min="258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/>
    <col min="263" max="263" width="13.25" style="2" bestFit="1" customWidth="1"/>
    <col min="264" max="265" width="9" style="2"/>
    <col min="266" max="266" width="9.625" style="2" bestFit="1" customWidth="1"/>
    <col min="267" max="509" width="9" style="2"/>
    <col min="510" max="510" width="2.375" style="2" customWidth="1"/>
    <col min="511" max="511" width="13.25" style="2" bestFit="1" customWidth="1"/>
    <col min="512" max="513" width="9" style="2"/>
    <col min="514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/>
    <col min="519" max="519" width="13.25" style="2" bestFit="1" customWidth="1"/>
    <col min="520" max="521" width="9" style="2"/>
    <col min="522" max="522" width="9.625" style="2" bestFit="1" customWidth="1"/>
    <col min="523" max="765" width="9" style="2"/>
    <col min="766" max="766" width="2.375" style="2" customWidth="1"/>
    <col min="767" max="767" width="13.25" style="2" bestFit="1" customWidth="1"/>
    <col min="768" max="769" width="9" style="2"/>
    <col min="770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/>
    <col min="775" max="775" width="13.25" style="2" bestFit="1" customWidth="1"/>
    <col min="776" max="777" width="9" style="2"/>
    <col min="778" max="778" width="9.625" style="2" bestFit="1" customWidth="1"/>
    <col min="779" max="1021" width="9" style="2"/>
    <col min="1022" max="1022" width="2.375" style="2" customWidth="1"/>
    <col min="1023" max="1023" width="13.25" style="2" bestFit="1" customWidth="1"/>
    <col min="1024" max="1025" width="9" style="2"/>
    <col min="1026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/>
    <col min="1031" max="1031" width="13.25" style="2" bestFit="1" customWidth="1"/>
    <col min="1032" max="1033" width="9" style="2"/>
    <col min="1034" max="1034" width="9.625" style="2" bestFit="1" customWidth="1"/>
    <col min="1035" max="1277" width="9" style="2"/>
    <col min="1278" max="1278" width="2.375" style="2" customWidth="1"/>
    <col min="1279" max="1279" width="13.25" style="2" bestFit="1" customWidth="1"/>
    <col min="1280" max="1281" width="9" style="2"/>
    <col min="1282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/>
    <col min="1287" max="1287" width="13.25" style="2" bestFit="1" customWidth="1"/>
    <col min="1288" max="1289" width="9" style="2"/>
    <col min="1290" max="1290" width="9.625" style="2" bestFit="1" customWidth="1"/>
    <col min="1291" max="1533" width="9" style="2"/>
    <col min="1534" max="1534" width="2.375" style="2" customWidth="1"/>
    <col min="1535" max="1535" width="13.25" style="2" bestFit="1" customWidth="1"/>
    <col min="1536" max="1537" width="9" style="2"/>
    <col min="1538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/>
    <col min="1543" max="1543" width="13.25" style="2" bestFit="1" customWidth="1"/>
    <col min="1544" max="1545" width="9" style="2"/>
    <col min="1546" max="1546" width="9.625" style="2" bestFit="1" customWidth="1"/>
    <col min="1547" max="1789" width="9" style="2"/>
    <col min="1790" max="1790" width="2.375" style="2" customWidth="1"/>
    <col min="1791" max="1791" width="13.25" style="2" bestFit="1" customWidth="1"/>
    <col min="1792" max="1793" width="9" style="2"/>
    <col min="1794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/>
    <col min="1799" max="1799" width="13.25" style="2" bestFit="1" customWidth="1"/>
    <col min="1800" max="1801" width="9" style="2"/>
    <col min="1802" max="1802" width="9.625" style="2" bestFit="1" customWidth="1"/>
    <col min="1803" max="2045" width="9" style="2"/>
    <col min="2046" max="2046" width="2.375" style="2" customWidth="1"/>
    <col min="2047" max="2047" width="13.25" style="2" bestFit="1" customWidth="1"/>
    <col min="2048" max="2049" width="9" style="2"/>
    <col min="2050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/>
    <col min="2055" max="2055" width="13.25" style="2" bestFit="1" customWidth="1"/>
    <col min="2056" max="2057" width="9" style="2"/>
    <col min="2058" max="2058" width="9.625" style="2" bestFit="1" customWidth="1"/>
    <col min="2059" max="2301" width="9" style="2"/>
    <col min="2302" max="2302" width="2.375" style="2" customWidth="1"/>
    <col min="2303" max="2303" width="13.25" style="2" bestFit="1" customWidth="1"/>
    <col min="2304" max="2305" width="9" style="2"/>
    <col min="2306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/>
    <col min="2311" max="2311" width="13.25" style="2" bestFit="1" customWidth="1"/>
    <col min="2312" max="2313" width="9" style="2"/>
    <col min="2314" max="2314" width="9.625" style="2" bestFit="1" customWidth="1"/>
    <col min="2315" max="2557" width="9" style="2"/>
    <col min="2558" max="2558" width="2.375" style="2" customWidth="1"/>
    <col min="2559" max="2559" width="13.25" style="2" bestFit="1" customWidth="1"/>
    <col min="2560" max="2561" width="9" style="2"/>
    <col min="2562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/>
    <col min="2567" max="2567" width="13.25" style="2" bestFit="1" customWidth="1"/>
    <col min="2568" max="2569" width="9" style="2"/>
    <col min="2570" max="2570" width="9.625" style="2" bestFit="1" customWidth="1"/>
    <col min="2571" max="2813" width="9" style="2"/>
    <col min="2814" max="2814" width="2.375" style="2" customWidth="1"/>
    <col min="2815" max="2815" width="13.25" style="2" bestFit="1" customWidth="1"/>
    <col min="2816" max="2817" width="9" style="2"/>
    <col min="2818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/>
    <col min="2823" max="2823" width="13.25" style="2" bestFit="1" customWidth="1"/>
    <col min="2824" max="2825" width="9" style="2"/>
    <col min="2826" max="2826" width="9.625" style="2" bestFit="1" customWidth="1"/>
    <col min="2827" max="3069" width="9" style="2"/>
    <col min="3070" max="3070" width="2.375" style="2" customWidth="1"/>
    <col min="3071" max="3071" width="13.25" style="2" bestFit="1" customWidth="1"/>
    <col min="3072" max="3073" width="9" style="2"/>
    <col min="3074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/>
    <col min="3079" max="3079" width="13.25" style="2" bestFit="1" customWidth="1"/>
    <col min="3080" max="3081" width="9" style="2"/>
    <col min="3082" max="3082" width="9.625" style="2" bestFit="1" customWidth="1"/>
    <col min="3083" max="3325" width="9" style="2"/>
    <col min="3326" max="3326" width="2.375" style="2" customWidth="1"/>
    <col min="3327" max="3327" width="13.25" style="2" bestFit="1" customWidth="1"/>
    <col min="3328" max="3329" width="9" style="2"/>
    <col min="3330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/>
    <col min="3335" max="3335" width="13.25" style="2" bestFit="1" customWidth="1"/>
    <col min="3336" max="3337" width="9" style="2"/>
    <col min="3338" max="3338" width="9.625" style="2" bestFit="1" customWidth="1"/>
    <col min="3339" max="3581" width="9" style="2"/>
    <col min="3582" max="3582" width="2.375" style="2" customWidth="1"/>
    <col min="3583" max="3583" width="13.25" style="2" bestFit="1" customWidth="1"/>
    <col min="3584" max="3585" width="9" style="2"/>
    <col min="3586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/>
    <col min="3591" max="3591" width="13.25" style="2" bestFit="1" customWidth="1"/>
    <col min="3592" max="3593" width="9" style="2"/>
    <col min="3594" max="3594" width="9.625" style="2" bestFit="1" customWidth="1"/>
    <col min="3595" max="3837" width="9" style="2"/>
    <col min="3838" max="3838" width="2.375" style="2" customWidth="1"/>
    <col min="3839" max="3839" width="13.25" style="2" bestFit="1" customWidth="1"/>
    <col min="3840" max="3841" width="9" style="2"/>
    <col min="3842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/>
    <col min="3847" max="3847" width="13.25" style="2" bestFit="1" customWidth="1"/>
    <col min="3848" max="3849" width="9" style="2"/>
    <col min="3850" max="3850" width="9.625" style="2" bestFit="1" customWidth="1"/>
    <col min="3851" max="4093" width="9" style="2"/>
    <col min="4094" max="4094" width="2.375" style="2" customWidth="1"/>
    <col min="4095" max="4095" width="13.25" style="2" bestFit="1" customWidth="1"/>
    <col min="4096" max="4097" width="9" style="2"/>
    <col min="4098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/>
    <col min="4103" max="4103" width="13.25" style="2" bestFit="1" customWidth="1"/>
    <col min="4104" max="4105" width="9" style="2"/>
    <col min="4106" max="4106" width="9.625" style="2" bestFit="1" customWidth="1"/>
    <col min="4107" max="4349" width="9" style="2"/>
    <col min="4350" max="4350" width="2.375" style="2" customWidth="1"/>
    <col min="4351" max="4351" width="13.25" style="2" bestFit="1" customWidth="1"/>
    <col min="4352" max="4353" width="9" style="2"/>
    <col min="4354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/>
    <col min="4359" max="4359" width="13.25" style="2" bestFit="1" customWidth="1"/>
    <col min="4360" max="4361" width="9" style="2"/>
    <col min="4362" max="4362" width="9.625" style="2" bestFit="1" customWidth="1"/>
    <col min="4363" max="4605" width="9" style="2"/>
    <col min="4606" max="4606" width="2.375" style="2" customWidth="1"/>
    <col min="4607" max="4607" width="13.25" style="2" bestFit="1" customWidth="1"/>
    <col min="4608" max="4609" width="9" style="2"/>
    <col min="4610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/>
    <col min="4615" max="4615" width="13.25" style="2" bestFit="1" customWidth="1"/>
    <col min="4616" max="4617" width="9" style="2"/>
    <col min="4618" max="4618" width="9.625" style="2" bestFit="1" customWidth="1"/>
    <col min="4619" max="4861" width="9" style="2"/>
    <col min="4862" max="4862" width="2.375" style="2" customWidth="1"/>
    <col min="4863" max="4863" width="13.25" style="2" bestFit="1" customWidth="1"/>
    <col min="4864" max="4865" width="9" style="2"/>
    <col min="4866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/>
    <col min="4871" max="4871" width="13.25" style="2" bestFit="1" customWidth="1"/>
    <col min="4872" max="4873" width="9" style="2"/>
    <col min="4874" max="4874" width="9.625" style="2" bestFit="1" customWidth="1"/>
    <col min="4875" max="5117" width="9" style="2"/>
    <col min="5118" max="5118" width="2.375" style="2" customWidth="1"/>
    <col min="5119" max="5119" width="13.25" style="2" bestFit="1" customWidth="1"/>
    <col min="5120" max="5121" width="9" style="2"/>
    <col min="5122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/>
    <col min="5127" max="5127" width="13.25" style="2" bestFit="1" customWidth="1"/>
    <col min="5128" max="5129" width="9" style="2"/>
    <col min="5130" max="5130" width="9.625" style="2" bestFit="1" customWidth="1"/>
    <col min="5131" max="5373" width="9" style="2"/>
    <col min="5374" max="5374" width="2.375" style="2" customWidth="1"/>
    <col min="5375" max="5375" width="13.25" style="2" bestFit="1" customWidth="1"/>
    <col min="5376" max="5377" width="9" style="2"/>
    <col min="5378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/>
    <col min="5383" max="5383" width="13.25" style="2" bestFit="1" customWidth="1"/>
    <col min="5384" max="5385" width="9" style="2"/>
    <col min="5386" max="5386" width="9.625" style="2" bestFit="1" customWidth="1"/>
    <col min="5387" max="5629" width="9" style="2"/>
    <col min="5630" max="5630" width="2.375" style="2" customWidth="1"/>
    <col min="5631" max="5631" width="13.25" style="2" bestFit="1" customWidth="1"/>
    <col min="5632" max="5633" width="9" style="2"/>
    <col min="5634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/>
    <col min="5639" max="5639" width="13.25" style="2" bestFit="1" customWidth="1"/>
    <col min="5640" max="5641" width="9" style="2"/>
    <col min="5642" max="5642" width="9.625" style="2" bestFit="1" customWidth="1"/>
    <col min="5643" max="5885" width="9" style="2"/>
    <col min="5886" max="5886" width="2.375" style="2" customWidth="1"/>
    <col min="5887" max="5887" width="13.25" style="2" bestFit="1" customWidth="1"/>
    <col min="5888" max="5889" width="9" style="2"/>
    <col min="5890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/>
    <col min="5895" max="5895" width="13.25" style="2" bestFit="1" customWidth="1"/>
    <col min="5896" max="5897" width="9" style="2"/>
    <col min="5898" max="5898" width="9.625" style="2" bestFit="1" customWidth="1"/>
    <col min="5899" max="6141" width="9" style="2"/>
    <col min="6142" max="6142" width="2.375" style="2" customWidth="1"/>
    <col min="6143" max="6143" width="13.25" style="2" bestFit="1" customWidth="1"/>
    <col min="6144" max="6145" width="9" style="2"/>
    <col min="6146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/>
    <col min="6151" max="6151" width="13.25" style="2" bestFit="1" customWidth="1"/>
    <col min="6152" max="6153" width="9" style="2"/>
    <col min="6154" max="6154" width="9.625" style="2" bestFit="1" customWidth="1"/>
    <col min="6155" max="6397" width="9" style="2"/>
    <col min="6398" max="6398" width="2.375" style="2" customWidth="1"/>
    <col min="6399" max="6399" width="13.25" style="2" bestFit="1" customWidth="1"/>
    <col min="6400" max="6401" width="9" style="2"/>
    <col min="6402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/>
    <col min="6407" max="6407" width="13.25" style="2" bestFit="1" customWidth="1"/>
    <col min="6408" max="6409" width="9" style="2"/>
    <col min="6410" max="6410" width="9.625" style="2" bestFit="1" customWidth="1"/>
    <col min="6411" max="6653" width="9" style="2"/>
    <col min="6654" max="6654" width="2.375" style="2" customWidth="1"/>
    <col min="6655" max="6655" width="13.25" style="2" bestFit="1" customWidth="1"/>
    <col min="6656" max="6657" width="9" style="2"/>
    <col min="6658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/>
    <col min="6663" max="6663" width="13.25" style="2" bestFit="1" customWidth="1"/>
    <col min="6664" max="6665" width="9" style="2"/>
    <col min="6666" max="6666" width="9.625" style="2" bestFit="1" customWidth="1"/>
    <col min="6667" max="6909" width="9" style="2"/>
    <col min="6910" max="6910" width="2.375" style="2" customWidth="1"/>
    <col min="6911" max="6911" width="13.25" style="2" bestFit="1" customWidth="1"/>
    <col min="6912" max="6913" width="9" style="2"/>
    <col min="6914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/>
    <col min="6919" max="6919" width="13.25" style="2" bestFit="1" customWidth="1"/>
    <col min="6920" max="6921" width="9" style="2"/>
    <col min="6922" max="6922" width="9.625" style="2" bestFit="1" customWidth="1"/>
    <col min="6923" max="7165" width="9" style="2"/>
    <col min="7166" max="7166" width="2.375" style="2" customWidth="1"/>
    <col min="7167" max="7167" width="13.25" style="2" bestFit="1" customWidth="1"/>
    <col min="7168" max="7169" width="9" style="2"/>
    <col min="7170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/>
    <col min="7175" max="7175" width="13.25" style="2" bestFit="1" customWidth="1"/>
    <col min="7176" max="7177" width="9" style="2"/>
    <col min="7178" max="7178" width="9.625" style="2" bestFit="1" customWidth="1"/>
    <col min="7179" max="7421" width="9" style="2"/>
    <col min="7422" max="7422" width="2.375" style="2" customWidth="1"/>
    <col min="7423" max="7423" width="13.25" style="2" bestFit="1" customWidth="1"/>
    <col min="7424" max="7425" width="9" style="2"/>
    <col min="7426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/>
    <col min="7431" max="7431" width="13.25" style="2" bestFit="1" customWidth="1"/>
    <col min="7432" max="7433" width="9" style="2"/>
    <col min="7434" max="7434" width="9.625" style="2" bestFit="1" customWidth="1"/>
    <col min="7435" max="7677" width="9" style="2"/>
    <col min="7678" max="7678" width="2.375" style="2" customWidth="1"/>
    <col min="7679" max="7679" width="13.25" style="2" bestFit="1" customWidth="1"/>
    <col min="7680" max="7681" width="9" style="2"/>
    <col min="7682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/>
    <col min="7687" max="7687" width="13.25" style="2" bestFit="1" customWidth="1"/>
    <col min="7688" max="7689" width="9" style="2"/>
    <col min="7690" max="7690" width="9.625" style="2" bestFit="1" customWidth="1"/>
    <col min="7691" max="7933" width="9" style="2"/>
    <col min="7934" max="7934" width="2.375" style="2" customWidth="1"/>
    <col min="7935" max="7935" width="13.25" style="2" bestFit="1" customWidth="1"/>
    <col min="7936" max="7937" width="9" style="2"/>
    <col min="7938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/>
    <col min="7943" max="7943" width="13.25" style="2" bestFit="1" customWidth="1"/>
    <col min="7944" max="7945" width="9" style="2"/>
    <col min="7946" max="7946" width="9.625" style="2" bestFit="1" customWidth="1"/>
    <col min="7947" max="8189" width="9" style="2"/>
    <col min="8190" max="8190" width="2.375" style="2" customWidth="1"/>
    <col min="8191" max="8191" width="13.25" style="2" bestFit="1" customWidth="1"/>
    <col min="8192" max="8193" width="9" style="2"/>
    <col min="8194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/>
    <col min="8199" max="8199" width="13.25" style="2" bestFit="1" customWidth="1"/>
    <col min="8200" max="8201" width="9" style="2"/>
    <col min="8202" max="8202" width="9.625" style="2" bestFit="1" customWidth="1"/>
    <col min="8203" max="8445" width="9" style="2"/>
    <col min="8446" max="8446" width="2.375" style="2" customWidth="1"/>
    <col min="8447" max="8447" width="13.25" style="2" bestFit="1" customWidth="1"/>
    <col min="8448" max="8449" width="9" style="2"/>
    <col min="8450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/>
    <col min="8455" max="8455" width="13.25" style="2" bestFit="1" customWidth="1"/>
    <col min="8456" max="8457" width="9" style="2"/>
    <col min="8458" max="8458" width="9.625" style="2" bestFit="1" customWidth="1"/>
    <col min="8459" max="8701" width="9" style="2"/>
    <col min="8702" max="8702" width="2.375" style="2" customWidth="1"/>
    <col min="8703" max="8703" width="13.25" style="2" bestFit="1" customWidth="1"/>
    <col min="8704" max="8705" width="9" style="2"/>
    <col min="8706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/>
    <col min="8711" max="8711" width="13.25" style="2" bestFit="1" customWidth="1"/>
    <col min="8712" max="8713" width="9" style="2"/>
    <col min="8714" max="8714" width="9.625" style="2" bestFit="1" customWidth="1"/>
    <col min="8715" max="8957" width="9" style="2"/>
    <col min="8958" max="8958" width="2.375" style="2" customWidth="1"/>
    <col min="8959" max="8959" width="13.25" style="2" bestFit="1" customWidth="1"/>
    <col min="8960" max="8961" width="9" style="2"/>
    <col min="8962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/>
    <col min="8967" max="8967" width="13.25" style="2" bestFit="1" customWidth="1"/>
    <col min="8968" max="8969" width="9" style="2"/>
    <col min="8970" max="8970" width="9.625" style="2" bestFit="1" customWidth="1"/>
    <col min="8971" max="9213" width="9" style="2"/>
    <col min="9214" max="9214" width="2.375" style="2" customWidth="1"/>
    <col min="9215" max="9215" width="13.25" style="2" bestFit="1" customWidth="1"/>
    <col min="9216" max="9217" width="9" style="2"/>
    <col min="9218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/>
    <col min="9223" max="9223" width="13.25" style="2" bestFit="1" customWidth="1"/>
    <col min="9224" max="9225" width="9" style="2"/>
    <col min="9226" max="9226" width="9.625" style="2" bestFit="1" customWidth="1"/>
    <col min="9227" max="9469" width="9" style="2"/>
    <col min="9470" max="9470" width="2.375" style="2" customWidth="1"/>
    <col min="9471" max="9471" width="13.25" style="2" bestFit="1" customWidth="1"/>
    <col min="9472" max="9473" width="9" style="2"/>
    <col min="9474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/>
    <col min="9479" max="9479" width="13.25" style="2" bestFit="1" customWidth="1"/>
    <col min="9480" max="9481" width="9" style="2"/>
    <col min="9482" max="9482" width="9.625" style="2" bestFit="1" customWidth="1"/>
    <col min="9483" max="9725" width="9" style="2"/>
    <col min="9726" max="9726" width="2.375" style="2" customWidth="1"/>
    <col min="9727" max="9727" width="13.25" style="2" bestFit="1" customWidth="1"/>
    <col min="9728" max="9729" width="9" style="2"/>
    <col min="9730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/>
    <col min="9735" max="9735" width="13.25" style="2" bestFit="1" customWidth="1"/>
    <col min="9736" max="9737" width="9" style="2"/>
    <col min="9738" max="9738" width="9.625" style="2" bestFit="1" customWidth="1"/>
    <col min="9739" max="9981" width="9" style="2"/>
    <col min="9982" max="9982" width="2.375" style="2" customWidth="1"/>
    <col min="9983" max="9983" width="13.25" style="2" bestFit="1" customWidth="1"/>
    <col min="9984" max="9985" width="9" style="2"/>
    <col min="9986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/>
    <col min="9991" max="9991" width="13.25" style="2" bestFit="1" customWidth="1"/>
    <col min="9992" max="9993" width="9" style="2"/>
    <col min="9994" max="9994" width="9.625" style="2" bestFit="1" customWidth="1"/>
    <col min="9995" max="10237" width="9" style="2"/>
    <col min="10238" max="10238" width="2.375" style="2" customWidth="1"/>
    <col min="10239" max="10239" width="13.25" style="2" bestFit="1" customWidth="1"/>
    <col min="10240" max="10241" width="9" style="2"/>
    <col min="10242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/>
    <col min="10247" max="10247" width="13.25" style="2" bestFit="1" customWidth="1"/>
    <col min="10248" max="10249" width="9" style="2"/>
    <col min="10250" max="10250" width="9.625" style="2" bestFit="1" customWidth="1"/>
    <col min="10251" max="10493" width="9" style="2"/>
    <col min="10494" max="10494" width="2.375" style="2" customWidth="1"/>
    <col min="10495" max="10495" width="13.25" style="2" bestFit="1" customWidth="1"/>
    <col min="10496" max="10497" width="9" style="2"/>
    <col min="10498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/>
    <col min="10503" max="10503" width="13.25" style="2" bestFit="1" customWidth="1"/>
    <col min="10504" max="10505" width="9" style="2"/>
    <col min="10506" max="10506" width="9.625" style="2" bestFit="1" customWidth="1"/>
    <col min="10507" max="10749" width="9" style="2"/>
    <col min="10750" max="10750" width="2.375" style="2" customWidth="1"/>
    <col min="10751" max="10751" width="13.25" style="2" bestFit="1" customWidth="1"/>
    <col min="10752" max="10753" width="9" style="2"/>
    <col min="10754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/>
    <col min="10759" max="10759" width="13.25" style="2" bestFit="1" customWidth="1"/>
    <col min="10760" max="10761" width="9" style="2"/>
    <col min="10762" max="10762" width="9.625" style="2" bestFit="1" customWidth="1"/>
    <col min="10763" max="11005" width="9" style="2"/>
    <col min="11006" max="11006" width="2.375" style="2" customWidth="1"/>
    <col min="11007" max="11007" width="13.25" style="2" bestFit="1" customWidth="1"/>
    <col min="11008" max="11009" width="9" style="2"/>
    <col min="11010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/>
    <col min="11015" max="11015" width="13.25" style="2" bestFit="1" customWidth="1"/>
    <col min="11016" max="11017" width="9" style="2"/>
    <col min="11018" max="11018" width="9.625" style="2" bestFit="1" customWidth="1"/>
    <col min="11019" max="11261" width="9" style="2"/>
    <col min="11262" max="11262" width="2.375" style="2" customWidth="1"/>
    <col min="11263" max="11263" width="13.25" style="2" bestFit="1" customWidth="1"/>
    <col min="11264" max="11265" width="9" style="2"/>
    <col min="11266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/>
    <col min="11271" max="11271" width="13.25" style="2" bestFit="1" customWidth="1"/>
    <col min="11272" max="11273" width="9" style="2"/>
    <col min="11274" max="11274" width="9.625" style="2" bestFit="1" customWidth="1"/>
    <col min="11275" max="11517" width="9" style="2"/>
    <col min="11518" max="11518" width="2.375" style="2" customWidth="1"/>
    <col min="11519" max="11519" width="13.25" style="2" bestFit="1" customWidth="1"/>
    <col min="11520" max="11521" width="9" style="2"/>
    <col min="11522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/>
    <col min="11527" max="11527" width="13.25" style="2" bestFit="1" customWidth="1"/>
    <col min="11528" max="11529" width="9" style="2"/>
    <col min="11530" max="11530" width="9.625" style="2" bestFit="1" customWidth="1"/>
    <col min="11531" max="11773" width="9" style="2"/>
    <col min="11774" max="11774" width="2.375" style="2" customWidth="1"/>
    <col min="11775" max="11775" width="13.25" style="2" bestFit="1" customWidth="1"/>
    <col min="11776" max="11777" width="9" style="2"/>
    <col min="11778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/>
    <col min="11783" max="11783" width="13.25" style="2" bestFit="1" customWidth="1"/>
    <col min="11784" max="11785" width="9" style="2"/>
    <col min="11786" max="11786" width="9.625" style="2" bestFit="1" customWidth="1"/>
    <col min="11787" max="12029" width="9" style="2"/>
    <col min="12030" max="12030" width="2.375" style="2" customWidth="1"/>
    <col min="12031" max="12031" width="13.25" style="2" bestFit="1" customWidth="1"/>
    <col min="12032" max="12033" width="9" style="2"/>
    <col min="12034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/>
    <col min="12039" max="12039" width="13.25" style="2" bestFit="1" customWidth="1"/>
    <col min="12040" max="12041" width="9" style="2"/>
    <col min="12042" max="12042" width="9.625" style="2" bestFit="1" customWidth="1"/>
    <col min="12043" max="12285" width="9" style="2"/>
    <col min="12286" max="12286" width="2.375" style="2" customWidth="1"/>
    <col min="12287" max="12287" width="13.25" style="2" bestFit="1" customWidth="1"/>
    <col min="12288" max="12289" width="9" style="2"/>
    <col min="12290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/>
    <col min="12295" max="12295" width="13.25" style="2" bestFit="1" customWidth="1"/>
    <col min="12296" max="12297" width="9" style="2"/>
    <col min="12298" max="12298" width="9.625" style="2" bestFit="1" customWidth="1"/>
    <col min="12299" max="12541" width="9" style="2"/>
    <col min="12542" max="12542" width="2.375" style="2" customWidth="1"/>
    <col min="12543" max="12543" width="13.25" style="2" bestFit="1" customWidth="1"/>
    <col min="12544" max="12545" width="9" style="2"/>
    <col min="12546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/>
    <col min="12551" max="12551" width="13.25" style="2" bestFit="1" customWidth="1"/>
    <col min="12552" max="12553" width="9" style="2"/>
    <col min="12554" max="12554" width="9.625" style="2" bestFit="1" customWidth="1"/>
    <col min="12555" max="12797" width="9" style="2"/>
    <col min="12798" max="12798" width="2.375" style="2" customWidth="1"/>
    <col min="12799" max="12799" width="13.25" style="2" bestFit="1" customWidth="1"/>
    <col min="12800" max="12801" width="9" style="2"/>
    <col min="12802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/>
    <col min="12807" max="12807" width="13.25" style="2" bestFit="1" customWidth="1"/>
    <col min="12808" max="12809" width="9" style="2"/>
    <col min="12810" max="12810" width="9.625" style="2" bestFit="1" customWidth="1"/>
    <col min="12811" max="13053" width="9" style="2"/>
    <col min="13054" max="13054" width="2.375" style="2" customWidth="1"/>
    <col min="13055" max="13055" width="13.25" style="2" bestFit="1" customWidth="1"/>
    <col min="13056" max="13057" width="9" style="2"/>
    <col min="13058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/>
    <col min="13063" max="13063" width="13.25" style="2" bestFit="1" customWidth="1"/>
    <col min="13064" max="13065" width="9" style="2"/>
    <col min="13066" max="13066" width="9.625" style="2" bestFit="1" customWidth="1"/>
    <col min="13067" max="13309" width="9" style="2"/>
    <col min="13310" max="13310" width="2.375" style="2" customWidth="1"/>
    <col min="13311" max="13311" width="13.25" style="2" bestFit="1" customWidth="1"/>
    <col min="13312" max="13313" width="9" style="2"/>
    <col min="13314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/>
    <col min="13319" max="13319" width="13.25" style="2" bestFit="1" customWidth="1"/>
    <col min="13320" max="13321" width="9" style="2"/>
    <col min="13322" max="13322" width="9.625" style="2" bestFit="1" customWidth="1"/>
    <col min="13323" max="13565" width="9" style="2"/>
    <col min="13566" max="13566" width="2.375" style="2" customWidth="1"/>
    <col min="13567" max="13567" width="13.25" style="2" bestFit="1" customWidth="1"/>
    <col min="13568" max="13569" width="9" style="2"/>
    <col min="13570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/>
    <col min="13575" max="13575" width="13.25" style="2" bestFit="1" customWidth="1"/>
    <col min="13576" max="13577" width="9" style="2"/>
    <col min="13578" max="13578" width="9.625" style="2" bestFit="1" customWidth="1"/>
    <col min="13579" max="13821" width="9" style="2"/>
    <col min="13822" max="13822" width="2.375" style="2" customWidth="1"/>
    <col min="13823" max="13823" width="13.25" style="2" bestFit="1" customWidth="1"/>
    <col min="13824" max="13825" width="9" style="2"/>
    <col min="13826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/>
    <col min="13831" max="13831" width="13.25" style="2" bestFit="1" customWidth="1"/>
    <col min="13832" max="13833" width="9" style="2"/>
    <col min="13834" max="13834" width="9.625" style="2" bestFit="1" customWidth="1"/>
    <col min="13835" max="14077" width="9" style="2"/>
    <col min="14078" max="14078" width="2.375" style="2" customWidth="1"/>
    <col min="14079" max="14079" width="13.25" style="2" bestFit="1" customWidth="1"/>
    <col min="14080" max="14081" width="9" style="2"/>
    <col min="14082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/>
    <col min="14087" max="14087" width="13.25" style="2" bestFit="1" customWidth="1"/>
    <col min="14088" max="14089" width="9" style="2"/>
    <col min="14090" max="14090" width="9.625" style="2" bestFit="1" customWidth="1"/>
    <col min="14091" max="14333" width="9" style="2"/>
    <col min="14334" max="14334" width="2.375" style="2" customWidth="1"/>
    <col min="14335" max="14335" width="13.25" style="2" bestFit="1" customWidth="1"/>
    <col min="14336" max="14337" width="9" style="2"/>
    <col min="14338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/>
    <col min="14343" max="14343" width="13.25" style="2" bestFit="1" customWidth="1"/>
    <col min="14344" max="14345" width="9" style="2"/>
    <col min="14346" max="14346" width="9.625" style="2" bestFit="1" customWidth="1"/>
    <col min="14347" max="14589" width="9" style="2"/>
    <col min="14590" max="14590" width="2.375" style="2" customWidth="1"/>
    <col min="14591" max="14591" width="13.25" style="2" bestFit="1" customWidth="1"/>
    <col min="14592" max="14593" width="9" style="2"/>
    <col min="14594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/>
    <col min="14599" max="14599" width="13.25" style="2" bestFit="1" customWidth="1"/>
    <col min="14600" max="14601" width="9" style="2"/>
    <col min="14602" max="14602" width="9.625" style="2" bestFit="1" customWidth="1"/>
    <col min="14603" max="14845" width="9" style="2"/>
    <col min="14846" max="14846" width="2.375" style="2" customWidth="1"/>
    <col min="14847" max="14847" width="13.25" style="2" bestFit="1" customWidth="1"/>
    <col min="14848" max="14849" width="9" style="2"/>
    <col min="14850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/>
    <col min="14855" max="14855" width="13.25" style="2" bestFit="1" customWidth="1"/>
    <col min="14856" max="14857" width="9" style="2"/>
    <col min="14858" max="14858" width="9.625" style="2" bestFit="1" customWidth="1"/>
    <col min="14859" max="15101" width="9" style="2"/>
    <col min="15102" max="15102" width="2.375" style="2" customWidth="1"/>
    <col min="15103" max="15103" width="13.25" style="2" bestFit="1" customWidth="1"/>
    <col min="15104" max="15105" width="9" style="2"/>
    <col min="15106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/>
    <col min="15111" max="15111" width="13.25" style="2" bestFit="1" customWidth="1"/>
    <col min="15112" max="15113" width="9" style="2"/>
    <col min="15114" max="15114" width="9.625" style="2" bestFit="1" customWidth="1"/>
    <col min="15115" max="15357" width="9" style="2"/>
    <col min="15358" max="15358" width="2.375" style="2" customWidth="1"/>
    <col min="15359" max="15359" width="13.25" style="2" bestFit="1" customWidth="1"/>
    <col min="15360" max="15361" width="9" style="2"/>
    <col min="15362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/>
    <col min="15367" max="15367" width="13.25" style="2" bestFit="1" customWidth="1"/>
    <col min="15368" max="15369" width="9" style="2"/>
    <col min="15370" max="15370" width="9.625" style="2" bestFit="1" customWidth="1"/>
    <col min="15371" max="15613" width="9" style="2"/>
    <col min="15614" max="15614" width="2.375" style="2" customWidth="1"/>
    <col min="15615" max="15615" width="13.25" style="2" bestFit="1" customWidth="1"/>
    <col min="15616" max="15617" width="9" style="2"/>
    <col min="15618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/>
    <col min="15623" max="15623" width="13.25" style="2" bestFit="1" customWidth="1"/>
    <col min="15624" max="15625" width="9" style="2"/>
    <col min="15626" max="15626" width="9.625" style="2" bestFit="1" customWidth="1"/>
    <col min="15627" max="15869" width="9" style="2"/>
    <col min="15870" max="15870" width="2.375" style="2" customWidth="1"/>
    <col min="15871" max="15871" width="13.25" style="2" bestFit="1" customWidth="1"/>
    <col min="15872" max="15873" width="9" style="2"/>
    <col min="15874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/>
    <col min="15879" max="15879" width="13.25" style="2" bestFit="1" customWidth="1"/>
    <col min="15880" max="15881" width="9" style="2"/>
    <col min="15882" max="15882" width="9.625" style="2" bestFit="1" customWidth="1"/>
    <col min="15883" max="16125" width="9" style="2"/>
    <col min="16126" max="16126" width="2.375" style="2" customWidth="1"/>
    <col min="16127" max="16127" width="13.25" style="2" bestFit="1" customWidth="1"/>
    <col min="16128" max="16129" width="9" style="2"/>
    <col min="16130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/>
    <col min="16135" max="16135" width="13.25" style="2" bestFit="1" customWidth="1"/>
    <col min="16136" max="16137" width="9" style="2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70</v>
      </c>
    </row>
    <row r="7" spans="1:10">
      <c r="B7" s="15"/>
      <c r="C7" s="23" t="s">
        <v>4</v>
      </c>
      <c r="D7" s="4" t="s">
        <v>5</v>
      </c>
      <c r="E7" s="4" t="s">
        <v>6</v>
      </c>
      <c r="F7" s="4" t="s">
        <v>10</v>
      </c>
      <c r="G7" s="4" t="s">
        <v>11</v>
      </c>
      <c r="H7" s="4" t="s">
        <v>12</v>
      </c>
      <c r="I7" s="24" t="s">
        <v>13</v>
      </c>
      <c r="J7" s="71" t="s">
        <v>71</v>
      </c>
    </row>
    <row r="8" spans="1:10" ht="19.5" thickBot="1">
      <c r="A8" s="3"/>
      <c r="B8" s="35" t="s">
        <v>14</v>
      </c>
      <c r="C8" s="36" t="s">
        <v>15</v>
      </c>
      <c r="D8" s="37" t="s">
        <v>16</v>
      </c>
      <c r="E8" s="37" t="s">
        <v>17</v>
      </c>
      <c r="F8" s="37" t="s">
        <v>21</v>
      </c>
      <c r="G8" s="37" t="s">
        <v>22</v>
      </c>
      <c r="H8" s="37" t="s">
        <v>23</v>
      </c>
      <c r="I8" s="38" t="s">
        <v>24</v>
      </c>
      <c r="J8" s="39" t="s">
        <v>72</v>
      </c>
    </row>
    <row r="9" spans="1:10">
      <c r="A9" s="1" t="s">
        <v>3</v>
      </c>
      <c r="B9" s="30" t="s">
        <v>26</v>
      </c>
      <c r="C9" s="31">
        <v>21</v>
      </c>
      <c r="D9" s="32">
        <v>19</v>
      </c>
      <c r="E9" s="32">
        <v>15</v>
      </c>
      <c r="F9" s="32">
        <v>21</v>
      </c>
      <c r="G9" s="32">
        <v>21</v>
      </c>
      <c r="H9" s="32">
        <v>21</v>
      </c>
      <c r="I9" s="33">
        <v>0</v>
      </c>
      <c r="J9" s="34">
        <f>SUM(C9:I9)</f>
        <v>118</v>
      </c>
    </row>
    <row r="10" spans="1:10">
      <c r="A10" s="1" t="s">
        <v>3</v>
      </c>
      <c r="B10" s="16" t="s">
        <v>27</v>
      </c>
      <c r="C10" s="25">
        <v>3</v>
      </c>
      <c r="D10" s="5">
        <v>2</v>
      </c>
      <c r="E10" s="5">
        <v>4</v>
      </c>
      <c r="F10" s="5">
        <v>3</v>
      </c>
      <c r="G10" s="5">
        <v>2</v>
      </c>
      <c r="H10" s="5">
        <v>1</v>
      </c>
      <c r="I10" s="6">
        <v>0</v>
      </c>
      <c r="J10" s="18">
        <f t="shared" ref="J10:J22" si="0">SUM(C10:I10)</f>
        <v>15</v>
      </c>
    </row>
    <row r="11" spans="1:10">
      <c r="A11" s="1" t="s">
        <v>3</v>
      </c>
      <c r="B11" s="16" t="s">
        <v>28</v>
      </c>
      <c r="C11" s="25">
        <v>1</v>
      </c>
      <c r="D11" s="5">
        <v>3</v>
      </c>
      <c r="E11" s="5">
        <v>4</v>
      </c>
      <c r="F11" s="5">
        <v>0</v>
      </c>
      <c r="G11" s="5">
        <v>2</v>
      </c>
      <c r="H11" s="5">
        <v>2</v>
      </c>
      <c r="I11" s="6">
        <v>0</v>
      </c>
      <c r="J11" s="18">
        <f t="shared" si="0"/>
        <v>12</v>
      </c>
    </row>
    <row r="12" spans="1:10">
      <c r="A12" s="1" t="s">
        <v>3</v>
      </c>
      <c r="B12" s="16" t="s">
        <v>29</v>
      </c>
      <c r="C12" s="25">
        <v>0</v>
      </c>
      <c r="D12" s="5">
        <v>2</v>
      </c>
      <c r="E12" s="5">
        <v>5</v>
      </c>
      <c r="F12" s="5">
        <v>0</v>
      </c>
      <c r="G12" s="5">
        <v>0</v>
      </c>
      <c r="H12" s="5">
        <v>0</v>
      </c>
      <c r="I12" s="6">
        <v>0</v>
      </c>
      <c r="J12" s="18">
        <f t="shared" si="0"/>
        <v>7</v>
      </c>
    </row>
    <row r="13" spans="1:10">
      <c r="A13" s="1" t="s">
        <v>3</v>
      </c>
      <c r="B13" s="16" t="s">
        <v>30</v>
      </c>
      <c r="C13" s="25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6">
        <v>6</v>
      </c>
      <c r="J13" s="18">
        <f t="shared" si="0"/>
        <v>7</v>
      </c>
    </row>
    <row r="14" spans="1:10">
      <c r="A14" s="1" t="s">
        <v>3</v>
      </c>
      <c r="B14" s="16" t="s">
        <v>31</v>
      </c>
      <c r="C14" s="2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15</v>
      </c>
      <c r="J14" s="18">
        <f t="shared" si="0"/>
        <v>15</v>
      </c>
    </row>
    <row r="15" spans="1:10">
      <c r="A15" s="1" t="s">
        <v>3</v>
      </c>
      <c r="B15" s="16" t="s">
        <v>32</v>
      </c>
      <c r="C15" s="26">
        <v>1.75</v>
      </c>
      <c r="D15" s="7">
        <v>0.45833333333333331</v>
      </c>
      <c r="E15" s="7">
        <v>1.0416666666666667</v>
      </c>
      <c r="F15" s="7">
        <v>2.2083333333333335</v>
      </c>
      <c r="G15" s="7">
        <v>2.4166666666666665</v>
      </c>
      <c r="H15" s="7">
        <v>2.5833333333333335</v>
      </c>
      <c r="I15" s="8">
        <v>0</v>
      </c>
      <c r="J15" s="19">
        <f t="shared" si="0"/>
        <v>10.458333333333334</v>
      </c>
    </row>
    <row r="16" spans="1:10">
      <c r="A16" s="1" t="s">
        <v>3</v>
      </c>
      <c r="B16" s="16" t="s">
        <v>33</v>
      </c>
      <c r="C16" s="26">
        <v>1.3333333333333333</v>
      </c>
      <c r="D16" s="7">
        <v>0.33333333333333331</v>
      </c>
      <c r="E16" s="7">
        <v>0.75</v>
      </c>
      <c r="F16" s="7">
        <v>1.25</v>
      </c>
      <c r="G16" s="7">
        <v>0.75</v>
      </c>
      <c r="H16" s="7">
        <v>0.33333333333333331</v>
      </c>
      <c r="I16" s="8">
        <v>0</v>
      </c>
      <c r="J16" s="19">
        <f t="shared" si="0"/>
        <v>4.7499999999999991</v>
      </c>
    </row>
    <row r="17" spans="1:10">
      <c r="A17" s="1" t="s">
        <v>3</v>
      </c>
      <c r="B17" s="16" t="s">
        <v>34</v>
      </c>
      <c r="C17" s="26">
        <v>0.5</v>
      </c>
      <c r="D17" s="7">
        <v>0.66666666666666663</v>
      </c>
      <c r="E17" s="7">
        <v>0.375</v>
      </c>
      <c r="F17" s="7">
        <v>0</v>
      </c>
      <c r="G17" s="7">
        <v>0.625</v>
      </c>
      <c r="H17" s="7">
        <v>0.54166666666666663</v>
      </c>
      <c r="I17" s="8">
        <v>0</v>
      </c>
      <c r="J17" s="19">
        <f t="shared" si="0"/>
        <v>2.708333333333333</v>
      </c>
    </row>
    <row r="18" spans="1:10">
      <c r="A18" s="1" t="s">
        <v>3</v>
      </c>
      <c r="B18" s="16" t="s">
        <v>35</v>
      </c>
      <c r="C18" s="26">
        <v>0</v>
      </c>
      <c r="D18" s="7">
        <v>0.33333333333333331</v>
      </c>
      <c r="E18" s="7">
        <v>0.75</v>
      </c>
      <c r="F18" s="7">
        <v>0</v>
      </c>
      <c r="G18" s="7">
        <v>0</v>
      </c>
      <c r="H18" s="7">
        <v>0</v>
      </c>
      <c r="I18" s="8">
        <v>0</v>
      </c>
      <c r="J18" s="19">
        <f t="shared" si="0"/>
        <v>1.0833333333333333</v>
      </c>
    </row>
    <row r="19" spans="1:10">
      <c r="A19" s="1" t="s">
        <v>3</v>
      </c>
      <c r="B19" s="16" t="s">
        <v>36</v>
      </c>
      <c r="C19" s="26">
        <v>0</v>
      </c>
      <c r="D19" s="7">
        <v>0.33333333333333331</v>
      </c>
      <c r="E19" s="7">
        <v>1.125</v>
      </c>
      <c r="F19" s="7">
        <v>0</v>
      </c>
      <c r="G19" s="7">
        <v>0</v>
      </c>
      <c r="H19" s="7">
        <v>0</v>
      </c>
      <c r="I19" s="8">
        <v>0</v>
      </c>
      <c r="J19" s="19">
        <f t="shared" si="0"/>
        <v>1.4583333333333333</v>
      </c>
    </row>
    <row r="20" spans="1:10">
      <c r="A20" s="1" t="s">
        <v>3</v>
      </c>
      <c r="B20" s="16" t="s">
        <v>37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8.3333333333333329E-2</v>
      </c>
      <c r="I20" s="8">
        <v>0</v>
      </c>
      <c r="J20" s="19">
        <f t="shared" si="0"/>
        <v>8.3333333333333329E-2</v>
      </c>
    </row>
    <row r="21" spans="1:10">
      <c r="A21" s="1" t="s">
        <v>3</v>
      </c>
      <c r="B21" s="16" t="s">
        <v>38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8">
        <v>0</v>
      </c>
      <c r="J21" s="19">
        <f t="shared" si="0"/>
        <v>0</v>
      </c>
    </row>
    <row r="22" spans="1:10">
      <c r="A22" s="1" t="s">
        <v>3</v>
      </c>
      <c r="B22" s="16" t="s">
        <v>39</v>
      </c>
      <c r="C22" s="26">
        <v>1.125</v>
      </c>
      <c r="D22" s="7">
        <v>3.25</v>
      </c>
      <c r="E22" s="7">
        <v>3.0833333333333335</v>
      </c>
      <c r="F22" s="7">
        <v>0.54166666666666663</v>
      </c>
      <c r="G22" s="7">
        <v>1.3333333333333333</v>
      </c>
      <c r="H22" s="7">
        <v>0.54166666666666663</v>
      </c>
      <c r="I22" s="8">
        <v>0</v>
      </c>
      <c r="J22" s="19">
        <f t="shared" si="0"/>
        <v>9.875</v>
      </c>
    </row>
    <row r="23" spans="1:10">
      <c r="A23" s="1" t="s">
        <v>3</v>
      </c>
      <c r="B23" s="44" t="s">
        <v>40</v>
      </c>
      <c r="C23" s="45">
        <v>38</v>
      </c>
      <c r="D23" s="46">
        <v>36</v>
      </c>
      <c r="E23" s="46">
        <v>26</v>
      </c>
      <c r="F23" s="46">
        <v>23</v>
      </c>
      <c r="G23" s="46">
        <v>14</v>
      </c>
      <c r="H23" s="46">
        <v>16</v>
      </c>
      <c r="I23" s="47">
        <v>2</v>
      </c>
      <c r="J23" s="48"/>
    </row>
    <row r="24" spans="1:10">
      <c r="A24" s="1" t="s">
        <v>3</v>
      </c>
      <c r="B24" s="30" t="s">
        <v>41</v>
      </c>
      <c r="C24" s="40">
        <v>187000</v>
      </c>
      <c r="D24" s="41">
        <v>187000</v>
      </c>
      <c r="E24" s="41">
        <v>182000</v>
      </c>
      <c r="F24" s="41">
        <v>182000</v>
      </c>
      <c r="G24" s="41">
        <v>182000</v>
      </c>
      <c r="H24" s="41">
        <v>175000</v>
      </c>
      <c r="I24" s="42">
        <v>175000</v>
      </c>
      <c r="J24" s="43">
        <f t="shared" ref="J24:J52" si="1">SUM(C24:I24)</f>
        <v>1270000</v>
      </c>
    </row>
    <row r="25" spans="1:10">
      <c r="A25" s="1" t="s">
        <v>3</v>
      </c>
      <c r="B25" s="16" t="s">
        <v>42</v>
      </c>
      <c r="C25" s="27">
        <v>5000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  <c r="J25" s="20">
        <f t="shared" si="1"/>
        <v>5000</v>
      </c>
    </row>
    <row r="26" spans="1:10">
      <c r="A26" s="1" t="s">
        <v>3</v>
      </c>
      <c r="B26" s="16" t="s">
        <v>43</v>
      </c>
      <c r="C26" s="27">
        <v>6000</v>
      </c>
      <c r="D26" s="9">
        <v>10000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  <c r="J26" s="20">
        <f t="shared" si="1"/>
        <v>16000</v>
      </c>
    </row>
    <row r="27" spans="1:10">
      <c r="A27" s="1" t="s">
        <v>3</v>
      </c>
      <c r="B27" s="16" t="s">
        <v>44</v>
      </c>
      <c r="C27" s="27">
        <v>3500</v>
      </c>
      <c r="D27" s="9">
        <v>3500</v>
      </c>
      <c r="E27" s="9">
        <v>3500</v>
      </c>
      <c r="F27" s="9">
        <v>3500</v>
      </c>
      <c r="G27" s="9">
        <v>3500</v>
      </c>
      <c r="H27" s="9">
        <v>0</v>
      </c>
      <c r="I27" s="10">
        <v>0</v>
      </c>
      <c r="J27" s="20">
        <f t="shared" si="1"/>
        <v>17500</v>
      </c>
    </row>
    <row r="28" spans="1:10">
      <c r="A28" s="1" t="s">
        <v>3</v>
      </c>
      <c r="B28" s="16" t="s">
        <v>45</v>
      </c>
      <c r="C28" s="27">
        <v>0</v>
      </c>
      <c r="D28" s="9">
        <v>7600</v>
      </c>
      <c r="E28" s="9">
        <v>0</v>
      </c>
      <c r="F28" s="9">
        <v>0</v>
      </c>
      <c r="G28" s="9">
        <v>0</v>
      </c>
      <c r="H28" s="9">
        <v>0</v>
      </c>
      <c r="I28" s="10">
        <v>0</v>
      </c>
      <c r="J28" s="20">
        <f t="shared" si="1"/>
        <v>7600</v>
      </c>
    </row>
    <row r="29" spans="1:10">
      <c r="A29" s="1" t="s">
        <v>3</v>
      </c>
      <c r="B29" s="16" t="s">
        <v>46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10">
        <v>125595</v>
      </c>
      <c r="J29" s="20">
        <f t="shared" si="1"/>
        <v>125595</v>
      </c>
    </row>
    <row r="30" spans="1:10">
      <c r="A30" s="1" t="s">
        <v>3</v>
      </c>
      <c r="B30" s="16" t="s">
        <v>32</v>
      </c>
      <c r="C30" s="27">
        <v>63378</v>
      </c>
      <c r="D30" s="9">
        <v>17138</v>
      </c>
      <c r="E30" s="9">
        <v>34725</v>
      </c>
      <c r="F30" s="9">
        <v>73617</v>
      </c>
      <c r="G30" s="9">
        <v>80562</v>
      </c>
      <c r="H30" s="9">
        <v>81220</v>
      </c>
      <c r="I30" s="10">
        <v>0</v>
      </c>
      <c r="J30" s="20">
        <f t="shared" si="1"/>
        <v>350640</v>
      </c>
    </row>
    <row r="31" spans="1:10">
      <c r="A31" s="1" t="s">
        <v>3</v>
      </c>
      <c r="B31" s="16" t="s">
        <v>47</v>
      </c>
      <c r="C31" s="27">
        <v>52128</v>
      </c>
      <c r="D31" s="9">
        <v>13456</v>
      </c>
      <c r="E31" s="9">
        <v>27000</v>
      </c>
      <c r="F31" s="9">
        <v>45000</v>
      </c>
      <c r="G31" s="9">
        <v>27000</v>
      </c>
      <c r="H31" s="9">
        <v>11320</v>
      </c>
      <c r="I31" s="10">
        <v>0</v>
      </c>
      <c r="J31" s="20">
        <f t="shared" si="1"/>
        <v>175904</v>
      </c>
    </row>
    <row r="32" spans="1:10">
      <c r="A32" s="1" t="s">
        <v>3</v>
      </c>
      <c r="B32" s="16" t="s">
        <v>48</v>
      </c>
      <c r="C32" s="27">
        <v>19548</v>
      </c>
      <c r="D32" s="9">
        <v>26912</v>
      </c>
      <c r="E32" s="9">
        <v>13500</v>
      </c>
      <c r="F32" s="9">
        <v>0</v>
      </c>
      <c r="G32" s="9">
        <v>22500</v>
      </c>
      <c r="H32" s="9">
        <v>18395</v>
      </c>
      <c r="I32" s="10">
        <v>0</v>
      </c>
      <c r="J32" s="20">
        <f t="shared" si="1"/>
        <v>100855</v>
      </c>
    </row>
    <row r="33" spans="1:10">
      <c r="A33" s="1" t="s">
        <v>3</v>
      </c>
      <c r="B33" s="16" t="s">
        <v>49</v>
      </c>
      <c r="C33" s="27">
        <v>0</v>
      </c>
      <c r="D33" s="9">
        <v>3488</v>
      </c>
      <c r="E33" s="9">
        <v>7002</v>
      </c>
      <c r="F33" s="9">
        <v>0</v>
      </c>
      <c r="G33" s="9">
        <v>0</v>
      </c>
      <c r="H33" s="9">
        <v>0</v>
      </c>
      <c r="I33" s="10">
        <v>0</v>
      </c>
      <c r="J33" s="20">
        <f t="shared" si="1"/>
        <v>10490</v>
      </c>
    </row>
    <row r="34" spans="1:10">
      <c r="A34" s="1" t="s">
        <v>3</v>
      </c>
      <c r="B34" s="16" t="s">
        <v>50</v>
      </c>
      <c r="C34" s="27">
        <v>0</v>
      </c>
      <c r="D34" s="9">
        <v>3488</v>
      </c>
      <c r="E34" s="9">
        <v>10503</v>
      </c>
      <c r="F34" s="9">
        <v>0</v>
      </c>
      <c r="G34" s="9">
        <v>0</v>
      </c>
      <c r="H34" s="9">
        <v>0</v>
      </c>
      <c r="I34" s="10">
        <v>0</v>
      </c>
      <c r="J34" s="20">
        <f t="shared" si="1"/>
        <v>13991</v>
      </c>
    </row>
    <row r="35" spans="1:10">
      <c r="A35" s="1" t="s">
        <v>3</v>
      </c>
      <c r="B35" s="16" t="s">
        <v>37</v>
      </c>
      <c r="C35" s="27">
        <v>0</v>
      </c>
      <c r="D35" s="9">
        <v>0</v>
      </c>
      <c r="E35" s="9">
        <v>0</v>
      </c>
      <c r="F35" s="9">
        <v>0</v>
      </c>
      <c r="G35" s="9">
        <v>0</v>
      </c>
      <c r="H35" s="9">
        <v>524</v>
      </c>
      <c r="I35" s="10">
        <v>0</v>
      </c>
      <c r="J35" s="20">
        <f t="shared" si="1"/>
        <v>524</v>
      </c>
    </row>
    <row r="36" spans="1:10">
      <c r="A36" s="1" t="s">
        <v>3</v>
      </c>
      <c r="B36" s="16" t="s">
        <v>38</v>
      </c>
      <c r="C36" s="27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0">
        <v>0</v>
      </c>
      <c r="J36" s="20">
        <f t="shared" si="1"/>
        <v>0</v>
      </c>
    </row>
    <row r="37" spans="1:10">
      <c r="A37" s="1" t="s">
        <v>3</v>
      </c>
      <c r="B37" s="49" t="s">
        <v>39</v>
      </c>
      <c r="C37" s="50">
        <v>8154</v>
      </c>
      <c r="D37" s="51">
        <v>24336</v>
      </c>
      <c r="E37" s="51">
        <v>20572</v>
      </c>
      <c r="F37" s="51">
        <v>3614</v>
      </c>
      <c r="G37" s="51">
        <v>8896</v>
      </c>
      <c r="H37" s="51">
        <v>3406</v>
      </c>
      <c r="I37" s="52">
        <v>0</v>
      </c>
      <c r="J37" s="53">
        <f t="shared" si="1"/>
        <v>68978</v>
      </c>
    </row>
    <row r="38" spans="1:10">
      <c r="A38" s="1" t="s">
        <v>3</v>
      </c>
      <c r="B38" s="54" t="s">
        <v>51</v>
      </c>
      <c r="C38" s="55">
        <v>344708</v>
      </c>
      <c r="D38" s="56">
        <v>296918</v>
      </c>
      <c r="E38" s="56">
        <v>298802</v>
      </c>
      <c r="F38" s="56">
        <v>307731</v>
      </c>
      <c r="G38" s="56">
        <v>324458</v>
      </c>
      <c r="H38" s="56">
        <v>289865</v>
      </c>
      <c r="I38" s="57">
        <v>49405</v>
      </c>
      <c r="J38" s="58">
        <f t="shared" si="1"/>
        <v>1911887</v>
      </c>
    </row>
    <row r="39" spans="1:10">
      <c r="A39" s="1" t="s">
        <v>3</v>
      </c>
      <c r="B39" s="54" t="s">
        <v>52</v>
      </c>
      <c r="C39" s="55">
        <v>10322</v>
      </c>
      <c r="D39" s="56">
        <v>2643</v>
      </c>
      <c r="E39" s="56">
        <v>2533</v>
      </c>
      <c r="F39" s="56">
        <v>7927</v>
      </c>
      <c r="G39" s="56">
        <v>1377</v>
      </c>
      <c r="H39" s="56">
        <v>6606</v>
      </c>
      <c r="I39" s="57">
        <v>0</v>
      </c>
      <c r="J39" s="58">
        <f t="shared" si="1"/>
        <v>31408</v>
      </c>
    </row>
    <row r="40" spans="1:10">
      <c r="A40" s="1" t="s">
        <v>3</v>
      </c>
      <c r="B40" s="54" t="s">
        <v>53</v>
      </c>
      <c r="C40" s="55">
        <v>10322</v>
      </c>
      <c r="D40" s="56">
        <v>2643</v>
      </c>
      <c r="E40" s="56">
        <v>2533</v>
      </c>
      <c r="F40" s="56">
        <v>7927</v>
      </c>
      <c r="G40" s="56">
        <v>1377</v>
      </c>
      <c r="H40" s="56">
        <v>6606</v>
      </c>
      <c r="I40" s="57">
        <v>0</v>
      </c>
      <c r="J40" s="58">
        <f t="shared" si="1"/>
        <v>31408</v>
      </c>
    </row>
    <row r="41" spans="1:10">
      <c r="A41" s="1" t="s">
        <v>3</v>
      </c>
      <c r="B41" s="54" t="s">
        <v>54</v>
      </c>
      <c r="C41" s="55">
        <v>355030</v>
      </c>
      <c r="D41" s="56">
        <v>299561</v>
      </c>
      <c r="E41" s="56">
        <v>301335</v>
      </c>
      <c r="F41" s="56">
        <v>315658</v>
      </c>
      <c r="G41" s="56">
        <v>325835</v>
      </c>
      <c r="H41" s="56">
        <v>296471</v>
      </c>
      <c r="I41" s="57">
        <v>49405</v>
      </c>
      <c r="J41" s="58">
        <f t="shared" si="1"/>
        <v>1943295</v>
      </c>
    </row>
    <row r="42" spans="1:10">
      <c r="A42" s="1" t="s">
        <v>3</v>
      </c>
      <c r="B42" s="30" t="s">
        <v>55</v>
      </c>
      <c r="C42" s="40">
        <v>18360</v>
      </c>
      <c r="D42" s="41">
        <v>15300</v>
      </c>
      <c r="E42" s="41">
        <v>16320</v>
      </c>
      <c r="F42" s="41">
        <v>15300</v>
      </c>
      <c r="G42" s="41">
        <v>17340</v>
      </c>
      <c r="H42" s="41">
        <v>13260</v>
      </c>
      <c r="I42" s="42">
        <v>0</v>
      </c>
      <c r="J42" s="43">
        <f t="shared" si="1"/>
        <v>95880</v>
      </c>
    </row>
    <row r="43" spans="1:10">
      <c r="A43" s="1" t="s">
        <v>3</v>
      </c>
      <c r="B43" s="16" t="s">
        <v>56</v>
      </c>
      <c r="C43" s="27">
        <v>3240</v>
      </c>
      <c r="D43" s="9">
        <v>2700</v>
      </c>
      <c r="E43" s="9">
        <v>2880</v>
      </c>
      <c r="F43" s="9">
        <v>2700</v>
      </c>
      <c r="G43" s="9">
        <v>3060</v>
      </c>
      <c r="H43" s="9">
        <v>2340</v>
      </c>
      <c r="I43" s="10">
        <v>0</v>
      </c>
      <c r="J43" s="20">
        <f t="shared" si="1"/>
        <v>16920</v>
      </c>
    </row>
    <row r="44" spans="1:10">
      <c r="A44" s="1" t="s">
        <v>3</v>
      </c>
      <c r="B44" s="16" t="s">
        <v>57</v>
      </c>
      <c r="C44" s="27">
        <v>32940</v>
      </c>
      <c r="D44" s="9">
        <v>27450</v>
      </c>
      <c r="E44" s="9">
        <v>29280</v>
      </c>
      <c r="F44" s="9">
        <v>27450</v>
      </c>
      <c r="G44" s="9">
        <v>31110</v>
      </c>
      <c r="H44" s="9">
        <v>23790</v>
      </c>
      <c r="I44" s="10">
        <v>0</v>
      </c>
      <c r="J44" s="20">
        <f t="shared" si="1"/>
        <v>172020</v>
      </c>
    </row>
    <row r="45" spans="1:10">
      <c r="A45" s="1" t="s">
        <v>3</v>
      </c>
      <c r="B45" s="49" t="s">
        <v>58</v>
      </c>
      <c r="C45" s="50">
        <v>1953</v>
      </c>
      <c r="D45" s="51">
        <v>1648</v>
      </c>
      <c r="E45" s="51">
        <v>1657</v>
      </c>
      <c r="F45" s="51">
        <v>1736</v>
      </c>
      <c r="G45" s="51">
        <v>1792</v>
      </c>
      <c r="H45" s="51">
        <v>1631</v>
      </c>
      <c r="I45" s="52">
        <v>272</v>
      </c>
      <c r="J45" s="53">
        <f t="shared" si="1"/>
        <v>10689</v>
      </c>
    </row>
    <row r="46" spans="1:10">
      <c r="A46" s="1" t="s">
        <v>3</v>
      </c>
      <c r="B46" s="54" t="s">
        <v>59</v>
      </c>
      <c r="C46" s="55">
        <v>56493</v>
      </c>
      <c r="D46" s="56">
        <v>47098</v>
      </c>
      <c r="E46" s="56">
        <v>50137</v>
      </c>
      <c r="F46" s="56">
        <v>47186</v>
      </c>
      <c r="G46" s="56">
        <v>53302</v>
      </c>
      <c r="H46" s="56">
        <v>41021</v>
      </c>
      <c r="I46" s="57">
        <v>272</v>
      </c>
      <c r="J46" s="58">
        <f t="shared" si="1"/>
        <v>295509</v>
      </c>
    </row>
    <row r="47" spans="1:10">
      <c r="A47" s="1" t="s">
        <v>3</v>
      </c>
      <c r="B47" s="30" t="s">
        <v>60</v>
      </c>
      <c r="C47" s="40">
        <v>3070</v>
      </c>
      <c r="D47" s="41">
        <v>3310</v>
      </c>
      <c r="E47" s="41">
        <v>6500</v>
      </c>
      <c r="F47" s="41">
        <v>6930</v>
      </c>
      <c r="G47" s="41">
        <v>5690</v>
      </c>
      <c r="H47" s="41">
        <v>4890</v>
      </c>
      <c r="I47" s="42">
        <v>0</v>
      </c>
      <c r="J47" s="43">
        <f t="shared" si="1"/>
        <v>30390</v>
      </c>
    </row>
    <row r="48" spans="1:10">
      <c r="A48" s="1" t="s">
        <v>3</v>
      </c>
      <c r="B48" s="49" t="s">
        <v>61</v>
      </c>
      <c r="C48" s="50">
        <v>9800</v>
      </c>
      <c r="D48" s="51">
        <v>11100</v>
      </c>
      <c r="E48" s="51">
        <v>13600</v>
      </c>
      <c r="F48" s="51">
        <v>12700</v>
      </c>
      <c r="G48" s="51">
        <v>11300</v>
      </c>
      <c r="H48" s="51">
        <v>9900</v>
      </c>
      <c r="I48" s="52">
        <v>0</v>
      </c>
      <c r="J48" s="53">
        <f t="shared" si="1"/>
        <v>68400</v>
      </c>
    </row>
    <row r="49" spans="1:10">
      <c r="A49" s="1" t="s">
        <v>3</v>
      </c>
      <c r="B49" s="54" t="s">
        <v>62</v>
      </c>
      <c r="C49" s="55">
        <v>69363</v>
      </c>
      <c r="D49" s="56">
        <v>61508</v>
      </c>
      <c r="E49" s="56">
        <v>70237</v>
      </c>
      <c r="F49" s="56">
        <v>66816</v>
      </c>
      <c r="G49" s="56">
        <v>70292</v>
      </c>
      <c r="H49" s="56">
        <v>55811</v>
      </c>
      <c r="I49" s="57">
        <v>272</v>
      </c>
      <c r="J49" s="58">
        <f t="shared" si="1"/>
        <v>394299</v>
      </c>
    </row>
    <row r="50" spans="1:10">
      <c r="A50" s="1" t="s">
        <v>3</v>
      </c>
      <c r="B50" s="54" t="s">
        <v>63</v>
      </c>
      <c r="C50" s="55">
        <v>288215</v>
      </c>
      <c r="D50" s="56">
        <v>249820</v>
      </c>
      <c r="E50" s="56">
        <v>248665</v>
      </c>
      <c r="F50" s="56">
        <v>260545</v>
      </c>
      <c r="G50" s="56">
        <v>271156</v>
      </c>
      <c r="H50" s="56">
        <v>248844</v>
      </c>
      <c r="I50" s="57">
        <v>49133</v>
      </c>
      <c r="J50" s="58">
        <f t="shared" si="1"/>
        <v>1616378</v>
      </c>
    </row>
    <row r="51" spans="1:10">
      <c r="A51" s="1" t="s">
        <v>3</v>
      </c>
      <c r="B51" s="54" t="s">
        <v>64</v>
      </c>
      <c r="C51" s="55">
        <v>285667</v>
      </c>
      <c r="D51" s="56">
        <v>238053</v>
      </c>
      <c r="E51" s="56">
        <v>231098</v>
      </c>
      <c r="F51" s="56">
        <v>248842</v>
      </c>
      <c r="G51" s="56">
        <v>255543</v>
      </c>
      <c r="H51" s="56">
        <v>240660</v>
      </c>
      <c r="I51" s="57">
        <v>49133</v>
      </c>
      <c r="J51" s="58">
        <f t="shared" si="1"/>
        <v>1548996</v>
      </c>
    </row>
    <row r="52" spans="1:10">
      <c r="A52" s="1" t="s">
        <v>3</v>
      </c>
      <c r="B52" s="54" t="s">
        <v>65</v>
      </c>
      <c r="C52" s="55">
        <v>285667</v>
      </c>
      <c r="D52" s="56">
        <v>238053</v>
      </c>
      <c r="E52" s="56">
        <v>231098</v>
      </c>
      <c r="F52" s="56">
        <v>248842</v>
      </c>
      <c r="G52" s="56">
        <v>255543</v>
      </c>
      <c r="H52" s="56">
        <v>240660</v>
      </c>
      <c r="I52" s="57">
        <v>49133</v>
      </c>
      <c r="J52" s="58">
        <f t="shared" si="1"/>
        <v>1548996</v>
      </c>
    </row>
    <row r="53" spans="1:10">
      <c r="A53" s="1" t="s">
        <v>3</v>
      </c>
      <c r="B53" s="30" t="s">
        <v>66</v>
      </c>
      <c r="C53" s="40">
        <v>3</v>
      </c>
      <c r="D53" s="41">
        <v>2</v>
      </c>
      <c r="E53" s="41">
        <v>0</v>
      </c>
      <c r="F53" s="41">
        <v>0</v>
      </c>
      <c r="G53" s="41">
        <v>1</v>
      </c>
      <c r="H53" s="41">
        <v>1</v>
      </c>
      <c r="I53" s="42">
        <v>0</v>
      </c>
      <c r="J53" s="43"/>
    </row>
    <row r="54" spans="1:10">
      <c r="A54" s="1" t="s">
        <v>3</v>
      </c>
      <c r="B54" s="16" t="s">
        <v>67</v>
      </c>
      <c r="C54" s="28" t="s">
        <v>68</v>
      </c>
      <c r="D54" s="11" t="s">
        <v>68</v>
      </c>
      <c r="E54" s="11" t="s">
        <v>68</v>
      </c>
      <c r="F54" s="11" t="s">
        <v>68</v>
      </c>
      <c r="G54" s="11" t="s">
        <v>68</v>
      </c>
      <c r="H54" s="11" t="s">
        <v>68</v>
      </c>
      <c r="I54" s="12" t="s">
        <v>68</v>
      </c>
      <c r="J54" s="21"/>
    </row>
    <row r="55" spans="1:10" ht="19.5" thickBot="1">
      <c r="A55" s="1" t="s">
        <v>3</v>
      </c>
      <c r="B55" s="17" t="s">
        <v>69</v>
      </c>
      <c r="C55" s="29">
        <v>3070</v>
      </c>
      <c r="D55" s="13">
        <v>3310</v>
      </c>
      <c r="E55" s="13">
        <v>6500</v>
      </c>
      <c r="F55" s="13">
        <v>6930</v>
      </c>
      <c r="G55" s="13">
        <v>5690</v>
      </c>
      <c r="H55" s="13">
        <v>4890</v>
      </c>
      <c r="I55" s="14">
        <v>0</v>
      </c>
      <c r="J55" s="22">
        <f>SUM(C55:I55)</f>
        <v>30390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2025年 6月度給与</vt:lpstr>
      <vt:lpstr>2025年 6月度給与 (2)</vt:lpstr>
      <vt:lpstr>2025年 6月度給与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2025-07-09T01:55:43Z</dcterms:created>
  <dcterms:modified xsi:type="dcterms:W3CDTF">2025-07-09T07:03:56Z</dcterms:modified>
</cp:coreProperties>
</file>