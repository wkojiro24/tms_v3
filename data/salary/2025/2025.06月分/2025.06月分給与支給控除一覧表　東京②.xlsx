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6月分\"/>
    </mc:Choice>
  </mc:AlternateContent>
  <xr:revisionPtr revIDLastSave="0" documentId="13_ncr:1_{56A98E25-3336-4C5C-9E88-A91F162F1D62}" xr6:coauthVersionLast="47" xr6:coauthVersionMax="47" xr10:uidLastSave="{00000000-0000-0000-0000-000000000000}"/>
  <bookViews>
    <workbookView xWindow="-120" yWindow="-120" windowWidth="20730" windowHeight="11160" xr2:uid="{DA631443-5015-4E13-B1ED-A71E2E7201A0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2" l="1"/>
  <c r="O52" i="2" s="1"/>
  <c r="N49" i="2"/>
  <c r="O49" i="2" s="1"/>
  <c r="N48" i="2"/>
  <c r="O48" i="2" s="1"/>
  <c r="N47" i="2"/>
  <c r="O47" i="2" s="1"/>
  <c r="N46" i="2"/>
  <c r="O46" i="2" s="1"/>
  <c r="N45" i="2"/>
  <c r="O45" i="2" s="1"/>
  <c r="N44" i="2"/>
  <c r="O44" i="2" s="1"/>
  <c r="N43" i="2"/>
  <c r="O43" i="2" s="1"/>
  <c r="N42" i="2"/>
  <c r="O42" i="2" s="1"/>
  <c r="N41" i="2"/>
  <c r="O41" i="2" s="1"/>
  <c r="N40" i="2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29" i="2"/>
  <c r="O29" i="2" s="1"/>
  <c r="N28" i="2"/>
  <c r="O28" i="2" s="1"/>
  <c r="N27" i="2"/>
  <c r="O27" i="2" s="1"/>
  <c r="N26" i="2"/>
  <c r="O26" i="2" s="1"/>
  <c r="N25" i="2"/>
  <c r="O25" i="2" s="1"/>
  <c r="N24" i="2"/>
  <c r="O24" i="2" s="1"/>
  <c r="N23" i="2"/>
  <c r="O23" i="2" s="1"/>
  <c r="N22" i="2"/>
  <c r="O22" i="2" s="1"/>
  <c r="N21" i="2"/>
  <c r="O21" i="2" s="1"/>
  <c r="N19" i="2"/>
  <c r="O19" i="2" s="1"/>
  <c r="N18" i="2"/>
  <c r="O18" i="2" s="1"/>
  <c r="N17" i="2"/>
  <c r="O17" i="2" s="1"/>
  <c r="N16" i="2"/>
  <c r="O16" i="2" s="1"/>
  <c r="N15" i="2"/>
  <c r="O15" i="2" s="1"/>
  <c r="N14" i="2"/>
  <c r="O14" i="2" s="1"/>
  <c r="N13" i="2"/>
  <c r="O13" i="2" s="1"/>
  <c r="N12" i="2"/>
  <c r="O12" i="2" s="1"/>
  <c r="N11" i="2"/>
  <c r="O11" i="2" s="1"/>
  <c r="N10" i="2"/>
  <c r="O10" i="2" s="1"/>
  <c r="O9" i="2"/>
  <c r="N9" i="2"/>
  <c r="K52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9" i="2"/>
  <c r="K18" i="2"/>
  <c r="K17" i="2"/>
  <c r="K16" i="2"/>
  <c r="K15" i="2"/>
  <c r="K14" i="2"/>
  <c r="K13" i="2"/>
  <c r="K12" i="2"/>
  <c r="K11" i="2"/>
  <c r="K10" i="2"/>
  <c r="K9" i="2"/>
</calcChain>
</file>

<file path=xl/sharedStrings.xml><?xml version="1.0" encoding="utf-8"?>
<sst xmlns="http://schemas.openxmlformats.org/spreadsheetml/2006/main" count="130" uniqueCount="74">
  <si>
    <t>支給控除一覧表</t>
    <phoneticPr fontId="4"/>
  </si>
  <si>
    <t>若林運送株式会社</t>
    <phoneticPr fontId="4"/>
  </si>
  <si>
    <t>2025年 7月 9日 作成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</si>
  <si>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</si>
  <si>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</si>
  <si>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</si>
  <si>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</si>
  <si>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</si>
  <si>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</si>
  <si>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</si>
  <si>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</si>
  <si>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1203</t>
    <phoneticPr fontId="4"/>
  </si>
  <si>
    <t>1204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</si>
  <si>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</si>
  <si>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</si>
  <si>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</si>
  <si>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</si>
  <si>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</si>
  <si>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</si>
  <si>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</si>
  <si>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</si>
  <si>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</si>
  <si>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長野　智彦</t>
    <phoneticPr fontId="4"/>
  </si>
  <si>
    <t>伊藤　博一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</si>
  <si>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</si>
  <si>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</si>
  <si>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</si>
  <si>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</si>
  <si>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</si>
  <si>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</si>
  <si>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</si>
  <si>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</si>
  <si>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</si>
  <si>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</si>
  <si>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</si>
  <si>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</si>
  <si>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</si>
  <si>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</si>
  <si>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</si>
  <si>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</si>
  <si>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</si>
  <si>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</si>
  <si>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</si>
  <si>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</si>
  <si>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</si>
  <si>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</si>
  <si>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</si>
  <si>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</si>
  <si>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</si>
  <si>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</si>
  <si>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</si>
  <si>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</si>
  <si>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</si>
  <si>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</si>
  <si>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</si>
  <si>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</si>
  <si>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</si>
  <si>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</si>
  <si>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</si>
  <si>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</si>
  <si>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</si>
  <si>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</si>
  <si>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</si>
  <si>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</si>
  <si>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</si>
  <si>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</si>
  <si>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</si>
  <si>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</si>
  <si>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</si>
  <si>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6月度給与</t>
    <phoneticPr fontId="4"/>
  </si>
  <si>
    <t>小計</t>
    <rPh sb="0" eb="2">
      <t>ショウケイ</t>
    </rPh>
    <phoneticPr fontId="3"/>
  </si>
  <si>
    <t>８名</t>
    <rPh sb="1" eb="2">
      <t>メイ</t>
    </rPh>
    <phoneticPr fontId="4"/>
  </si>
  <si>
    <t>2名</t>
    <rPh sb="1" eb="2">
      <t>メイ</t>
    </rPh>
    <phoneticPr fontId="4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</si>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</sst>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14" xfId="1" applyFont="1" applyBorder="1" applyAlignment="1">
      <alignment horizontal="center"/>
    </xf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34767757-715B-41C0-B44F-D6DD986A7B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0955-768C-4614-A86A-30210107A605}">
  <dimension ref="A1:O52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N45" sqref="N45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10" width="11.125" style="2" bestFit="1" customWidth="1"/>
    <col min="11" max="11" width="9.625" style="2" bestFit="1" customWidth="1"/>
    <col min="12" max="12" width="9" style="2" bestFit="1" customWidth="1"/>
    <col min="13" max="13" width="11.125" style="2" bestFit="1" customWidth="1"/>
    <col min="14" max="15" width="9.625" style="2" bestFit="1" customWidth="1"/>
    <col min="16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70" width="11.1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6" width="11.1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82" width="11.1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8" width="11.1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4" width="11.1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50" width="11.1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6" width="11.1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62" width="11.1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8" width="11.1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4" width="11.1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30" width="11.1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6" width="11.1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42" width="11.1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8" width="11.1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4" width="11.1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10" width="11.1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6" width="11.1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22" width="11.1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8" width="11.1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4" width="11.1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90" width="11.1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6" width="11.1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902" width="11.1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8" width="11.1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4" width="11.1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70" width="11.1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6" width="11.1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82" width="11.1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8" width="11.1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4" width="11.1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50" width="11.1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6" width="11.1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62" width="11.1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8" width="11.1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4" width="11.1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30" width="11.1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6" width="11.1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42" width="11.1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8" width="11.1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4" width="11.1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10" width="11.1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6" width="11.1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22" width="11.1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8" width="11.1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4" width="11.1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90" width="11.1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6" width="11.1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302" width="11.1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8" width="11.1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4" width="11.1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70" width="11.1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6" width="11.1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82" width="11.1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8" width="11.1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4" width="11.1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50" width="11.1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6" width="11.1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62" width="11.1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8" width="11.1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4" width="11.1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30" width="11.1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6" width="11.1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>
      <c r="A2" s="1"/>
    </row>
    <row r="3" spans="1:15">
      <c r="A3" s="1" t="s">
        <v>1</v>
      </c>
    </row>
    <row r="4" spans="1:15">
      <c r="A4" s="1" t="s">
        <v>2</v>
      </c>
    </row>
    <row r="5" spans="1:15">
      <c r="A5" s="1" t="s">
        <v>3</v>
      </c>
    </row>
    <row r="6" spans="1:15" ht="19.5" thickBot="1">
      <c r="A6" s="1" t="s">
        <v>69</v>
      </c>
    </row>
    <row r="7" spans="1:15">
      <c r="B7" s="15"/>
      <c r="C7" s="23" t="s">
        <v>4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59" t="s">
        <v>12</v>
      </c>
      <c r="K7" s="72" t="s">
        <v>70</v>
      </c>
      <c r="L7" s="4" t="s">
        <v>5</v>
      </c>
      <c r="M7" s="24" t="s">
        <v>13</v>
      </c>
      <c r="N7" s="71" t="s">
        <v>70</v>
      </c>
      <c r="O7" s="71" t="s">
        <v>25</v>
      </c>
    </row>
    <row r="8" spans="1:15" ht="19.5" thickBot="1">
      <c r="A8" s="3"/>
      <c r="B8" s="35" t="s">
        <v>14</v>
      </c>
      <c r="C8" s="36" t="s">
        <v>15</v>
      </c>
      <c r="D8" s="37" t="s">
        <v>17</v>
      </c>
      <c r="E8" s="37" t="s">
        <v>18</v>
      </c>
      <c r="F8" s="37" t="s">
        <v>19</v>
      </c>
      <c r="G8" s="37" t="s">
        <v>20</v>
      </c>
      <c r="H8" s="37" t="s">
        <v>21</v>
      </c>
      <c r="I8" s="37" t="s">
        <v>22</v>
      </c>
      <c r="J8" s="60" t="s">
        <v>23</v>
      </c>
      <c r="K8" s="73" t="s">
        <v>71</v>
      </c>
      <c r="L8" s="37" t="s">
        <v>16</v>
      </c>
      <c r="M8" s="38" t="s">
        <v>24</v>
      </c>
      <c r="N8" s="39" t="s">
        <v>72</v>
      </c>
      <c r="O8" s="39" t="s">
        <v>73</v>
      </c>
    </row>
    <row r="9" spans="1:15">
      <c r="A9" s="1" t="s">
        <v>3</v>
      </c>
      <c r="B9" s="30" t="s">
        <v>26</v>
      </c>
      <c r="C9" s="31">
        <v>21</v>
      </c>
      <c r="D9" s="32">
        <v>16</v>
      </c>
      <c r="E9" s="32">
        <v>21</v>
      </c>
      <c r="F9" s="32">
        <v>19</v>
      </c>
      <c r="G9" s="32">
        <v>20</v>
      </c>
      <c r="H9" s="32">
        <v>19</v>
      </c>
      <c r="I9" s="32">
        <v>13</v>
      </c>
      <c r="J9" s="61">
        <v>21</v>
      </c>
      <c r="K9" s="74">
        <f>SUM(C9:J9)</f>
        <v>150</v>
      </c>
      <c r="L9" s="32">
        <v>21</v>
      </c>
      <c r="M9" s="33">
        <v>12</v>
      </c>
      <c r="N9" s="34">
        <f>SUM(L9:M9)</f>
        <v>33</v>
      </c>
      <c r="O9" s="34">
        <f>K9+N9</f>
        <v>183</v>
      </c>
    </row>
    <row r="10" spans="1:15">
      <c r="A10" s="1" t="s">
        <v>3</v>
      </c>
      <c r="B10" s="16" t="s">
        <v>27</v>
      </c>
      <c r="C10" s="25">
        <v>0</v>
      </c>
      <c r="D10" s="5">
        <v>3</v>
      </c>
      <c r="E10" s="5">
        <v>1</v>
      </c>
      <c r="F10" s="5">
        <v>1</v>
      </c>
      <c r="G10" s="5">
        <v>2</v>
      </c>
      <c r="H10" s="5">
        <v>0</v>
      </c>
      <c r="I10" s="5">
        <v>0</v>
      </c>
      <c r="J10" s="62">
        <v>1</v>
      </c>
      <c r="K10" s="75">
        <f t="shared" ref="K10:K19" si="0">SUM(C10:J10)</f>
        <v>8</v>
      </c>
      <c r="L10" s="5">
        <v>0</v>
      </c>
      <c r="M10" s="6">
        <v>0</v>
      </c>
      <c r="N10" s="18">
        <f t="shared" ref="N10:N19" si="1">SUM(L10:M10)</f>
        <v>0</v>
      </c>
      <c r="O10" s="18">
        <f t="shared" ref="O10:O19" si="2">K10+N10</f>
        <v>8</v>
      </c>
    </row>
    <row r="11" spans="1:15">
      <c r="A11" s="1" t="s">
        <v>3</v>
      </c>
      <c r="B11" s="16" t="s">
        <v>28</v>
      </c>
      <c r="C11" s="2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62">
        <v>0</v>
      </c>
      <c r="K11" s="75">
        <f t="shared" si="0"/>
        <v>1</v>
      </c>
      <c r="L11" s="5">
        <v>0</v>
      </c>
      <c r="M11" s="6">
        <v>0</v>
      </c>
      <c r="N11" s="18">
        <f t="shared" si="1"/>
        <v>0</v>
      </c>
      <c r="O11" s="18">
        <f t="shared" si="2"/>
        <v>1</v>
      </c>
    </row>
    <row r="12" spans="1:15">
      <c r="A12" s="1" t="s">
        <v>3</v>
      </c>
      <c r="B12" s="16" t="s">
        <v>29</v>
      </c>
      <c r="C12" s="25">
        <v>0</v>
      </c>
      <c r="D12" s="5">
        <v>5</v>
      </c>
      <c r="E12" s="5">
        <v>0</v>
      </c>
      <c r="F12" s="5">
        <v>2</v>
      </c>
      <c r="G12" s="5">
        <v>1</v>
      </c>
      <c r="H12" s="5">
        <v>2</v>
      </c>
      <c r="I12" s="5">
        <v>0</v>
      </c>
      <c r="J12" s="62">
        <v>0</v>
      </c>
      <c r="K12" s="75">
        <f t="shared" si="0"/>
        <v>10</v>
      </c>
      <c r="L12" s="5">
        <v>0</v>
      </c>
      <c r="M12" s="6">
        <v>1</v>
      </c>
      <c r="N12" s="18">
        <f t="shared" si="1"/>
        <v>1</v>
      </c>
      <c r="O12" s="18">
        <f t="shared" si="2"/>
        <v>11</v>
      </c>
    </row>
    <row r="13" spans="1:15">
      <c r="A13" s="1" t="s">
        <v>3</v>
      </c>
      <c r="B13" s="16" t="s">
        <v>30</v>
      </c>
      <c r="C13" s="2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8</v>
      </c>
      <c r="J13" s="62">
        <v>0</v>
      </c>
      <c r="K13" s="75">
        <f t="shared" si="0"/>
        <v>8</v>
      </c>
      <c r="L13" s="5">
        <v>0</v>
      </c>
      <c r="M13" s="6">
        <v>0</v>
      </c>
      <c r="N13" s="18">
        <f t="shared" si="1"/>
        <v>0</v>
      </c>
      <c r="O13" s="18">
        <f t="shared" si="2"/>
        <v>8</v>
      </c>
    </row>
    <row r="14" spans="1:15">
      <c r="A14" s="1" t="s">
        <v>3</v>
      </c>
      <c r="B14" s="16" t="s">
        <v>31</v>
      </c>
      <c r="C14" s="26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63">
        <v>0</v>
      </c>
      <c r="K14" s="76">
        <f t="shared" si="0"/>
        <v>0</v>
      </c>
      <c r="L14" s="7">
        <v>0</v>
      </c>
      <c r="M14" s="8">
        <v>3.1666666666666665</v>
      </c>
      <c r="N14" s="19">
        <f t="shared" si="1"/>
        <v>3.1666666666666665</v>
      </c>
      <c r="O14" s="19">
        <f t="shared" si="2"/>
        <v>3.1666666666666665</v>
      </c>
    </row>
    <row r="15" spans="1:15">
      <c r="A15" s="1" t="s">
        <v>3</v>
      </c>
      <c r="B15" s="16" t="s">
        <v>32</v>
      </c>
      <c r="C15" s="26">
        <v>1.8333333333333335</v>
      </c>
      <c r="D15" s="7">
        <v>1.375</v>
      </c>
      <c r="E15" s="7">
        <v>1.3333333333333333</v>
      </c>
      <c r="F15" s="7">
        <v>1.2916666666666667</v>
      </c>
      <c r="G15" s="7">
        <v>1.125</v>
      </c>
      <c r="H15" s="7">
        <v>1.625</v>
      </c>
      <c r="I15" s="7">
        <v>1.0833333333333333</v>
      </c>
      <c r="J15" s="63">
        <v>1.4583333333333333</v>
      </c>
      <c r="K15" s="76">
        <f t="shared" si="0"/>
        <v>11.125000000000002</v>
      </c>
      <c r="L15" s="7">
        <v>0</v>
      </c>
      <c r="M15" s="8">
        <v>0</v>
      </c>
      <c r="N15" s="19">
        <f t="shared" si="1"/>
        <v>0</v>
      </c>
      <c r="O15" s="19">
        <f t="shared" si="2"/>
        <v>11.125000000000002</v>
      </c>
    </row>
    <row r="16" spans="1:15">
      <c r="A16" s="1" t="s">
        <v>3</v>
      </c>
      <c r="B16" s="16" t="s">
        <v>33</v>
      </c>
      <c r="C16" s="26">
        <v>0</v>
      </c>
      <c r="D16" s="7">
        <v>0.75</v>
      </c>
      <c r="E16" s="7">
        <v>0.25</v>
      </c>
      <c r="F16" s="7">
        <v>0.20833333333333334</v>
      </c>
      <c r="G16" s="7">
        <v>0.79166666666666663</v>
      </c>
      <c r="H16" s="7">
        <v>0</v>
      </c>
      <c r="I16" s="7">
        <v>0</v>
      </c>
      <c r="J16" s="63">
        <v>0.20833333333333334</v>
      </c>
      <c r="K16" s="76">
        <f t="shared" si="0"/>
        <v>2.2083333333333335</v>
      </c>
      <c r="L16" s="7">
        <v>0</v>
      </c>
      <c r="M16" s="8">
        <v>0</v>
      </c>
      <c r="N16" s="19">
        <f t="shared" si="1"/>
        <v>0</v>
      </c>
      <c r="O16" s="19">
        <f t="shared" si="2"/>
        <v>2.2083333333333335</v>
      </c>
    </row>
    <row r="17" spans="1:15">
      <c r="A17" s="1" t="s">
        <v>3</v>
      </c>
      <c r="B17" s="16" t="s">
        <v>34</v>
      </c>
      <c r="C17" s="26">
        <v>0</v>
      </c>
      <c r="D17" s="7">
        <v>0</v>
      </c>
      <c r="E17" s="7">
        <v>0</v>
      </c>
      <c r="F17" s="7">
        <v>0.375</v>
      </c>
      <c r="G17" s="7">
        <v>0</v>
      </c>
      <c r="H17" s="7">
        <v>0</v>
      </c>
      <c r="I17" s="7">
        <v>0</v>
      </c>
      <c r="J17" s="63">
        <v>0</v>
      </c>
      <c r="K17" s="76">
        <f t="shared" si="0"/>
        <v>0.375</v>
      </c>
      <c r="L17" s="7">
        <v>0</v>
      </c>
      <c r="M17" s="8">
        <v>0</v>
      </c>
      <c r="N17" s="19">
        <f t="shared" si="1"/>
        <v>0</v>
      </c>
      <c r="O17" s="19">
        <f t="shared" si="2"/>
        <v>0.375</v>
      </c>
    </row>
    <row r="18" spans="1:15">
      <c r="A18" s="1" t="s">
        <v>3</v>
      </c>
      <c r="B18" s="16" t="s">
        <v>35</v>
      </c>
      <c r="C18" s="2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63">
        <v>0</v>
      </c>
      <c r="K18" s="76">
        <f t="shared" si="0"/>
        <v>0</v>
      </c>
      <c r="L18" s="7">
        <v>0</v>
      </c>
      <c r="M18" s="8">
        <v>0.29166666666666669</v>
      </c>
      <c r="N18" s="19">
        <f t="shared" si="1"/>
        <v>0.29166666666666669</v>
      </c>
      <c r="O18" s="19">
        <f t="shared" si="2"/>
        <v>0.29166666666666669</v>
      </c>
    </row>
    <row r="19" spans="1:15">
      <c r="A19" s="1" t="s">
        <v>3</v>
      </c>
      <c r="B19" s="16" t="s">
        <v>36</v>
      </c>
      <c r="C19" s="26">
        <v>0.25</v>
      </c>
      <c r="D19" s="7">
        <v>0.16666666666666666</v>
      </c>
      <c r="E19" s="7">
        <v>0.125</v>
      </c>
      <c r="F19" s="7">
        <v>0.29166666666666669</v>
      </c>
      <c r="G19" s="7">
        <v>0.16666666666666666</v>
      </c>
      <c r="H19" s="7">
        <v>0.20833333333333334</v>
      </c>
      <c r="I19" s="7">
        <v>8.3333333333333329E-2</v>
      </c>
      <c r="J19" s="63">
        <v>0.25</v>
      </c>
      <c r="K19" s="76">
        <f t="shared" si="0"/>
        <v>1.5416666666666665</v>
      </c>
      <c r="L19" s="7">
        <v>0</v>
      </c>
      <c r="M19" s="8">
        <v>0</v>
      </c>
      <c r="N19" s="19">
        <f t="shared" si="1"/>
        <v>0</v>
      </c>
      <c r="O19" s="19">
        <f t="shared" si="2"/>
        <v>1.5416666666666665</v>
      </c>
    </row>
    <row r="20" spans="1:15">
      <c r="A20" s="1" t="s">
        <v>3</v>
      </c>
      <c r="B20" s="44" t="s">
        <v>37</v>
      </c>
      <c r="C20" s="45">
        <v>31</v>
      </c>
      <c r="D20" s="46">
        <v>29</v>
      </c>
      <c r="E20" s="46">
        <v>25</v>
      </c>
      <c r="F20" s="46">
        <v>32</v>
      </c>
      <c r="G20" s="46">
        <v>33</v>
      </c>
      <c r="H20" s="46">
        <v>12</v>
      </c>
      <c r="I20" s="46">
        <v>0</v>
      </c>
      <c r="J20" s="64">
        <v>0</v>
      </c>
      <c r="K20" s="77"/>
      <c r="L20" s="46">
        <v>40</v>
      </c>
      <c r="M20" s="47">
        <v>10</v>
      </c>
      <c r="N20" s="48"/>
      <c r="O20" s="48"/>
    </row>
    <row r="21" spans="1:15">
      <c r="A21" s="1" t="s">
        <v>3</v>
      </c>
      <c r="B21" s="30" t="s">
        <v>38</v>
      </c>
      <c r="C21" s="40">
        <v>197000</v>
      </c>
      <c r="D21" s="41">
        <v>182000</v>
      </c>
      <c r="E21" s="41">
        <v>182000</v>
      </c>
      <c r="F21" s="41">
        <v>182000</v>
      </c>
      <c r="G21" s="41">
        <v>182000</v>
      </c>
      <c r="H21" s="41">
        <v>175000</v>
      </c>
      <c r="I21" s="41">
        <v>175000</v>
      </c>
      <c r="J21" s="65">
        <v>175000</v>
      </c>
      <c r="K21" s="78">
        <f t="shared" ref="K21:K49" si="3">SUM(C21:J21)</f>
        <v>1450000</v>
      </c>
      <c r="L21" s="41">
        <v>370000</v>
      </c>
      <c r="M21" s="42">
        <v>0</v>
      </c>
      <c r="N21" s="43">
        <f t="shared" ref="N21:N49" si="4">SUM(L21:M21)</f>
        <v>370000</v>
      </c>
      <c r="O21" s="43">
        <f t="shared" ref="O21:O49" si="5">K21+N21</f>
        <v>1820000</v>
      </c>
    </row>
    <row r="22" spans="1:15">
      <c r="A22" s="1" t="s">
        <v>3</v>
      </c>
      <c r="B22" s="16" t="s">
        <v>39</v>
      </c>
      <c r="C22" s="27">
        <v>5000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66">
        <v>0</v>
      </c>
      <c r="K22" s="79">
        <f t="shared" si="3"/>
        <v>5000</v>
      </c>
      <c r="L22" s="9">
        <v>0</v>
      </c>
      <c r="M22" s="10">
        <v>0</v>
      </c>
      <c r="N22" s="20">
        <f t="shared" si="4"/>
        <v>0</v>
      </c>
      <c r="O22" s="20">
        <f t="shared" si="5"/>
        <v>5000</v>
      </c>
    </row>
    <row r="23" spans="1:15">
      <c r="A23" s="1" t="s">
        <v>3</v>
      </c>
      <c r="B23" s="16" t="s">
        <v>40</v>
      </c>
      <c r="C23" s="27">
        <v>0</v>
      </c>
      <c r="D23" s="9">
        <v>15000</v>
      </c>
      <c r="E23" s="9">
        <v>0</v>
      </c>
      <c r="F23" s="9">
        <v>0</v>
      </c>
      <c r="G23" s="9">
        <v>3000</v>
      </c>
      <c r="H23" s="9">
        <v>0</v>
      </c>
      <c r="I23" s="9">
        <v>0</v>
      </c>
      <c r="J23" s="66">
        <v>0</v>
      </c>
      <c r="K23" s="79">
        <f t="shared" si="3"/>
        <v>18000</v>
      </c>
      <c r="L23" s="9">
        <v>0</v>
      </c>
      <c r="M23" s="10">
        <v>0</v>
      </c>
      <c r="N23" s="20">
        <f t="shared" si="4"/>
        <v>0</v>
      </c>
      <c r="O23" s="20">
        <f t="shared" si="5"/>
        <v>18000</v>
      </c>
    </row>
    <row r="24" spans="1:15">
      <c r="A24" s="1" t="s">
        <v>3</v>
      </c>
      <c r="B24" s="16" t="s">
        <v>41</v>
      </c>
      <c r="C24" s="27">
        <v>50000</v>
      </c>
      <c r="D24" s="9">
        <v>50000</v>
      </c>
      <c r="E24" s="9">
        <v>50000</v>
      </c>
      <c r="F24" s="9">
        <v>50000</v>
      </c>
      <c r="G24" s="9">
        <v>50000</v>
      </c>
      <c r="H24" s="9">
        <v>50000</v>
      </c>
      <c r="I24" s="9">
        <v>50000</v>
      </c>
      <c r="J24" s="66">
        <v>50000</v>
      </c>
      <c r="K24" s="79">
        <f t="shared" si="3"/>
        <v>400000</v>
      </c>
      <c r="L24" s="9">
        <v>50000</v>
      </c>
      <c r="M24" s="10">
        <v>0</v>
      </c>
      <c r="N24" s="20">
        <f t="shared" si="4"/>
        <v>50000</v>
      </c>
      <c r="O24" s="20">
        <f t="shared" si="5"/>
        <v>450000</v>
      </c>
    </row>
    <row r="25" spans="1:15">
      <c r="A25" s="1" t="s">
        <v>3</v>
      </c>
      <c r="B25" s="16" t="s">
        <v>42</v>
      </c>
      <c r="C25" s="27">
        <v>30000</v>
      </c>
      <c r="D25" s="9">
        <v>0</v>
      </c>
      <c r="E25" s="9">
        <v>30000</v>
      </c>
      <c r="F25" s="9">
        <v>0</v>
      </c>
      <c r="G25" s="9">
        <v>0</v>
      </c>
      <c r="H25" s="9">
        <v>0</v>
      </c>
      <c r="I25" s="9">
        <v>0</v>
      </c>
      <c r="J25" s="66">
        <v>0</v>
      </c>
      <c r="K25" s="79">
        <f t="shared" si="3"/>
        <v>60000</v>
      </c>
      <c r="L25" s="9">
        <v>0</v>
      </c>
      <c r="M25" s="10">
        <v>0</v>
      </c>
      <c r="N25" s="20">
        <f t="shared" si="4"/>
        <v>0</v>
      </c>
      <c r="O25" s="20">
        <f t="shared" si="5"/>
        <v>60000</v>
      </c>
    </row>
    <row r="26" spans="1:15">
      <c r="A26" s="1" t="s">
        <v>3</v>
      </c>
      <c r="B26" s="16" t="s">
        <v>43</v>
      </c>
      <c r="C26" s="27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66">
        <v>0</v>
      </c>
      <c r="K26" s="79">
        <f t="shared" si="3"/>
        <v>0</v>
      </c>
      <c r="L26" s="9">
        <v>0</v>
      </c>
      <c r="M26" s="10">
        <v>94620</v>
      </c>
      <c r="N26" s="20">
        <f t="shared" si="4"/>
        <v>94620</v>
      </c>
      <c r="O26" s="20">
        <f t="shared" si="5"/>
        <v>94620</v>
      </c>
    </row>
    <row r="27" spans="1:15">
      <c r="A27" s="1" t="s">
        <v>3</v>
      </c>
      <c r="B27" s="16" t="s">
        <v>44</v>
      </c>
      <c r="C27" s="27">
        <v>3500</v>
      </c>
      <c r="D27" s="9">
        <v>2000</v>
      </c>
      <c r="E27" s="9">
        <v>3500</v>
      </c>
      <c r="F27" s="9">
        <v>3500</v>
      </c>
      <c r="G27" s="9">
        <v>3500</v>
      </c>
      <c r="H27" s="9">
        <v>0</v>
      </c>
      <c r="I27" s="9">
        <v>0</v>
      </c>
      <c r="J27" s="66">
        <v>0</v>
      </c>
      <c r="K27" s="79">
        <f t="shared" si="3"/>
        <v>16000</v>
      </c>
      <c r="L27" s="9">
        <v>0</v>
      </c>
      <c r="M27" s="10">
        <v>0</v>
      </c>
      <c r="N27" s="20">
        <f t="shared" si="4"/>
        <v>0</v>
      </c>
      <c r="O27" s="20">
        <f t="shared" si="5"/>
        <v>16000</v>
      </c>
    </row>
    <row r="28" spans="1:15">
      <c r="A28" s="1" t="s">
        <v>3</v>
      </c>
      <c r="B28" s="16" t="s">
        <v>45</v>
      </c>
      <c r="C28" s="27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66">
        <v>0</v>
      </c>
      <c r="K28" s="79">
        <f t="shared" si="3"/>
        <v>0</v>
      </c>
      <c r="L28" s="9">
        <v>0</v>
      </c>
      <c r="M28" s="10">
        <v>8715</v>
      </c>
      <c r="N28" s="20">
        <f t="shared" si="4"/>
        <v>8715</v>
      </c>
      <c r="O28" s="20">
        <f t="shared" si="5"/>
        <v>8715</v>
      </c>
    </row>
    <row r="29" spans="1:15">
      <c r="A29" s="1" t="s">
        <v>3</v>
      </c>
      <c r="B29" s="16" t="s">
        <v>46</v>
      </c>
      <c r="C29" s="27">
        <v>10500</v>
      </c>
      <c r="D29" s="9">
        <v>13500</v>
      </c>
      <c r="E29" s="9">
        <v>13000</v>
      </c>
      <c r="F29" s="9">
        <v>13000</v>
      </c>
      <c r="G29" s="9">
        <v>13000</v>
      </c>
      <c r="H29" s="9">
        <v>8000</v>
      </c>
      <c r="I29" s="9">
        <v>8000</v>
      </c>
      <c r="J29" s="66">
        <v>8000</v>
      </c>
      <c r="K29" s="79">
        <f t="shared" si="3"/>
        <v>87000</v>
      </c>
      <c r="L29" s="9">
        <v>0</v>
      </c>
      <c r="M29" s="10">
        <v>0</v>
      </c>
      <c r="N29" s="20">
        <f t="shared" si="4"/>
        <v>0</v>
      </c>
      <c r="O29" s="20">
        <f t="shared" si="5"/>
        <v>87000</v>
      </c>
    </row>
    <row r="30" spans="1:15">
      <c r="A30" s="1" t="s">
        <v>3</v>
      </c>
      <c r="B30" s="16" t="s">
        <v>47</v>
      </c>
      <c r="C30" s="27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89184</v>
      </c>
      <c r="J30" s="66">
        <v>0</v>
      </c>
      <c r="K30" s="79">
        <f t="shared" si="3"/>
        <v>89184</v>
      </c>
      <c r="L30" s="9">
        <v>0</v>
      </c>
      <c r="M30" s="10">
        <v>0</v>
      </c>
      <c r="N30" s="20">
        <f t="shared" si="4"/>
        <v>0</v>
      </c>
      <c r="O30" s="20">
        <f t="shared" si="5"/>
        <v>89184</v>
      </c>
    </row>
    <row r="31" spans="1:15">
      <c r="A31" s="1" t="s">
        <v>3</v>
      </c>
      <c r="B31" s="16" t="s">
        <v>32</v>
      </c>
      <c r="C31" s="27">
        <v>87604</v>
      </c>
      <c r="D31" s="9">
        <v>64845</v>
      </c>
      <c r="E31" s="9">
        <v>59520</v>
      </c>
      <c r="F31" s="9">
        <v>57660</v>
      </c>
      <c r="G31" s="9">
        <v>50841</v>
      </c>
      <c r="H31" s="9">
        <v>68016</v>
      </c>
      <c r="I31" s="9">
        <v>45344</v>
      </c>
      <c r="J31" s="66">
        <v>61040</v>
      </c>
      <c r="K31" s="79">
        <f t="shared" si="3"/>
        <v>494870</v>
      </c>
      <c r="L31" s="9">
        <v>0</v>
      </c>
      <c r="M31" s="10">
        <v>0</v>
      </c>
      <c r="N31" s="20">
        <f t="shared" si="4"/>
        <v>0</v>
      </c>
      <c r="O31" s="20">
        <f t="shared" si="5"/>
        <v>494870</v>
      </c>
    </row>
    <row r="32" spans="1:15">
      <c r="A32" s="1" t="s">
        <v>3</v>
      </c>
      <c r="B32" s="16" t="s">
        <v>48</v>
      </c>
      <c r="C32" s="27">
        <v>0</v>
      </c>
      <c r="D32" s="9">
        <v>38196</v>
      </c>
      <c r="E32" s="9">
        <v>12054</v>
      </c>
      <c r="F32" s="9">
        <v>10045</v>
      </c>
      <c r="G32" s="9">
        <v>38627</v>
      </c>
      <c r="H32" s="9">
        <v>0</v>
      </c>
      <c r="I32" s="9">
        <v>0</v>
      </c>
      <c r="J32" s="66">
        <v>9415</v>
      </c>
      <c r="K32" s="79">
        <f t="shared" si="3"/>
        <v>108337</v>
      </c>
      <c r="L32" s="9">
        <v>0</v>
      </c>
      <c r="M32" s="10">
        <v>0</v>
      </c>
      <c r="N32" s="20">
        <f t="shared" si="4"/>
        <v>0</v>
      </c>
      <c r="O32" s="20">
        <f t="shared" si="5"/>
        <v>108337</v>
      </c>
    </row>
    <row r="33" spans="1:15">
      <c r="A33" s="1" t="s">
        <v>3</v>
      </c>
      <c r="B33" s="16" t="s">
        <v>49</v>
      </c>
      <c r="C33" s="27">
        <v>0</v>
      </c>
      <c r="D33" s="9">
        <v>0</v>
      </c>
      <c r="E33" s="9">
        <v>0</v>
      </c>
      <c r="F33" s="9">
        <v>18081</v>
      </c>
      <c r="G33" s="9">
        <v>0</v>
      </c>
      <c r="H33" s="9">
        <v>0</v>
      </c>
      <c r="I33" s="9">
        <v>0</v>
      </c>
      <c r="J33" s="66">
        <v>0</v>
      </c>
      <c r="K33" s="79">
        <f t="shared" si="3"/>
        <v>18081</v>
      </c>
      <c r="L33" s="9">
        <v>0</v>
      </c>
      <c r="M33" s="10">
        <v>0</v>
      </c>
      <c r="N33" s="20">
        <f t="shared" si="4"/>
        <v>0</v>
      </c>
      <c r="O33" s="20">
        <f t="shared" si="5"/>
        <v>18081</v>
      </c>
    </row>
    <row r="34" spans="1:15">
      <c r="A34" s="1" t="s">
        <v>3</v>
      </c>
      <c r="B34" s="49" t="s">
        <v>36</v>
      </c>
      <c r="C34" s="50">
        <v>2388</v>
      </c>
      <c r="D34" s="51">
        <v>1572</v>
      </c>
      <c r="E34" s="51">
        <v>1116</v>
      </c>
      <c r="F34" s="51">
        <v>2604</v>
      </c>
      <c r="G34" s="51">
        <v>1508</v>
      </c>
      <c r="H34" s="51">
        <v>1745</v>
      </c>
      <c r="I34" s="51">
        <v>698</v>
      </c>
      <c r="J34" s="67">
        <v>2094</v>
      </c>
      <c r="K34" s="80">
        <f t="shared" si="3"/>
        <v>13725</v>
      </c>
      <c r="L34" s="51">
        <v>0</v>
      </c>
      <c r="M34" s="52">
        <v>0</v>
      </c>
      <c r="N34" s="53">
        <f t="shared" si="4"/>
        <v>0</v>
      </c>
      <c r="O34" s="53">
        <f t="shared" si="5"/>
        <v>13725</v>
      </c>
    </row>
    <row r="35" spans="1:15">
      <c r="A35" s="1" t="s">
        <v>3</v>
      </c>
      <c r="B35" s="54" t="s">
        <v>50</v>
      </c>
      <c r="C35" s="55">
        <v>385992</v>
      </c>
      <c r="D35" s="56">
        <v>367113</v>
      </c>
      <c r="E35" s="56">
        <v>351190</v>
      </c>
      <c r="F35" s="56">
        <v>336890</v>
      </c>
      <c r="G35" s="56">
        <v>342476</v>
      </c>
      <c r="H35" s="56">
        <v>302761</v>
      </c>
      <c r="I35" s="56">
        <v>189858</v>
      </c>
      <c r="J35" s="68">
        <v>305549</v>
      </c>
      <c r="K35" s="81">
        <f t="shared" si="3"/>
        <v>2581829</v>
      </c>
      <c r="L35" s="56">
        <v>420000</v>
      </c>
      <c r="M35" s="57">
        <v>103335</v>
      </c>
      <c r="N35" s="58">
        <f t="shared" si="4"/>
        <v>523335</v>
      </c>
      <c r="O35" s="58">
        <f t="shared" si="5"/>
        <v>3105164</v>
      </c>
    </row>
    <row r="36" spans="1:15">
      <c r="A36" s="1" t="s">
        <v>3</v>
      </c>
      <c r="B36" s="54" t="s">
        <v>51</v>
      </c>
      <c r="C36" s="55">
        <v>5696</v>
      </c>
      <c r="D36" s="56">
        <v>8348</v>
      </c>
      <c r="E36" s="56">
        <v>5438</v>
      </c>
      <c r="F36" s="56">
        <v>3988</v>
      </c>
      <c r="G36" s="56">
        <v>5968</v>
      </c>
      <c r="H36" s="56">
        <v>5154</v>
      </c>
      <c r="I36" s="56">
        <v>3174</v>
      </c>
      <c r="J36" s="68">
        <v>7250</v>
      </c>
      <c r="K36" s="81">
        <f t="shared" si="3"/>
        <v>45016</v>
      </c>
      <c r="L36" s="56">
        <v>14321</v>
      </c>
      <c r="M36" s="57">
        <v>4320</v>
      </c>
      <c r="N36" s="58">
        <f t="shared" si="4"/>
        <v>18641</v>
      </c>
      <c r="O36" s="58">
        <f t="shared" si="5"/>
        <v>63657</v>
      </c>
    </row>
    <row r="37" spans="1:15">
      <c r="A37" s="1" t="s">
        <v>3</v>
      </c>
      <c r="B37" s="54" t="s">
        <v>52</v>
      </c>
      <c r="C37" s="55">
        <v>5696</v>
      </c>
      <c r="D37" s="56">
        <v>8348</v>
      </c>
      <c r="E37" s="56">
        <v>5438</v>
      </c>
      <c r="F37" s="56">
        <v>3988</v>
      </c>
      <c r="G37" s="56">
        <v>5968</v>
      </c>
      <c r="H37" s="56">
        <v>5154</v>
      </c>
      <c r="I37" s="56">
        <v>3174</v>
      </c>
      <c r="J37" s="68">
        <v>7250</v>
      </c>
      <c r="K37" s="81">
        <f t="shared" si="3"/>
        <v>45016</v>
      </c>
      <c r="L37" s="56">
        <v>14321</v>
      </c>
      <c r="M37" s="57">
        <v>4320</v>
      </c>
      <c r="N37" s="58">
        <f t="shared" si="4"/>
        <v>18641</v>
      </c>
      <c r="O37" s="58">
        <f t="shared" si="5"/>
        <v>63657</v>
      </c>
    </row>
    <row r="38" spans="1:15">
      <c r="A38" s="1" t="s">
        <v>3</v>
      </c>
      <c r="B38" s="54" t="s">
        <v>53</v>
      </c>
      <c r="C38" s="55">
        <v>391688</v>
      </c>
      <c r="D38" s="56">
        <v>375461</v>
      </c>
      <c r="E38" s="56">
        <v>356628</v>
      </c>
      <c r="F38" s="56">
        <v>340878</v>
      </c>
      <c r="G38" s="56">
        <v>348444</v>
      </c>
      <c r="H38" s="56">
        <v>307915</v>
      </c>
      <c r="I38" s="56">
        <v>193032</v>
      </c>
      <c r="J38" s="68">
        <v>312799</v>
      </c>
      <c r="K38" s="81">
        <f t="shared" si="3"/>
        <v>2626845</v>
      </c>
      <c r="L38" s="56">
        <v>434321</v>
      </c>
      <c r="M38" s="57">
        <v>107655</v>
      </c>
      <c r="N38" s="58">
        <f t="shared" si="4"/>
        <v>541976</v>
      </c>
      <c r="O38" s="58">
        <f t="shared" si="5"/>
        <v>3168821</v>
      </c>
    </row>
    <row r="39" spans="1:15">
      <c r="A39" s="1" t="s">
        <v>3</v>
      </c>
      <c r="B39" s="30" t="s">
        <v>54</v>
      </c>
      <c r="C39" s="40">
        <v>18360</v>
      </c>
      <c r="D39" s="41">
        <v>19380</v>
      </c>
      <c r="E39" s="41">
        <v>19380</v>
      </c>
      <c r="F39" s="41">
        <v>19380</v>
      </c>
      <c r="G39" s="41">
        <v>19380</v>
      </c>
      <c r="H39" s="41">
        <v>15300</v>
      </c>
      <c r="I39" s="41">
        <v>0</v>
      </c>
      <c r="J39" s="65">
        <v>15300</v>
      </c>
      <c r="K39" s="78">
        <f t="shared" si="3"/>
        <v>126480</v>
      </c>
      <c r="L39" s="41">
        <v>20910</v>
      </c>
      <c r="M39" s="42">
        <v>0</v>
      </c>
      <c r="N39" s="43">
        <f t="shared" si="4"/>
        <v>20910</v>
      </c>
      <c r="O39" s="43">
        <f t="shared" si="5"/>
        <v>147390</v>
      </c>
    </row>
    <row r="40" spans="1:15">
      <c r="A40" s="1" t="s">
        <v>3</v>
      </c>
      <c r="B40" s="16" t="s">
        <v>55</v>
      </c>
      <c r="C40" s="27">
        <v>3240</v>
      </c>
      <c r="D40" s="9">
        <v>3420</v>
      </c>
      <c r="E40" s="9">
        <v>3420</v>
      </c>
      <c r="F40" s="9">
        <v>3420</v>
      </c>
      <c r="G40" s="9">
        <v>3420</v>
      </c>
      <c r="H40" s="9">
        <v>2700</v>
      </c>
      <c r="I40" s="9">
        <v>0</v>
      </c>
      <c r="J40" s="66">
        <v>2700</v>
      </c>
      <c r="K40" s="79">
        <f t="shared" si="3"/>
        <v>22320</v>
      </c>
      <c r="L40" s="9">
        <v>3690</v>
      </c>
      <c r="M40" s="10">
        <v>0</v>
      </c>
      <c r="N40" s="20">
        <f t="shared" si="4"/>
        <v>3690</v>
      </c>
      <c r="O40" s="20">
        <f t="shared" si="5"/>
        <v>26010</v>
      </c>
    </row>
    <row r="41" spans="1:15">
      <c r="A41" s="1" t="s">
        <v>3</v>
      </c>
      <c r="B41" s="16" t="s">
        <v>56</v>
      </c>
      <c r="C41" s="27">
        <v>32940</v>
      </c>
      <c r="D41" s="9">
        <v>34770</v>
      </c>
      <c r="E41" s="9">
        <v>34770</v>
      </c>
      <c r="F41" s="9">
        <v>34770</v>
      </c>
      <c r="G41" s="9">
        <v>34770</v>
      </c>
      <c r="H41" s="9">
        <v>27450</v>
      </c>
      <c r="I41" s="9">
        <v>0</v>
      </c>
      <c r="J41" s="66">
        <v>27450</v>
      </c>
      <c r="K41" s="79">
        <f t="shared" si="3"/>
        <v>226920</v>
      </c>
      <c r="L41" s="9">
        <v>37515</v>
      </c>
      <c r="M41" s="10">
        <v>0</v>
      </c>
      <c r="N41" s="20">
        <f t="shared" si="4"/>
        <v>37515</v>
      </c>
      <c r="O41" s="20">
        <f t="shared" si="5"/>
        <v>264435</v>
      </c>
    </row>
    <row r="42" spans="1:15">
      <c r="A42" s="1" t="s">
        <v>3</v>
      </c>
      <c r="B42" s="49" t="s">
        <v>57</v>
      </c>
      <c r="C42" s="50">
        <v>2154</v>
      </c>
      <c r="D42" s="51">
        <v>2065</v>
      </c>
      <c r="E42" s="51">
        <v>1961</v>
      </c>
      <c r="F42" s="51">
        <v>1875</v>
      </c>
      <c r="G42" s="51">
        <v>1916</v>
      </c>
      <c r="H42" s="51">
        <v>1694</v>
      </c>
      <c r="I42" s="51">
        <v>1062</v>
      </c>
      <c r="J42" s="67">
        <v>1720</v>
      </c>
      <c r="K42" s="80">
        <f t="shared" si="3"/>
        <v>14447</v>
      </c>
      <c r="L42" s="51">
        <v>2389</v>
      </c>
      <c r="M42" s="52">
        <v>592</v>
      </c>
      <c r="N42" s="53">
        <f t="shared" si="4"/>
        <v>2981</v>
      </c>
      <c r="O42" s="53">
        <f t="shared" si="5"/>
        <v>17428</v>
      </c>
    </row>
    <row r="43" spans="1:15">
      <c r="A43" s="1" t="s">
        <v>3</v>
      </c>
      <c r="B43" s="54" t="s">
        <v>58</v>
      </c>
      <c r="C43" s="55">
        <v>56694</v>
      </c>
      <c r="D43" s="56">
        <v>59635</v>
      </c>
      <c r="E43" s="56">
        <v>59531</v>
      </c>
      <c r="F43" s="56">
        <v>59445</v>
      </c>
      <c r="G43" s="56">
        <v>59486</v>
      </c>
      <c r="H43" s="56">
        <v>47144</v>
      </c>
      <c r="I43" s="56">
        <v>1062</v>
      </c>
      <c r="J43" s="68">
        <v>47170</v>
      </c>
      <c r="K43" s="81">
        <f t="shared" si="3"/>
        <v>390167</v>
      </c>
      <c r="L43" s="56">
        <v>64504</v>
      </c>
      <c r="M43" s="57">
        <v>592</v>
      </c>
      <c r="N43" s="58">
        <f t="shared" si="4"/>
        <v>65096</v>
      </c>
      <c r="O43" s="58">
        <f t="shared" si="5"/>
        <v>455263</v>
      </c>
    </row>
    <row r="44" spans="1:15">
      <c r="A44" s="1" t="s">
        <v>3</v>
      </c>
      <c r="B44" s="30" t="s">
        <v>59</v>
      </c>
      <c r="C44" s="40">
        <v>10770</v>
      </c>
      <c r="D44" s="41">
        <v>7030</v>
      </c>
      <c r="E44" s="41">
        <v>4810</v>
      </c>
      <c r="F44" s="41">
        <v>7530</v>
      </c>
      <c r="G44" s="41">
        <v>4500</v>
      </c>
      <c r="H44" s="41">
        <v>5140</v>
      </c>
      <c r="I44" s="41">
        <v>4360</v>
      </c>
      <c r="J44" s="65">
        <v>6850</v>
      </c>
      <c r="K44" s="78">
        <f t="shared" si="3"/>
        <v>50990</v>
      </c>
      <c r="L44" s="41">
        <v>7370</v>
      </c>
      <c r="M44" s="42">
        <v>860</v>
      </c>
      <c r="N44" s="43">
        <f t="shared" si="4"/>
        <v>8230</v>
      </c>
      <c r="O44" s="43">
        <f t="shared" si="5"/>
        <v>59220</v>
      </c>
    </row>
    <row r="45" spans="1:15">
      <c r="A45" s="1" t="s">
        <v>3</v>
      </c>
      <c r="B45" s="49" t="s">
        <v>60</v>
      </c>
      <c r="C45" s="50">
        <v>18100</v>
      </c>
      <c r="D45" s="51">
        <v>15500</v>
      </c>
      <c r="E45" s="51">
        <v>10800</v>
      </c>
      <c r="F45" s="51">
        <v>17100</v>
      </c>
      <c r="G45" s="51">
        <v>3100</v>
      </c>
      <c r="H45" s="51">
        <v>0</v>
      </c>
      <c r="I45" s="51">
        <v>0</v>
      </c>
      <c r="J45" s="67">
        <v>0</v>
      </c>
      <c r="K45" s="80">
        <f t="shared" si="3"/>
        <v>64600</v>
      </c>
      <c r="L45" s="51">
        <v>24000</v>
      </c>
      <c r="M45" s="52">
        <v>2100</v>
      </c>
      <c r="N45" s="53">
        <f t="shared" si="4"/>
        <v>26100</v>
      </c>
      <c r="O45" s="53">
        <f t="shared" si="5"/>
        <v>90700</v>
      </c>
    </row>
    <row r="46" spans="1:15">
      <c r="A46" s="1" t="s">
        <v>3</v>
      </c>
      <c r="B46" s="54" t="s">
        <v>61</v>
      </c>
      <c r="C46" s="55">
        <v>85564</v>
      </c>
      <c r="D46" s="56">
        <v>82165</v>
      </c>
      <c r="E46" s="56">
        <v>75141</v>
      </c>
      <c r="F46" s="56">
        <v>84075</v>
      </c>
      <c r="G46" s="56">
        <v>67086</v>
      </c>
      <c r="H46" s="56">
        <v>52284</v>
      </c>
      <c r="I46" s="56">
        <v>5422</v>
      </c>
      <c r="J46" s="68">
        <v>54020</v>
      </c>
      <c r="K46" s="81">
        <f t="shared" si="3"/>
        <v>505757</v>
      </c>
      <c r="L46" s="56">
        <v>95874</v>
      </c>
      <c r="M46" s="57">
        <v>3552</v>
      </c>
      <c r="N46" s="58">
        <f t="shared" si="4"/>
        <v>99426</v>
      </c>
      <c r="O46" s="58">
        <f t="shared" si="5"/>
        <v>605183</v>
      </c>
    </row>
    <row r="47" spans="1:15">
      <c r="A47" s="1" t="s">
        <v>3</v>
      </c>
      <c r="B47" s="54" t="s">
        <v>62</v>
      </c>
      <c r="C47" s="55">
        <v>329298</v>
      </c>
      <c r="D47" s="56">
        <v>307478</v>
      </c>
      <c r="E47" s="56">
        <v>291659</v>
      </c>
      <c r="F47" s="56">
        <v>277445</v>
      </c>
      <c r="G47" s="56">
        <v>282990</v>
      </c>
      <c r="H47" s="56">
        <v>255617</v>
      </c>
      <c r="I47" s="56">
        <v>188796</v>
      </c>
      <c r="J47" s="68">
        <v>258379</v>
      </c>
      <c r="K47" s="81">
        <f t="shared" si="3"/>
        <v>2191662</v>
      </c>
      <c r="L47" s="56">
        <v>355496</v>
      </c>
      <c r="M47" s="57">
        <v>102743</v>
      </c>
      <c r="N47" s="58">
        <f t="shared" si="4"/>
        <v>458239</v>
      </c>
      <c r="O47" s="58">
        <f t="shared" si="5"/>
        <v>2649901</v>
      </c>
    </row>
    <row r="48" spans="1:15">
      <c r="A48" s="1" t="s">
        <v>3</v>
      </c>
      <c r="B48" s="54" t="s">
        <v>63</v>
      </c>
      <c r="C48" s="55">
        <v>306124</v>
      </c>
      <c r="D48" s="56">
        <v>293296</v>
      </c>
      <c r="E48" s="56">
        <v>281487</v>
      </c>
      <c r="F48" s="56">
        <v>256803</v>
      </c>
      <c r="G48" s="56">
        <v>281358</v>
      </c>
      <c r="H48" s="56">
        <v>255631</v>
      </c>
      <c r="I48" s="56">
        <v>187610</v>
      </c>
      <c r="J48" s="68">
        <v>258779</v>
      </c>
      <c r="K48" s="81">
        <f t="shared" si="3"/>
        <v>2121088</v>
      </c>
      <c r="L48" s="56">
        <v>338447</v>
      </c>
      <c r="M48" s="57">
        <v>104103</v>
      </c>
      <c r="N48" s="58">
        <f t="shared" si="4"/>
        <v>442550</v>
      </c>
      <c r="O48" s="58">
        <f t="shared" si="5"/>
        <v>2563638</v>
      </c>
    </row>
    <row r="49" spans="1:15">
      <c r="A49" s="1" t="s">
        <v>3</v>
      </c>
      <c r="B49" s="54" t="s">
        <v>64</v>
      </c>
      <c r="C49" s="55">
        <v>306124</v>
      </c>
      <c r="D49" s="56">
        <v>293296</v>
      </c>
      <c r="E49" s="56">
        <v>281487</v>
      </c>
      <c r="F49" s="56">
        <v>256803</v>
      </c>
      <c r="G49" s="56">
        <v>281358</v>
      </c>
      <c r="H49" s="56">
        <v>255631</v>
      </c>
      <c r="I49" s="56">
        <v>187610</v>
      </c>
      <c r="J49" s="68">
        <v>258779</v>
      </c>
      <c r="K49" s="81">
        <f t="shared" si="3"/>
        <v>2121088</v>
      </c>
      <c r="L49" s="56">
        <v>338447</v>
      </c>
      <c r="M49" s="57">
        <v>104103</v>
      </c>
      <c r="N49" s="58">
        <f t="shared" si="4"/>
        <v>442550</v>
      </c>
      <c r="O49" s="58">
        <f t="shared" si="5"/>
        <v>2563638</v>
      </c>
    </row>
    <row r="50" spans="1:15">
      <c r="A50" s="1" t="s">
        <v>3</v>
      </c>
      <c r="B50" s="30" t="s">
        <v>65</v>
      </c>
      <c r="C50" s="40">
        <v>0</v>
      </c>
      <c r="D50" s="41">
        <v>1</v>
      </c>
      <c r="E50" s="41">
        <v>2</v>
      </c>
      <c r="F50" s="41">
        <v>0</v>
      </c>
      <c r="G50" s="41">
        <v>2</v>
      </c>
      <c r="H50" s="41">
        <v>1</v>
      </c>
      <c r="I50" s="41">
        <v>0</v>
      </c>
      <c r="J50" s="65">
        <v>0</v>
      </c>
      <c r="K50" s="78"/>
      <c r="L50" s="41">
        <v>2</v>
      </c>
      <c r="M50" s="42">
        <v>0</v>
      </c>
      <c r="N50" s="43"/>
      <c r="O50" s="43"/>
    </row>
    <row r="51" spans="1:15">
      <c r="A51" s="1" t="s">
        <v>3</v>
      </c>
      <c r="B51" s="16" t="s">
        <v>66</v>
      </c>
      <c r="C51" s="28" t="s">
        <v>67</v>
      </c>
      <c r="D51" s="11" t="s">
        <v>67</v>
      </c>
      <c r="E51" s="11" t="s">
        <v>67</v>
      </c>
      <c r="F51" s="11" t="s">
        <v>67</v>
      </c>
      <c r="G51" s="11" t="s">
        <v>67</v>
      </c>
      <c r="H51" s="11" t="s">
        <v>67</v>
      </c>
      <c r="I51" s="11" t="s">
        <v>67</v>
      </c>
      <c r="J51" s="69" t="s">
        <v>67</v>
      </c>
      <c r="K51" s="82"/>
      <c r="L51" s="11" t="s">
        <v>67</v>
      </c>
      <c r="M51" s="12" t="s">
        <v>67</v>
      </c>
      <c r="N51" s="21"/>
      <c r="O51" s="21"/>
    </row>
    <row r="52" spans="1:15" ht="19.5" thickBot="1">
      <c r="A52" s="1" t="s">
        <v>3</v>
      </c>
      <c r="B52" s="17" t="s">
        <v>68</v>
      </c>
      <c r="C52" s="29">
        <v>10770</v>
      </c>
      <c r="D52" s="13">
        <v>7030</v>
      </c>
      <c r="E52" s="13">
        <v>4810</v>
      </c>
      <c r="F52" s="13">
        <v>7530</v>
      </c>
      <c r="G52" s="13">
        <v>4500</v>
      </c>
      <c r="H52" s="13">
        <v>5140</v>
      </c>
      <c r="I52" s="13">
        <v>4360</v>
      </c>
      <c r="J52" s="70">
        <v>6850</v>
      </c>
      <c r="K52" s="83">
        <f>SUM(C52:J52)</f>
        <v>50990</v>
      </c>
      <c r="L52" s="13">
        <v>7370</v>
      </c>
      <c r="M52" s="14">
        <v>860</v>
      </c>
      <c r="N52" s="22">
        <f>SUM(L52:M52)</f>
        <v>8230</v>
      </c>
      <c r="O52" s="22">
        <f>K52+N52</f>
        <v>59220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2025-07-09T02:00:15Z</dcterms:created>
  <dcterms:modified xsi:type="dcterms:W3CDTF">2025-07-09T07:35:33Z</dcterms:modified>
</cp:coreProperties>
</file>