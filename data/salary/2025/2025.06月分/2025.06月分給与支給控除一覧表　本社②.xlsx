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6月分\"/>
    </mc:Choice>
  </mc:AlternateContent>
  <xr:revisionPtr revIDLastSave="0" documentId="13_ncr:1_{6DBA7B7C-A4FC-4B07-B57E-96A9822ADECC}" xr6:coauthVersionLast="47" xr6:coauthVersionMax="47" xr10:uidLastSave="{00000000-0000-0000-0000-000000000000}"/>
  <bookViews>
    <workbookView xWindow="-120" yWindow="-120" windowWidth="20730" windowHeight="11160" xr2:uid="{E18764AF-BAAB-4DEF-ABD7-8367A3A4FC74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2" l="1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0" i="2"/>
  <c r="K9" i="2"/>
  <c r="J33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0" i="2"/>
  <c r="J9" i="2"/>
  <c r="G33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0" i="2"/>
  <c r="G9" i="2"/>
</calcChain>
</file>

<file path=xl/sharedStrings.xml><?xml version="1.0" encoding="utf-8"?>
<sst xmlns="http://schemas.openxmlformats.org/spreadsheetml/2006/main" count="80" uniqueCount="50">
  <si>
    <t>支給控除一覧表</t>
    <phoneticPr fontId="4"/>
  </si>
  <si>
    <t>若林運送株式会社</t>
    <phoneticPr fontId="4"/>
  </si>
  <si>
    <t>2025年 7月 9日 作成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</si>
  <si>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</si>
  <si>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</si>
  <si>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</si>
  <si>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</si>
  <si>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</si>
  <si>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</si>
  <si>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</si>
  <si>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</si>
  <si>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</si>
  <si>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</si>
  <si>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</si>
  <si>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</si>
  <si>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</si>
  <si>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</si>
  <si>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</si>
  <si>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</si>
  <si>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就労時間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</si>
  <si>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</si>
  <si>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</si>
  <si>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</si>
  <si>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</si>
  <si>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</si>
  <si>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</si>
  <si>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</si>
  <si>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</si>
  <si>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</si>
  <si>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</si>
  <si>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</si>
  <si>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</si>
  <si>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</si>
  <si>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</si>
  <si>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</si>
  <si>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</si>
  <si>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</si>
  <si>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</si>
  <si>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</si>
  <si>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</si>
  <si>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</si>
  <si>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</si>
  <si>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</si>
  <si>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</si>
  <si>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</si>
  <si>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2025年 6月度給与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</si>
  <si>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</si>
  <si>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</si>
  <si>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2名</t>
    <rPh sb="1" eb="2">
      <t>メイ</t>
    </rPh>
    <phoneticPr fontId="4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</si>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</sst>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5" xfId="1" applyNumberFormat="1" applyFont="1" applyBorder="1" applyAlignment="1">
      <alignment horizontal="center"/>
    </xf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49" fontId="2" fillId="0" borderId="15" xfId="1" applyNumberFormat="1" applyFont="1" applyBorder="1" applyAlignment="1">
      <alignment horizontal="left"/>
    </xf>
    <xf numFmtId="0" fontId="2" fillId="0" borderId="16" xfId="1" applyFont="1" applyBorder="1"/>
    <xf numFmtId="2" fontId="2" fillId="0" borderId="17" xfId="1" applyNumberFormat="1" applyFont="1" applyBorder="1"/>
    <xf numFmtId="176" fontId="2" fillId="0" borderId="17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3" fontId="2" fillId="0" borderId="10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left"/>
    </xf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0" fontId="2" fillId="0" borderId="16" xfId="1" applyFont="1" applyBorder="1" applyAlignment="1">
      <alignment horizontal="center"/>
    </xf>
  </cellXfs>
  <cellStyles count="2">
    <cellStyle name="標準" xfId="0" builtinId="0"/>
    <cellStyle name="標準 2" xfId="1" xr:uid="{20CE574F-4015-4891-96E6-24012DF83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9F23-91D9-42FF-96D5-329FF98DFC3C}">
  <dimension ref="A1:K3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29" sqref="J29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1" width="9.625" style="2" bestFit="1" customWidth="1"/>
    <col min="12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5" width="13.25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1" width="13.25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7" width="13.25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3" width="13.25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9" width="13.25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5" width="13.25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1" width="13.25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7" width="13.25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3" width="13.25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9" width="13.25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5" width="13.25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1" width="13.25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7" width="13.25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3" width="13.25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9" width="13.25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5" width="13.25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1" width="13.25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7" width="13.25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3" width="13.25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9" width="13.25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5" width="13.25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1" width="13.25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7" width="13.25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3" width="13.25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9" width="13.25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5" width="13.25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1" width="13.25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7" width="13.25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3" width="13.25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9" width="13.25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5" width="13.25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1" width="13.25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7" width="13.25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3" width="13.25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9" width="13.25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5" width="13.25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1" width="13.25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7" width="13.25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3" width="13.25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9" width="13.25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5" width="13.25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1" width="13.25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7" width="13.25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3" width="13.25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9" width="13.25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5" width="13.25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1" width="13.25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7" width="13.25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3" width="13.25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9" width="13.25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5" width="13.25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1" width="13.25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7" width="13.25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3" width="13.25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9" width="13.25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5" width="13.25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1" width="13.25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7" width="13.25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3" width="13.25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9" width="13.25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5" width="13.25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1" width="13.25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45</v>
      </c>
    </row>
    <row r="7" spans="1:11">
      <c r="B7" s="13"/>
      <c r="C7" s="21" t="s">
        <v>4</v>
      </c>
      <c r="D7" s="4" t="s">
        <v>5</v>
      </c>
      <c r="E7" s="4" t="s">
        <v>6</v>
      </c>
      <c r="F7" s="4" t="s">
        <v>7</v>
      </c>
      <c r="G7" s="65" t="s">
        <v>46</v>
      </c>
      <c r="H7" s="4" t="s">
        <v>8</v>
      </c>
      <c r="I7" s="22" t="s">
        <v>9</v>
      </c>
      <c r="J7" s="65" t="s">
        <v>46</v>
      </c>
      <c r="K7" s="16" t="s">
        <v>17</v>
      </c>
    </row>
    <row r="8" spans="1:11" ht="19.5" thickBot="1">
      <c r="A8" s="3"/>
      <c r="B8" s="32" t="s">
        <v>10</v>
      </c>
      <c r="C8" s="33" t="s">
        <v>11</v>
      </c>
      <c r="D8" s="34" t="s">
        <v>12</v>
      </c>
      <c r="E8" s="34" t="s">
        <v>13</v>
      </c>
      <c r="F8" s="34" t="s">
        <v>14</v>
      </c>
      <c r="G8" s="36" t="s">
        <v>47</v>
      </c>
      <c r="H8" s="34" t="s">
        <v>15</v>
      </c>
      <c r="I8" s="35" t="s">
        <v>16</v>
      </c>
      <c r="J8" s="36" t="s">
        <v>48</v>
      </c>
      <c r="K8" s="36" t="s">
        <v>49</v>
      </c>
    </row>
    <row r="9" spans="1:11">
      <c r="A9" s="1" t="s">
        <v>3</v>
      </c>
      <c r="B9" s="27" t="s">
        <v>18</v>
      </c>
      <c r="C9" s="28">
        <v>0</v>
      </c>
      <c r="D9" s="29">
        <v>0</v>
      </c>
      <c r="E9" s="29">
        <v>0</v>
      </c>
      <c r="F9" s="29">
        <v>0</v>
      </c>
      <c r="G9" s="31">
        <f>SUM(C9:F9)</f>
        <v>0</v>
      </c>
      <c r="H9" s="29">
        <v>21</v>
      </c>
      <c r="I9" s="30">
        <v>17</v>
      </c>
      <c r="J9" s="31">
        <f>SUM(H9:I9)</f>
        <v>38</v>
      </c>
      <c r="K9" s="31">
        <f>G9+J9</f>
        <v>38</v>
      </c>
    </row>
    <row r="10" spans="1:11">
      <c r="A10" s="1" t="s">
        <v>3</v>
      </c>
      <c r="B10" s="14" t="s">
        <v>19</v>
      </c>
      <c r="C10" s="24">
        <v>0</v>
      </c>
      <c r="D10" s="7">
        <v>0</v>
      </c>
      <c r="E10" s="7">
        <v>0</v>
      </c>
      <c r="F10" s="7">
        <v>0</v>
      </c>
      <c r="G10" s="18">
        <f>SUM(C10:F10)</f>
        <v>0</v>
      </c>
      <c r="H10" s="7">
        <v>0</v>
      </c>
      <c r="I10" s="8">
        <v>3.5833333333333335</v>
      </c>
      <c r="J10" s="18">
        <f>SUM(H10:I10)</f>
        <v>3.5833333333333335</v>
      </c>
      <c r="K10" s="18">
        <f>G10+J10</f>
        <v>3.5833333333333335</v>
      </c>
    </row>
    <row r="11" spans="1:11">
      <c r="A11" s="1" t="s">
        <v>3</v>
      </c>
      <c r="B11" s="14" t="s">
        <v>20</v>
      </c>
      <c r="C11" s="23">
        <v>0</v>
      </c>
      <c r="D11" s="5">
        <v>0</v>
      </c>
      <c r="E11" s="5">
        <v>0</v>
      </c>
      <c r="F11" s="5">
        <v>0</v>
      </c>
      <c r="G11" s="17"/>
      <c r="H11" s="5">
        <v>40</v>
      </c>
      <c r="I11" s="6">
        <v>38</v>
      </c>
      <c r="J11" s="17"/>
      <c r="K11" s="17"/>
    </row>
    <row r="12" spans="1:11">
      <c r="A12" s="1" t="s">
        <v>3</v>
      </c>
      <c r="B12" s="14" t="s">
        <v>21</v>
      </c>
      <c r="C12" s="25">
        <v>0</v>
      </c>
      <c r="D12" s="9">
        <v>0</v>
      </c>
      <c r="E12" s="9">
        <v>0</v>
      </c>
      <c r="F12" s="9">
        <v>0</v>
      </c>
      <c r="G12" s="19">
        <f t="shared" ref="G12:G31" si="0">SUM(C12:F12)</f>
        <v>0</v>
      </c>
      <c r="H12" s="9">
        <v>390000</v>
      </c>
      <c r="I12" s="10">
        <v>0</v>
      </c>
      <c r="J12" s="19">
        <f t="shared" ref="J12:J31" si="1">SUM(H12:I12)</f>
        <v>390000</v>
      </c>
      <c r="K12" s="19">
        <f t="shared" ref="K12:K31" si="2">G12+J12</f>
        <v>390000</v>
      </c>
    </row>
    <row r="13" spans="1:11">
      <c r="A13" s="1" t="s">
        <v>3</v>
      </c>
      <c r="B13" s="14" t="s">
        <v>22</v>
      </c>
      <c r="C13" s="25">
        <v>0</v>
      </c>
      <c r="D13" s="9">
        <v>0</v>
      </c>
      <c r="E13" s="9">
        <v>0</v>
      </c>
      <c r="F13" s="9">
        <v>0</v>
      </c>
      <c r="G13" s="19">
        <f t="shared" si="0"/>
        <v>0</v>
      </c>
      <c r="H13" s="9">
        <v>50000</v>
      </c>
      <c r="I13" s="10">
        <v>0</v>
      </c>
      <c r="J13" s="19">
        <f t="shared" si="1"/>
        <v>50000</v>
      </c>
      <c r="K13" s="19">
        <f t="shared" si="2"/>
        <v>50000</v>
      </c>
    </row>
    <row r="14" spans="1:11">
      <c r="A14" s="1" t="s">
        <v>3</v>
      </c>
      <c r="B14" s="41" t="s">
        <v>23</v>
      </c>
      <c r="C14" s="42">
        <v>0</v>
      </c>
      <c r="D14" s="43">
        <v>0</v>
      </c>
      <c r="E14" s="43">
        <v>0</v>
      </c>
      <c r="F14" s="43">
        <v>0</v>
      </c>
      <c r="G14" s="45">
        <f t="shared" si="0"/>
        <v>0</v>
      </c>
      <c r="H14" s="43">
        <v>0</v>
      </c>
      <c r="I14" s="44">
        <v>110510</v>
      </c>
      <c r="J14" s="45">
        <f t="shared" si="1"/>
        <v>110510</v>
      </c>
      <c r="K14" s="45">
        <f t="shared" si="2"/>
        <v>110510</v>
      </c>
    </row>
    <row r="15" spans="1:11">
      <c r="A15" s="1" t="s">
        <v>3</v>
      </c>
      <c r="B15" s="46" t="s">
        <v>24</v>
      </c>
      <c r="C15" s="47">
        <v>1000000</v>
      </c>
      <c r="D15" s="48">
        <v>200000</v>
      </c>
      <c r="E15" s="48">
        <v>300000</v>
      </c>
      <c r="F15" s="48">
        <v>100000</v>
      </c>
      <c r="G15" s="50">
        <f t="shared" si="0"/>
        <v>1600000</v>
      </c>
      <c r="H15" s="48">
        <v>0</v>
      </c>
      <c r="I15" s="49">
        <v>0</v>
      </c>
      <c r="J15" s="50">
        <f t="shared" si="1"/>
        <v>0</v>
      </c>
      <c r="K15" s="50">
        <f t="shared" si="2"/>
        <v>1600000</v>
      </c>
    </row>
    <row r="16" spans="1:11">
      <c r="A16" s="1" t="s">
        <v>3</v>
      </c>
      <c r="B16" s="51" t="s">
        <v>25</v>
      </c>
      <c r="C16" s="52">
        <v>1000000</v>
      </c>
      <c r="D16" s="53">
        <v>200000</v>
      </c>
      <c r="E16" s="53">
        <v>300000</v>
      </c>
      <c r="F16" s="53">
        <v>100000</v>
      </c>
      <c r="G16" s="55">
        <f t="shared" si="0"/>
        <v>1600000</v>
      </c>
      <c r="H16" s="53">
        <v>440000</v>
      </c>
      <c r="I16" s="54">
        <v>110510</v>
      </c>
      <c r="J16" s="55">
        <f t="shared" si="1"/>
        <v>550510</v>
      </c>
      <c r="K16" s="55">
        <f t="shared" si="2"/>
        <v>2150510</v>
      </c>
    </row>
    <row r="17" spans="1:11">
      <c r="A17" s="1" t="s">
        <v>3</v>
      </c>
      <c r="B17" s="51" t="s">
        <v>26</v>
      </c>
      <c r="C17" s="52">
        <v>0</v>
      </c>
      <c r="D17" s="53">
        <v>0</v>
      </c>
      <c r="E17" s="53">
        <v>0</v>
      </c>
      <c r="F17" s="53">
        <v>0</v>
      </c>
      <c r="G17" s="55">
        <f t="shared" si="0"/>
        <v>0</v>
      </c>
      <c r="H17" s="53">
        <v>9680</v>
      </c>
      <c r="I17" s="54">
        <v>0</v>
      </c>
      <c r="J17" s="55">
        <f t="shared" si="1"/>
        <v>9680</v>
      </c>
      <c r="K17" s="55">
        <f t="shared" si="2"/>
        <v>9680</v>
      </c>
    </row>
    <row r="18" spans="1:11">
      <c r="A18" s="1" t="s">
        <v>3</v>
      </c>
      <c r="B18" s="51" t="s">
        <v>27</v>
      </c>
      <c r="C18" s="52">
        <v>0</v>
      </c>
      <c r="D18" s="53">
        <v>0</v>
      </c>
      <c r="E18" s="53">
        <v>0</v>
      </c>
      <c r="F18" s="53">
        <v>0</v>
      </c>
      <c r="G18" s="55">
        <f t="shared" si="0"/>
        <v>0</v>
      </c>
      <c r="H18" s="53">
        <v>9680</v>
      </c>
      <c r="I18" s="54">
        <v>0</v>
      </c>
      <c r="J18" s="55">
        <f t="shared" si="1"/>
        <v>9680</v>
      </c>
      <c r="K18" s="55">
        <f t="shared" si="2"/>
        <v>9680</v>
      </c>
    </row>
    <row r="19" spans="1:11">
      <c r="A19" s="1" t="s">
        <v>3</v>
      </c>
      <c r="B19" s="51" t="s">
        <v>28</v>
      </c>
      <c r="C19" s="52">
        <v>1000000</v>
      </c>
      <c r="D19" s="53">
        <v>200000</v>
      </c>
      <c r="E19" s="53">
        <v>300000</v>
      </c>
      <c r="F19" s="53">
        <v>100000</v>
      </c>
      <c r="G19" s="55">
        <f t="shared" si="0"/>
        <v>1600000</v>
      </c>
      <c r="H19" s="53">
        <v>449680</v>
      </c>
      <c r="I19" s="54">
        <v>110510</v>
      </c>
      <c r="J19" s="55">
        <f t="shared" si="1"/>
        <v>560190</v>
      </c>
      <c r="K19" s="55">
        <f t="shared" si="2"/>
        <v>2160190</v>
      </c>
    </row>
    <row r="20" spans="1:11">
      <c r="A20" s="1" t="s">
        <v>3</v>
      </c>
      <c r="B20" s="27" t="s">
        <v>29</v>
      </c>
      <c r="C20" s="37">
        <v>0</v>
      </c>
      <c r="D20" s="38">
        <v>0</v>
      </c>
      <c r="E20" s="38">
        <v>0</v>
      </c>
      <c r="F20" s="38">
        <v>0</v>
      </c>
      <c r="G20" s="40">
        <f t="shared" si="0"/>
        <v>0</v>
      </c>
      <c r="H20" s="38">
        <v>22440</v>
      </c>
      <c r="I20" s="39">
        <v>0</v>
      </c>
      <c r="J20" s="40">
        <f t="shared" si="1"/>
        <v>22440</v>
      </c>
      <c r="K20" s="40">
        <f t="shared" si="2"/>
        <v>22440</v>
      </c>
    </row>
    <row r="21" spans="1:11">
      <c r="A21" s="1" t="s">
        <v>3</v>
      </c>
      <c r="B21" s="14" t="s">
        <v>30</v>
      </c>
      <c r="C21" s="25">
        <v>0</v>
      </c>
      <c r="D21" s="9">
        <v>0</v>
      </c>
      <c r="E21" s="9">
        <v>0</v>
      </c>
      <c r="F21" s="9">
        <v>0</v>
      </c>
      <c r="G21" s="19">
        <f t="shared" si="0"/>
        <v>0</v>
      </c>
      <c r="H21" s="9">
        <v>3960</v>
      </c>
      <c r="I21" s="10">
        <v>0</v>
      </c>
      <c r="J21" s="19">
        <f t="shared" si="1"/>
        <v>3960</v>
      </c>
      <c r="K21" s="19">
        <f t="shared" si="2"/>
        <v>3960</v>
      </c>
    </row>
    <row r="22" spans="1:11">
      <c r="A22" s="1" t="s">
        <v>3</v>
      </c>
      <c r="B22" s="14" t="s">
        <v>31</v>
      </c>
      <c r="C22" s="25">
        <v>0</v>
      </c>
      <c r="D22" s="9">
        <v>0</v>
      </c>
      <c r="E22" s="9">
        <v>0</v>
      </c>
      <c r="F22" s="9">
        <v>0</v>
      </c>
      <c r="G22" s="19">
        <f t="shared" si="0"/>
        <v>0</v>
      </c>
      <c r="H22" s="9">
        <v>40260</v>
      </c>
      <c r="I22" s="10">
        <v>0</v>
      </c>
      <c r="J22" s="19">
        <f t="shared" si="1"/>
        <v>40260</v>
      </c>
      <c r="K22" s="19">
        <f t="shared" si="2"/>
        <v>40260</v>
      </c>
    </row>
    <row r="23" spans="1:11">
      <c r="A23" s="1" t="s">
        <v>3</v>
      </c>
      <c r="B23" s="56" t="s">
        <v>32</v>
      </c>
      <c r="C23" s="57">
        <v>0</v>
      </c>
      <c r="D23" s="58">
        <v>0</v>
      </c>
      <c r="E23" s="58">
        <v>0</v>
      </c>
      <c r="F23" s="58">
        <v>0</v>
      </c>
      <c r="G23" s="60">
        <f t="shared" si="0"/>
        <v>0</v>
      </c>
      <c r="H23" s="58">
        <v>2473</v>
      </c>
      <c r="I23" s="59">
        <v>608</v>
      </c>
      <c r="J23" s="60">
        <f t="shared" si="1"/>
        <v>3081</v>
      </c>
      <c r="K23" s="60">
        <f t="shared" si="2"/>
        <v>3081</v>
      </c>
    </row>
    <row r="24" spans="1:11">
      <c r="A24" s="1" t="s">
        <v>3</v>
      </c>
      <c r="B24" s="51" t="s">
        <v>33</v>
      </c>
      <c r="C24" s="52">
        <v>0</v>
      </c>
      <c r="D24" s="53">
        <v>0</v>
      </c>
      <c r="E24" s="53">
        <v>0</v>
      </c>
      <c r="F24" s="53">
        <v>0</v>
      </c>
      <c r="G24" s="55">
        <f t="shared" si="0"/>
        <v>0</v>
      </c>
      <c r="H24" s="53">
        <v>69133</v>
      </c>
      <c r="I24" s="54">
        <v>608</v>
      </c>
      <c r="J24" s="55">
        <f t="shared" si="1"/>
        <v>69741</v>
      </c>
      <c r="K24" s="55">
        <f t="shared" si="2"/>
        <v>69741</v>
      </c>
    </row>
    <row r="25" spans="1:11">
      <c r="A25" s="1" t="s">
        <v>3</v>
      </c>
      <c r="B25" s="27" t="s">
        <v>34</v>
      </c>
      <c r="C25" s="37">
        <v>365984</v>
      </c>
      <c r="D25" s="38">
        <v>4760</v>
      </c>
      <c r="E25" s="38">
        <v>53700</v>
      </c>
      <c r="F25" s="38">
        <v>3600</v>
      </c>
      <c r="G25" s="40">
        <f t="shared" si="0"/>
        <v>428044</v>
      </c>
      <c r="H25" s="38">
        <v>14170</v>
      </c>
      <c r="I25" s="39">
        <v>1230</v>
      </c>
      <c r="J25" s="40">
        <f t="shared" si="1"/>
        <v>15400</v>
      </c>
      <c r="K25" s="40">
        <f t="shared" si="2"/>
        <v>443444</v>
      </c>
    </row>
    <row r="26" spans="1:11">
      <c r="A26" s="1" t="s">
        <v>3</v>
      </c>
      <c r="B26" s="56" t="s">
        <v>35</v>
      </c>
      <c r="C26" s="57">
        <v>0</v>
      </c>
      <c r="D26" s="58">
        <v>1800</v>
      </c>
      <c r="E26" s="58">
        <v>0</v>
      </c>
      <c r="F26" s="58">
        <v>0</v>
      </c>
      <c r="G26" s="60">
        <f t="shared" si="0"/>
        <v>1800</v>
      </c>
      <c r="H26" s="58">
        <v>18900</v>
      </c>
      <c r="I26" s="59">
        <v>2300</v>
      </c>
      <c r="J26" s="60">
        <f t="shared" si="1"/>
        <v>21200</v>
      </c>
      <c r="K26" s="60">
        <f t="shared" si="2"/>
        <v>23000</v>
      </c>
    </row>
    <row r="27" spans="1:11">
      <c r="A27" s="1" t="s">
        <v>3</v>
      </c>
      <c r="B27" s="51" t="s">
        <v>36</v>
      </c>
      <c r="C27" s="52">
        <v>365984</v>
      </c>
      <c r="D27" s="53">
        <v>6560</v>
      </c>
      <c r="E27" s="53">
        <v>53700</v>
      </c>
      <c r="F27" s="53">
        <v>3600</v>
      </c>
      <c r="G27" s="55">
        <f t="shared" si="0"/>
        <v>429844</v>
      </c>
      <c r="H27" s="53">
        <v>102203</v>
      </c>
      <c r="I27" s="54">
        <v>4138</v>
      </c>
      <c r="J27" s="55">
        <f t="shared" si="1"/>
        <v>106341</v>
      </c>
      <c r="K27" s="55">
        <f t="shared" si="2"/>
        <v>536185</v>
      </c>
    </row>
    <row r="28" spans="1:11">
      <c r="A28" s="1" t="s">
        <v>3</v>
      </c>
      <c r="B28" s="51" t="s">
        <v>37</v>
      </c>
      <c r="C28" s="52">
        <v>1000000</v>
      </c>
      <c r="D28" s="53">
        <v>200000</v>
      </c>
      <c r="E28" s="53">
        <v>300000</v>
      </c>
      <c r="F28" s="53">
        <v>100000</v>
      </c>
      <c r="G28" s="55">
        <f t="shared" si="0"/>
        <v>1600000</v>
      </c>
      <c r="H28" s="53">
        <v>370867</v>
      </c>
      <c r="I28" s="54">
        <v>109902</v>
      </c>
      <c r="J28" s="55">
        <f t="shared" si="1"/>
        <v>480769</v>
      </c>
      <c r="K28" s="55">
        <f t="shared" si="2"/>
        <v>2080769</v>
      </c>
    </row>
    <row r="29" spans="1:11">
      <c r="A29" s="1" t="s">
        <v>3</v>
      </c>
      <c r="B29" s="51" t="s">
        <v>38</v>
      </c>
      <c r="C29" s="52">
        <v>634016</v>
      </c>
      <c r="D29" s="53">
        <v>193440</v>
      </c>
      <c r="E29" s="53">
        <v>246300</v>
      </c>
      <c r="F29" s="53">
        <v>96400</v>
      </c>
      <c r="G29" s="55">
        <f t="shared" si="0"/>
        <v>1170156</v>
      </c>
      <c r="H29" s="53">
        <v>347477</v>
      </c>
      <c r="I29" s="54">
        <v>106372</v>
      </c>
      <c r="J29" s="55">
        <f t="shared" si="1"/>
        <v>453849</v>
      </c>
      <c r="K29" s="55">
        <f t="shared" si="2"/>
        <v>1624005</v>
      </c>
    </row>
    <row r="30" spans="1:11">
      <c r="A30" s="1" t="s">
        <v>3</v>
      </c>
      <c r="B30" s="51" t="s">
        <v>39</v>
      </c>
      <c r="C30" s="52">
        <v>0</v>
      </c>
      <c r="D30" s="53">
        <v>193440</v>
      </c>
      <c r="E30" s="53">
        <v>0</v>
      </c>
      <c r="F30" s="53">
        <v>0</v>
      </c>
      <c r="G30" s="55">
        <f t="shared" si="0"/>
        <v>193440</v>
      </c>
      <c r="H30" s="53">
        <v>0</v>
      </c>
      <c r="I30" s="54">
        <v>0</v>
      </c>
      <c r="J30" s="55">
        <f t="shared" si="1"/>
        <v>0</v>
      </c>
      <c r="K30" s="55">
        <f t="shared" si="2"/>
        <v>193440</v>
      </c>
    </row>
    <row r="31" spans="1:11">
      <c r="A31" s="1" t="s">
        <v>3</v>
      </c>
      <c r="B31" s="51" t="s">
        <v>40</v>
      </c>
      <c r="C31" s="52">
        <v>634016</v>
      </c>
      <c r="D31" s="53">
        <v>0</v>
      </c>
      <c r="E31" s="53">
        <v>246300</v>
      </c>
      <c r="F31" s="53">
        <v>96400</v>
      </c>
      <c r="G31" s="55">
        <f t="shared" si="0"/>
        <v>976716</v>
      </c>
      <c r="H31" s="53">
        <v>347477</v>
      </c>
      <c r="I31" s="54">
        <v>106372</v>
      </c>
      <c r="J31" s="55">
        <f t="shared" si="1"/>
        <v>453849</v>
      </c>
      <c r="K31" s="55">
        <f t="shared" si="2"/>
        <v>1430565</v>
      </c>
    </row>
    <row r="32" spans="1:11">
      <c r="A32" s="1" t="s">
        <v>3</v>
      </c>
      <c r="B32" s="27" t="s">
        <v>41</v>
      </c>
      <c r="C32" s="61" t="s">
        <v>42</v>
      </c>
      <c r="D32" s="62" t="s">
        <v>43</v>
      </c>
      <c r="E32" s="62" t="s">
        <v>42</v>
      </c>
      <c r="F32" s="62" t="s">
        <v>42</v>
      </c>
      <c r="G32" s="64"/>
      <c r="H32" s="62" t="s">
        <v>43</v>
      </c>
      <c r="I32" s="63" t="s">
        <v>43</v>
      </c>
      <c r="J32" s="64"/>
      <c r="K32" s="64"/>
    </row>
    <row r="33" spans="1:11" ht="19.5" thickBot="1">
      <c r="A33" s="1" t="s">
        <v>3</v>
      </c>
      <c r="B33" s="15" t="s">
        <v>44</v>
      </c>
      <c r="C33" s="26">
        <v>365984</v>
      </c>
      <c r="D33" s="11">
        <v>4760</v>
      </c>
      <c r="E33" s="11">
        <v>53700</v>
      </c>
      <c r="F33" s="11">
        <v>3600</v>
      </c>
      <c r="G33" s="20">
        <f>SUM(C33:F33)</f>
        <v>428044</v>
      </c>
      <c r="H33" s="11">
        <v>14170</v>
      </c>
      <c r="I33" s="12">
        <v>1230</v>
      </c>
      <c r="J33" s="20">
        <f>SUM(H33:I33)</f>
        <v>15400</v>
      </c>
      <c r="K33" s="20">
        <f>G33+J33</f>
        <v>443444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2025-07-09T01:45:36Z</dcterms:created>
  <dcterms:modified xsi:type="dcterms:W3CDTF">2025-07-09T06:22:34Z</dcterms:modified>
</cp:coreProperties>
</file>