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2月分\"/>
    </mc:Choice>
  </mc:AlternateContent>
  <xr:revisionPtr revIDLastSave="0" documentId="13_ncr:1_{1C9A17B6-AE11-4319-BAE4-8D944D1AFC6D}" xr6:coauthVersionLast="47" xr6:coauthVersionMax="47" xr10:uidLastSave="{00000000-0000-0000-0000-000000000000}"/>
  <bookViews>
    <workbookView xWindow="-120" yWindow="-120" windowWidth="20730" windowHeight="11040" xr2:uid="{520F75DF-3DB1-46B7-840F-564D01A50566}"/>
  </bookViews>
  <sheets>
    <sheet name="2025年 2月度給与 (2)" sheetId="3" r:id="rId1"/>
  </sheets>
  <definedNames>
    <definedName name="_xlnm.Print_Area" localSheetId="0">'2025年 2月度給与 (2)'!$A$1:$I$39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3" l="1"/>
  <c r="I7" i="3"/>
  <c r="I8" i="3"/>
  <c r="I9" i="3"/>
  <c r="I19" i="3"/>
  <c r="I20" i="3"/>
  <c r="I21" i="3"/>
  <c r="I22" i="3"/>
  <c r="I31" i="3"/>
  <c r="I32" i="3"/>
  <c r="I33" i="3"/>
  <c r="I34" i="3"/>
  <c r="H6" i="3"/>
  <c r="H7" i="3"/>
  <c r="H8" i="3"/>
  <c r="H9" i="3"/>
  <c r="H10" i="3"/>
  <c r="I10" i="3" s="1"/>
  <c r="H12" i="3"/>
  <c r="I12" i="3" s="1"/>
  <c r="H13" i="3"/>
  <c r="I13" i="3" s="1"/>
  <c r="H14" i="3"/>
  <c r="I14" i="3" s="1"/>
  <c r="H15" i="3"/>
  <c r="H16" i="3"/>
  <c r="H17" i="3"/>
  <c r="H18" i="3"/>
  <c r="H19" i="3"/>
  <c r="H20" i="3"/>
  <c r="H21" i="3"/>
  <c r="H22" i="3"/>
  <c r="H23" i="3"/>
  <c r="I23" i="3" s="1"/>
  <c r="H24" i="3"/>
  <c r="I24" i="3" s="1"/>
  <c r="H25" i="3"/>
  <c r="I25" i="3" s="1"/>
  <c r="H26" i="3"/>
  <c r="I26" i="3" s="1"/>
  <c r="H27" i="3"/>
  <c r="H28" i="3"/>
  <c r="H29" i="3"/>
  <c r="H30" i="3"/>
  <c r="H31" i="3"/>
  <c r="H32" i="3"/>
  <c r="H33" i="3"/>
  <c r="H34" i="3"/>
  <c r="H35" i="3"/>
  <c r="I35" i="3" s="1"/>
  <c r="H36" i="3"/>
  <c r="I36" i="3" s="1"/>
  <c r="H39" i="3"/>
  <c r="I39" i="3" s="1"/>
  <c r="H5" i="3"/>
  <c r="I5" i="3" s="1"/>
  <c r="D6" i="3"/>
  <c r="D7" i="3"/>
  <c r="D8" i="3"/>
  <c r="D9" i="3"/>
  <c r="D10" i="3"/>
  <c r="D12" i="3"/>
  <c r="D13" i="3"/>
  <c r="D14" i="3"/>
  <c r="D15" i="3"/>
  <c r="I15" i="3" s="1"/>
  <c r="D16" i="3"/>
  <c r="I16" i="3" s="1"/>
  <c r="D17" i="3"/>
  <c r="I17" i="3" s="1"/>
  <c r="D18" i="3"/>
  <c r="I18" i="3" s="1"/>
  <c r="D19" i="3"/>
  <c r="D20" i="3"/>
  <c r="D21" i="3"/>
  <c r="D22" i="3"/>
  <c r="D23" i="3"/>
  <c r="D24" i="3"/>
  <c r="D25" i="3"/>
  <c r="D26" i="3"/>
  <c r="D27" i="3"/>
  <c r="I27" i="3" s="1"/>
  <c r="D28" i="3"/>
  <c r="I28" i="3" s="1"/>
  <c r="D29" i="3"/>
  <c r="I29" i="3" s="1"/>
  <c r="D30" i="3"/>
  <c r="I30" i="3" s="1"/>
  <c r="D31" i="3"/>
  <c r="D32" i="3"/>
  <c r="D33" i="3"/>
  <c r="D34" i="3"/>
  <c r="D35" i="3"/>
  <c r="D36" i="3"/>
  <c r="D39" i="3"/>
  <c r="D5" i="3"/>
</calcChain>
</file>

<file path=xl/sharedStrings.xml><?xml version="1.0" encoding="utf-8"?>
<sst xmlns="http://schemas.openxmlformats.org/spreadsheetml/2006/main" count="91" uniqueCount="51">
  <si>
    <t>支給控除一覧表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</si>
  <si>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</si>
  <si>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</si>
  <si>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</si>
  <si>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</si>
  <si>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</si>
  <si>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</si>
  <si>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</si>
  <si>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</si>
  <si>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</si>
  <si>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</si>
  <si>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</si>
  <si>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</si>
  <si>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</si>
  <si>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</si>
  <si>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</si>
  <si>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</si>
  <si>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</si>
  <si>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</si>
  <si>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</si>
  <si>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</si>
  <si>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</si>
  <si>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</si>
  <si>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</si>
  <si>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</si>
  <si>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</si>
  <si>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</si>
  <si>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</si>
  <si>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</si>
  <si>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</si>
  <si>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</si>
  <si>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</si>
  <si>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</si>
  <si>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</si>
  <si>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</si>
  <si>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</si>
  <si>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</si>
  <si>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</si>
  <si>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</si>
  <si>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</si>
  <si>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</si>
  <si>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</si>
  <si>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</si>
  <si>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</si>
  <si>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</si>
  <si>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</si>
  <si>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 2月度給与</t>
    <phoneticPr fontId="4"/>
  </si>
  <si>
    <t>小計</t>
    <rPh sb="0" eb="2">
      <t>ショウケイ</t>
    </rPh>
    <phoneticPr fontId="3"/>
  </si>
  <si>
    <t>１名</t>
    <rPh sb="1" eb="2">
      <t>メイ</t>
    </rPh>
    <phoneticPr fontId="3"/>
  </si>
  <si>
    <t>３名</t>
    <rPh sb="1" eb="2">
      <t>メイ</t>
    </rPh>
    <phoneticPr fontId="3"/>
  </si>
  <si>
    <t>４名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</si>
</sst>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0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176" fontId="2" fillId="0" borderId="14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5" xfId="1" applyNumberFormat="1" applyFont="1" applyBorder="1" applyAlignment="1">
      <alignment horizontal="left"/>
    </xf>
    <xf numFmtId="2" fontId="2" fillId="0" borderId="16" xfId="1" applyNumberFormat="1" applyFont="1" applyBorder="1"/>
    <xf numFmtId="2" fontId="2" fillId="0" borderId="17" xfId="1" applyNumberFormat="1" applyFont="1" applyBorder="1"/>
    <xf numFmtId="2" fontId="2" fillId="0" borderId="18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49" fontId="2" fillId="0" borderId="23" xfId="1" applyNumberFormat="1" applyFont="1" applyBorder="1" applyAlignment="1">
      <alignment horizontal="left"/>
    </xf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0" fontId="2" fillId="0" borderId="5" xfId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6" xfId="1" applyNumberFormat="1" applyFont="1" applyBorder="1"/>
    <xf numFmtId="3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49" fontId="2" fillId="0" borderId="39" xfId="1" applyNumberFormat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176" fontId="2" fillId="0" borderId="42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3" xfId="1" applyNumberFormat="1" applyFont="1" applyBorder="1"/>
    <xf numFmtId="3" fontId="2" fillId="0" borderId="39" xfId="1" applyNumberFormat="1" applyFont="1" applyBorder="1"/>
  </cellXfs>
  <cellStyles count="2">
    <cellStyle name="標準" xfId="0" builtinId="0"/>
    <cellStyle name="標準 2" xfId="1" xr:uid="{5DEC9523-A33A-4A62-B31A-C00EDE81D4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AD69A-108F-458C-9E8C-1ECF8C2E0B6B}">
  <sheetPr>
    <pageSetUpPr fitToPage="1"/>
  </sheetPr>
  <dimension ref="A1:I3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4" sqref="B4"/>
    </sheetView>
  </sheetViews>
  <sheetFormatPr defaultRowHeight="18.75"/>
  <cols>
    <col min="1" max="1" width="2.375" style="2" customWidth="1"/>
    <col min="2" max="2" width="13.25" style="2" bestFit="1" customWidth="1"/>
    <col min="3" max="9" width="12.125" style="2" customWidth="1"/>
    <col min="10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4" width="9.625" style="2" bestFit="1" customWidth="1"/>
    <col min="265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0" width="9.625" style="2" bestFit="1" customWidth="1"/>
    <col min="521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6" width="9.625" style="2" bestFit="1" customWidth="1"/>
    <col min="777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2" width="9.625" style="2" bestFit="1" customWidth="1"/>
    <col min="1033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88" width="9.625" style="2" bestFit="1" customWidth="1"/>
    <col min="1289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4" width="9.625" style="2" bestFit="1" customWidth="1"/>
    <col min="1545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0" width="9.625" style="2" bestFit="1" customWidth="1"/>
    <col min="1801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6" width="9.625" style="2" bestFit="1" customWidth="1"/>
    <col min="2057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2" width="9.625" style="2" bestFit="1" customWidth="1"/>
    <col min="2313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68" width="9.625" style="2" bestFit="1" customWidth="1"/>
    <col min="2569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4" width="9.625" style="2" bestFit="1" customWidth="1"/>
    <col min="2825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0" width="9.625" style="2" bestFit="1" customWidth="1"/>
    <col min="3081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6" width="9.625" style="2" bestFit="1" customWidth="1"/>
    <col min="3337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2" width="9.625" style="2" bestFit="1" customWidth="1"/>
    <col min="3593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48" width="9.625" style="2" bestFit="1" customWidth="1"/>
    <col min="3849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4" width="9.625" style="2" bestFit="1" customWidth="1"/>
    <col min="4105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0" width="9.625" style="2" bestFit="1" customWidth="1"/>
    <col min="4361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6" width="9.625" style="2" bestFit="1" customWidth="1"/>
    <col min="4617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2" width="9.625" style="2" bestFit="1" customWidth="1"/>
    <col min="4873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28" width="9.625" style="2" bestFit="1" customWidth="1"/>
    <col min="5129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4" width="9.625" style="2" bestFit="1" customWidth="1"/>
    <col min="5385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0" width="9.625" style="2" bestFit="1" customWidth="1"/>
    <col min="5641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6" width="9.625" style="2" bestFit="1" customWidth="1"/>
    <col min="5897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2" width="9.625" style="2" bestFit="1" customWidth="1"/>
    <col min="6153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08" width="9.625" style="2" bestFit="1" customWidth="1"/>
    <col min="6409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4" width="9.625" style="2" bestFit="1" customWidth="1"/>
    <col min="6665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0" width="9.625" style="2" bestFit="1" customWidth="1"/>
    <col min="6921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6" width="9.625" style="2" bestFit="1" customWidth="1"/>
    <col min="7177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2" width="9.625" style="2" bestFit="1" customWidth="1"/>
    <col min="7433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88" width="9.625" style="2" bestFit="1" customWidth="1"/>
    <col min="7689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4" width="9.625" style="2" bestFit="1" customWidth="1"/>
    <col min="7945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0" width="9.625" style="2" bestFit="1" customWidth="1"/>
    <col min="8201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6" width="9.625" style="2" bestFit="1" customWidth="1"/>
    <col min="8457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2" width="9.625" style="2" bestFit="1" customWidth="1"/>
    <col min="8713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68" width="9.625" style="2" bestFit="1" customWidth="1"/>
    <col min="8969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4" width="9.625" style="2" bestFit="1" customWidth="1"/>
    <col min="9225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0" width="9.625" style="2" bestFit="1" customWidth="1"/>
    <col min="9481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6" width="9.625" style="2" bestFit="1" customWidth="1"/>
    <col min="9737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2" width="9.625" style="2" bestFit="1" customWidth="1"/>
    <col min="9993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48" width="9.625" style="2" bestFit="1" customWidth="1"/>
    <col min="10249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4" width="9.625" style="2" bestFit="1" customWidth="1"/>
    <col min="10505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0" width="9.625" style="2" bestFit="1" customWidth="1"/>
    <col min="10761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6" width="9.625" style="2" bestFit="1" customWidth="1"/>
    <col min="11017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2" width="9.625" style="2" bestFit="1" customWidth="1"/>
    <col min="11273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28" width="9.625" style="2" bestFit="1" customWidth="1"/>
    <col min="11529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4" width="9.625" style="2" bestFit="1" customWidth="1"/>
    <col min="11785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0" width="9.625" style="2" bestFit="1" customWidth="1"/>
    <col min="12041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6" width="9.625" style="2" bestFit="1" customWidth="1"/>
    <col min="12297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2" width="9.625" style="2" bestFit="1" customWidth="1"/>
    <col min="12553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08" width="9.625" style="2" bestFit="1" customWidth="1"/>
    <col min="12809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4" width="9.625" style="2" bestFit="1" customWidth="1"/>
    <col min="13065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0" width="9.625" style="2" bestFit="1" customWidth="1"/>
    <col min="13321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6" width="9.625" style="2" bestFit="1" customWidth="1"/>
    <col min="13577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2" width="9.625" style="2" bestFit="1" customWidth="1"/>
    <col min="13833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88" width="9.625" style="2" bestFit="1" customWidth="1"/>
    <col min="14089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4" width="9.625" style="2" bestFit="1" customWidth="1"/>
    <col min="14345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0" width="9.625" style="2" bestFit="1" customWidth="1"/>
    <col min="14601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6" width="9.625" style="2" bestFit="1" customWidth="1"/>
    <col min="14857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2" width="9.625" style="2" bestFit="1" customWidth="1"/>
    <col min="15113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68" width="9.625" style="2" bestFit="1" customWidth="1"/>
    <col min="15369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4" width="9.625" style="2" bestFit="1" customWidth="1"/>
    <col min="15625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0" width="9.625" style="2" bestFit="1" customWidth="1"/>
    <col min="15881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6" width="9.625" style="2" bestFit="1" customWidth="1"/>
    <col min="16137" max="16384" width="9" style="2"/>
  </cols>
  <sheetData>
    <row r="1" spans="1:9">
      <c r="A1" s="1" t="s">
        <v>0</v>
      </c>
    </row>
    <row r="2" spans="1:9" ht="19.5" thickBot="1">
      <c r="A2" s="1" t="s">
        <v>46</v>
      </c>
    </row>
    <row r="3" spans="1:9">
      <c r="B3" s="5"/>
      <c r="C3" s="67" t="s">
        <v>4</v>
      </c>
      <c r="D3" s="54" t="s">
        <v>47</v>
      </c>
      <c r="E3" s="8" t="s">
        <v>2</v>
      </c>
      <c r="F3" s="9" t="s">
        <v>3</v>
      </c>
      <c r="G3" s="10" t="s">
        <v>5</v>
      </c>
      <c r="H3" s="51" t="s">
        <v>47</v>
      </c>
      <c r="I3" s="53" t="s">
        <v>11</v>
      </c>
    </row>
    <row r="4" spans="1:9" ht="19.5" thickBot="1">
      <c r="B4" s="4" t="s">
        <v>6</v>
      </c>
      <c r="C4" s="68" t="s">
        <v>9</v>
      </c>
      <c r="D4" s="55" t="s">
        <v>48</v>
      </c>
      <c r="E4" s="11" t="s">
        <v>7</v>
      </c>
      <c r="F4" s="12" t="s">
        <v>8</v>
      </c>
      <c r="G4" s="13" t="s">
        <v>10</v>
      </c>
      <c r="H4" s="52" t="s">
        <v>49</v>
      </c>
      <c r="I4" s="3" t="s">
        <v>50</v>
      </c>
    </row>
    <row r="5" spans="1:9">
      <c r="A5" s="1" t="s">
        <v>1</v>
      </c>
      <c r="B5" s="41" t="s">
        <v>12</v>
      </c>
      <c r="C5" s="69">
        <v>17</v>
      </c>
      <c r="D5" s="56">
        <f>SUM(C5)</f>
        <v>17</v>
      </c>
      <c r="E5" s="42">
        <v>18</v>
      </c>
      <c r="F5" s="43">
        <v>18</v>
      </c>
      <c r="G5" s="44">
        <v>18</v>
      </c>
      <c r="H5" s="44">
        <f>SUM(E5:G5)</f>
        <v>54</v>
      </c>
      <c r="I5" s="44">
        <f>SUM(H5,D5)</f>
        <v>71</v>
      </c>
    </row>
    <row r="6" spans="1:9">
      <c r="A6" s="1" t="s">
        <v>1</v>
      </c>
      <c r="B6" s="34" t="s">
        <v>13</v>
      </c>
      <c r="C6" s="70">
        <v>0</v>
      </c>
      <c r="D6" s="57">
        <f t="shared" ref="D6:D39" si="0">SUM(C6)</f>
        <v>0</v>
      </c>
      <c r="E6" s="45">
        <v>1</v>
      </c>
      <c r="F6" s="46">
        <v>1</v>
      </c>
      <c r="G6" s="47">
        <v>1</v>
      </c>
      <c r="H6" s="47">
        <f t="shared" ref="H6:H39" si="1">SUM(E6:G6)</f>
        <v>3</v>
      </c>
      <c r="I6" s="47">
        <f t="shared" ref="I6:I39" si="2">SUM(H6,D6)</f>
        <v>3</v>
      </c>
    </row>
    <row r="7" spans="1:9">
      <c r="A7" s="1" t="s">
        <v>1</v>
      </c>
      <c r="B7" s="34" t="s">
        <v>14</v>
      </c>
      <c r="C7" s="70">
        <v>1.5</v>
      </c>
      <c r="D7" s="57">
        <f t="shared" si="0"/>
        <v>1.5</v>
      </c>
      <c r="E7" s="45">
        <v>0</v>
      </c>
      <c r="F7" s="46">
        <v>0</v>
      </c>
      <c r="G7" s="47">
        <v>0</v>
      </c>
      <c r="H7" s="47">
        <f t="shared" si="1"/>
        <v>0</v>
      </c>
      <c r="I7" s="47">
        <f t="shared" si="2"/>
        <v>1.5</v>
      </c>
    </row>
    <row r="8" spans="1:9">
      <c r="A8" s="1" t="s">
        <v>1</v>
      </c>
      <c r="B8" s="34" t="s">
        <v>15</v>
      </c>
      <c r="C8" s="71">
        <v>0</v>
      </c>
      <c r="D8" s="58">
        <f t="shared" si="0"/>
        <v>0</v>
      </c>
      <c r="E8" s="48">
        <v>1.4583333333333333</v>
      </c>
      <c r="F8" s="49">
        <v>2</v>
      </c>
      <c r="G8" s="50">
        <v>1.5</v>
      </c>
      <c r="H8" s="50">
        <f t="shared" si="1"/>
        <v>4.958333333333333</v>
      </c>
      <c r="I8" s="50">
        <f t="shared" si="2"/>
        <v>4.958333333333333</v>
      </c>
    </row>
    <row r="9" spans="1:9">
      <c r="A9" s="1" t="s">
        <v>1</v>
      </c>
      <c r="B9" s="34" t="s">
        <v>16</v>
      </c>
      <c r="C9" s="71">
        <v>0</v>
      </c>
      <c r="D9" s="58">
        <f t="shared" si="0"/>
        <v>0</v>
      </c>
      <c r="E9" s="48">
        <v>0.20833333333333334</v>
      </c>
      <c r="F9" s="49">
        <v>0.41666666666666669</v>
      </c>
      <c r="G9" s="50">
        <v>0.33333333333333331</v>
      </c>
      <c r="H9" s="50">
        <f t="shared" si="1"/>
        <v>0.95833333333333326</v>
      </c>
      <c r="I9" s="50">
        <f t="shared" si="2"/>
        <v>0.95833333333333326</v>
      </c>
    </row>
    <row r="10" spans="1:9">
      <c r="A10" s="1" t="s">
        <v>1</v>
      </c>
      <c r="B10" s="6" t="s">
        <v>17</v>
      </c>
      <c r="C10" s="72">
        <v>4.1666666666666664E-2</v>
      </c>
      <c r="D10" s="59">
        <f t="shared" si="0"/>
        <v>4.1666666666666664E-2</v>
      </c>
      <c r="E10" s="14">
        <v>0.25</v>
      </c>
      <c r="F10" s="15">
        <v>0.20833333333333334</v>
      </c>
      <c r="G10" s="16">
        <v>0.16666666666666666</v>
      </c>
      <c r="H10" s="16">
        <f t="shared" si="1"/>
        <v>0.625</v>
      </c>
      <c r="I10" s="16">
        <f t="shared" si="2"/>
        <v>0.66666666666666663</v>
      </c>
    </row>
    <row r="11" spans="1:9">
      <c r="A11" s="1" t="s">
        <v>1</v>
      </c>
      <c r="B11" s="23" t="s">
        <v>18</v>
      </c>
      <c r="C11" s="73">
        <v>28</v>
      </c>
      <c r="D11" s="60"/>
      <c r="E11" s="24">
        <v>21</v>
      </c>
      <c r="F11" s="25">
        <v>29</v>
      </c>
      <c r="G11" s="26">
        <v>1</v>
      </c>
      <c r="H11" s="26"/>
      <c r="I11" s="26"/>
    </row>
    <row r="12" spans="1:9">
      <c r="A12" s="1" t="s">
        <v>1</v>
      </c>
      <c r="B12" s="30" t="s">
        <v>19</v>
      </c>
      <c r="C12" s="74">
        <v>370000</v>
      </c>
      <c r="D12" s="61">
        <f t="shared" si="0"/>
        <v>370000</v>
      </c>
      <c r="E12" s="31">
        <v>187000</v>
      </c>
      <c r="F12" s="32">
        <v>192000</v>
      </c>
      <c r="G12" s="33">
        <v>192000</v>
      </c>
      <c r="H12" s="33">
        <f t="shared" si="1"/>
        <v>571000</v>
      </c>
      <c r="I12" s="33">
        <f t="shared" si="2"/>
        <v>941000</v>
      </c>
    </row>
    <row r="13" spans="1:9">
      <c r="A13" s="1" t="s">
        <v>1</v>
      </c>
      <c r="B13" s="34" t="s">
        <v>20</v>
      </c>
      <c r="C13" s="75">
        <v>0</v>
      </c>
      <c r="D13" s="62">
        <f t="shared" si="0"/>
        <v>0</v>
      </c>
      <c r="E13" s="35">
        <v>5000</v>
      </c>
      <c r="F13" s="36">
        <v>0</v>
      </c>
      <c r="G13" s="37">
        <v>0</v>
      </c>
      <c r="H13" s="37">
        <f t="shared" si="1"/>
        <v>5000</v>
      </c>
      <c r="I13" s="37">
        <f t="shared" si="2"/>
        <v>5000</v>
      </c>
    </row>
    <row r="14" spans="1:9">
      <c r="A14" s="1" t="s">
        <v>1</v>
      </c>
      <c r="B14" s="34" t="s">
        <v>21</v>
      </c>
      <c r="C14" s="75">
        <v>0</v>
      </c>
      <c r="D14" s="62">
        <f t="shared" si="0"/>
        <v>0</v>
      </c>
      <c r="E14" s="35">
        <v>3000</v>
      </c>
      <c r="F14" s="36">
        <v>3000</v>
      </c>
      <c r="G14" s="37">
        <v>15000</v>
      </c>
      <c r="H14" s="37">
        <f t="shared" si="1"/>
        <v>21000</v>
      </c>
      <c r="I14" s="37">
        <f t="shared" si="2"/>
        <v>21000</v>
      </c>
    </row>
    <row r="15" spans="1:9">
      <c r="A15" s="1" t="s">
        <v>1</v>
      </c>
      <c r="B15" s="34" t="s">
        <v>22</v>
      </c>
      <c r="C15" s="75">
        <v>50000</v>
      </c>
      <c r="D15" s="62">
        <f t="shared" si="0"/>
        <v>50000</v>
      </c>
      <c r="E15" s="35">
        <v>50000</v>
      </c>
      <c r="F15" s="36">
        <v>50000</v>
      </c>
      <c r="G15" s="37">
        <v>50000</v>
      </c>
      <c r="H15" s="37">
        <f t="shared" si="1"/>
        <v>150000</v>
      </c>
      <c r="I15" s="37">
        <f t="shared" si="2"/>
        <v>200000</v>
      </c>
    </row>
    <row r="16" spans="1:9">
      <c r="A16" s="1" t="s">
        <v>1</v>
      </c>
      <c r="B16" s="34" t="s">
        <v>23</v>
      </c>
      <c r="C16" s="75">
        <v>0</v>
      </c>
      <c r="D16" s="62">
        <f t="shared" si="0"/>
        <v>0</v>
      </c>
      <c r="E16" s="35">
        <v>0</v>
      </c>
      <c r="F16" s="36">
        <v>0</v>
      </c>
      <c r="G16" s="37">
        <v>67912</v>
      </c>
      <c r="H16" s="37">
        <f t="shared" si="1"/>
        <v>67912</v>
      </c>
      <c r="I16" s="37">
        <f t="shared" si="2"/>
        <v>67912</v>
      </c>
    </row>
    <row r="17" spans="1:9">
      <c r="A17" s="1" t="s">
        <v>1</v>
      </c>
      <c r="B17" s="34" t="s">
        <v>24</v>
      </c>
      <c r="C17" s="75">
        <v>0</v>
      </c>
      <c r="D17" s="62">
        <f t="shared" si="0"/>
        <v>0</v>
      </c>
      <c r="E17" s="35">
        <v>3500</v>
      </c>
      <c r="F17" s="36">
        <v>3500</v>
      </c>
      <c r="G17" s="37">
        <v>0</v>
      </c>
      <c r="H17" s="37">
        <f t="shared" si="1"/>
        <v>7000</v>
      </c>
      <c r="I17" s="37">
        <f t="shared" si="2"/>
        <v>7000</v>
      </c>
    </row>
    <row r="18" spans="1:9">
      <c r="A18" s="1" t="s">
        <v>1</v>
      </c>
      <c r="B18" s="34" t="s">
        <v>25</v>
      </c>
      <c r="C18" s="75">
        <v>0</v>
      </c>
      <c r="D18" s="62">
        <f t="shared" si="0"/>
        <v>0</v>
      </c>
      <c r="E18" s="35">
        <v>0</v>
      </c>
      <c r="F18" s="36">
        <v>13000</v>
      </c>
      <c r="G18" s="37">
        <v>13000</v>
      </c>
      <c r="H18" s="37">
        <f t="shared" si="1"/>
        <v>26000</v>
      </c>
      <c r="I18" s="37">
        <f t="shared" si="2"/>
        <v>26000</v>
      </c>
    </row>
    <row r="19" spans="1:9">
      <c r="A19" s="1" t="s">
        <v>1</v>
      </c>
      <c r="B19" s="34" t="s">
        <v>15</v>
      </c>
      <c r="C19" s="75">
        <v>0</v>
      </c>
      <c r="D19" s="62">
        <f t="shared" si="0"/>
        <v>0</v>
      </c>
      <c r="E19" s="35">
        <v>65100</v>
      </c>
      <c r="F19" s="36">
        <v>93984</v>
      </c>
      <c r="G19" s="37">
        <v>72756</v>
      </c>
      <c r="H19" s="37">
        <f t="shared" si="1"/>
        <v>231840</v>
      </c>
      <c r="I19" s="37">
        <f t="shared" si="2"/>
        <v>231840</v>
      </c>
    </row>
    <row r="20" spans="1:9">
      <c r="A20" s="1" t="s">
        <v>1</v>
      </c>
      <c r="B20" s="34" t="s">
        <v>26</v>
      </c>
      <c r="C20" s="75">
        <v>0</v>
      </c>
      <c r="D20" s="62">
        <f t="shared" si="0"/>
        <v>0</v>
      </c>
      <c r="E20" s="35">
        <v>10045</v>
      </c>
      <c r="F20" s="36">
        <v>21140</v>
      </c>
      <c r="G20" s="37">
        <v>17464</v>
      </c>
      <c r="H20" s="37">
        <f t="shared" si="1"/>
        <v>48649</v>
      </c>
      <c r="I20" s="37">
        <f t="shared" si="2"/>
        <v>48649</v>
      </c>
    </row>
    <row r="21" spans="1:9">
      <c r="A21" s="1" t="s">
        <v>1</v>
      </c>
      <c r="B21" s="6" t="s">
        <v>17</v>
      </c>
      <c r="C21" s="76">
        <v>629</v>
      </c>
      <c r="D21" s="63">
        <f t="shared" si="0"/>
        <v>629</v>
      </c>
      <c r="E21" s="17">
        <v>2232</v>
      </c>
      <c r="F21" s="18">
        <v>1960</v>
      </c>
      <c r="G21" s="19">
        <v>1616</v>
      </c>
      <c r="H21" s="19">
        <f t="shared" si="1"/>
        <v>5808</v>
      </c>
      <c r="I21" s="19">
        <f t="shared" si="2"/>
        <v>6437</v>
      </c>
    </row>
    <row r="22" spans="1:9">
      <c r="A22" s="1" t="s">
        <v>1</v>
      </c>
      <c r="B22" s="23" t="s">
        <v>27</v>
      </c>
      <c r="C22" s="77">
        <v>420629</v>
      </c>
      <c r="D22" s="64">
        <f t="shared" si="0"/>
        <v>420629</v>
      </c>
      <c r="E22" s="27">
        <v>325877</v>
      </c>
      <c r="F22" s="28">
        <v>378584</v>
      </c>
      <c r="G22" s="29">
        <v>429748</v>
      </c>
      <c r="H22" s="29">
        <f t="shared" si="1"/>
        <v>1134209</v>
      </c>
      <c r="I22" s="29">
        <f t="shared" si="2"/>
        <v>1554838</v>
      </c>
    </row>
    <row r="23" spans="1:9">
      <c r="A23" s="1" t="s">
        <v>1</v>
      </c>
      <c r="B23" s="30" t="s">
        <v>28</v>
      </c>
      <c r="C23" s="74">
        <v>9409</v>
      </c>
      <c r="D23" s="61">
        <f t="shared" si="0"/>
        <v>9409</v>
      </c>
      <c r="E23" s="31">
        <v>0</v>
      </c>
      <c r="F23" s="32">
        <v>1486</v>
      </c>
      <c r="G23" s="33">
        <v>7923</v>
      </c>
      <c r="H23" s="33">
        <f t="shared" si="1"/>
        <v>9409</v>
      </c>
      <c r="I23" s="33">
        <f t="shared" si="2"/>
        <v>18818</v>
      </c>
    </row>
    <row r="24" spans="1:9">
      <c r="A24" s="1" t="s">
        <v>1</v>
      </c>
      <c r="B24" s="6" t="s">
        <v>29</v>
      </c>
      <c r="C24" s="76">
        <v>9409</v>
      </c>
      <c r="D24" s="63">
        <f t="shared" si="0"/>
        <v>9409</v>
      </c>
      <c r="E24" s="17">
        <v>0</v>
      </c>
      <c r="F24" s="18">
        <v>1486</v>
      </c>
      <c r="G24" s="19">
        <v>7923</v>
      </c>
      <c r="H24" s="19">
        <f t="shared" si="1"/>
        <v>9409</v>
      </c>
      <c r="I24" s="19">
        <f t="shared" si="2"/>
        <v>18818</v>
      </c>
    </row>
    <row r="25" spans="1:9">
      <c r="A25" s="1" t="s">
        <v>1</v>
      </c>
      <c r="B25" s="23" t="s">
        <v>30</v>
      </c>
      <c r="C25" s="77">
        <v>430038</v>
      </c>
      <c r="D25" s="64">
        <f t="shared" si="0"/>
        <v>430038</v>
      </c>
      <c r="E25" s="27">
        <v>325877</v>
      </c>
      <c r="F25" s="28">
        <v>380070</v>
      </c>
      <c r="G25" s="29">
        <v>437671</v>
      </c>
      <c r="H25" s="29">
        <f t="shared" si="1"/>
        <v>1143618</v>
      </c>
      <c r="I25" s="29">
        <f t="shared" si="2"/>
        <v>1573656</v>
      </c>
    </row>
    <row r="26" spans="1:9">
      <c r="A26" s="1" t="s">
        <v>1</v>
      </c>
      <c r="B26" s="30" t="s">
        <v>31</v>
      </c>
      <c r="C26" s="74">
        <v>22440</v>
      </c>
      <c r="D26" s="61">
        <f t="shared" si="0"/>
        <v>22440</v>
      </c>
      <c r="E26" s="31">
        <v>18360</v>
      </c>
      <c r="F26" s="32">
        <v>18360</v>
      </c>
      <c r="G26" s="33">
        <v>20910</v>
      </c>
      <c r="H26" s="33">
        <f t="shared" si="1"/>
        <v>57630</v>
      </c>
      <c r="I26" s="33">
        <f t="shared" si="2"/>
        <v>80070</v>
      </c>
    </row>
    <row r="27" spans="1:9">
      <c r="A27" s="1" t="s">
        <v>1</v>
      </c>
      <c r="B27" s="34" t="s">
        <v>32</v>
      </c>
      <c r="C27" s="75">
        <v>3960</v>
      </c>
      <c r="D27" s="62">
        <f t="shared" si="0"/>
        <v>3960</v>
      </c>
      <c r="E27" s="35">
        <v>0</v>
      </c>
      <c r="F27" s="36">
        <v>3240</v>
      </c>
      <c r="G27" s="37">
        <v>3690</v>
      </c>
      <c r="H27" s="37">
        <f t="shared" si="1"/>
        <v>6930</v>
      </c>
      <c r="I27" s="37">
        <f t="shared" si="2"/>
        <v>10890</v>
      </c>
    </row>
    <row r="28" spans="1:9">
      <c r="A28" s="1" t="s">
        <v>1</v>
      </c>
      <c r="B28" s="34" t="s">
        <v>33</v>
      </c>
      <c r="C28" s="75">
        <v>40260</v>
      </c>
      <c r="D28" s="62">
        <f t="shared" si="0"/>
        <v>40260</v>
      </c>
      <c r="E28" s="35">
        <v>32940</v>
      </c>
      <c r="F28" s="36">
        <v>32940</v>
      </c>
      <c r="G28" s="37">
        <v>37515</v>
      </c>
      <c r="H28" s="37">
        <f t="shared" si="1"/>
        <v>103395</v>
      </c>
      <c r="I28" s="37">
        <f t="shared" si="2"/>
        <v>143655</v>
      </c>
    </row>
    <row r="29" spans="1:9">
      <c r="A29" s="1" t="s">
        <v>1</v>
      </c>
      <c r="B29" s="6" t="s">
        <v>34</v>
      </c>
      <c r="C29" s="76">
        <v>2580</v>
      </c>
      <c r="D29" s="63">
        <f t="shared" si="0"/>
        <v>2580</v>
      </c>
      <c r="E29" s="17">
        <v>1955</v>
      </c>
      <c r="F29" s="18">
        <v>2280</v>
      </c>
      <c r="G29" s="19">
        <v>2626</v>
      </c>
      <c r="H29" s="19">
        <f t="shared" si="1"/>
        <v>6861</v>
      </c>
      <c r="I29" s="19">
        <f t="shared" si="2"/>
        <v>9441</v>
      </c>
    </row>
    <row r="30" spans="1:9">
      <c r="A30" s="1" t="s">
        <v>1</v>
      </c>
      <c r="B30" s="23" t="s">
        <v>35</v>
      </c>
      <c r="C30" s="77">
        <v>69240</v>
      </c>
      <c r="D30" s="64">
        <f t="shared" si="0"/>
        <v>69240</v>
      </c>
      <c r="E30" s="27">
        <v>53255</v>
      </c>
      <c r="F30" s="28">
        <v>56820</v>
      </c>
      <c r="G30" s="29">
        <v>64741</v>
      </c>
      <c r="H30" s="29">
        <f t="shared" si="1"/>
        <v>174816</v>
      </c>
      <c r="I30" s="29">
        <f t="shared" si="2"/>
        <v>244056</v>
      </c>
    </row>
    <row r="31" spans="1:9">
      <c r="A31" s="1" t="s">
        <v>1</v>
      </c>
      <c r="B31" s="30" t="s">
        <v>36</v>
      </c>
      <c r="C31" s="74">
        <v>12580</v>
      </c>
      <c r="D31" s="61">
        <f t="shared" si="0"/>
        <v>12580</v>
      </c>
      <c r="E31" s="31">
        <v>5740</v>
      </c>
      <c r="F31" s="32">
        <v>10160</v>
      </c>
      <c r="G31" s="33">
        <v>13690</v>
      </c>
      <c r="H31" s="33">
        <f t="shared" si="1"/>
        <v>29590</v>
      </c>
      <c r="I31" s="33">
        <f t="shared" si="2"/>
        <v>42170</v>
      </c>
    </row>
    <row r="32" spans="1:9">
      <c r="A32" s="1" t="s">
        <v>1</v>
      </c>
      <c r="B32" s="6" t="s">
        <v>37</v>
      </c>
      <c r="C32" s="76">
        <v>20300</v>
      </c>
      <c r="D32" s="63">
        <f t="shared" si="0"/>
        <v>20300</v>
      </c>
      <c r="E32" s="17">
        <v>15900</v>
      </c>
      <c r="F32" s="18">
        <v>20500</v>
      </c>
      <c r="G32" s="19">
        <v>16600</v>
      </c>
      <c r="H32" s="19">
        <f t="shared" si="1"/>
        <v>53000</v>
      </c>
      <c r="I32" s="19">
        <f t="shared" si="2"/>
        <v>73300</v>
      </c>
    </row>
    <row r="33" spans="1:9">
      <c r="A33" s="1" t="s">
        <v>1</v>
      </c>
      <c r="B33" s="23" t="s">
        <v>38</v>
      </c>
      <c r="C33" s="77">
        <v>102120</v>
      </c>
      <c r="D33" s="64">
        <f t="shared" si="0"/>
        <v>102120</v>
      </c>
      <c r="E33" s="27">
        <v>74895</v>
      </c>
      <c r="F33" s="28">
        <v>87480</v>
      </c>
      <c r="G33" s="29">
        <v>95031</v>
      </c>
      <c r="H33" s="29">
        <f t="shared" si="1"/>
        <v>257406</v>
      </c>
      <c r="I33" s="29">
        <f t="shared" si="2"/>
        <v>359526</v>
      </c>
    </row>
    <row r="34" spans="1:9">
      <c r="A34" s="1" t="s">
        <v>1</v>
      </c>
      <c r="B34" s="23" t="s">
        <v>39</v>
      </c>
      <c r="C34" s="77">
        <v>351389</v>
      </c>
      <c r="D34" s="64">
        <f t="shared" si="0"/>
        <v>351389</v>
      </c>
      <c r="E34" s="27">
        <v>272622</v>
      </c>
      <c r="F34" s="28">
        <v>321764</v>
      </c>
      <c r="G34" s="29">
        <v>365007</v>
      </c>
      <c r="H34" s="29">
        <f t="shared" si="1"/>
        <v>959393</v>
      </c>
      <c r="I34" s="29">
        <f t="shared" si="2"/>
        <v>1310782</v>
      </c>
    </row>
    <row r="35" spans="1:9">
      <c r="A35" s="1" t="s">
        <v>1</v>
      </c>
      <c r="B35" s="23" t="s">
        <v>40</v>
      </c>
      <c r="C35" s="77">
        <v>327918</v>
      </c>
      <c r="D35" s="64">
        <f t="shared" si="0"/>
        <v>327918</v>
      </c>
      <c r="E35" s="27">
        <v>250982</v>
      </c>
      <c r="F35" s="28">
        <v>292590</v>
      </c>
      <c r="G35" s="29">
        <v>342640</v>
      </c>
      <c r="H35" s="29">
        <f t="shared" si="1"/>
        <v>886212</v>
      </c>
      <c r="I35" s="29">
        <f t="shared" si="2"/>
        <v>1214130</v>
      </c>
    </row>
    <row r="36" spans="1:9">
      <c r="A36" s="1" t="s">
        <v>1</v>
      </c>
      <c r="B36" s="23" t="s">
        <v>41</v>
      </c>
      <c r="C36" s="77">
        <v>327918</v>
      </c>
      <c r="D36" s="64">
        <f t="shared" si="0"/>
        <v>327918</v>
      </c>
      <c r="E36" s="27">
        <v>250982</v>
      </c>
      <c r="F36" s="28">
        <v>292590</v>
      </c>
      <c r="G36" s="29">
        <v>342640</v>
      </c>
      <c r="H36" s="29">
        <f t="shared" si="1"/>
        <v>886212</v>
      </c>
      <c r="I36" s="29">
        <f t="shared" si="2"/>
        <v>1214130</v>
      </c>
    </row>
    <row r="37" spans="1:9">
      <c r="A37" s="1" t="s">
        <v>1</v>
      </c>
      <c r="B37" s="23" t="s">
        <v>42</v>
      </c>
      <c r="C37" s="77">
        <v>0</v>
      </c>
      <c r="D37" s="64"/>
      <c r="E37" s="27">
        <v>1</v>
      </c>
      <c r="F37" s="28">
        <v>0</v>
      </c>
      <c r="G37" s="29">
        <v>0</v>
      </c>
      <c r="H37" s="29"/>
      <c r="I37" s="29"/>
    </row>
    <row r="38" spans="1:9">
      <c r="A38" s="1" t="s">
        <v>1</v>
      </c>
      <c r="B38" s="23" t="s">
        <v>43</v>
      </c>
      <c r="C38" s="78" t="s">
        <v>44</v>
      </c>
      <c r="D38" s="65"/>
      <c r="E38" s="38" t="s">
        <v>44</v>
      </c>
      <c r="F38" s="39" t="s">
        <v>44</v>
      </c>
      <c r="G38" s="40" t="s">
        <v>44</v>
      </c>
      <c r="H38" s="40"/>
      <c r="I38" s="40"/>
    </row>
    <row r="39" spans="1:9" ht="19.5" thickBot="1">
      <c r="A39" s="1" t="s">
        <v>1</v>
      </c>
      <c r="B39" s="7" t="s">
        <v>45</v>
      </c>
      <c r="C39" s="79">
        <v>12580</v>
      </c>
      <c r="D39" s="66">
        <f t="shared" si="0"/>
        <v>12580</v>
      </c>
      <c r="E39" s="20">
        <v>5740</v>
      </c>
      <c r="F39" s="21">
        <v>10160</v>
      </c>
      <c r="G39" s="22">
        <v>13690</v>
      </c>
      <c r="H39" s="22">
        <f t="shared" si="1"/>
        <v>29590</v>
      </c>
      <c r="I39" s="22">
        <f t="shared" si="2"/>
        <v>42170</v>
      </c>
    </row>
  </sheetData>
  <phoneticPr fontId="4"/>
  <pageMargins left="0.70866141732283472" right="0.31496062992125984" top="0.35433070866141736" bottom="0.35433070866141736" header="0.19685039370078741" footer="0.11811023622047245"/>
  <pageSetup paperSize="12" scale="95" orientation="landscape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2025年 2月度給与 (2)</vt:lpstr>
      <vt:lpstr>'2025年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cp:lastPrinted>2025-03-06T03:55:25Z</cp:lastPrinted>
  <dcterms:created xsi:type="dcterms:W3CDTF">2025-03-04T05:11:42Z</dcterms:created>
  <dcterms:modified xsi:type="dcterms:W3CDTF">2025-03-10T00:57:43Z</dcterms:modified>
</cp:coreProperties>
</file>