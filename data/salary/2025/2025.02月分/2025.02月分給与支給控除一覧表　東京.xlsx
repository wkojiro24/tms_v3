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2月分\"/>
    </mc:Choice>
  </mc:AlternateContent>
  <xr:revisionPtr revIDLastSave="0" documentId="13_ncr:1_{33B6D840-5BE6-451B-B20F-3C2063D5CB90}" xr6:coauthVersionLast="47" xr6:coauthVersionMax="47" xr10:uidLastSave="{00000000-0000-0000-0000-000000000000}"/>
  <bookViews>
    <workbookView xWindow="-120" yWindow="-120" windowWidth="20730" windowHeight="11040" xr2:uid="{14F16F2D-836A-4509-906B-14750EC10255}"/>
  </bookViews>
  <sheets>
    <sheet name="2025年 2月度給与 (2)" sheetId="3" r:id="rId1"/>
  </sheets>
  <definedNames>
    <definedName name="_xlnm.Print_Area" localSheetId="0">'2025年 2月度給与 (2)'!$A$1:$M$44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3" l="1"/>
  <c r="L6" i="3"/>
  <c r="M6" i="3" s="1"/>
  <c r="L7" i="3"/>
  <c r="M7" i="3" s="1"/>
  <c r="L8" i="3"/>
  <c r="M8" i="3" s="1"/>
  <c r="L9" i="3"/>
  <c r="M9" i="3" s="1"/>
  <c r="L10" i="3"/>
  <c r="L11" i="3"/>
  <c r="L12" i="3"/>
  <c r="L13" i="3"/>
  <c r="L14" i="3"/>
  <c r="L15" i="3"/>
  <c r="L16" i="3"/>
  <c r="L17" i="3"/>
  <c r="L18" i="3"/>
  <c r="M18" i="3" s="1"/>
  <c r="L19" i="3"/>
  <c r="M19" i="3" s="1"/>
  <c r="L20" i="3"/>
  <c r="M20" i="3" s="1"/>
  <c r="L21" i="3"/>
  <c r="M21" i="3" s="1"/>
  <c r="L22" i="3"/>
  <c r="L23" i="3"/>
  <c r="L24" i="3"/>
  <c r="L25" i="3"/>
  <c r="L26" i="3"/>
  <c r="L27" i="3"/>
  <c r="L28" i="3"/>
  <c r="L29" i="3"/>
  <c r="L30" i="3"/>
  <c r="M30" i="3" s="1"/>
  <c r="L31" i="3"/>
  <c r="M31" i="3" s="1"/>
  <c r="L32" i="3"/>
  <c r="M32" i="3" s="1"/>
  <c r="L33" i="3"/>
  <c r="M33" i="3" s="1"/>
  <c r="L34" i="3"/>
  <c r="L35" i="3"/>
  <c r="L36" i="3"/>
  <c r="L37" i="3"/>
  <c r="L38" i="3"/>
  <c r="L39" i="3"/>
  <c r="L40" i="3"/>
  <c r="L41" i="3"/>
  <c r="L44" i="3"/>
  <c r="M44" i="3" s="1"/>
  <c r="L5" i="3"/>
  <c r="M10" i="3"/>
  <c r="M11" i="3"/>
  <c r="M12" i="3"/>
  <c r="M13" i="3"/>
  <c r="M14" i="3"/>
  <c r="M16" i="3"/>
  <c r="M17" i="3"/>
  <c r="M22" i="3"/>
  <c r="M23" i="3"/>
  <c r="M24" i="3"/>
  <c r="M25" i="3"/>
  <c r="M26" i="3"/>
  <c r="M27" i="3"/>
  <c r="M28" i="3"/>
  <c r="M29" i="3"/>
  <c r="M34" i="3"/>
  <c r="M35" i="3"/>
  <c r="M36" i="3"/>
  <c r="M37" i="3"/>
  <c r="M38" i="3"/>
  <c r="M39" i="3"/>
  <c r="M40" i="3"/>
  <c r="M41" i="3"/>
  <c r="E6" i="3"/>
  <c r="E7" i="3"/>
  <c r="E8" i="3"/>
  <c r="E9" i="3"/>
  <c r="E10" i="3"/>
  <c r="E11" i="3"/>
  <c r="E12" i="3"/>
  <c r="E13" i="3"/>
  <c r="E14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4" i="3"/>
  <c r="E5" i="3"/>
</calcChain>
</file>

<file path=xl/sharedStrings.xml><?xml version="1.0" encoding="utf-8"?>
<sst xmlns="http://schemas.openxmlformats.org/spreadsheetml/2006/main" count="113" uniqueCount="64">
  <si>
    <t>支給控除一覧表</t>
    <phoneticPr fontId="4"/>
  </si>
  <si>
    <t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</si>
  <si>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</si>
  <si>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</si>
  <si>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</si>
  <si>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</si>
  <si>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</si>
  <si>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</si>
  <si>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1201</t>
    <phoneticPr fontId="4"/>
  </si>
  <si>
    <t>1033</t>
    <phoneticPr fontId="4"/>
  </si>
  <si>
    <t>項目名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</si>
  <si>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</si>
  <si>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</si>
  <si>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</si>
  <si>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</si>
  <si>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</si>
  <si>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</si>
  <si>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小幡　泰寛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</si>
  <si>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</si>
  <si>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</si>
  <si>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</si>
  <si>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</si>
  <si>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</si>
  <si>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</si>
  <si>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特別休暇日数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</si>
  <si>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</si>
  <si>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</si>
  <si>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</si>
  <si>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</si>
  <si>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</si>
  <si>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</si>
  <si>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</si>
  <si>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</si>
  <si>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</si>
  <si>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</si>
  <si>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</si>
  <si>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</si>
  <si>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</si>
  <si>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</si>
  <si>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</si>
  <si>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</si>
  <si>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</si>
  <si>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</si>
  <si>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</si>
  <si>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</si>
  <si>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</si>
  <si>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</si>
  <si>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</si>
  <si>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</si>
  <si>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</si>
  <si>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</si>
  <si>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</si>
  <si>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</si>
  <si>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</si>
  <si>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</si>
  <si>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</si>
  <si>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</si>
  <si>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</si>
  <si>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</si>
  <si>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 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</si>
  <si>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</si>
  <si>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</si>
  <si>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６名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</si>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</sst>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7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1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3" fontId="2" fillId="0" borderId="2" xfId="1" applyNumberFormat="1" applyFont="1" applyBorder="1"/>
    <xf numFmtId="3" fontId="2" fillId="0" borderId="3" xfId="1" applyNumberFormat="1" applyFont="1" applyBorder="1"/>
    <xf numFmtId="3" fontId="2" fillId="0" borderId="4" xfId="1" applyNumberFormat="1" applyFont="1" applyBorder="1"/>
    <xf numFmtId="2" fontId="2" fillId="0" borderId="5" xfId="1" applyNumberFormat="1" applyFont="1" applyBorder="1"/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center"/>
    </xf>
    <xf numFmtId="2" fontId="2" fillId="0" borderId="9" xfId="1" applyNumberFormat="1" applyFont="1" applyBorder="1"/>
    <xf numFmtId="2" fontId="2" fillId="0" borderId="10" xfId="1" applyNumberFormat="1" applyFont="1" applyBorder="1"/>
    <xf numFmtId="176" fontId="2" fillId="0" borderId="10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7" xfId="1" applyNumberFormat="1" applyFont="1" applyBorder="1"/>
    <xf numFmtId="49" fontId="2" fillId="0" borderId="14" xfId="1" applyNumberFormat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2" fontId="2" fillId="0" borderId="16" xfId="1" applyNumberFormat="1" applyFont="1" applyBorder="1"/>
    <xf numFmtId="2" fontId="2" fillId="0" borderId="17" xfId="1" applyNumberFormat="1" applyFont="1" applyBorder="1"/>
    <xf numFmtId="176" fontId="2" fillId="0" borderId="17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0" xfId="1" applyNumberFormat="1" applyFont="1"/>
    <xf numFmtId="3" fontId="2" fillId="0" borderId="21" xfId="1" applyNumberFormat="1" applyFont="1" applyBorder="1"/>
    <xf numFmtId="3" fontId="2" fillId="0" borderId="8" xfId="1" applyNumberFormat="1" applyFont="1" applyBorder="1"/>
    <xf numFmtId="3" fontId="2" fillId="0" borderId="1" xfId="1" applyNumberFormat="1" applyFont="1" applyBorder="1"/>
    <xf numFmtId="3" fontId="2" fillId="0" borderId="15" xfId="1" applyNumberFormat="1" applyFont="1" applyBorder="1"/>
    <xf numFmtId="49" fontId="2" fillId="0" borderId="12" xfId="1" applyNumberFormat="1" applyFont="1" applyBorder="1"/>
    <xf numFmtId="49" fontId="2" fillId="0" borderId="2" xfId="1" applyNumberFormat="1" applyFont="1" applyBorder="1"/>
    <xf numFmtId="49" fontId="2" fillId="0" borderId="19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12" xfId="1" applyNumberFormat="1" applyFont="1" applyBorder="1"/>
    <xf numFmtId="2" fontId="2" fillId="0" borderId="2" xfId="1" applyNumberFormat="1" applyFont="1" applyBorder="1"/>
    <xf numFmtId="2" fontId="2" fillId="0" borderId="19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2" fontId="2" fillId="0" borderId="31" xfId="1" applyNumberFormat="1" applyFont="1" applyBorder="1"/>
    <xf numFmtId="2" fontId="2" fillId="0" borderId="32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2" xfId="1" applyNumberFormat="1" applyFont="1" applyBorder="1"/>
    <xf numFmtId="176" fontId="2" fillId="0" borderId="33" xfId="1" applyNumberFormat="1" applyFont="1" applyBorder="1"/>
    <xf numFmtId="2" fontId="2" fillId="0" borderId="35" xfId="1" applyNumberFormat="1" applyFont="1" applyBorder="1"/>
    <xf numFmtId="3" fontId="2" fillId="0" borderId="34" xfId="1" applyNumberFormat="1" applyFont="1" applyBorder="1"/>
    <xf numFmtId="3" fontId="2" fillId="0" borderId="32" xfId="1" applyNumberFormat="1" applyFont="1" applyBorder="1"/>
    <xf numFmtId="3" fontId="2" fillId="0" borderId="36" xfId="1" applyNumberFormat="1" applyFont="1" applyBorder="1"/>
    <xf numFmtId="3" fontId="2" fillId="0" borderId="35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35" xfId="1" applyNumberFormat="1" applyFont="1" applyBorder="1"/>
    <xf numFmtId="3" fontId="2" fillId="0" borderId="30" xfId="1" applyNumberFormat="1" applyFont="1" applyBorder="1"/>
    <xf numFmtId="49" fontId="2" fillId="0" borderId="39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40" xfId="1" applyNumberFormat="1" applyFont="1" applyBorder="1" applyAlignment="1">
      <alignment horizontal="center"/>
    </xf>
    <xf numFmtId="2" fontId="2" fillId="0" borderId="41" xfId="1" applyNumberFormat="1" applyFont="1" applyBorder="1"/>
    <xf numFmtId="2" fontId="2" fillId="0" borderId="42" xfId="1" applyNumberFormat="1" applyFont="1" applyBorder="1"/>
    <xf numFmtId="2" fontId="2" fillId="0" borderId="43" xfId="1" applyNumberFormat="1" applyFont="1" applyBorder="1"/>
    <xf numFmtId="2" fontId="2" fillId="0" borderId="44" xfId="1" applyNumberFormat="1" applyFont="1" applyBorder="1"/>
    <xf numFmtId="176" fontId="2" fillId="0" borderId="42" xfId="1" applyNumberFormat="1" applyFont="1" applyBorder="1"/>
    <xf numFmtId="176" fontId="2" fillId="0" borderId="43" xfId="1" applyNumberFormat="1" applyFont="1" applyBorder="1"/>
    <xf numFmtId="2" fontId="2" fillId="0" borderId="45" xfId="1" applyNumberFormat="1" applyFont="1" applyBorder="1"/>
    <xf numFmtId="3" fontId="2" fillId="0" borderId="44" xfId="1" applyNumberFormat="1" applyFont="1" applyBorder="1"/>
    <xf numFmtId="3" fontId="2" fillId="0" borderId="42" xfId="1" applyNumberFormat="1" applyFont="1" applyBorder="1"/>
    <xf numFmtId="3" fontId="2" fillId="0" borderId="46" xfId="1" applyNumberFormat="1" applyFont="1" applyBorder="1"/>
    <xf numFmtId="3" fontId="2" fillId="0" borderId="45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49" fontId="2" fillId="0" borderId="45" xfId="1" applyNumberFormat="1" applyFont="1" applyBorder="1"/>
    <xf numFmtId="3" fontId="2" fillId="0" borderId="40" xfId="1" applyNumberFormat="1" applyFont="1" applyBorder="1"/>
    <xf numFmtId="0" fontId="2" fillId="0" borderId="39" xfId="1" applyFont="1" applyBorder="1"/>
    <xf numFmtId="0" fontId="2" fillId="0" borderId="49" xfId="1" applyFont="1" applyBorder="1"/>
    <xf numFmtId="0" fontId="2" fillId="0" borderId="50" xfId="1" applyFont="1" applyBorder="1" applyAlignment="1">
      <alignment horizontal="center"/>
    </xf>
    <xf numFmtId="0" fontId="2" fillId="0" borderId="51" xfId="1" applyFont="1" applyBorder="1" applyAlignment="1">
      <alignment horizontal="center"/>
    </xf>
    <xf numFmtId="49" fontId="2" fillId="0" borderId="52" xfId="1" applyNumberFormat="1" applyFont="1" applyBorder="1" applyAlignment="1">
      <alignment horizontal="left"/>
    </xf>
    <xf numFmtId="49" fontId="2" fillId="0" borderId="53" xfId="1" applyNumberFormat="1" applyFont="1" applyBorder="1" applyAlignment="1">
      <alignment horizontal="left"/>
    </xf>
    <xf numFmtId="49" fontId="2" fillId="0" borderId="54" xfId="1" applyNumberFormat="1" applyFont="1" applyBorder="1" applyAlignment="1">
      <alignment horizontal="left"/>
    </xf>
    <xf numFmtId="49" fontId="2" fillId="0" borderId="55" xfId="1" applyNumberFormat="1" applyFont="1" applyBorder="1" applyAlignment="1">
      <alignment horizontal="left"/>
    </xf>
    <xf numFmtId="49" fontId="2" fillId="0" borderId="56" xfId="1" applyNumberFormat="1" applyFont="1" applyBorder="1" applyAlignment="1">
      <alignment horizontal="left"/>
    </xf>
    <xf numFmtId="49" fontId="2" fillId="0" borderId="57" xfId="1" applyNumberFormat="1" applyFont="1" applyBorder="1" applyAlignment="1">
      <alignment horizontal="left"/>
    </xf>
    <xf numFmtId="49" fontId="2" fillId="0" borderId="58" xfId="1" applyNumberFormat="1" applyFont="1" applyBorder="1" applyAlignment="1">
      <alignment horizontal="left"/>
    </xf>
    <xf numFmtId="49" fontId="2" fillId="0" borderId="59" xfId="1" applyNumberFormat="1" applyFont="1" applyBorder="1" applyAlignment="1">
      <alignment horizontal="left"/>
    </xf>
    <xf numFmtId="49" fontId="2" fillId="0" borderId="51" xfId="1" applyNumberFormat="1" applyFont="1" applyBorder="1" applyAlignment="1">
      <alignment horizontal="left"/>
    </xf>
    <xf numFmtId="49" fontId="2" fillId="0" borderId="60" xfId="1" applyNumberFormat="1" applyFont="1" applyBorder="1" applyAlignment="1">
      <alignment horizontal="center"/>
    </xf>
    <xf numFmtId="49" fontId="2" fillId="0" borderId="61" xfId="1" applyNumberFormat="1" applyFont="1" applyBorder="1" applyAlignment="1">
      <alignment horizontal="center"/>
    </xf>
    <xf numFmtId="2" fontId="2" fillId="0" borderId="62" xfId="1" applyNumberFormat="1" applyFont="1" applyBorder="1"/>
    <xf numFmtId="2" fontId="2" fillId="0" borderId="63" xfId="1" applyNumberFormat="1" applyFont="1" applyBorder="1"/>
    <xf numFmtId="2" fontId="2" fillId="0" borderId="64" xfId="1" applyNumberFormat="1" applyFont="1" applyBorder="1"/>
    <xf numFmtId="2" fontId="2" fillId="0" borderId="65" xfId="1" applyNumberFormat="1" applyFont="1" applyBorder="1"/>
    <xf numFmtId="176" fontId="2" fillId="0" borderId="63" xfId="1" applyNumberFormat="1" applyFont="1" applyBorder="1"/>
    <xf numFmtId="176" fontId="2" fillId="0" borderId="64" xfId="1" applyNumberFormat="1" applyFont="1" applyBorder="1"/>
    <xf numFmtId="2" fontId="2" fillId="0" borderId="66" xfId="1" applyNumberFormat="1" applyFont="1" applyBorder="1"/>
    <xf numFmtId="3" fontId="2" fillId="0" borderId="65" xfId="1" applyNumberFormat="1" applyFont="1" applyBorder="1"/>
    <xf numFmtId="3" fontId="2" fillId="0" borderId="63" xfId="1" applyNumberFormat="1" applyFont="1" applyBorder="1"/>
    <xf numFmtId="3" fontId="2" fillId="0" borderId="67" xfId="1" applyNumberFormat="1" applyFont="1" applyBorder="1"/>
    <xf numFmtId="3" fontId="2" fillId="0" borderId="66" xfId="1" applyNumberFormat="1" applyFont="1" applyBorder="1"/>
    <xf numFmtId="3" fontId="2" fillId="0" borderId="68" xfId="1" applyNumberFormat="1" applyFont="1" applyBorder="1"/>
    <xf numFmtId="3" fontId="2" fillId="0" borderId="69" xfId="1" applyNumberFormat="1" applyFont="1" applyBorder="1"/>
    <xf numFmtId="49" fontId="2" fillId="0" borderId="66" xfId="1" applyNumberFormat="1" applyFont="1" applyBorder="1"/>
    <xf numFmtId="3" fontId="2" fillId="0" borderId="61" xfId="1" applyNumberFormat="1" applyFont="1" applyBorder="1"/>
  </cellXfs>
  <cellStyles count="2">
    <cellStyle name="標準" xfId="0" builtinId="0"/>
    <cellStyle name="標準 2" xfId="1" xr:uid="{21AB637A-EEF3-4120-939F-73990E623C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FF72-9EA0-4C56-BA02-483339A78545}">
  <sheetPr>
    <pageSetUpPr fitToPage="1"/>
  </sheetPr>
  <dimension ref="A1:M4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2.375" style="2" customWidth="1"/>
    <col min="14" max="258" width="9" style="2"/>
    <col min="259" max="259" width="2.375" style="2" customWidth="1"/>
    <col min="260" max="260" width="13.25" style="2" bestFit="1" customWidth="1"/>
    <col min="261" max="261" width="11.125" style="2" bestFit="1" customWidth="1"/>
    <col min="262" max="263" width="9" style="2"/>
    <col min="264" max="268" width="11.125" style="2" bestFit="1" customWidth="1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7" width="11.125" style="2" bestFit="1" customWidth="1"/>
    <col min="518" max="519" width="9" style="2"/>
    <col min="520" max="524" width="11.125" style="2" bestFit="1" customWidth="1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3" width="11.125" style="2" bestFit="1" customWidth="1"/>
    <col min="774" max="775" width="9" style="2"/>
    <col min="776" max="780" width="11.125" style="2" bestFit="1" customWidth="1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29" width="11.125" style="2" bestFit="1" customWidth="1"/>
    <col min="1030" max="1031" width="9" style="2"/>
    <col min="1032" max="1036" width="11.125" style="2" bestFit="1" customWidth="1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5" width="11.125" style="2" bestFit="1" customWidth="1"/>
    <col min="1286" max="1287" width="9" style="2"/>
    <col min="1288" max="1292" width="11.125" style="2" bestFit="1" customWidth="1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1" width="11.125" style="2" bestFit="1" customWidth="1"/>
    <col min="1542" max="1543" width="9" style="2"/>
    <col min="1544" max="1548" width="11.125" style="2" bestFit="1" customWidth="1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7" width="11.125" style="2" bestFit="1" customWidth="1"/>
    <col min="1798" max="1799" width="9" style="2"/>
    <col min="1800" max="1804" width="11.125" style="2" bestFit="1" customWidth="1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3" width="11.125" style="2" bestFit="1" customWidth="1"/>
    <col min="2054" max="2055" width="9" style="2"/>
    <col min="2056" max="2060" width="11.125" style="2" bestFit="1" customWidth="1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09" width="11.125" style="2" bestFit="1" customWidth="1"/>
    <col min="2310" max="2311" width="9" style="2"/>
    <col min="2312" max="2316" width="11.125" style="2" bestFit="1" customWidth="1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5" width="11.125" style="2" bestFit="1" customWidth="1"/>
    <col min="2566" max="2567" width="9" style="2"/>
    <col min="2568" max="2572" width="11.125" style="2" bestFit="1" customWidth="1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1" width="11.125" style="2" bestFit="1" customWidth="1"/>
    <col min="2822" max="2823" width="9" style="2"/>
    <col min="2824" max="2828" width="11.125" style="2" bestFit="1" customWidth="1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7" width="11.125" style="2" bestFit="1" customWidth="1"/>
    <col min="3078" max="3079" width="9" style="2"/>
    <col min="3080" max="3084" width="11.125" style="2" bestFit="1" customWidth="1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3" width="11.125" style="2" bestFit="1" customWidth="1"/>
    <col min="3334" max="3335" width="9" style="2"/>
    <col min="3336" max="3340" width="11.125" style="2" bestFit="1" customWidth="1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89" width="11.125" style="2" bestFit="1" customWidth="1"/>
    <col min="3590" max="3591" width="9" style="2"/>
    <col min="3592" max="3596" width="11.125" style="2" bestFit="1" customWidth="1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5" width="11.125" style="2" bestFit="1" customWidth="1"/>
    <col min="3846" max="3847" width="9" style="2"/>
    <col min="3848" max="3852" width="11.125" style="2" bestFit="1" customWidth="1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1" width="11.125" style="2" bestFit="1" customWidth="1"/>
    <col min="4102" max="4103" width="9" style="2"/>
    <col min="4104" max="4108" width="11.125" style="2" bestFit="1" customWidth="1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7" width="11.125" style="2" bestFit="1" customWidth="1"/>
    <col min="4358" max="4359" width="9" style="2"/>
    <col min="4360" max="4364" width="11.125" style="2" bestFit="1" customWidth="1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3" width="11.125" style="2" bestFit="1" customWidth="1"/>
    <col min="4614" max="4615" width="9" style="2"/>
    <col min="4616" max="4620" width="11.125" style="2" bestFit="1" customWidth="1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69" width="11.125" style="2" bestFit="1" customWidth="1"/>
    <col min="4870" max="4871" width="9" style="2"/>
    <col min="4872" max="4876" width="11.125" style="2" bestFit="1" customWidth="1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5" width="11.125" style="2" bestFit="1" customWidth="1"/>
    <col min="5126" max="5127" width="9" style="2"/>
    <col min="5128" max="5132" width="11.125" style="2" bestFit="1" customWidth="1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1" width="11.125" style="2" bestFit="1" customWidth="1"/>
    <col min="5382" max="5383" width="9" style="2"/>
    <col min="5384" max="5388" width="11.125" style="2" bestFit="1" customWidth="1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7" width="11.125" style="2" bestFit="1" customWidth="1"/>
    <col min="5638" max="5639" width="9" style="2"/>
    <col min="5640" max="5644" width="11.125" style="2" bestFit="1" customWidth="1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3" width="11.125" style="2" bestFit="1" customWidth="1"/>
    <col min="5894" max="5895" width="9" style="2"/>
    <col min="5896" max="5900" width="11.125" style="2" bestFit="1" customWidth="1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49" width="11.125" style="2" bestFit="1" customWidth="1"/>
    <col min="6150" max="6151" width="9" style="2"/>
    <col min="6152" max="6156" width="11.125" style="2" bestFit="1" customWidth="1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5" width="11.125" style="2" bestFit="1" customWidth="1"/>
    <col min="6406" max="6407" width="9" style="2"/>
    <col min="6408" max="6412" width="11.125" style="2" bestFit="1" customWidth="1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1" width="11.125" style="2" bestFit="1" customWidth="1"/>
    <col min="6662" max="6663" width="9" style="2"/>
    <col min="6664" max="6668" width="11.125" style="2" bestFit="1" customWidth="1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7" width="11.125" style="2" bestFit="1" customWidth="1"/>
    <col min="6918" max="6919" width="9" style="2"/>
    <col min="6920" max="6924" width="11.125" style="2" bestFit="1" customWidth="1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3" width="11.125" style="2" bestFit="1" customWidth="1"/>
    <col min="7174" max="7175" width="9" style="2"/>
    <col min="7176" max="7180" width="11.125" style="2" bestFit="1" customWidth="1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29" width="11.125" style="2" bestFit="1" customWidth="1"/>
    <col min="7430" max="7431" width="9" style="2"/>
    <col min="7432" max="7436" width="11.125" style="2" bestFit="1" customWidth="1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5" width="11.125" style="2" bestFit="1" customWidth="1"/>
    <col min="7686" max="7687" width="9" style="2"/>
    <col min="7688" max="7692" width="11.125" style="2" bestFit="1" customWidth="1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1" width="11.125" style="2" bestFit="1" customWidth="1"/>
    <col min="7942" max="7943" width="9" style="2"/>
    <col min="7944" max="7948" width="11.125" style="2" bestFit="1" customWidth="1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7" width="11.125" style="2" bestFit="1" customWidth="1"/>
    <col min="8198" max="8199" width="9" style="2"/>
    <col min="8200" max="8204" width="11.125" style="2" bestFit="1" customWidth="1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3" width="11.125" style="2" bestFit="1" customWidth="1"/>
    <col min="8454" max="8455" width="9" style="2"/>
    <col min="8456" max="8460" width="11.125" style="2" bestFit="1" customWidth="1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09" width="11.125" style="2" bestFit="1" customWidth="1"/>
    <col min="8710" max="8711" width="9" style="2"/>
    <col min="8712" max="8716" width="11.125" style="2" bestFit="1" customWidth="1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5" width="11.125" style="2" bestFit="1" customWidth="1"/>
    <col min="8966" max="8967" width="9" style="2"/>
    <col min="8968" max="8972" width="11.125" style="2" bestFit="1" customWidth="1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1" width="11.125" style="2" bestFit="1" customWidth="1"/>
    <col min="9222" max="9223" width="9" style="2"/>
    <col min="9224" max="9228" width="11.125" style="2" bestFit="1" customWidth="1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7" width="11.125" style="2" bestFit="1" customWidth="1"/>
    <col min="9478" max="9479" width="9" style="2"/>
    <col min="9480" max="9484" width="11.125" style="2" bestFit="1" customWidth="1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3" width="11.125" style="2" bestFit="1" customWidth="1"/>
    <col min="9734" max="9735" width="9" style="2"/>
    <col min="9736" max="9740" width="11.125" style="2" bestFit="1" customWidth="1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89" width="11.125" style="2" bestFit="1" customWidth="1"/>
    <col min="9990" max="9991" width="9" style="2"/>
    <col min="9992" max="9996" width="11.125" style="2" bestFit="1" customWidth="1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5" width="11.125" style="2" bestFit="1" customWidth="1"/>
    <col min="10246" max="10247" width="9" style="2"/>
    <col min="10248" max="10252" width="11.125" style="2" bestFit="1" customWidth="1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1" width="11.125" style="2" bestFit="1" customWidth="1"/>
    <col min="10502" max="10503" width="9" style="2"/>
    <col min="10504" max="10508" width="11.125" style="2" bestFit="1" customWidth="1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7" width="11.125" style="2" bestFit="1" customWidth="1"/>
    <col min="10758" max="10759" width="9" style="2"/>
    <col min="10760" max="10764" width="11.125" style="2" bestFit="1" customWidth="1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3" width="11.125" style="2" bestFit="1" customWidth="1"/>
    <col min="11014" max="11015" width="9" style="2"/>
    <col min="11016" max="11020" width="11.125" style="2" bestFit="1" customWidth="1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69" width="11.125" style="2" bestFit="1" customWidth="1"/>
    <col min="11270" max="11271" width="9" style="2"/>
    <col min="11272" max="11276" width="11.125" style="2" bestFit="1" customWidth="1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5" width="11.125" style="2" bestFit="1" customWidth="1"/>
    <col min="11526" max="11527" width="9" style="2"/>
    <col min="11528" max="11532" width="11.125" style="2" bestFit="1" customWidth="1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1" width="11.125" style="2" bestFit="1" customWidth="1"/>
    <col min="11782" max="11783" width="9" style="2"/>
    <col min="11784" max="11788" width="11.125" style="2" bestFit="1" customWidth="1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7" width="11.125" style="2" bestFit="1" customWidth="1"/>
    <col min="12038" max="12039" width="9" style="2"/>
    <col min="12040" max="12044" width="11.125" style="2" bestFit="1" customWidth="1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3" width="11.125" style="2" bestFit="1" customWidth="1"/>
    <col min="12294" max="12295" width="9" style="2"/>
    <col min="12296" max="12300" width="11.125" style="2" bestFit="1" customWidth="1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49" width="11.125" style="2" bestFit="1" customWidth="1"/>
    <col min="12550" max="12551" width="9" style="2"/>
    <col min="12552" max="12556" width="11.125" style="2" bestFit="1" customWidth="1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5" width="11.125" style="2" bestFit="1" customWidth="1"/>
    <col min="12806" max="12807" width="9" style="2"/>
    <col min="12808" max="12812" width="11.125" style="2" bestFit="1" customWidth="1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1" width="11.125" style="2" bestFit="1" customWidth="1"/>
    <col min="13062" max="13063" width="9" style="2"/>
    <col min="13064" max="13068" width="11.125" style="2" bestFit="1" customWidth="1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7" width="11.125" style="2" bestFit="1" customWidth="1"/>
    <col min="13318" max="13319" width="9" style="2"/>
    <col min="13320" max="13324" width="11.125" style="2" bestFit="1" customWidth="1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3" width="11.125" style="2" bestFit="1" customWidth="1"/>
    <col min="13574" max="13575" width="9" style="2"/>
    <col min="13576" max="13580" width="11.125" style="2" bestFit="1" customWidth="1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29" width="11.125" style="2" bestFit="1" customWidth="1"/>
    <col min="13830" max="13831" width="9" style="2"/>
    <col min="13832" max="13836" width="11.125" style="2" bestFit="1" customWidth="1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5" width="11.125" style="2" bestFit="1" customWidth="1"/>
    <col min="14086" max="14087" width="9" style="2"/>
    <col min="14088" max="14092" width="11.125" style="2" bestFit="1" customWidth="1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1" width="11.125" style="2" bestFit="1" customWidth="1"/>
    <col min="14342" max="14343" width="9" style="2"/>
    <col min="14344" max="14348" width="11.125" style="2" bestFit="1" customWidth="1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7" width="11.125" style="2" bestFit="1" customWidth="1"/>
    <col min="14598" max="14599" width="9" style="2"/>
    <col min="14600" max="14604" width="11.125" style="2" bestFit="1" customWidth="1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3" width="11.125" style="2" bestFit="1" customWidth="1"/>
    <col min="14854" max="14855" width="9" style="2"/>
    <col min="14856" max="14860" width="11.125" style="2" bestFit="1" customWidth="1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09" width="11.125" style="2" bestFit="1" customWidth="1"/>
    <col min="15110" max="15111" width="9" style="2"/>
    <col min="15112" max="15116" width="11.125" style="2" bestFit="1" customWidth="1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5" width="11.125" style="2" bestFit="1" customWidth="1"/>
    <col min="15366" max="15367" width="9" style="2"/>
    <col min="15368" max="15372" width="11.125" style="2" bestFit="1" customWidth="1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1" width="11.125" style="2" bestFit="1" customWidth="1"/>
    <col min="15622" max="15623" width="9" style="2"/>
    <col min="15624" max="15628" width="11.125" style="2" bestFit="1" customWidth="1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7" width="11.125" style="2" bestFit="1" customWidth="1"/>
    <col min="15878" max="15879" width="9" style="2"/>
    <col min="15880" max="15884" width="11.125" style="2" bestFit="1" customWidth="1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3" width="11.125" style="2" bestFit="1" customWidth="1"/>
    <col min="16134" max="16135" width="9" style="2"/>
    <col min="16136" max="16140" width="11.125" style="2" bestFit="1" customWidth="1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 ht="19.5" thickBot="1">
      <c r="A2" s="1" t="s">
        <v>59</v>
      </c>
    </row>
    <row r="3" spans="1:13">
      <c r="B3" s="90"/>
      <c r="C3" s="101" t="s">
        <v>3</v>
      </c>
      <c r="D3" s="52" t="s">
        <v>9</v>
      </c>
      <c r="E3" s="70" t="s">
        <v>60</v>
      </c>
      <c r="F3" s="53" t="s">
        <v>2</v>
      </c>
      <c r="G3" s="20" t="s">
        <v>4</v>
      </c>
      <c r="H3" s="20" t="s">
        <v>5</v>
      </c>
      <c r="I3" s="20" t="s">
        <v>6</v>
      </c>
      <c r="J3" s="20" t="s">
        <v>7</v>
      </c>
      <c r="K3" s="52" t="s">
        <v>8</v>
      </c>
      <c r="L3" s="70" t="s">
        <v>60</v>
      </c>
      <c r="M3" s="88" t="s">
        <v>19</v>
      </c>
    </row>
    <row r="4" spans="1:13" ht="19.5" thickBot="1">
      <c r="A4" s="89"/>
      <c r="B4" s="91" t="s">
        <v>10</v>
      </c>
      <c r="C4" s="102" t="s">
        <v>12</v>
      </c>
      <c r="D4" s="3" t="s">
        <v>18</v>
      </c>
      <c r="E4" s="71" t="s">
        <v>61</v>
      </c>
      <c r="F4" s="54" t="s">
        <v>11</v>
      </c>
      <c r="G4" s="11" t="s">
        <v>13</v>
      </c>
      <c r="H4" s="11" t="s">
        <v>14</v>
      </c>
      <c r="I4" s="11" t="s">
        <v>15</v>
      </c>
      <c r="J4" s="11" t="s">
        <v>16</v>
      </c>
      <c r="K4" s="72" t="s">
        <v>17</v>
      </c>
      <c r="L4" s="71" t="s">
        <v>62</v>
      </c>
      <c r="M4" s="21" t="s">
        <v>63</v>
      </c>
    </row>
    <row r="5" spans="1:13">
      <c r="A5" s="1" t="s">
        <v>1</v>
      </c>
      <c r="B5" s="92" t="s">
        <v>20</v>
      </c>
      <c r="C5" s="103">
        <v>18</v>
      </c>
      <c r="D5" s="7">
        <v>12</v>
      </c>
      <c r="E5" s="22">
        <f>SUM(C5:D5)</f>
        <v>30</v>
      </c>
      <c r="F5" s="55">
        <v>17</v>
      </c>
      <c r="G5" s="12">
        <v>18</v>
      </c>
      <c r="H5" s="12">
        <v>18</v>
      </c>
      <c r="I5" s="12">
        <v>13</v>
      </c>
      <c r="J5" s="12">
        <v>18</v>
      </c>
      <c r="K5" s="73">
        <v>18</v>
      </c>
      <c r="L5" s="22">
        <f>SUM(F5:K5)</f>
        <v>102</v>
      </c>
      <c r="M5" s="22">
        <f>SUM(L5,E5)</f>
        <v>132</v>
      </c>
    </row>
    <row r="6" spans="1:13">
      <c r="A6" s="1" t="s">
        <v>1</v>
      </c>
      <c r="B6" s="93" t="s">
        <v>21</v>
      </c>
      <c r="C6" s="104">
        <v>0</v>
      </c>
      <c r="D6" s="8">
        <v>0</v>
      </c>
      <c r="E6" s="23">
        <f t="shared" ref="E6:E44" si="0">SUM(C6:D6)</f>
        <v>0</v>
      </c>
      <c r="F6" s="56">
        <v>0</v>
      </c>
      <c r="G6" s="13">
        <v>2</v>
      </c>
      <c r="H6" s="13">
        <v>0</v>
      </c>
      <c r="I6" s="13">
        <v>1</v>
      </c>
      <c r="J6" s="13">
        <v>1</v>
      </c>
      <c r="K6" s="74">
        <v>0</v>
      </c>
      <c r="L6" s="23">
        <f t="shared" ref="L6:L44" si="1">SUM(F6:K6)</f>
        <v>4</v>
      </c>
      <c r="M6" s="23">
        <f t="shared" ref="M6:M44" si="2">SUM(L6,E6)</f>
        <v>4</v>
      </c>
    </row>
    <row r="7" spans="1:13">
      <c r="A7" s="1" t="s">
        <v>1</v>
      </c>
      <c r="B7" s="94" t="s">
        <v>22</v>
      </c>
      <c r="C7" s="105">
        <v>0</v>
      </c>
      <c r="D7" s="38">
        <v>0</v>
      </c>
      <c r="E7" s="39">
        <f t="shared" si="0"/>
        <v>0</v>
      </c>
      <c r="F7" s="57">
        <v>0</v>
      </c>
      <c r="G7" s="37">
        <v>1</v>
      </c>
      <c r="H7" s="37">
        <v>0</v>
      </c>
      <c r="I7" s="37">
        <v>2</v>
      </c>
      <c r="J7" s="37">
        <v>2</v>
      </c>
      <c r="K7" s="75">
        <v>0</v>
      </c>
      <c r="L7" s="39">
        <f t="shared" si="1"/>
        <v>5</v>
      </c>
      <c r="M7" s="39">
        <f t="shared" si="2"/>
        <v>5</v>
      </c>
    </row>
    <row r="8" spans="1:13">
      <c r="A8" s="1" t="s">
        <v>1</v>
      </c>
      <c r="B8" s="93" t="s">
        <v>23</v>
      </c>
      <c r="C8" s="104">
        <v>0</v>
      </c>
      <c r="D8" s="8">
        <v>0</v>
      </c>
      <c r="E8" s="23">
        <f t="shared" si="0"/>
        <v>0</v>
      </c>
      <c r="F8" s="56">
        <v>1</v>
      </c>
      <c r="G8" s="13">
        <v>0</v>
      </c>
      <c r="H8" s="13">
        <v>0</v>
      </c>
      <c r="I8" s="13">
        <v>0</v>
      </c>
      <c r="J8" s="13">
        <v>0</v>
      </c>
      <c r="K8" s="74">
        <v>0</v>
      </c>
      <c r="L8" s="23">
        <f t="shared" si="1"/>
        <v>1</v>
      </c>
      <c r="M8" s="23">
        <f t="shared" si="2"/>
        <v>1</v>
      </c>
    </row>
    <row r="9" spans="1:13">
      <c r="A9" s="1" t="s">
        <v>1</v>
      </c>
      <c r="B9" s="95" t="s">
        <v>24</v>
      </c>
      <c r="C9" s="106">
        <v>0</v>
      </c>
      <c r="D9" s="41">
        <v>0</v>
      </c>
      <c r="E9" s="42">
        <f t="shared" si="0"/>
        <v>0</v>
      </c>
      <c r="F9" s="58">
        <v>0</v>
      </c>
      <c r="G9" s="40">
        <v>0</v>
      </c>
      <c r="H9" s="40">
        <v>0</v>
      </c>
      <c r="I9" s="40">
        <v>5</v>
      </c>
      <c r="J9" s="40">
        <v>0</v>
      </c>
      <c r="K9" s="76">
        <v>0</v>
      </c>
      <c r="L9" s="42">
        <f t="shared" si="1"/>
        <v>5</v>
      </c>
      <c r="M9" s="42">
        <f t="shared" si="2"/>
        <v>5</v>
      </c>
    </row>
    <row r="10" spans="1:13">
      <c r="A10" s="1" t="s">
        <v>1</v>
      </c>
      <c r="B10" s="93" t="s">
        <v>25</v>
      </c>
      <c r="C10" s="107">
        <v>0</v>
      </c>
      <c r="D10" s="9">
        <v>3.0416666666666665</v>
      </c>
      <c r="E10" s="24">
        <f t="shared" si="0"/>
        <v>3.0416666666666665</v>
      </c>
      <c r="F10" s="59">
        <v>0</v>
      </c>
      <c r="G10" s="14">
        <v>0</v>
      </c>
      <c r="H10" s="14">
        <v>0</v>
      </c>
      <c r="I10" s="14">
        <v>0</v>
      </c>
      <c r="J10" s="14">
        <v>0</v>
      </c>
      <c r="K10" s="77">
        <v>0</v>
      </c>
      <c r="L10" s="24">
        <f t="shared" si="1"/>
        <v>0</v>
      </c>
      <c r="M10" s="24">
        <f t="shared" si="2"/>
        <v>3.0416666666666665</v>
      </c>
    </row>
    <row r="11" spans="1:13">
      <c r="A11" s="1" t="s">
        <v>1</v>
      </c>
      <c r="B11" s="93" t="s">
        <v>26</v>
      </c>
      <c r="C11" s="107">
        <v>0</v>
      </c>
      <c r="D11" s="9">
        <v>0</v>
      </c>
      <c r="E11" s="24">
        <f t="shared" si="0"/>
        <v>0</v>
      </c>
      <c r="F11" s="59">
        <v>1.75</v>
      </c>
      <c r="G11" s="14">
        <v>1.3333333333333333</v>
      </c>
      <c r="H11" s="14">
        <v>1.75</v>
      </c>
      <c r="I11" s="14">
        <v>1.375</v>
      </c>
      <c r="J11" s="14">
        <v>1.4583333333333333</v>
      </c>
      <c r="K11" s="77">
        <v>1.9166666666666665</v>
      </c>
      <c r="L11" s="24">
        <f t="shared" si="1"/>
        <v>9.5833333333333321</v>
      </c>
      <c r="M11" s="24">
        <f t="shared" si="2"/>
        <v>9.5833333333333321</v>
      </c>
    </row>
    <row r="12" spans="1:13">
      <c r="A12" s="1" t="s">
        <v>1</v>
      </c>
      <c r="B12" s="93" t="s">
        <v>27</v>
      </c>
      <c r="C12" s="107">
        <v>0</v>
      </c>
      <c r="D12" s="9">
        <v>0</v>
      </c>
      <c r="E12" s="24">
        <f t="shared" si="0"/>
        <v>0</v>
      </c>
      <c r="F12" s="59">
        <v>0</v>
      </c>
      <c r="G12" s="14">
        <v>0.625</v>
      </c>
      <c r="H12" s="14">
        <v>0</v>
      </c>
      <c r="I12" s="14">
        <v>0.20833333333333334</v>
      </c>
      <c r="J12" s="14">
        <v>0.41666666666666669</v>
      </c>
      <c r="K12" s="77">
        <v>0</v>
      </c>
      <c r="L12" s="24">
        <f t="shared" si="1"/>
        <v>1.25</v>
      </c>
      <c r="M12" s="24">
        <f t="shared" si="2"/>
        <v>1.25</v>
      </c>
    </row>
    <row r="13" spans="1:13">
      <c r="A13" s="1" t="s">
        <v>1</v>
      </c>
      <c r="B13" s="93" t="s">
        <v>28</v>
      </c>
      <c r="C13" s="107">
        <v>0</v>
      </c>
      <c r="D13" s="9">
        <v>0</v>
      </c>
      <c r="E13" s="24">
        <f t="shared" si="0"/>
        <v>0</v>
      </c>
      <c r="F13" s="59">
        <v>0</v>
      </c>
      <c r="G13" s="14">
        <v>0.375</v>
      </c>
      <c r="H13" s="14">
        <v>0</v>
      </c>
      <c r="I13" s="14">
        <v>0.41666666666666669</v>
      </c>
      <c r="J13" s="14">
        <v>0.58333333333333337</v>
      </c>
      <c r="K13" s="77">
        <v>0</v>
      </c>
      <c r="L13" s="24">
        <f t="shared" si="1"/>
        <v>1.375</v>
      </c>
      <c r="M13" s="24">
        <f t="shared" si="2"/>
        <v>1.375</v>
      </c>
    </row>
    <row r="14" spans="1:13">
      <c r="A14" s="1" t="s">
        <v>1</v>
      </c>
      <c r="B14" s="94" t="s">
        <v>29</v>
      </c>
      <c r="C14" s="108">
        <v>4.1666666666666664E-2</v>
      </c>
      <c r="D14" s="47">
        <v>0</v>
      </c>
      <c r="E14" s="48">
        <f t="shared" si="0"/>
        <v>4.1666666666666664E-2</v>
      </c>
      <c r="F14" s="60">
        <v>0.625</v>
      </c>
      <c r="G14" s="46">
        <v>0.16666666666666666</v>
      </c>
      <c r="H14" s="46">
        <v>0.45833333333333331</v>
      </c>
      <c r="I14" s="46">
        <v>0.33333333333333331</v>
      </c>
      <c r="J14" s="46">
        <v>0.20833333333333334</v>
      </c>
      <c r="K14" s="78">
        <v>0.58333333333333337</v>
      </c>
      <c r="L14" s="48">
        <f t="shared" si="1"/>
        <v>2.375</v>
      </c>
      <c r="M14" s="48">
        <f t="shared" si="2"/>
        <v>2.4166666666666665</v>
      </c>
    </row>
    <row r="15" spans="1:13">
      <c r="A15" s="1" t="s">
        <v>1</v>
      </c>
      <c r="B15" s="96" t="s">
        <v>30</v>
      </c>
      <c r="C15" s="109">
        <v>33.5</v>
      </c>
      <c r="D15" s="44">
        <v>1</v>
      </c>
      <c r="E15" s="45"/>
      <c r="F15" s="61">
        <v>13</v>
      </c>
      <c r="G15" s="43">
        <v>24</v>
      </c>
      <c r="H15" s="43">
        <v>8</v>
      </c>
      <c r="I15" s="43">
        <v>26</v>
      </c>
      <c r="J15" s="43">
        <v>29</v>
      </c>
      <c r="K15" s="79">
        <v>0</v>
      </c>
      <c r="L15" s="45">
        <f t="shared" si="1"/>
        <v>100</v>
      </c>
      <c r="M15" s="45"/>
    </row>
    <row r="16" spans="1:13">
      <c r="A16" s="1" t="s">
        <v>1</v>
      </c>
      <c r="B16" s="95" t="s">
        <v>31</v>
      </c>
      <c r="C16" s="110">
        <v>370000</v>
      </c>
      <c r="D16" s="50">
        <v>0</v>
      </c>
      <c r="E16" s="51">
        <f t="shared" si="0"/>
        <v>370000</v>
      </c>
      <c r="F16" s="62">
        <v>197000</v>
      </c>
      <c r="G16" s="49">
        <v>182000</v>
      </c>
      <c r="H16" s="49">
        <v>182000</v>
      </c>
      <c r="I16" s="49">
        <v>182000</v>
      </c>
      <c r="J16" s="49">
        <v>182000</v>
      </c>
      <c r="K16" s="80">
        <v>175000</v>
      </c>
      <c r="L16" s="51">
        <f t="shared" si="1"/>
        <v>1100000</v>
      </c>
      <c r="M16" s="51">
        <f t="shared" si="2"/>
        <v>1470000</v>
      </c>
    </row>
    <row r="17" spans="1:13">
      <c r="A17" s="1" t="s">
        <v>1</v>
      </c>
      <c r="B17" s="93" t="s">
        <v>32</v>
      </c>
      <c r="C17" s="111">
        <v>0</v>
      </c>
      <c r="D17" s="6">
        <v>0</v>
      </c>
      <c r="E17" s="25">
        <f t="shared" si="0"/>
        <v>0</v>
      </c>
      <c r="F17" s="63">
        <v>5000</v>
      </c>
      <c r="G17" s="15">
        <v>0</v>
      </c>
      <c r="H17" s="15">
        <v>0</v>
      </c>
      <c r="I17" s="15">
        <v>0</v>
      </c>
      <c r="J17" s="15">
        <v>0</v>
      </c>
      <c r="K17" s="81">
        <v>0</v>
      </c>
      <c r="L17" s="25">
        <f t="shared" si="1"/>
        <v>5000</v>
      </c>
      <c r="M17" s="25">
        <f t="shared" si="2"/>
        <v>5000</v>
      </c>
    </row>
    <row r="18" spans="1:13">
      <c r="A18" s="1" t="s">
        <v>1</v>
      </c>
      <c r="B18" s="93" t="s">
        <v>33</v>
      </c>
      <c r="C18" s="111">
        <v>0</v>
      </c>
      <c r="D18" s="6">
        <v>0</v>
      </c>
      <c r="E18" s="25">
        <f t="shared" si="0"/>
        <v>0</v>
      </c>
      <c r="F18" s="63">
        <v>0</v>
      </c>
      <c r="G18" s="15">
        <v>15000</v>
      </c>
      <c r="H18" s="15">
        <v>0</v>
      </c>
      <c r="I18" s="15">
        <v>0</v>
      </c>
      <c r="J18" s="15">
        <v>0</v>
      </c>
      <c r="K18" s="81">
        <v>0</v>
      </c>
      <c r="L18" s="25">
        <f t="shared" si="1"/>
        <v>15000</v>
      </c>
      <c r="M18" s="25">
        <f t="shared" si="2"/>
        <v>15000</v>
      </c>
    </row>
    <row r="19" spans="1:13">
      <c r="A19" s="1" t="s">
        <v>1</v>
      </c>
      <c r="B19" s="93" t="s">
        <v>34</v>
      </c>
      <c r="C19" s="111">
        <v>50000</v>
      </c>
      <c r="D19" s="6">
        <v>0</v>
      </c>
      <c r="E19" s="25">
        <f t="shared" si="0"/>
        <v>50000</v>
      </c>
      <c r="F19" s="63">
        <v>50000</v>
      </c>
      <c r="G19" s="15">
        <v>50000</v>
      </c>
      <c r="H19" s="15">
        <v>50000</v>
      </c>
      <c r="I19" s="15">
        <v>50000</v>
      </c>
      <c r="J19" s="15">
        <v>50000</v>
      </c>
      <c r="K19" s="81">
        <v>50000</v>
      </c>
      <c r="L19" s="25">
        <f t="shared" si="1"/>
        <v>300000</v>
      </c>
      <c r="M19" s="25">
        <f t="shared" si="2"/>
        <v>350000</v>
      </c>
    </row>
    <row r="20" spans="1:13">
      <c r="A20" s="1" t="s">
        <v>1</v>
      </c>
      <c r="B20" s="93" t="s">
        <v>35</v>
      </c>
      <c r="C20" s="111">
        <v>0</v>
      </c>
      <c r="D20" s="6">
        <v>90885</v>
      </c>
      <c r="E20" s="25">
        <f t="shared" si="0"/>
        <v>90885</v>
      </c>
      <c r="F20" s="63">
        <v>0</v>
      </c>
      <c r="G20" s="15">
        <v>0</v>
      </c>
      <c r="H20" s="15">
        <v>0</v>
      </c>
      <c r="I20" s="15">
        <v>0</v>
      </c>
      <c r="J20" s="15">
        <v>0</v>
      </c>
      <c r="K20" s="81">
        <v>0</v>
      </c>
      <c r="L20" s="25">
        <f t="shared" si="1"/>
        <v>0</v>
      </c>
      <c r="M20" s="25">
        <f t="shared" si="2"/>
        <v>90885</v>
      </c>
    </row>
    <row r="21" spans="1:13">
      <c r="A21" s="1" t="s">
        <v>1</v>
      </c>
      <c r="B21" s="93" t="s">
        <v>36</v>
      </c>
      <c r="C21" s="111">
        <v>0</v>
      </c>
      <c r="D21" s="6">
        <v>0</v>
      </c>
      <c r="E21" s="25">
        <f t="shared" si="0"/>
        <v>0</v>
      </c>
      <c r="F21" s="63">
        <v>3500</v>
      </c>
      <c r="G21" s="15">
        <v>2000</v>
      </c>
      <c r="H21" s="15">
        <v>3500</v>
      </c>
      <c r="I21" s="15">
        <v>3500</v>
      </c>
      <c r="J21" s="15">
        <v>3500</v>
      </c>
      <c r="K21" s="81">
        <v>0</v>
      </c>
      <c r="L21" s="25">
        <f t="shared" si="1"/>
        <v>16000</v>
      </c>
      <c r="M21" s="25">
        <f t="shared" si="2"/>
        <v>16000</v>
      </c>
    </row>
    <row r="22" spans="1:13">
      <c r="A22" s="1" t="s">
        <v>1</v>
      </c>
      <c r="B22" s="93" t="s">
        <v>37</v>
      </c>
      <c r="C22" s="111">
        <v>0</v>
      </c>
      <c r="D22" s="6">
        <v>0</v>
      </c>
      <c r="E22" s="25">
        <f t="shared" si="0"/>
        <v>0</v>
      </c>
      <c r="F22" s="63">
        <v>10500</v>
      </c>
      <c r="G22" s="15">
        <v>13500</v>
      </c>
      <c r="H22" s="15">
        <v>13000</v>
      </c>
      <c r="I22" s="15">
        <v>13000</v>
      </c>
      <c r="J22" s="15">
        <v>13000</v>
      </c>
      <c r="K22" s="81">
        <v>8000</v>
      </c>
      <c r="L22" s="25">
        <f t="shared" si="1"/>
        <v>71000</v>
      </c>
      <c r="M22" s="25">
        <f t="shared" si="2"/>
        <v>71000</v>
      </c>
    </row>
    <row r="23" spans="1:13">
      <c r="A23" s="1" t="s">
        <v>1</v>
      </c>
      <c r="B23" s="93" t="s">
        <v>26</v>
      </c>
      <c r="C23" s="111">
        <v>0</v>
      </c>
      <c r="D23" s="6">
        <v>0</v>
      </c>
      <c r="E23" s="25">
        <f t="shared" si="0"/>
        <v>0</v>
      </c>
      <c r="F23" s="63">
        <v>83622</v>
      </c>
      <c r="G23" s="15">
        <v>62880</v>
      </c>
      <c r="H23" s="15">
        <v>78120</v>
      </c>
      <c r="I23" s="15">
        <v>61380</v>
      </c>
      <c r="J23" s="15">
        <v>65100</v>
      </c>
      <c r="K23" s="81">
        <v>80224</v>
      </c>
      <c r="L23" s="25">
        <f t="shared" si="1"/>
        <v>431326</v>
      </c>
      <c r="M23" s="25">
        <f t="shared" si="2"/>
        <v>431326</v>
      </c>
    </row>
    <row r="24" spans="1:13">
      <c r="A24" s="1" t="s">
        <v>1</v>
      </c>
      <c r="B24" s="93" t="s">
        <v>38</v>
      </c>
      <c r="C24" s="111">
        <v>0</v>
      </c>
      <c r="D24" s="6">
        <v>0</v>
      </c>
      <c r="E24" s="25">
        <f t="shared" si="0"/>
        <v>0</v>
      </c>
      <c r="F24" s="63">
        <v>0</v>
      </c>
      <c r="G24" s="15">
        <v>31830</v>
      </c>
      <c r="H24" s="15">
        <v>0</v>
      </c>
      <c r="I24" s="15">
        <v>10045</v>
      </c>
      <c r="J24" s="15">
        <v>20090</v>
      </c>
      <c r="K24" s="81">
        <v>0</v>
      </c>
      <c r="L24" s="25">
        <f t="shared" si="1"/>
        <v>61965</v>
      </c>
      <c r="M24" s="25">
        <f t="shared" si="2"/>
        <v>61965</v>
      </c>
    </row>
    <row r="25" spans="1:13">
      <c r="A25" s="1" t="s">
        <v>1</v>
      </c>
      <c r="B25" s="93" t="s">
        <v>39</v>
      </c>
      <c r="C25" s="111">
        <v>0</v>
      </c>
      <c r="D25" s="6">
        <v>0</v>
      </c>
      <c r="E25" s="25">
        <f t="shared" si="0"/>
        <v>0</v>
      </c>
      <c r="F25" s="63">
        <v>0</v>
      </c>
      <c r="G25" s="15">
        <v>19098</v>
      </c>
      <c r="H25" s="15">
        <v>0</v>
      </c>
      <c r="I25" s="15">
        <v>20090</v>
      </c>
      <c r="J25" s="15">
        <v>28126</v>
      </c>
      <c r="K25" s="81">
        <v>0</v>
      </c>
      <c r="L25" s="25">
        <f t="shared" si="1"/>
        <v>67314</v>
      </c>
      <c r="M25" s="25">
        <f t="shared" si="2"/>
        <v>67314</v>
      </c>
    </row>
    <row r="26" spans="1:13">
      <c r="A26" s="1" t="s">
        <v>1</v>
      </c>
      <c r="B26" s="97" t="s">
        <v>29</v>
      </c>
      <c r="C26" s="112">
        <v>629</v>
      </c>
      <c r="D26" s="10">
        <v>0</v>
      </c>
      <c r="E26" s="26">
        <f t="shared" si="0"/>
        <v>629</v>
      </c>
      <c r="F26" s="64">
        <v>5970</v>
      </c>
      <c r="G26" s="16">
        <v>1572</v>
      </c>
      <c r="H26" s="16">
        <v>4092</v>
      </c>
      <c r="I26" s="16">
        <v>2976</v>
      </c>
      <c r="J26" s="16">
        <v>1860</v>
      </c>
      <c r="K26" s="82">
        <v>4886</v>
      </c>
      <c r="L26" s="26">
        <f t="shared" si="1"/>
        <v>21356</v>
      </c>
      <c r="M26" s="26">
        <f t="shared" si="2"/>
        <v>21985</v>
      </c>
    </row>
    <row r="27" spans="1:13">
      <c r="A27" s="1" t="s">
        <v>1</v>
      </c>
      <c r="B27" s="96" t="s">
        <v>40</v>
      </c>
      <c r="C27" s="113">
        <v>420629</v>
      </c>
      <c r="D27" s="4">
        <v>90885</v>
      </c>
      <c r="E27" s="27">
        <f t="shared" si="0"/>
        <v>511514</v>
      </c>
      <c r="F27" s="65">
        <v>355592</v>
      </c>
      <c r="G27" s="17">
        <v>377880</v>
      </c>
      <c r="H27" s="17">
        <v>330712</v>
      </c>
      <c r="I27" s="17">
        <v>342991</v>
      </c>
      <c r="J27" s="17">
        <v>363676</v>
      </c>
      <c r="K27" s="83">
        <v>318110</v>
      </c>
      <c r="L27" s="27">
        <f t="shared" si="1"/>
        <v>2088961</v>
      </c>
      <c r="M27" s="27">
        <f t="shared" si="2"/>
        <v>2600475</v>
      </c>
    </row>
    <row r="28" spans="1:13">
      <c r="A28" s="1" t="s">
        <v>1</v>
      </c>
      <c r="B28" s="98" t="s">
        <v>41</v>
      </c>
      <c r="C28" s="114">
        <v>11093</v>
      </c>
      <c r="D28" s="5">
        <v>4320</v>
      </c>
      <c r="E28" s="28">
        <f t="shared" si="0"/>
        <v>15413</v>
      </c>
      <c r="F28" s="66">
        <v>4366</v>
      </c>
      <c r="G28" s="18">
        <v>8731</v>
      </c>
      <c r="H28" s="18">
        <v>4210</v>
      </c>
      <c r="I28" s="18">
        <v>2876</v>
      </c>
      <c r="J28" s="18">
        <v>5393</v>
      </c>
      <c r="K28" s="84">
        <v>4622</v>
      </c>
      <c r="L28" s="28">
        <f t="shared" si="1"/>
        <v>30198</v>
      </c>
      <c r="M28" s="28">
        <f t="shared" si="2"/>
        <v>45611</v>
      </c>
    </row>
    <row r="29" spans="1:13">
      <c r="A29" s="1" t="s">
        <v>1</v>
      </c>
      <c r="B29" s="99" t="s">
        <v>42</v>
      </c>
      <c r="C29" s="115">
        <v>11093</v>
      </c>
      <c r="D29" s="29">
        <v>4320</v>
      </c>
      <c r="E29" s="30">
        <f t="shared" si="0"/>
        <v>15413</v>
      </c>
      <c r="F29" s="67">
        <v>4366</v>
      </c>
      <c r="G29" s="19">
        <v>8731</v>
      </c>
      <c r="H29" s="19">
        <v>4210</v>
      </c>
      <c r="I29" s="19">
        <v>2876</v>
      </c>
      <c r="J29" s="19">
        <v>5393</v>
      </c>
      <c r="K29" s="85">
        <v>4622</v>
      </c>
      <c r="L29" s="30">
        <f t="shared" si="1"/>
        <v>30198</v>
      </c>
      <c r="M29" s="30">
        <f t="shared" si="2"/>
        <v>45611</v>
      </c>
    </row>
    <row r="30" spans="1:13">
      <c r="A30" s="1" t="s">
        <v>1</v>
      </c>
      <c r="B30" s="96" t="s">
        <v>43</v>
      </c>
      <c r="C30" s="113">
        <v>431722</v>
      </c>
      <c r="D30" s="4">
        <v>95205</v>
      </c>
      <c r="E30" s="27">
        <f t="shared" si="0"/>
        <v>526927</v>
      </c>
      <c r="F30" s="65">
        <v>359958</v>
      </c>
      <c r="G30" s="17">
        <v>386611</v>
      </c>
      <c r="H30" s="17">
        <v>334922</v>
      </c>
      <c r="I30" s="17">
        <v>345867</v>
      </c>
      <c r="J30" s="17">
        <v>369069</v>
      </c>
      <c r="K30" s="83">
        <v>322732</v>
      </c>
      <c r="L30" s="27">
        <f t="shared" si="1"/>
        <v>2119159</v>
      </c>
      <c r="M30" s="27">
        <f t="shared" si="2"/>
        <v>2646086</v>
      </c>
    </row>
    <row r="31" spans="1:13">
      <c r="A31" s="1" t="s">
        <v>1</v>
      </c>
      <c r="B31" s="98" t="s">
        <v>44</v>
      </c>
      <c r="C31" s="114">
        <v>20910</v>
      </c>
      <c r="D31" s="5">
        <v>0</v>
      </c>
      <c r="E31" s="28">
        <f t="shared" si="0"/>
        <v>20910</v>
      </c>
      <c r="F31" s="66">
        <v>18360</v>
      </c>
      <c r="G31" s="18">
        <v>19380</v>
      </c>
      <c r="H31" s="18">
        <v>19380</v>
      </c>
      <c r="I31" s="18">
        <v>19380</v>
      </c>
      <c r="J31" s="18">
        <v>19380</v>
      </c>
      <c r="K31" s="84">
        <v>15300</v>
      </c>
      <c r="L31" s="28">
        <f t="shared" si="1"/>
        <v>111180</v>
      </c>
      <c r="M31" s="28">
        <f t="shared" si="2"/>
        <v>132090</v>
      </c>
    </row>
    <row r="32" spans="1:13">
      <c r="A32" s="1" t="s">
        <v>1</v>
      </c>
      <c r="B32" s="93" t="s">
        <v>45</v>
      </c>
      <c r="C32" s="111">
        <v>3690</v>
      </c>
      <c r="D32" s="6">
        <v>0</v>
      </c>
      <c r="E32" s="25">
        <f t="shared" si="0"/>
        <v>3690</v>
      </c>
      <c r="F32" s="63">
        <v>3240</v>
      </c>
      <c r="G32" s="15">
        <v>3420</v>
      </c>
      <c r="H32" s="15">
        <v>3420</v>
      </c>
      <c r="I32" s="15">
        <v>3420</v>
      </c>
      <c r="J32" s="15">
        <v>3420</v>
      </c>
      <c r="K32" s="81">
        <v>2700</v>
      </c>
      <c r="L32" s="25">
        <f t="shared" si="1"/>
        <v>19620</v>
      </c>
      <c r="M32" s="25">
        <f t="shared" si="2"/>
        <v>23310</v>
      </c>
    </row>
    <row r="33" spans="1:13">
      <c r="A33" s="1" t="s">
        <v>1</v>
      </c>
      <c r="B33" s="93" t="s">
        <v>46</v>
      </c>
      <c r="C33" s="111">
        <v>37515</v>
      </c>
      <c r="D33" s="6">
        <v>0</v>
      </c>
      <c r="E33" s="25">
        <f t="shared" si="0"/>
        <v>37515</v>
      </c>
      <c r="F33" s="63">
        <v>32940</v>
      </c>
      <c r="G33" s="15">
        <v>34770</v>
      </c>
      <c r="H33" s="15">
        <v>34770</v>
      </c>
      <c r="I33" s="15">
        <v>34770</v>
      </c>
      <c r="J33" s="15">
        <v>34770</v>
      </c>
      <c r="K33" s="81">
        <v>27450</v>
      </c>
      <c r="L33" s="25">
        <f t="shared" si="1"/>
        <v>199470</v>
      </c>
      <c r="M33" s="25">
        <f t="shared" si="2"/>
        <v>236985</v>
      </c>
    </row>
    <row r="34" spans="1:13">
      <c r="A34" s="1" t="s">
        <v>1</v>
      </c>
      <c r="B34" s="99" t="s">
        <v>47</v>
      </c>
      <c r="C34" s="115">
        <v>2590</v>
      </c>
      <c r="D34" s="29">
        <v>571</v>
      </c>
      <c r="E34" s="30">
        <f t="shared" si="0"/>
        <v>3161</v>
      </c>
      <c r="F34" s="67">
        <v>2160</v>
      </c>
      <c r="G34" s="19">
        <v>2320</v>
      </c>
      <c r="H34" s="19">
        <v>2010</v>
      </c>
      <c r="I34" s="19">
        <v>2075</v>
      </c>
      <c r="J34" s="19">
        <v>2214</v>
      </c>
      <c r="K34" s="85">
        <v>1936</v>
      </c>
      <c r="L34" s="30">
        <f t="shared" si="1"/>
        <v>12715</v>
      </c>
      <c r="M34" s="30">
        <f t="shared" si="2"/>
        <v>15876</v>
      </c>
    </row>
    <row r="35" spans="1:13">
      <c r="A35" s="1" t="s">
        <v>1</v>
      </c>
      <c r="B35" s="96" t="s">
        <v>48</v>
      </c>
      <c r="C35" s="113">
        <v>64705</v>
      </c>
      <c r="D35" s="4">
        <v>571</v>
      </c>
      <c r="E35" s="27">
        <f t="shared" si="0"/>
        <v>65276</v>
      </c>
      <c r="F35" s="65">
        <v>56700</v>
      </c>
      <c r="G35" s="17">
        <v>59890</v>
      </c>
      <c r="H35" s="17">
        <v>59580</v>
      </c>
      <c r="I35" s="17">
        <v>59645</v>
      </c>
      <c r="J35" s="17">
        <v>59784</v>
      </c>
      <c r="K35" s="83">
        <v>47386</v>
      </c>
      <c r="L35" s="27">
        <f t="shared" si="1"/>
        <v>342985</v>
      </c>
      <c r="M35" s="27">
        <f t="shared" si="2"/>
        <v>408261</v>
      </c>
    </row>
    <row r="36" spans="1:13">
      <c r="A36" s="1" t="s">
        <v>1</v>
      </c>
      <c r="B36" s="98" t="s">
        <v>49</v>
      </c>
      <c r="C36" s="114">
        <v>7390</v>
      </c>
      <c r="D36" s="5">
        <v>230</v>
      </c>
      <c r="E36" s="28">
        <f t="shared" si="0"/>
        <v>7620</v>
      </c>
      <c r="F36" s="66">
        <v>8300</v>
      </c>
      <c r="G36" s="18">
        <v>7460</v>
      </c>
      <c r="H36" s="18">
        <v>4070</v>
      </c>
      <c r="I36" s="18">
        <v>7740</v>
      </c>
      <c r="J36" s="18">
        <v>5260</v>
      </c>
      <c r="K36" s="84">
        <v>5680</v>
      </c>
      <c r="L36" s="28">
        <f t="shared" si="1"/>
        <v>38510</v>
      </c>
      <c r="M36" s="28">
        <f t="shared" si="2"/>
        <v>46130</v>
      </c>
    </row>
    <row r="37" spans="1:13">
      <c r="A37" s="1" t="s">
        <v>1</v>
      </c>
      <c r="B37" s="99" t="s">
        <v>50</v>
      </c>
      <c r="C37" s="115">
        <v>23700</v>
      </c>
      <c r="D37" s="29">
        <v>0</v>
      </c>
      <c r="E37" s="30">
        <f t="shared" si="0"/>
        <v>23700</v>
      </c>
      <c r="F37" s="67">
        <v>18300</v>
      </c>
      <c r="G37" s="19">
        <v>12900</v>
      </c>
      <c r="H37" s="19">
        <v>6500</v>
      </c>
      <c r="I37" s="19">
        <v>16400</v>
      </c>
      <c r="J37" s="19">
        <v>2700</v>
      </c>
      <c r="K37" s="85">
        <v>0</v>
      </c>
      <c r="L37" s="30">
        <f t="shared" si="1"/>
        <v>56800</v>
      </c>
      <c r="M37" s="30">
        <f t="shared" si="2"/>
        <v>80500</v>
      </c>
    </row>
    <row r="38" spans="1:13">
      <c r="A38" s="1" t="s">
        <v>1</v>
      </c>
      <c r="B38" s="96" t="s">
        <v>51</v>
      </c>
      <c r="C38" s="113">
        <v>95795</v>
      </c>
      <c r="D38" s="4">
        <v>801</v>
      </c>
      <c r="E38" s="27">
        <f t="shared" si="0"/>
        <v>96596</v>
      </c>
      <c r="F38" s="65">
        <v>83300</v>
      </c>
      <c r="G38" s="17">
        <v>80250</v>
      </c>
      <c r="H38" s="17">
        <v>70150</v>
      </c>
      <c r="I38" s="17">
        <v>83785</v>
      </c>
      <c r="J38" s="17">
        <v>67744</v>
      </c>
      <c r="K38" s="83">
        <v>53066</v>
      </c>
      <c r="L38" s="27">
        <f t="shared" si="1"/>
        <v>438295</v>
      </c>
      <c r="M38" s="27">
        <f t="shared" si="2"/>
        <v>534891</v>
      </c>
    </row>
    <row r="39" spans="1:13">
      <c r="A39" s="1" t="s">
        <v>1</v>
      </c>
      <c r="B39" s="96" t="s">
        <v>52</v>
      </c>
      <c r="C39" s="113">
        <v>355924</v>
      </c>
      <c r="D39" s="4">
        <v>90314</v>
      </c>
      <c r="E39" s="27">
        <f t="shared" si="0"/>
        <v>446238</v>
      </c>
      <c r="F39" s="65">
        <v>298892</v>
      </c>
      <c r="G39" s="17">
        <v>317990</v>
      </c>
      <c r="H39" s="17">
        <v>271132</v>
      </c>
      <c r="I39" s="17">
        <v>283346</v>
      </c>
      <c r="J39" s="17">
        <v>303892</v>
      </c>
      <c r="K39" s="83">
        <v>270724</v>
      </c>
      <c r="L39" s="27">
        <f t="shared" si="1"/>
        <v>1745976</v>
      </c>
      <c r="M39" s="27">
        <f t="shared" si="2"/>
        <v>2192214</v>
      </c>
    </row>
    <row r="40" spans="1:13">
      <c r="A40" s="1" t="s">
        <v>1</v>
      </c>
      <c r="B40" s="96" t="s">
        <v>53</v>
      </c>
      <c r="C40" s="113">
        <v>335927</v>
      </c>
      <c r="D40" s="4">
        <v>94404</v>
      </c>
      <c r="E40" s="27">
        <f t="shared" si="0"/>
        <v>430331</v>
      </c>
      <c r="F40" s="65">
        <v>276658</v>
      </c>
      <c r="G40" s="17">
        <v>306361</v>
      </c>
      <c r="H40" s="17">
        <v>264772</v>
      </c>
      <c r="I40" s="17">
        <v>262082</v>
      </c>
      <c r="J40" s="17">
        <v>301325</v>
      </c>
      <c r="K40" s="83">
        <v>269666</v>
      </c>
      <c r="L40" s="27">
        <f t="shared" si="1"/>
        <v>1680864</v>
      </c>
      <c r="M40" s="27">
        <f t="shared" si="2"/>
        <v>2111195</v>
      </c>
    </row>
    <row r="41" spans="1:13">
      <c r="A41" s="1" t="s">
        <v>1</v>
      </c>
      <c r="B41" s="96" t="s">
        <v>54</v>
      </c>
      <c r="C41" s="113">
        <v>335927</v>
      </c>
      <c r="D41" s="4">
        <v>94404</v>
      </c>
      <c r="E41" s="27">
        <f t="shared" si="0"/>
        <v>430331</v>
      </c>
      <c r="F41" s="65">
        <v>276658</v>
      </c>
      <c r="G41" s="17">
        <v>306361</v>
      </c>
      <c r="H41" s="17">
        <v>264772</v>
      </c>
      <c r="I41" s="17">
        <v>262082</v>
      </c>
      <c r="J41" s="17">
        <v>301325</v>
      </c>
      <c r="K41" s="83">
        <v>269666</v>
      </c>
      <c r="L41" s="27">
        <f t="shared" si="1"/>
        <v>1680864</v>
      </c>
      <c r="M41" s="27">
        <f t="shared" si="2"/>
        <v>2111195</v>
      </c>
    </row>
    <row r="42" spans="1:13">
      <c r="A42" s="1" t="s">
        <v>1</v>
      </c>
      <c r="B42" s="96" t="s">
        <v>55</v>
      </c>
      <c r="C42" s="113">
        <v>2</v>
      </c>
      <c r="D42" s="4">
        <v>0</v>
      </c>
      <c r="E42" s="27"/>
      <c r="F42" s="65">
        <v>0</v>
      </c>
      <c r="G42" s="17">
        <v>1</v>
      </c>
      <c r="H42" s="17">
        <v>2</v>
      </c>
      <c r="I42" s="17">
        <v>0</v>
      </c>
      <c r="J42" s="17">
        <v>2</v>
      </c>
      <c r="K42" s="83">
        <v>1</v>
      </c>
      <c r="L42" s="27"/>
      <c r="M42" s="27"/>
    </row>
    <row r="43" spans="1:13">
      <c r="A43" s="1" t="s">
        <v>1</v>
      </c>
      <c r="B43" s="96" t="s">
        <v>56</v>
      </c>
      <c r="C43" s="116" t="s">
        <v>57</v>
      </c>
      <c r="D43" s="35" t="s">
        <v>57</v>
      </c>
      <c r="E43" s="36"/>
      <c r="F43" s="68" t="s">
        <v>57</v>
      </c>
      <c r="G43" s="34" t="s">
        <v>57</v>
      </c>
      <c r="H43" s="34" t="s">
        <v>57</v>
      </c>
      <c r="I43" s="34" t="s">
        <v>57</v>
      </c>
      <c r="J43" s="34" t="s">
        <v>57</v>
      </c>
      <c r="K43" s="86" t="s">
        <v>57</v>
      </c>
      <c r="L43" s="36"/>
      <c r="M43" s="36"/>
    </row>
    <row r="44" spans="1:13" ht="19.5" thickBot="1">
      <c r="A44" s="1" t="s">
        <v>1</v>
      </c>
      <c r="B44" s="100" t="s">
        <v>58</v>
      </c>
      <c r="C44" s="117">
        <v>7390</v>
      </c>
      <c r="D44" s="32">
        <v>230</v>
      </c>
      <c r="E44" s="33">
        <f t="shared" si="0"/>
        <v>7620</v>
      </c>
      <c r="F44" s="69">
        <v>8300</v>
      </c>
      <c r="G44" s="31">
        <v>7460</v>
      </c>
      <c r="H44" s="31">
        <v>4070</v>
      </c>
      <c r="I44" s="31">
        <v>7740</v>
      </c>
      <c r="J44" s="31">
        <v>5260</v>
      </c>
      <c r="K44" s="87">
        <v>5680</v>
      </c>
      <c r="L44" s="33">
        <f t="shared" si="1"/>
        <v>38510</v>
      </c>
      <c r="M44" s="33">
        <f t="shared" si="2"/>
        <v>46130</v>
      </c>
    </row>
  </sheetData>
  <phoneticPr fontId="4"/>
  <pageMargins left="0.31496062992125984" right="0.70866141732283472" top="0.15748031496062992" bottom="0.15748031496062992" header="0.11811023622047245" footer="0.11811023622047245"/>
  <pageSetup paperSize="12" scale="8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2025年 2月度給与 (2)</vt:lpstr>
      <vt:lpstr>'2025年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2025-03-06T01:55:21Z</cp:lastPrinted>
  <dcterms:created xsi:type="dcterms:W3CDTF">2025-03-04T04:21:25Z</dcterms:created>
  <dcterms:modified xsi:type="dcterms:W3CDTF">2025-03-10T00:58:26Z</dcterms:modified>
</cp:coreProperties>
</file>