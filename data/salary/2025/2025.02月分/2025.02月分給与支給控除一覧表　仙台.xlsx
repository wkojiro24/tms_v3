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2月分\"/>
    </mc:Choice>
  </mc:AlternateContent>
  <xr:revisionPtr revIDLastSave="0" documentId="13_ncr:1_{40B0C4DE-805D-431F-BA80-9CECD070C864}" xr6:coauthVersionLast="47" xr6:coauthVersionMax="47" xr10:uidLastSave="{00000000-0000-0000-0000-000000000000}"/>
  <bookViews>
    <workbookView xWindow="-120" yWindow="-120" windowWidth="20730" windowHeight="11040" xr2:uid="{9CA846BB-959E-4BFF-89A8-F60F09150C29}"/>
  </bookViews>
  <sheets>
    <sheet name="2025年 2月度給与 (2)" sheetId="3" r:id="rId1"/>
  </sheets>
  <definedNames>
    <definedName name="_xlnm.Print_Area" localSheetId="0">'2025年 2月度給与 (2)'!$A$1:$O$47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O8" i="3"/>
  <c r="O9" i="3"/>
  <c r="O19" i="3"/>
  <c r="O20" i="3"/>
  <c r="O21" i="3"/>
  <c r="O22" i="3"/>
  <c r="O31" i="3"/>
  <c r="O32" i="3"/>
  <c r="O33" i="3"/>
  <c r="O34" i="3"/>
  <c r="O43" i="3"/>
  <c r="O44" i="3"/>
  <c r="O47" i="3"/>
  <c r="O5" i="3"/>
  <c r="N6" i="3"/>
  <c r="N7" i="3"/>
  <c r="N8" i="3"/>
  <c r="N9" i="3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8" i="3"/>
  <c r="O18" i="3" s="1"/>
  <c r="N19" i="3"/>
  <c r="N20" i="3"/>
  <c r="N21" i="3"/>
  <c r="N22" i="3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N32" i="3"/>
  <c r="N33" i="3"/>
  <c r="N34" i="3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N44" i="3"/>
  <c r="N47" i="3"/>
  <c r="N5" i="3"/>
  <c r="F6" i="3"/>
  <c r="F7" i="3"/>
  <c r="F8" i="3"/>
  <c r="F9" i="3"/>
  <c r="F10" i="3"/>
  <c r="F11" i="3"/>
  <c r="F12" i="3"/>
  <c r="F13" i="3"/>
  <c r="F14" i="3"/>
  <c r="F15" i="3"/>
  <c r="F16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7" i="3"/>
  <c r="F5" i="3"/>
</calcChain>
</file>

<file path=xl/sharedStrings.xml><?xml version="1.0" encoding="utf-8"?>
<sst xmlns="http://schemas.openxmlformats.org/spreadsheetml/2006/main" count="125" uniqueCount="70">
  <si>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</si>
  <si>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</si>
  <si>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</si>
  <si>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</si>
  <si>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</si>
  <si>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</si>
  <si>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</si>
  <si>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</si>
  <si>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</si>
  <si>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</si>
  <si>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</si>
  <si>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</si>
  <si>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</si>
  <si>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</si>
  <si>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</si>
  <si>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</si>
  <si>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</si>
  <si>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禎尚</t>
    <phoneticPr fontId="4"/>
  </si>
  <si>
    <t>土谷　栄</t>
    <phoneticPr fontId="4"/>
  </si>
  <si>
    <t>白井　博</t>
    <phoneticPr fontId="4"/>
  </si>
  <si>
    <t>鈴木　大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</si>
  <si>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</si>
  <si>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</si>
  <si>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</si>
  <si>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</si>
  <si>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</si>
  <si>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</si>
  <si>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</si>
  <si>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</si>
  <si>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</si>
  <si>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</si>
  <si>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</si>
  <si>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</si>
  <si>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</si>
  <si>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</si>
  <si>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</si>
  <si>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</si>
  <si>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</si>
  <si>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</si>
  <si>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</si>
  <si>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</si>
  <si>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</si>
  <si>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</si>
  <si>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</si>
  <si>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</si>
  <si>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</si>
  <si>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</si>
  <si>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</si>
  <si>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</si>
  <si>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</si>
  <si>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</si>
  <si>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</si>
  <si>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</si>
  <si>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</si>
  <si>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</si>
  <si>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</si>
  <si>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</si>
  <si>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</si>
  <si>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</si>
  <si>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</si>
  <si>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</si>
  <si>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</si>
  <si>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</si>
  <si>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2月度給与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</si>
  <si>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</si>
  <si>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</si>
  <si>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</si>
  <si>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</si>
  <si>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</si>
  <si>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１０名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</si>
</sst>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676B2A18-E8E2-467F-8DDF-56A8DA5A3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5EEF-EB19-43F3-8F76-6C4A8E8762DA}">
  <sheetPr>
    <pageSetUpPr fitToPage="1"/>
  </sheetPr>
  <dimension ref="A1:O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5" width="11.8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9" width="9" style="2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5" width="9" style="2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1" width="9" style="2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7" width="9" style="2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3" width="9" style="2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9" width="9" style="2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5" width="9" style="2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1" width="9" style="2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7" width="9" style="2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3" width="9" style="2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9" width="9" style="2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5" width="9" style="2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1" width="9" style="2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7" width="9" style="2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3" width="9" style="2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9" width="9" style="2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5" width="9" style="2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1" width="9" style="2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7" width="9" style="2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3" width="9" style="2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9" width="9" style="2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5" width="9" style="2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1" width="9" style="2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7" width="9" style="2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3" width="9" style="2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9" width="9" style="2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5" width="9" style="2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1" width="9" style="2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7" width="9" style="2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3" width="9" style="2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9" width="9" style="2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5" width="9" style="2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1" width="9" style="2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7" width="9" style="2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3" width="9" style="2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9" width="9" style="2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5" width="9" style="2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1" width="9" style="2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7" width="9" style="2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3" width="9" style="2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9" width="9" style="2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5" width="9" style="2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1" width="9" style="2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7" width="9" style="2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3" width="9" style="2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9" width="9" style="2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5" width="9" style="2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1" width="9" style="2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7" width="9" style="2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3" width="9" style="2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9" width="9" style="2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5" width="9" style="2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1" width="9" style="2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7" width="9" style="2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3" width="9" style="2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9" width="9" style="2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5" width="9" style="2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1" width="9" style="2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7" width="9" style="2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3" width="9" style="2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9" width="9" style="2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5" width="9" style="2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1" width="9" style="2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63</v>
      </c>
    </row>
    <row r="3" spans="1:15">
      <c r="B3" s="5"/>
      <c r="C3" s="10" t="s">
        <v>5</v>
      </c>
      <c r="D3" s="10" t="s">
        <v>7</v>
      </c>
      <c r="E3" s="54" t="s">
        <v>6</v>
      </c>
      <c r="F3" s="67" t="s">
        <v>66</v>
      </c>
      <c r="G3" s="9" t="s">
        <v>2</v>
      </c>
      <c r="H3" s="10" t="s">
        <v>3</v>
      </c>
      <c r="I3" s="10" t="s">
        <v>4</v>
      </c>
      <c r="J3" s="10" t="s">
        <v>8</v>
      </c>
      <c r="K3" s="10" t="s">
        <v>9</v>
      </c>
      <c r="L3" s="10" t="s">
        <v>10</v>
      </c>
      <c r="M3" s="11" t="s">
        <v>11</v>
      </c>
      <c r="N3" s="52" t="s">
        <v>66</v>
      </c>
      <c r="O3" s="6" t="s">
        <v>21</v>
      </c>
    </row>
    <row r="4" spans="1:15" ht="19.5" thickBot="1">
      <c r="B4" s="4" t="s">
        <v>12</v>
      </c>
      <c r="C4" s="13" t="s">
        <v>16</v>
      </c>
      <c r="D4" s="13" t="s">
        <v>17</v>
      </c>
      <c r="E4" s="55" t="s">
        <v>64</v>
      </c>
      <c r="F4" s="68" t="s">
        <v>67</v>
      </c>
      <c r="G4" s="12" t="s">
        <v>13</v>
      </c>
      <c r="H4" s="13" t="s">
        <v>14</v>
      </c>
      <c r="I4" s="13" t="s">
        <v>15</v>
      </c>
      <c r="J4" s="13" t="s">
        <v>18</v>
      </c>
      <c r="K4" s="13" t="s">
        <v>65</v>
      </c>
      <c r="L4" s="13" t="s">
        <v>19</v>
      </c>
      <c r="M4" s="14" t="s">
        <v>20</v>
      </c>
      <c r="N4" s="53" t="s">
        <v>68</v>
      </c>
      <c r="O4" s="3" t="s">
        <v>69</v>
      </c>
    </row>
    <row r="5" spans="1:15">
      <c r="A5" s="1" t="s">
        <v>1</v>
      </c>
      <c r="B5" s="35" t="s">
        <v>22</v>
      </c>
      <c r="C5" s="37">
        <v>17</v>
      </c>
      <c r="D5" s="37">
        <v>17</v>
      </c>
      <c r="E5" s="56">
        <v>17</v>
      </c>
      <c r="F5" s="69">
        <f>SUM(C5:E5)</f>
        <v>51</v>
      </c>
      <c r="G5" s="36">
        <v>18</v>
      </c>
      <c r="H5" s="37">
        <v>14</v>
      </c>
      <c r="I5" s="37">
        <v>15</v>
      </c>
      <c r="J5" s="37">
        <v>18</v>
      </c>
      <c r="K5" s="37">
        <v>18</v>
      </c>
      <c r="L5" s="37">
        <v>17</v>
      </c>
      <c r="M5" s="38">
        <v>18</v>
      </c>
      <c r="N5" s="38">
        <f>SUM(G5:M5)</f>
        <v>118</v>
      </c>
      <c r="O5" s="38">
        <f>SUM(N5,F5)</f>
        <v>169</v>
      </c>
    </row>
    <row r="6" spans="1:15">
      <c r="A6" s="1" t="s">
        <v>1</v>
      </c>
      <c r="B6" s="39" t="s">
        <v>23</v>
      </c>
      <c r="C6" s="41">
        <v>0</v>
      </c>
      <c r="D6" s="41">
        <v>0</v>
      </c>
      <c r="E6" s="57">
        <v>4</v>
      </c>
      <c r="F6" s="70">
        <f t="shared" ref="F6:F47" si="0">SUM(C6:E6)</f>
        <v>4</v>
      </c>
      <c r="G6" s="40">
        <v>1</v>
      </c>
      <c r="H6" s="41">
        <v>2</v>
      </c>
      <c r="I6" s="41">
        <v>3</v>
      </c>
      <c r="J6" s="41">
        <v>4</v>
      </c>
      <c r="K6" s="41">
        <v>4</v>
      </c>
      <c r="L6" s="41">
        <v>1</v>
      </c>
      <c r="M6" s="42">
        <v>2</v>
      </c>
      <c r="N6" s="42">
        <f t="shared" ref="N6:N47" si="1">SUM(G6:M6)</f>
        <v>17</v>
      </c>
      <c r="O6" s="42">
        <f t="shared" ref="O6:O47" si="2">SUM(N6,F6)</f>
        <v>21</v>
      </c>
    </row>
    <row r="7" spans="1:15">
      <c r="A7" s="1" t="s">
        <v>1</v>
      </c>
      <c r="B7" s="39" t="s">
        <v>24</v>
      </c>
      <c r="C7" s="41">
        <v>0</v>
      </c>
      <c r="D7" s="41">
        <v>0</v>
      </c>
      <c r="E7" s="57">
        <v>0</v>
      </c>
      <c r="F7" s="70">
        <f t="shared" si="0"/>
        <v>0</v>
      </c>
      <c r="G7" s="40">
        <v>3</v>
      </c>
      <c r="H7" s="41">
        <v>6</v>
      </c>
      <c r="I7" s="41">
        <v>5</v>
      </c>
      <c r="J7" s="41">
        <v>1</v>
      </c>
      <c r="K7" s="41">
        <v>2</v>
      </c>
      <c r="L7" s="41">
        <v>2</v>
      </c>
      <c r="M7" s="42">
        <v>2</v>
      </c>
      <c r="N7" s="42">
        <f t="shared" si="1"/>
        <v>21</v>
      </c>
      <c r="O7" s="42">
        <f t="shared" si="2"/>
        <v>21</v>
      </c>
    </row>
    <row r="8" spans="1:15">
      <c r="A8" s="1" t="s">
        <v>1</v>
      </c>
      <c r="B8" s="39" t="s">
        <v>25</v>
      </c>
      <c r="C8" s="41">
        <v>0</v>
      </c>
      <c r="D8" s="41">
        <v>0</v>
      </c>
      <c r="E8" s="57">
        <v>0</v>
      </c>
      <c r="F8" s="70">
        <f t="shared" si="0"/>
        <v>0</v>
      </c>
      <c r="G8" s="40">
        <v>0</v>
      </c>
      <c r="H8" s="41">
        <v>4</v>
      </c>
      <c r="I8" s="41">
        <v>2</v>
      </c>
      <c r="J8" s="41">
        <v>0</v>
      </c>
      <c r="K8" s="41">
        <v>0</v>
      </c>
      <c r="L8" s="41">
        <v>1</v>
      </c>
      <c r="M8" s="42">
        <v>0</v>
      </c>
      <c r="N8" s="42">
        <f t="shared" si="1"/>
        <v>7</v>
      </c>
      <c r="O8" s="42">
        <f t="shared" si="2"/>
        <v>7</v>
      </c>
    </row>
    <row r="9" spans="1:15">
      <c r="A9" s="1" t="s">
        <v>1</v>
      </c>
      <c r="B9" s="39" t="s">
        <v>26</v>
      </c>
      <c r="C9" s="41">
        <v>0.5</v>
      </c>
      <c r="D9" s="41">
        <v>0</v>
      </c>
      <c r="E9" s="57">
        <v>1</v>
      </c>
      <c r="F9" s="70">
        <f t="shared" si="0"/>
        <v>1.5</v>
      </c>
      <c r="G9" s="40">
        <v>0</v>
      </c>
      <c r="H9" s="41">
        <v>0</v>
      </c>
      <c r="I9" s="41">
        <v>1</v>
      </c>
      <c r="J9" s="41">
        <v>0</v>
      </c>
      <c r="K9" s="41">
        <v>0</v>
      </c>
      <c r="L9" s="41">
        <v>0</v>
      </c>
      <c r="M9" s="42">
        <v>0</v>
      </c>
      <c r="N9" s="42">
        <f t="shared" si="1"/>
        <v>1</v>
      </c>
      <c r="O9" s="42">
        <f t="shared" si="2"/>
        <v>2.5</v>
      </c>
    </row>
    <row r="10" spans="1:15">
      <c r="A10" s="1" t="s">
        <v>1</v>
      </c>
      <c r="B10" s="39" t="s">
        <v>27</v>
      </c>
      <c r="C10" s="44">
        <v>0</v>
      </c>
      <c r="D10" s="44">
        <v>0</v>
      </c>
      <c r="E10" s="58">
        <v>0.125</v>
      </c>
      <c r="F10" s="71">
        <f t="shared" si="0"/>
        <v>0.125</v>
      </c>
      <c r="G10" s="43">
        <v>2.125</v>
      </c>
      <c r="H10" s="44">
        <v>0.33333333333333331</v>
      </c>
      <c r="I10" s="44">
        <v>1.125</v>
      </c>
      <c r="J10" s="44">
        <v>2.25</v>
      </c>
      <c r="K10" s="44">
        <v>2.2916666666666665</v>
      </c>
      <c r="L10" s="44">
        <v>1.4166666666666667</v>
      </c>
      <c r="M10" s="45">
        <v>1.6666666666666665</v>
      </c>
      <c r="N10" s="45">
        <f t="shared" si="1"/>
        <v>11.208333333333332</v>
      </c>
      <c r="O10" s="45">
        <f t="shared" si="2"/>
        <v>11.333333333333332</v>
      </c>
    </row>
    <row r="11" spans="1:15">
      <c r="A11" s="1" t="s">
        <v>1</v>
      </c>
      <c r="B11" s="39" t="s">
        <v>28</v>
      </c>
      <c r="C11" s="44">
        <v>0</v>
      </c>
      <c r="D11" s="44">
        <v>0</v>
      </c>
      <c r="E11" s="58">
        <v>1.125</v>
      </c>
      <c r="F11" s="71">
        <f t="shared" si="0"/>
        <v>1.125</v>
      </c>
      <c r="G11" s="43">
        <v>0.5</v>
      </c>
      <c r="H11" s="44">
        <v>0.33333333333333331</v>
      </c>
      <c r="I11" s="44">
        <v>0.79166666666666663</v>
      </c>
      <c r="J11" s="44">
        <v>1.6666666666666665</v>
      </c>
      <c r="K11" s="44">
        <v>1.8333333333333335</v>
      </c>
      <c r="L11" s="44">
        <v>0.375</v>
      </c>
      <c r="M11" s="45">
        <v>0.91666666666666663</v>
      </c>
      <c r="N11" s="45">
        <f t="shared" si="1"/>
        <v>6.416666666666667</v>
      </c>
      <c r="O11" s="45">
        <f t="shared" si="2"/>
        <v>7.541666666666667</v>
      </c>
    </row>
    <row r="12" spans="1:15">
      <c r="A12" s="1" t="s">
        <v>1</v>
      </c>
      <c r="B12" s="39" t="s">
        <v>29</v>
      </c>
      <c r="C12" s="44">
        <v>0</v>
      </c>
      <c r="D12" s="44">
        <v>0</v>
      </c>
      <c r="E12" s="58">
        <v>0</v>
      </c>
      <c r="F12" s="71">
        <f t="shared" si="0"/>
        <v>0</v>
      </c>
      <c r="G12" s="43">
        <v>1.2083333333333333</v>
      </c>
      <c r="H12" s="44">
        <v>1.0416666666666667</v>
      </c>
      <c r="I12" s="44">
        <v>1.5416666666666665</v>
      </c>
      <c r="J12" s="44">
        <v>0.45833333333333331</v>
      </c>
      <c r="K12" s="44">
        <v>0.875</v>
      </c>
      <c r="L12" s="44">
        <v>0.29166666666666669</v>
      </c>
      <c r="M12" s="45">
        <v>0.79166666666666663</v>
      </c>
      <c r="N12" s="45">
        <f t="shared" si="1"/>
        <v>6.2083333333333339</v>
      </c>
      <c r="O12" s="45">
        <f t="shared" si="2"/>
        <v>6.2083333333333339</v>
      </c>
    </row>
    <row r="13" spans="1:15">
      <c r="A13" s="1" t="s">
        <v>1</v>
      </c>
      <c r="B13" s="39" t="s">
        <v>30</v>
      </c>
      <c r="C13" s="44">
        <v>0</v>
      </c>
      <c r="D13" s="44">
        <v>0</v>
      </c>
      <c r="E13" s="58">
        <v>0</v>
      </c>
      <c r="F13" s="71">
        <f t="shared" si="0"/>
        <v>0</v>
      </c>
      <c r="G13" s="43">
        <v>0</v>
      </c>
      <c r="H13" s="44">
        <v>0.33333333333333331</v>
      </c>
      <c r="I13" s="44">
        <v>0.375</v>
      </c>
      <c r="J13" s="44">
        <v>0</v>
      </c>
      <c r="K13" s="44">
        <v>0</v>
      </c>
      <c r="L13" s="44">
        <v>0</v>
      </c>
      <c r="M13" s="45">
        <v>0</v>
      </c>
      <c r="N13" s="45">
        <f t="shared" si="1"/>
        <v>0.70833333333333326</v>
      </c>
      <c r="O13" s="45">
        <f t="shared" si="2"/>
        <v>0.70833333333333326</v>
      </c>
    </row>
    <row r="14" spans="1:15">
      <c r="A14" s="1" t="s">
        <v>1</v>
      </c>
      <c r="B14" s="39" t="s">
        <v>31</v>
      </c>
      <c r="C14" s="44">
        <v>0</v>
      </c>
      <c r="D14" s="44">
        <v>0</v>
      </c>
      <c r="E14" s="58">
        <v>0</v>
      </c>
      <c r="F14" s="71">
        <f t="shared" si="0"/>
        <v>0</v>
      </c>
      <c r="G14" s="43">
        <v>0</v>
      </c>
      <c r="H14" s="44">
        <v>1.0416666666666667</v>
      </c>
      <c r="I14" s="44">
        <v>0.375</v>
      </c>
      <c r="J14" s="44">
        <v>0</v>
      </c>
      <c r="K14" s="44">
        <v>0</v>
      </c>
      <c r="L14" s="44">
        <v>0.29166666666666669</v>
      </c>
      <c r="M14" s="45">
        <v>0</v>
      </c>
      <c r="N14" s="45">
        <f t="shared" si="1"/>
        <v>1.7083333333333335</v>
      </c>
      <c r="O14" s="45">
        <f t="shared" si="2"/>
        <v>1.7083333333333335</v>
      </c>
    </row>
    <row r="15" spans="1:15">
      <c r="A15" s="1" t="s">
        <v>1</v>
      </c>
      <c r="B15" s="39" t="s">
        <v>32</v>
      </c>
      <c r="C15" s="44">
        <v>0</v>
      </c>
      <c r="D15" s="44">
        <v>0</v>
      </c>
      <c r="E15" s="58">
        <v>0.33333333333333331</v>
      </c>
      <c r="F15" s="71">
        <f t="shared" si="0"/>
        <v>0.33333333333333331</v>
      </c>
      <c r="G15" s="43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5">
        <v>0</v>
      </c>
      <c r="N15" s="45">
        <f t="shared" si="1"/>
        <v>0</v>
      </c>
      <c r="O15" s="45">
        <f t="shared" si="2"/>
        <v>0.33333333333333331</v>
      </c>
    </row>
    <row r="16" spans="1:15">
      <c r="A16" s="1" t="s">
        <v>1</v>
      </c>
      <c r="B16" s="7" t="s">
        <v>33</v>
      </c>
      <c r="C16" s="16">
        <v>0.16666666666666666</v>
      </c>
      <c r="D16" s="16">
        <v>0</v>
      </c>
      <c r="E16" s="59">
        <v>0</v>
      </c>
      <c r="F16" s="72">
        <f t="shared" si="0"/>
        <v>0.16666666666666666</v>
      </c>
      <c r="G16" s="15">
        <v>1.2083333333333333</v>
      </c>
      <c r="H16" s="16">
        <v>3.0416666666666665</v>
      </c>
      <c r="I16" s="16">
        <v>3.125</v>
      </c>
      <c r="J16" s="16">
        <v>1.0833333333333333</v>
      </c>
      <c r="K16" s="16">
        <v>1.2916666666666667</v>
      </c>
      <c r="L16" s="16">
        <v>0.70833333333333337</v>
      </c>
      <c r="M16" s="17">
        <v>0.875</v>
      </c>
      <c r="N16" s="17">
        <f t="shared" si="1"/>
        <v>11.333333333333334</v>
      </c>
      <c r="O16" s="17">
        <f t="shared" si="2"/>
        <v>11.5</v>
      </c>
    </row>
    <row r="17" spans="1:15">
      <c r="A17" s="1" t="s">
        <v>1</v>
      </c>
      <c r="B17" s="24" t="s">
        <v>34</v>
      </c>
      <c r="C17" s="26">
        <v>35</v>
      </c>
      <c r="D17" s="26">
        <v>16</v>
      </c>
      <c r="E17" s="60">
        <v>20.5</v>
      </c>
      <c r="F17" s="73"/>
      <c r="G17" s="25">
        <v>28</v>
      </c>
      <c r="H17" s="26">
        <v>21</v>
      </c>
      <c r="I17" s="26">
        <v>15</v>
      </c>
      <c r="J17" s="26">
        <v>9</v>
      </c>
      <c r="K17" s="26">
        <v>5</v>
      </c>
      <c r="L17" s="26">
        <v>7</v>
      </c>
      <c r="M17" s="27">
        <v>0</v>
      </c>
      <c r="N17" s="27"/>
      <c r="O17" s="27"/>
    </row>
    <row r="18" spans="1:15">
      <c r="A18" s="1" t="s">
        <v>1</v>
      </c>
      <c r="B18" s="31" t="s">
        <v>35</v>
      </c>
      <c r="C18" s="33">
        <v>370000</v>
      </c>
      <c r="D18" s="33">
        <v>360000</v>
      </c>
      <c r="E18" s="61">
        <v>180000</v>
      </c>
      <c r="F18" s="74">
        <f t="shared" si="0"/>
        <v>910000</v>
      </c>
      <c r="G18" s="32">
        <v>187000</v>
      </c>
      <c r="H18" s="33">
        <v>187000</v>
      </c>
      <c r="I18" s="33">
        <v>182000</v>
      </c>
      <c r="J18" s="33">
        <v>182000</v>
      </c>
      <c r="K18" s="33">
        <v>182000</v>
      </c>
      <c r="L18" s="33">
        <v>175000</v>
      </c>
      <c r="M18" s="34">
        <v>175000</v>
      </c>
      <c r="N18" s="34">
        <f t="shared" si="1"/>
        <v>1270000</v>
      </c>
      <c r="O18" s="34">
        <f t="shared" si="2"/>
        <v>2180000</v>
      </c>
    </row>
    <row r="19" spans="1:15">
      <c r="A19" s="1" t="s">
        <v>1</v>
      </c>
      <c r="B19" s="39" t="s">
        <v>36</v>
      </c>
      <c r="C19" s="47">
        <v>0</v>
      </c>
      <c r="D19" s="47">
        <v>0</v>
      </c>
      <c r="E19" s="62">
        <v>0</v>
      </c>
      <c r="F19" s="75">
        <f t="shared" si="0"/>
        <v>0</v>
      </c>
      <c r="G19" s="46">
        <v>5000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8">
        <v>0</v>
      </c>
      <c r="N19" s="48">
        <f t="shared" si="1"/>
        <v>5000</v>
      </c>
      <c r="O19" s="48">
        <f t="shared" si="2"/>
        <v>5000</v>
      </c>
    </row>
    <row r="20" spans="1:15">
      <c r="A20" s="1" t="s">
        <v>1</v>
      </c>
      <c r="B20" s="39" t="s">
        <v>37</v>
      </c>
      <c r="C20" s="47">
        <v>0</v>
      </c>
      <c r="D20" s="47">
        <v>0</v>
      </c>
      <c r="E20" s="62">
        <v>6000</v>
      </c>
      <c r="F20" s="75">
        <f t="shared" si="0"/>
        <v>6000</v>
      </c>
      <c r="G20" s="46">
        <v>6000</v>
      </c>
      <c r="H20" s="47">
        <v>10000</v>
      </c>
      <c r="I20" s="47">
        <v>0</v>
      </c>
      <c r="J20" s="47">
        <v>0</v>
      </c>
      <c r="K20" s="47">
        <v>0</v>
      </c>
      <c r="L20" s="47">
        <v>0</v>
      </c>
      <c r="M20" s="48">
        <v>0</v>
      </c>
      <c r="N20" s="48">
        <f t="shared" si="1"/>
        <v>16000</v>
      </c>
      <c r="O20" s="48">
        <f t="shared" si="2"/>
        <v>22000</v>
      </c>
    </row>
    <row r="21" spans="1:15">
      <c r="A21" s="1" t="s">
        <v>1</v>
      </c>
      <c r="B21" s="39" t="s">
        <v>38</v>
      </c>
      <c r="C21" s="47">
        <v>0</v>
      </c>
      <c r="D21" s="47">
        <v>0</v>
      </c>
      <c r="E21" s="62">
        <v>0</v>
      </c>
      <c r="F21" s="75">
        <f t="shared" si="0"/>
        <v>0</v>
      </c>
      <c r="G21" s="46">
        <v>3500</v>
      </c>
      <c r="H21" s="47">
        <v>3500</v>
      </c>
      <c r="I21" s="47">
        <v>3500</v>
      </c>
      <c r="J21" s="47">
        <v>3500</v>
      </c>
      <c r="K21" s="47">
        <v>3500</v>
      </c>
      <c r="L21" s="47">
        <v>0</v>
      </c>
      <c r="M21" s="48">
        <v>0</v>
      </c>
      <c r="N21" s="48">
        <f t="shared" si="1"/>
        <v>17500</v>
      </c>
      <c r="O21" s="48">
        <f t="shared" si="2"/>
        <v>17500</v>
      </c>
    </row>
    <row r="22" spans="1:15">
      <c r="A22" s="1" t="s">
        <v>1</v>
      </c>
      <c r="B22" s="39" t="s">
        <v>39</v>
      </c>
      <c r="C22" s="47">
        <v>0</v>
      </c>
      <c r="D22" s="47">
        <v>0</v>
      </c>
      <c r="E22" s="62">
        <v>0</v>
      </c>
      <c r="F22" s="75">
        <f t="shared" si="0"/>
        <v>0</v>
      </c>
      <c r="G22" s="46">
        <v>0</v>
      </c>
      <c r="H22" s="47">
        <v>7600</v>
      </c>
      <c r="I22" s="47">
        <v>0</v>
      </c>
      <c r="J22" s="47">
        <v>0</v>
      </c>
      <c r="K22" s="47">
        <v>0</v>
      </c>
      <c r="L22" s="47">
        <v>0</v>
      </c>
      <c r="M22" s="48">
        <v>0</v>
      </c>
      <c r="N22" s="48">
        <f t="shared" si="1"/>
        <v>7600</v>
      </c>
      <c r="O22" s="48">
        <f t="shared" si="2"/>
        <v>7600</v>
      </c>
    </row>
    <row r="23" spans="1:15">
      <c r="A23" s="1" t="s">
        <v>1</v>
      </c>
      <c r="B23" s="39" t="s">
        <v>27</v>
      </c>
      <c r="C23" s="47">
        <v>0</v>
      </c>
      <c r="D23" s="47">
        <v>0</v>
      </c>
      <c r="E23" s="62">
        <v>4779</v>
      </c>
      <c r="F23" s="75">
        <f t="shared" si="0"/>
        <v>4779</v>
      </c>
      <c r="G23" s="46">
        <v>76959</v>
      </c>
      <c r="H23" s="47">
        <v>12464</v>
      </c>
      <c r="I23" s="47">
        <v>37503</v>
      </c>
      <c r="J23" s="47">
        <v>75006</v>
      </c>
      <c r="K23" s="47">
        <v>76395</v>
      </c>
      <c r="L23" s="47">
        <v>44540</v>
      </c>
      <c r="M23" s="48">
        <v>52400</v>
      </c>
      <c r="N23" s="48">
        <f t="shared" si="1"/>
        <v>375267</v>
      </c>
      <c r="O23" s="48">
        <f t="shared" si="2"/>
        <v>380046</v>
      </c>
    </row>
    <row r="24" spans="1:15">
      <c r="A24" s="1" t="s">
        <v>1</v>
      </c>
      <c r="B24" s="39" t="s">
        <v>40</v>
      </c>
      <c r="C24" s="47">
        <v>0</v>
      </c>
      <c r="D24" s="47">
        <v>0</v>
      </c>
      <c r="E24" s="62">
        <v>46440</v>
      </c>
      <c r="F24" s="75">
        <f t="shared" si="0"/>
        <v>46440</v>
      </c>
      <c r="G24" s="46">
        <v>19548</v>
      </c>
      <c r="H24" s="47">
        <v>13456</v>
      </c>
      <c r="I24" s="47">
        <v>28500</v>
      </c>
      <c r="J24" s="47">
        <v>60000</v>
      </c>
      <c r="K24" s="47">
        <v>66000</v>
      </c>
      <c r="L24" s="47">
        <v>12735</v>
      </c>
      <c r="M24" s="48">
        <v>31130</v>
      </c>
      <c r="N24" s="48">
        <f t="shared" si="1"/>
        <v>231369</v>
      </c>
      <c r="O24" s="48">
        <f t="shared" si="2"/>
        <v>277809</v>
      </c>
    </row>
    <row r="25" spans="1:15">
      <c r="A25" s="1" t="s">
        <v>1</v>
      </c>
      <c r="B25" s="39" t="s">
        <v>41</v>
      </c>
      <c r="C25" s="47">
        <v>0</v>
      </c>
      <c r="D25" s="47">
        <v>0</v>
      </c>
      <c r="E25" s="62">
        <v>0</v>
      </c>
      <c r="F25" s="75">
        <f t="shared" si="0"/>
        <v>0</v>
      </c>
      <c r="G25" s="46">
        <v>47241</v>
      </c>
      <c r="H25" s="47">
        <v>42050</v>
      </c>
      <c r="I25" s="47">
        <v>55500</v>
      </c>
      <c r="J25" s="47">
        <v>16500</v>
      </c>
      <c r="K25" s="47">
        <v>31500</v>
      </c>
      <c r="L25" s="47">
        <v>9905</v>
      </c>
      <c r="M25" s="48">
        <v>26885</v>
      </c>
      <c r="N25" s="48">
        <f t="shared" si="1"/>
        <v>229581</v>
      </c>
      <c r="O25" s="48">
        <f t="shared" si="2"/>
        <v>229581</v>
      </c>
    </row>
    <row r="26" spans="1:15">
      <c r="A26" s="1" t="s">
        <v>1</v>
      </c>
      <c r="B26" s="39" t="s">
        <v>42</v>
      </c>
      <c r="C26" s="47">
        <v>0</v>
      </c>
      <c r="D26" s="47">
        <v>0</v>
      </c>
      <c r="E26" s="62">
        <v>0</v>
      </c>
      <c r="F26" s="75">
        <f t="shared" si="0"/>
        <v>0</v>
      </c>
      <c r="G26" s="46">
        <v>0</v>
      </c>
      <c r="H26" s="47">
        <v>3488</v>
      </c>
      <c r="I26" s="47">
        <v>3501</v>
      </c>
      <c r="J26" s="47">
        <v>0</v>
      </c>
      <c r="K26" s="47">
        <v>0</v>
      </c>
      <c r="L26" s="47">
        <v>0</v>
      </c>
      <c r="M26" s="48">
        <v>0</v>
      </c>
      <c r="N26" s="48">
        <f t="shared" si="1"/>
        <v>6989</v>
      </c>
      <c r="O26" s="48">
        <f t="shared" si="2"/>
        <v>6989</v>
      </c>
    </row>
    <row r="27" spans="1:15">
      <c r="A27" s="1" t="s">
        <v>1</v>
      </c>
      <c r="B27" s="39" t="s">
        <v>43</v>
      </c>
      <c r="C27" s="47">
        <v>0</v>
      </c>
      <c r="D27" s="47">
        <v>0</v>
      </c>
      <c r="E27" s="62">
        <v>0</v>
      </c>
      <c r="F27" s="75">
        <f t="shared" si="0"/>
        <v>0</v>
      </c>
      <c r="G27" s="46">
        <v>0</v>
      </c>
      <c r="H27" s="47">
        <v>10900</v>
      </c>
      <c r="I27" s="47">
        <v>3501</v>
      </c>
      <c r="J27" s="47">
        <v>0</v>
      </c>
      <c r="K27" s="47">
        <v>0</v>
      </c>
      <c r="L27" s="47">
        <v>2569</v>
      </c>
      <c r="M27" s="48">
        <v>0</v>
      </c>
      <c r="N27" s="48">
        <f t="shared" si="1"/>
        <v>16970</v>
      </c>
      <c r="O27" s="48">
        <f t="shared" si="2"/>
        <v>16970</v>
      </c>
    </row>
    <row r="28" spans="1:15">
      <c r="A28" s="1" t="s">
        <v>1</v>
      </c>
      <c r="B28" s="39" t="s">
        <v>32</v>
      </c>
      <c r="C28" s="47">
        <v>0</v>
      </c>
      <c r="D28" s="47">
        <v>0</v>
      </c>
      <c r="E28" s="62">
        <v>10192</v>
      </c>
      <c r="F28" s="75">
        <f t="shared" si="0"/>
        <v>10192</v>
      </c>
      <c r="G28" s="46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8">
        <v>0</v>
      </c>
      <c r="N28" s="48">
        <f t="shared" si="1"/>
        <v>0</v>
      </c>
      <c r="O28" s="48">
        <f t="shared" si="2"/>
        <v>10192</v>
      </c>
    </row>
    <row r="29" spans="1:15">
      <c r="A29" s="1" t="s">
        <v>1</v>
      </c>
      <c r="B29" s="7" t="s">
        <v>33</v>
      </c>
      <c r="C29" s="19">
        <v>2216</v>
      </c>
      <c r="D29" s="19">
        <v>0</v>
      </c>
      <c r="E29" s="63">
        <v>0</v>
      </c>
      <c r="F29" s="76">
        <f t="shared" si="0"/>
        <v>2216</v>
      </c>
      <c r="G29" s="18">
        <v>8758</v>
      </c>
      <c r="H29" s="19">
        <v>22776</v>
      </c>
      <c r="I29" s="19">
        <v>20850</v>
      </c>
      <c r="J29" s="19">
        <v>7228</v>
      </c>
      <c r="K29" s="19">
        <v>8618</v>
      </c>
      <c r="L29" s="19">
        <v>4454</v>
      </c>
      <c r="M29" s="20">
        <v>5502</v>
      </c>
      <c r="N29" s="20">
        <f t="shared" si="1"/>
        <v>78186</v>
      </c>
      <c r="O29" s="20">
        <f t="shared" si="2"/>
        <v>80402</v>
      </c>
    </row>
    <row r="30" spans="1:15">
      <c r="A30" s="1" t="s">
        <v>1</v>
      </c>
      <c r="B30" s="24" t="s">
        <v>44</v>
      </c>
      <c r="C30" s="29">
        <v>372216</v>
      </c>
      <c r="D30" s="29">
        <v>360000</v>
      </c>
      <c r="E30" s="64">
        <v>247411</v>
      </c>
      <c r="F30" s="77">
        <f t="shared" si="0"/>
        <v>979627</v>
      </c>
      <c r="G30" s="28">
        <v>354006</v>
      </c>
      <c r="H30" s="29">
        <v>313234</v>
      </c>
      <c r="I30" s="29">
        <v>334855</v>
      </c>
      <c r="J30" s="29">
        <v>344234</v>
      </c>
      <c r="K30" s="29">
        <v>368013</v>
      </c>
      <c r="L30" s="29">
        <v>249203</v>
      </c>
      <c r="M30" s="30">
        <v>290917</v>
      </c>
      <c r="N30" s="30">
        <f t="shared" si="1"/>
        <v>2254462</v>
      </c>
      <c r="O30" s="30">
        <f t="shared" si="2"/>
        <v>3234089</v>
      </c>
    </row>
    <row r="31" spans="1:15">
      <c r="A31" s="1" t="s">
        <v>1</v>
      </c>
      <c r="B31" s="31" t="s">
        <v>45</v>
      </c>
      <c r="C31" s="33">
        <v>6002</v>
      </c>
      <c r="D31" s="33">
        <v>14773</v>
      </c>
      <c r="E31" s="61">
        <v>539</v>
      </c>
      <c r="F31" s="74">
        <f t="shared" si="0"/>
        <v>21314</v>
      </c>
      <c r="G31" s="32">
        <v>8464</v>
      </c>
      <c r="H31" s="33">
        <v>2257</v>
      </c>
      <c r="I31" s="33">
        <v>2360</v>
      </c>
      <c r="J31" s="33">
        <v>7079</v>
      </c>
      <c r="K31" s="33">
        <v>1232</v>
      </c>
      <c r="L31" s="33">
        <v>5130</v>
      </c>
      <c r="M31" s="34">
        <v>7900</v>
      </c>
      <c r="N31" s="34">
        <f t="shared" si="1"/>
        <v>34422</v>
      </c>
      <c r="O31" s="34">
        <f t="shared" si="2"/>
        <v>55736</v>
      </c>
    </row>
    <row r="32" spans="1:15">
      <c r="A32" s="1" t="s">
        <v>1</v>
      </c>
      <c r="B32" s="7" t="s">
        <v>46</v>
      </c>
      <c r="C32" s="19">
        <v>6002</v>
      </c>
      <c r="D32" s="19">
        <v>14773</v>
      </c>
      <c r="E32" s="63">
        <v>539</v>
      </c>
      <c r="F32" s="76">
        <f t="shared" si="0"/>
        <v>21314</v>
      </c>
      <c r="G32" s="18">
        <v>8464</v>
      </c>
      <c r="H32" s="19">
        <v>2257</v>
      </c>
      <c r="I32" s="19">
        <v>2360</v>
      </c>
      <c r="J32" s="19">
        <v>7079</v>
      </c>
      <c r="K32" s="19">
        <v>1232</v>
      </c>
      <c r="L32" s="19">
        <v>5130</v>
      </c>
      <c r="M32" s="20">
        <v>7900</v>
      </c>
      <c r="N32" s="20">
        <f t="shared" si="1"/>
        <v>34422</v>
      </c>
      <c r="O32" s="20">
        <f t="shared" si="2"/>
        <v>55736</v>
      </c>
    </row>
    <row r="33" spans="1:15">
      <c r="A33" s="1" t="s">
        <v>1</v>
      </c>
      <c r="B33" s="24" t="s">
        <v>47</v>
      </c>
      <c r="C33" s="29">
        <v>378218</v>
      </c>
      <c r="D33" s="29">
        <v>374773</v>
      </c>
      <c r="E33" s="64">
        <v>247950</v>
      </c>
      <c r="F33" s="77">
        <f t="shared" si="0"/>
        <v>1000941</v>
      </c>
      <c r="G33" s="28">
        <v>362470</v>
      </c>
      <c r="H33" s="29">
        <v>315491</v>
      </c>
      <c r="I33" s="29">
        <v>337215</v>
      </c>
      <c r="J33" s="29">
        <v>351313</v>
      </c>
      <c r="K33" s="29">
        <v>369245</v>
      </c>
      <c r="L33" s="29">
        <v>254333</v>
      </c>
      <c r="M33" s="30">
        <v>298817</v>
      </c>
      <c r="N33" s="30">
        <f t="shared" si="1"/>
        <v>2288884</v>
      </c>
      <c r="O33" s="30">
        <f t="shared" si="2"/>
        <v>3289825</v>
      </c>
    </row>
    <row r="34" spans="1:15">
      <c r="A34" s="1" t="s">
        <v>1</v>
      </c>
      <c r="B34" s="31" t="s">
        <v>48</v>
      </c>
      <c r="C34" s="33">
        <v>19380</v>
      </c>
      <c r="D34" s="33">
        <v>19380</v>
      </c>
      <c r="E34" s="61">
        <v>11220</v>
      </c>
      <c r="F34" s="74">
        <f t="shared" si="0"/>
        <v>49980</v>
      </c>
      <c r="G34" s="32">
        <v>18360</v>
      </c>
      <c r="H34" s="33">
        <v>15300</v>
      </c>
      <c r="I34" s="33">
        <v>16320</v>
      </c>
      <c r="J34" s="33">
        <v>15300</v>
      </c>
      <c r="K34" s="33">
        <v>17340</v>
      </c>
      <c r="L34" s="33">
        <v>13260</v>
      </c>
      <c r="M34" s="34">
        <v>13260</v>
      </c>
      <c r="N34" s="34">
        <f t="shared" si="1"/>
        <v>109140</v>
      </c>
      <c r="O34" s="34">
        <f t="shared" si="2"/>
        <v>159120</v>
      </c>
    </row>
    <row r="35" spans="1:15">
      <c r="A35" s="1" t="s">
        <v>1</v>
      </c>
      <c r="B35" s="39" t="s">
        <v>49</v>
      </c>
      <c r="C35" s="47">
        <v>3420</v>
      </c>
      <c r="D35" s="47">
        <v>3420</v>
      </c>
      <c r="E35" s="62">
        <v>0</v>
      </c>
      <c r="F35" s="75">
        <f t="shared" si="0"/>
        <v>6840</v>
      </c>
      <c r="G35" s="46">
        <v>3240</v>
      </c>
      <c r="H35" s="47">
        <v>2700</v>
      </c>
      <c r="I35" s="47">
        <v>2880</v>
      </c>
      <c r="J35" s="47">
        <v>2700</v>
      </c>
      <c r="K35" s="47">
        <v>3060</v>
      </c>
      <c r="L35" s="47">
        <v>2340</v>
      </c>
      <c r="M35" s="48">
        <v>2340</v>
      </c>
      <c r="N35" s="48">
        <f t="shared" si="1"/>
        <v>19260</v>
      </c>
      <c r="O35" s="48">
        <f t="shared" si="2"/>
        <v>26100</v>
      </c>
    </row>
    <row r="36" spans="1:15">
      <c r="A36" s="1" t="s">
        <v>1</v>
      </c>
      <c r="B36" s="39" t="s">
        <v>50</v>
      </c>
      <c r="C36" s="47">
        <v>34770</v>
      </c>
      <c r="D36" s="47">
        <v>34770</v>
      </c>
      <c r="E36" s="62">
        <v>20130</v>
      </c>
      <c r="F36" s="75">
        <f t="shared" si="0"/>
        <v>89670</v>
      </c>
      <c r="G36" s="46">
        <v>32940</v>
      </c>
      <c r="H36" s="47">
        <v>27450</v>
      </c>
      <c r="I36" s="47">
        <v>29280</v>
      </c>
      <c r="J36" s="47">
        <v>27450</v>
      </c>
      <c r="K36" s="47">
        <v>31110</v>
      </c>
      <c r="L36" s="47">
        <v>23790</v>
      </c>
      <c r="M36" s="48">
        <v>23790</v>
      </c>
      <c r="N36" s="48">
        <f t="shared" si="1"/>
        <v>195810</v>
      </c>
      <c r="O36" s="48">
        <f t="shared" si="2"/>
        <v>285480</v>
      </c>
    </row>
    <row r="37" spans="1:15">
      <c r="A37" s="1" t="s">
        <v>1</v>
      </c>
      <c r="B37" s="7" t="s">
        <v>51</v>
      </c>
      <c r="C37" s="19">
        <v>2269</v>
      </c>
      <c r="D37" s="19">
        <v>2249</v>
      </c>
      <c r="E37" s="63">
        <v>1488</v>
      </c>
      <c r="F37" s="76">
        <f t="shared" si="0"/>
        <v>6006</v>
      </c>
      <c r="G37" s="18">
        <v>2175</v>
      </c>
      <c r="H37" s="19">
        <v>1893</v>
      </c>
      <c r="I37" s="19">
        <v>2023</v>
      </c>
      <c r="J37" s="19">
        <v>2108</v>
      </c>
      <c r="K37" s="19">
        <v>2215</v>
      </c>
      <c r="L37" s="19">
        <v>1526</v>
      </c>
      <c r="M37" s="20">
        <v>1793</v>
      </c>
      <c r="N37" s="20">
        <f t="shared" si="1"/>
        <v>13733</v>
      </c>
      <c r="O37" s="20">
        <f t="shared" si="2"/>
        <v>19739</v>
      </c>
    </row>
    <row r="38" spans="1:15">
      <c r="A38" s="1" t="s">
        <v>1</v>
      </c>
      <c r="B38" s="24" t="s">
        <v>52</v>
      </c>
      <c r="C38" s="29">
        <v>59839</v>
      </c>
      <c r="D38" s="29">
        <v>59819</v>
      </c>
      <c r="E38" s="64">
        <v>32838</v>
      </c>
      <c r="F38" s="77">
        <f t="shared" si="0"/>
        <v>152496</v>
      </c>
      <c r="G38" s="28">
        <v>56715</v>
      </c>
      <c r="H38" s="29">
        <v>47343</v>
      </c>
      <c r="I38" s="29">
        <v>50503</v>
      </c>
      <c r="J38" s="29">
        <v>47558</v>
      </c>
      <c r="K38" s="29">
        <v>53725</v>
      </c>
      <c r="L38" s="29">
        <v>40916</v>
      </c>
      <c r="M38" s="30">
        <v>41183</v>
      </c>
      <c r="N38" s="30">
        <f t="shared" si="1"/>
        <v>337943</v>
      </c>
      <c r="O38" s="30">
        <f t="shared" si="2"/>
        <v>490439</v>
      </c>
    </row>
    <row r="39" spans="1:15">
      <c r="A39" s="1" t="s">
        <v>1</v>
      </c>
      <c r="B39" s="31" t="s">
        <v>53</v>
      </c>
      <c r="C39" s="33">
        <v>9390</v>
      </c>
      <c r="D39" s="33">
        <v>8400</v>
      </c>
      <c r="E39" s="61">
        <v>5290</v>
      </c>
      <c r="F39" s="74">
        <f t="shared" si="0"/>
        <v>23080</v>
      </c>
      <c r="G39" s="32">
        <v>3390</v>
      </c>
      <c r="H39" s="33">
        <v>3890</v>
      </c>
      <c r="I39" s="33">
        <v>7780</v>
      </c>
      <c r="J39" s="33">
        <v>8220</v>
      </c>
      <c r="K39" s="33">
        <v>7310</v>
      </c>
      <c r="L39" s="33">
        <v>3440</v>
      </c>
      <c r="M39" s="34">
        <v>6540</v>
      </c>
      <c r="N39" s="34">
        <f t="shared" si="1"/>
        <v>40570</v>
      </c>
      <c r="O39" s="34">
        <f t="shared" si="2"/>
        <v>63650</v>
      </c>
    </row>
    <row r="40" spans="1:15">
      <c r="A40" s="1" t="s">
        <v>1</v>
      </c>
      <c r="B40" s="7" t="s">
        <v>54</v>
      </c>
      <c r="C40" s="19">
        <v>19600</v>
      </c>
      <c r="D40" s="19">
        <v>20400</v>
      </c>
      <c r="E40" s="63">
        <v>8400</v>
      </c>
      <c r="F40" s="76">
        <f t="shared" si="0"/>
        <v>48400</v>
      </c>
      <c r="G40" s="18">
        <v>2900</v>
      </c>
      <c r="H40" s="19">
        <v>9400</v>
      </c>
      <c r="I40" s="19">
        <v>11000</v>
      </c>
      <c r="J40" s="19">
        <v>10500</v>
      </c>
      <c r="K40" s="19">
        <v>6800</v>
      </c>
      <c r="L40" s="19">
        <v>0</v>
      </c>
      <c r="M40" s="20">
        <v>0</v>
      </c>
      <c r="N40" s="20">
        <f t="shared" si="1"/>
        <v>40600</v>
      </c>
      <c r="O40" s="20">
        <f t="shared" si="2"/>
        <v>89000</v>
      </c>
    </row>
    <row r="41" spans="1:15">
      <c r="A41" s="1" t="s">
        <v>1</v>
      </c>
      <c r="B41" s="24" t="s">
        <v>55</v>
      </c>
      <c r="C41" s="29">
        <v>88829</v>
      </c>
      <c r="D41" s="29">
        <v>88619</v>
      </c>
      <c r="E41" s="64">
        <v>46528</v>
      </c>
      <c r="F41" s="77">
        <f t="shared" si="0"/>
        <v>223976</v>
      </c>
      <c r="G41" s="28">
        <v>63005</v>
      </c>
      <c r="H41" s="29">
        <v>60633</v>
      </c>
      <c r="I41" s="29">
        <v>69283</v>
      </c>
      <c r="J41" s="29">
        <v>66278</v>
      </c>
      <c r="K41" s="29">
        <v>67835</v>
      </c>
      <c r="L41" s="29">
        <v>44356</v>
      </c>
      <c r="M41" s="30">
        <v>47723</v>
      </c>
      <c r="N41" s="30">
        <f t="shared" si="1"/>
        <v>419113</v>
      </c>
      <c r="O41" s="30">
        <f t="shared" si="2"/>
        <v>643089</v>
      </c>
    </row>
    <row r="42" spans="1:15">
      <c r="A42" s="1" t="s">
        <v>1</v>
      </c>
      <c r="B42" s="24" t="s">
        <v>56</v>
      </c>
      <c r="C42" s="29">
        <v>312377</v>
      </c>
      <c r="D42" s="29">
        <v>300181</v>
      </c>
      <c r="E42" s="64">
        <v>214573</v>
      </c>
      <c r="F42" s="77">
        <f t="shared" si="0"/>
        <v>827131</v>
      </c>
      <c r="G42" s="28">
        <v>297291</v>
      </c>
      <c r="H42" s="29">
        <v>265891</v>
      </c>
      <c r="I42" s="29">
        <v>284352</v>
      </c>
      <c r="J42" s="29">
        <v>296676</v>
      </c>
      <c r="K42" s="29">
        <v>314288</v>
      </c>
      <c r="L42" s="29">
        <v>208287</v>
      </c>
      <c r="M42" s="30">
        <v>249734</v>
      </c>
      <c r="N42" s="30">
        <f t="shared" si="1"/>
        <v>1916519</v>
      </c>
      <c r="O42" s="30">
        <f t="shared" si="2"/>
        <v>2743650</v>
      </c>
    </row>
    <row r="43" spans="1:15">
      <c r="A43" s="1" t="s">
        <v>1</v>
      </c>
      <c r="B43" s="24" t="s">
        <v>57</v>
      </c>
      <c r="C43" s="29">
        <v>289389</v>
      </c>
      <c r="D43" s="29">
        <v>286154</v>
      </c>
      <c r="E43" s="64">
        <v>201422</v>
      </c>
      <c r="F43" s="77">
        <f t="shared" si="0"/>
        <v>776965</v>
      </c>
      <c r="G43" s="28">
        <v>299465</v>
      </c>
      <c r="H43" s="29">
        <v>254858</v>
      </c>
      <c r="I43" s="29">
        <v>267932</v>
      </c>
      <c r="J43" s="29">
        <v>285035</v>
      </c>
      <c r="K43" s="29">
        <v>301410</v>
      </c>
      <c r="L43" s="29">
        <v>209977</v>
      </c>
      <c r="M43" s="30">
        <v>251094</v>
      </c>
      <c r="N43" s="30">
        <f t="shared" si="1"/>
        <v>1869771</v>
      </c>
      <c r="O43" s="30">
        <f t="shared" si="2"/>
        <v>2646736</v>
      </c>
    </row>
    <row r="44" spans="1:15">
      <c r="A44" s="1" t="s">
        <v>1</v>
      </c>
      <c r="B44" s="24" t="s">
        <v>58</v>
      </c>
      <c r="C44" s="29">
        <v>289389</v>
      </c>
      <c r="D44" s="29">
        <v>286154</v>
      </c>
      <c r="E44" s="64">
        <v>201422</v>
      </c>
      <c r="F44" s="77">
        <f t="shared" si="0"/>
        <v>776965</v>
      </c>
      <c r="G44" s="28">
        <v>299465</v>
      </c>
      <c r="H44" s="29">
        <v>254858</v>
      </c>
      <c r="I44" s="29">
        <v>267932</v>
      </c>
      <c r="J44" s="29">
        <v>285035</v>
      </c>
      <c r="K44" s="29">
        <v>301410</v>
      </c>
      <c r="L44" s="29">
        <v>209977</v>
      </c>
      <c r="M44" s="30">
        <v>251094</v>
      </c>
      <c r="N44" s="30">
        <f t="shared" si="1"/>
        <v>1869771</v>
      </c>
      <c r="O44" s="30">
        <f t="shared" si="2"/>
        <v>2646736</v>
      </c>
    </row>
    <row r="45" spans="1:15">
      <c r="A45" s="1" t="s">
        <v>1</v>
      </c>
      <c r="B45" s="24" t="s">
        <v>59</v>
      </c>
      <c r="C45" s="29">
        <v>0</v>
      </c>
      <c r="D45" s="29">
        <v>0</v>
      </c>
      <c r="E45" s="64">
        <v>0</v>
      </c>
      <c r="F45" s="77"/>
      <c r="G45" s="28">
        <v>3</v>
      </c>
      <c r="H45" s="29">
        <v>2</v>
      </c>
      <c r="I45" s="29">
        <v>0</v>
      </c>
      <c r="J45" s="29">
        <v>0</v>
      </c>
      <c r="K45" s="29">
        <v>1</v>
      </c>
      <c r="L45" s="29">
        <v>1</v>
      </c>
      <c r="M45" s="30">
        <v>0</v>
      </c>
      <c r="N45" s="30"/>
      <c r="O45" s="30"/>
    </row>
    <row r="46" spans="1:15">
      <c r="A46" s="1" t="s">
        <v>1</v>
      </c>
      <c r="B46" s="24" t="s">
        <v>60</v>
      </c>
      <c r="C46" s="50" t="s">
        <v>61</v>
      </c>
      <c r="D46" s="50" t="s">
        <v>61</v>
      </c>
      <c r="E46" s="65" t="s">
        <v>61</v>
      </c>
      <c r="F46" s="78"/>
      <c r="G46" s="49" t="s">
        <v>61</v>
      </c>
      <c r="H46" s="50" t="s">
        <v>61</v>
      </c>
      <c r="I46" s="50" t="s">
        <v>61</v>
      </c>
      <c r="J46" s="50" t="s">
        <v>61</v>
      </c>
      <c r="K46" s="50" t="s">
        <v>61</v>
      </c>
      <c r="L46" s="50" t="s">
        <v>61</v>
      </c>
      <c r="M46" s="51" t="s">
        <v>61</v>
      </c>
      <c r="N46" s="51"/>
      <c r="O46" s="51"/>
    </row>
    <row r="47" spans="1:15" ht="19.5" thickBot="1">
      <c r="A47" s="1" t="s">
        <v>1</v>
      </c>
      <c r="B47" s="8" t="s">
        <v>62</v>
      </c>
      <c r="C47" s="22">
        <v>9390</v>
      </c>
      <c r="D47" s="22">
        <v>8400</v>
      </c>
      <c r="E47" s="66">
        <v>5290</v>
      </c>
      <c r="F47" s="79">
        <f t="shared" si="0"/>
        <v>23080</v>
      </c>
      <c r="G47" s="21">
        <v>3390</v>
      </c>
      <c r="H47" s="22">
        <v>3890</v>
      </c>
      <c r="I47" s="22">
        <v>7780</v>
      </c>
      <c r="J47" s="22">
        <v>8220</v>
      </c>
      <c r="K47" s="22">
        <v>7310</v>
      </c>
      <c r="L47" s="22">
        <v>3440</v>
      </c>
      <c r="M47" s="23">
        <v>6540</v>
      </c>
      <c r="N47" s="23">
        <f t="shared" si="1"/>
        <v>40570</v>
      </c>
      <c r="O47" s="23">
        <f t="shared" si="2"/>
        <v>63650</v>
      </c>
    </row>
  </sheetData>
  <phoneticPr fontId="4"/>
  <pageMargins left="0.31496062992125984" right="0.31496062992125984" top="0.15748031496062992" bottom="0.15748031496062992" header="0.11811023622047245" footer="0.11811023622047245"/>
  <pageSetup paperSize="12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2月度給与 (2)</vt:lpstr>
      <vt:lpstr>'2025年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2025-03-06T02:10:11Z</cp:lastPrinted>
  <dcterms:created xsi:type="dcterms:W3CDTF">2025-03-05T23:53:48Z</dcterms:created>
  <dcterms:modified xsi:type="dcterms:W3CDTF">2025-03-10T00:57:18Z</dcterms:modified>
</cp:coreProperties>
</file>