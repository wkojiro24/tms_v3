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9月分\"/>
    </mc:Choice>
  </mc:AlternateContent>
  <xr:revisionPtr revIDLastSave="0" documentId="13_ncr:1_{095559C6-287F-44A9-A18F-11338683800B}" xr6:coauthVersionLast="47" xr6:coauthVersionMax="47" xr10:uidLastSave="{00000000-0000-0000-0000-000000000000}"/>
  <bookViews>
    <workbookView xWindow="-120" yWindow="-120" windowWidth="20730" windowHeight="11160" xr2:uid="{A50C3F58-B5BF-4023-8DE6-0850CEC64AAD}"/>
  </bookViews>
  <sheets>
    <sheet name="2025年9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2" l="1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2" i="2"/>
  <c r="H11" i="2"/>
  <c r="H10" i="2"/>
  <c r="H9" i="2"/>
  <c r="F41" i="2"/>
  <c r="I41" i="2" s="1"/>
  <c r="F38" i="2"/>
  <c r="I38" i="2" s="1"/>
  <c r="F37" i="2"/>
  <c r="I37" i="2" s="1"/>
  <c r="F36" i="2"/>
  <c r="I36" i="2" s="1"/>
  <c r="F35" i="2"/>
  <c r="I35" i="2" s="1"/>
  <c r="F34" i="2"/>
  <c r="I34" i="2" s="1"/>
  <c r="F33" i="2"/>
  <c r="I33" i="2" s="1"/>
  <c r="F32" i="2"/>
  <c r="I32" i="2" s="1"/>
  <c r="F31" i="2"/>
  <c r="I31" i="2" s="1"/>
  <c r="F30" i="2"/>
  <c r="I30" i="2" s="1"/>
  <c r="F29" i="2"/>
  <c r="I29" i="2" s="1"/>
  <c r="F28" i="2"/>
  <c r="I28" i="2" s="1"/>
  <c r="F27" i="2"/>
  <c r="I27" i="2" s="1"/>
  <c r="F26" i="2"/>
  <c r="I26" i="2" s="1"/>
  <c r="F25" i="2"/>
  <c r="I25" i="2" s="1"/>
  <c r="F24" i="2"/>
  <c r="I24" i="2" s="1"/>
  <c r="F23" i="2"/>
  <c r="I23" i="2" s="1"/>
  <c r="F22" i="2"/>
  <c r="I22" i="2" s="1"/>
  <c r="F21" i="2"/>
  <c r="I21" i="2" s="1"/>
  <c r="F20" i="2"/>
  <c r="I20" i="2" s="1"/>
  <c r="F19" i="2"/>
  <c r="I19" i="2" s="1"/>
  <c r="F18" i="2"/>
  <c r="I18" i="2" s="1"/>
  <c r="F17" i="2"/>
  <c r="I17" i="2" s="1"/>
  <c r="F16" i="2"/>
  <c r="I16" i="2" s="1"/>
  <c r="F15" i="2"/>
  <c r="I15" i="2" s="1"/>
  <c r="F14" i="2"/>
  <c r="I14" i="2" s="1"/>
  <c r="F12" i="2"/>
  <c r="I12" i="2" s="1"/>
  <c r="F11" i="2"/>
  <c r="I11" i="2" s="1"/>
  <c r="F10" i="2"/>
  <c r="I10" i="2" s="1"/>
  <c r="F9" i="2"/>
  <c r="I9" i="2" s="1"/>
</calcChain>
</file>

<file path=xl/sharedStrings.xml><?xml version="1.0" encoding="utf-8"?>
<sst xmlns="http://schemas.openxmlformats.org/spreadsheetml/2006/main" count="90" uniqueCount="51">
  <si>
    <t>支給控除一覧表</t>
    <phoneticPr fontId="4"/>
  </si>
  <si>
    <t>若林運送株式会社</t>
    <phoneticPr fontId="4"/>
  </si>
  <si>
    <t>2025年10月 8日 作成</t>
    <phoneticPr fontId="4"/>
  </si>
  <si>
    <t/>
  </si>
  <si>
    <t>2025年9月度給与</t>
    <phoneticPr fontId="4"/>
  </si>
  <si>
    <t>1049</t>
    <phoneticPr fontId="4"/>
  </si>
  <si>
    <t>1050</t>
    <phoneticPr fontId="4"/>
  </si>
  <si>
    <t>1114</t>
    <phoneticPr fontId="4"/>
  </si>
  <si>
    <t>小計</t>
    <rPh sb="0" eb="2">
      <t>ショウケイ</t>
    </rPh>
    <phoneticPr fontId="3"/>
  </si>
  <si>
    <t>1078</t>
    <phoneticPr fontId="4"/>
  </si>
  <si>
    <t>合計</t>
    <phoneticPr fontId="4"/>
  </si>
  <si>
    <t>項目名</t>
    <phoneticPr fontId="4"/>
  </si>
  <si>
    <t>菅原　幸志</t>
    <phoneticPr fontId="4"/>
  </si>
  <si>
    <t>伊藤　正典</t>
    <phoneticPr fontId="4"/>
  </si>
  <si>
    <t>吉田　亨</t>
    <phoneticPr fontId="4"/>
  </si>
  <si>
    <t>3名</t>
    <rPh sb="1" eb="2">
      <t>メイ</t>
    </rPh>
    <phoneticPr fontId="4"/>
  </si>
  <si>
    <t>伊藤　尚</t>
    <phoneticPr fontId="4"/>
  </si>
  <si>
    <t>1名</t>
    <rPh sb="1" eb="2">
      <t>メイ</t>
    </rPh>
    <phoneticPr fontId="4"/>
  </si>
  <si>
    <t>4名</t>
    <rPh sb="1" eb="2">
      <t>メイ</t>
    </rPh>
    <phoneticPr fontId="4"/>
  </si>
  <si>
    <t>平日出勤日数</t>
    <phoneticPr fontId="4"/>
  </si>
  <si>
    <t>有休日数</t>
    <phoneticPr fontId="4"/>
  </si>
  <si>
    <t>平日残業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</si>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</sst>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817B4ED4-077C-465E-AFC1-5A9E9FB8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794B-31F8-4349-9A91-B80B6BB51B70}">
  <dimension ref="A1:I41"/>
  <sheetViews>
    <sheetView showZeros="0" tabSelected="1" workbookViewId="0">
      <pane xSplit="2" ySplit="8" topLeftCell="C9" activePane="bottomRight" state="frozen"/>
      <selection pane="bottomRight" activeCell="F33" sqref="F3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9.625" style="2" bestFit="1" customWidth="1"/>
    <col min="7" max="7" width="9" style="2" bestFit="1" customWidth="1"/>
    <col min="8" max="9" width="9.625" style="2" bestFit="1" customWidth="1"/>
    <col min="10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 bestFit="1"/>
    <col min="265" max="265" width="9.625" style="2" bestFit="1" customWidth="1"/>
    <col min="266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 bestFit="1"/>
    <col min="521" max="521" width="9.625" style="2" bestFit="1" customWidth="1"/>
    <col min="522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 bestFit="1"/>
    <col min="777" max="777" width="9.625" style="2" bestFit="1" customWidth="1"/>
    <col min="778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 bestFit="1"/>
    <col min="1033" max="1033" width="9.625" style="2" bestFit="1" customWidth="1"/>
    <col min="1034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 bestFit="1"/>
    <col min="1289" max="1289" width="9.625" style="2" bestFit="1" customWidth="1"/>
    <col min="1290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 bestFit="1"/>
    <col min="1545" max="1545" width="9.625" style="2" bestFit="1" customWidth="1"/>
    <col min="1546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 bestFit="1"/>
    <col min="1801" max="1801" width="9.625" style="2" bestFit="1" customWidth="1"/>
    <col min="1802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 bestFit="1"/>
    <col min="2057" max="2057" width="9.625" style="2" bestFit="1" customWidth="1"/>
    <col min="2058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 bestFit="1"/>
    <col min="2313" max="2313" width="9.625" style="2" bestFit="1" customWidth="1"/>
    <col min="2314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 bestFit="1"/>
    <col min="2569" max="2569" width="9.625" style="2" bestFit="1" customWidth="1"/>
    <col min="2570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 bestFit="1"/>
    <col min="2825" max="2825" width="9.625" style="2" bestFit="1" customWidth="1"/>
    <col min="2826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 bestFit="1"/>
    <col min="3081" max="3081" width="9.625" style="2" bestFit="1" customWidth="1"/>
    <col min="3082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 bestFit="1"/>
    <col min="3337" max="3337" width="9.625" style="2" bestFit="1" customWidth="1"/>
    <col min="3338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 bestFit="1"/>
    <col min="3593" max="3593" width="9.625" style="2" bestFit="1" customWidth="1"/>
    <col min="3594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 bestFit="1"/>
    <col min="3849" max="3849" width="9.625" style="2" bestFit="1" customWidth="1"/>
    <col min="3850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 bestFit="1"/>
    <col min="4105" max="4105" width="9.625" style="2" bestFit="1" customWidth="1"/>
    <col min="4106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 bestFit="1"/>
    <col min="4361" max="4361" width="9.625" style="2" bestFit="1" customWidth="1"/>
    <col min="4362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 bestFit="1"/>
    <col min="4617" max="4617" width="9.625" style="2" bestFit="1" customWidth="1"/>
    <col min="4618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 bestFit="1"/>
    <col min="4873" max="4873" width="9.625" style="2" bestFit="1" customWidth="1"/>
    <col min="4874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 bestFit="1"/>
    <col min="5129" max="5129" width="9.625" style="2" bestFit="1" customWidth="1"/>
    <col min="5130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 bestFit="1"/>
    <col min="5385" max="5385" width="9.625" style="2" bestFit="1" customWidth="1"/>
    <col min="5386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 bestFit="1"/>
    <col min="5641" max="5641" width="9.625" style="2" bestFit="1" customWidth="1"/>
    <col min="5642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 bestFit="1"/>
    <col min="5897" max="5897" width="9.625" style="2" bestFit="1" customWidth="1"/>
    <col min="5898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 bestFit="1"/>
    <col min="6153" max="6153" width="9.625" style="2" bestFit="1" customWidth="1"/>
    <col min="6154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 bestFit="1"/>
    <col min="6409" max="6409" width="9.625" style="2" bestFit="1" customWidth="1"/>
    <col min="6410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 bestFit="1"/>
    <col min="6665" max="6665" width="9.625" style="2" bestFit="1" customWidth="1"/>
    <col min="6666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 bestFit="1"/>
    <col min="6921" max="6921" width="9.625" style="2" bestFit="1" customWidth="1"/>
    <col min="6922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 bestFit="1"/>
    <col min="7177" max="7177" width="9.625" style="2" bestFit="1" customWidth="1"/>
    <col min="7178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 bestFit="1"/>
    <col min="7433" max="7433" width="9.625" style="2" bestFit="1" customWidth="1"/>
    <col min="7434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 bestFit="1"/>
    <col min="7689" max="7689" width="9.625" style="2" bestFit="1" customWidth="1"/>
    <col min="7690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 bestFit="1"/>
    <col min="7945" max="7945" width="9.625" style="2" bestFit="1" customWidth="1"/>
    <col min="7946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 bestFit="1"/>
    <col min="8201" max="8201" width="9.625" style="2" bestFit="1" customWidth="1"/>
    <col min="8202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 bestFit="1"/>
    <col min="8457" max="8457" width="9.625" style="2" bestFit="1" customWidth="1"/>
    <col min="8458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 bestFit="1"/>
    <col min="8713" max="8713" width="9.625" style="2" bestFit="1" customWidth="1"/>
    <col min="8714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 bestFit="1"/>
    <col min="8969" max="8969" width="9.625" style="2" bestFit="1" customWidth="1"/>
    <col min="8970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 bestFit="1"/>
    <col min="9225" max="9225" width="9.625" style="2" bestFit="1" customWidth="1"/>
    <col min="9226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 bestFit="1"/>
    <col min="9481" max="9481" width="9.625" style="2" bestFit="1" customWidth="1"/>
    <col min="9482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 bestFit="1"/>
    <col min="9737" max="9737" width="9.625" style="2" bestFit="1" customWidth="1"/>
    <col min="9738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 bestFit="1"/>
    <col min="9993" max="9993" width="9.625" style="2" bestFit="1" customWidth="1"/>
    <col min="9994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 bestFit="1"/>
    <col min="10249" max="10249" width="9.625" style="2" bestFit="1" customWidth="1"/>
    <col min="10250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 bestFit="1"/>
    <col min="10505" max="10505" width="9.625" style="2" bestFit="1" customWidth="1"/>
    <col min="10506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 bestFit="1"/>
    <col min="10761" max="10761" width="9.625" style="2" bestFit="1" customWidth="1"/>
    <col min="10762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 bestFit="1"/>
    <col min="11017" max="11017" width="9.625" style="2" bestFit="1" customWidth="1"/>
    <col min="11018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 bestFit="1"/>
    <col min="11273" max="11273" width="9.625" style="2" bestFit="1" customWidth="1"/>
    <col min="11274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 bestFit="1"/>
    <col min="11529" max="11529" width="9.625" style="2" bestFit="1" customWidth="1"/>
    <col min="11530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 bestFit="1"/>
    <col min="11785" max="11785" width="9.625" style="2" bestFit="1" customWidth="1"/>
    <col min="11786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 bestFit="1"/>
    <col min="12041" max="12041" width="9.625" style="2" bestFit="1" customWidth="1"/>
    <col min="12042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 bestFit="1"/>
    <col min="12297" max="12297" width="9.625" style="2" bestFit="1" customWidth="1"/>
    <col min="12298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 bestFit="1"/>
    <col min="12553" max="12553" width="9.625" style="2" bestFit="1" customWidth="1"/>
    <col min="12554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 bestFit="1"/>
    <col min="12809" max="12809" width="9.625" style="2" bestFit="1" customWidth="1"/>
    <col min="12810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 bestFit="1"/>
    <col min="13065" max="13065" width="9.625" style="2" bestFit="1" customWidth="1"/>
    <col min="13066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 bestFit="1"/>
    <col min="13321" max="13321" width="9.625" style="2" bestFit="1" customWidth="1"/>
    <col min="13322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 bestFit="1"/>
    <col min="13577" max="13577" width="9.625" style="2" bestFit="1" customWidth="1"/>
    <col min="13578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 bestFit="1"/>
    <col min="13833" max="13833" width="9.625" style="2" bestFit="1" customWidth="1"/>
    <col min="13834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 bestFit="1"/>
    <col min="14089" max="14089" width="9.625" style="2" bestFit="1" customWidth="1"/>
    <col min="14090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 bestFit="1"/>
    <col min="14345" max="14345" width="9.625" style="2" bestFit="1" customWidth="1"/>
    <col min="14346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 bestFit="1"/>
    <col min="14601" max="14601" width="9.625" style="2" bestFit="1" customWidth="1"/>
    <col min="14602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 bestFit="1"/>
    <col min="14857" max="14857" width="9.625" style="2" bestFit="1" customWidth="1"/>
    <col min="14858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 bestFit="1"/>
    <col min="15113" max="15113" width="9.625" style="2" bestFit="1" customWidth="1"/>
    <col min="15114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 bestFit="1"/>
    <col min="15369" max="15369" width="9.625" style="2" bestFit="1" customWidth="1"/>
    <col min="15370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 bestFit="1"/>
    <col min="15625" max="15625" width="9.625" style="2" bestFit="1" customWidth="1"/>
    <col min="15626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 bestFit="1"/>
    <col min="15881" max="15881" width="9.625" style="2" bestFit="1" customWidth="1"/>
    <col min="15882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 bestFit="1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15"/>
      <c r="C7" s="23" t="s">
        <v>5</v>
      </c>
      <c r="D7" s="4" t="s">
        <v>6</v>
      </c>
      <c r="E7" s="59" t="s">
        <v>7</v>
      </c>
      <c r="F7" s="72" t="s">
        <v>8</v>
      </c>
      <c r="G7" s="24" t="s">
        <v>9</v>
      </c>
      <c r="H7" s="71" t="s">
        <v>8</v>
      </c>
      <c r="I7" s="71" t="s">
        <v>10</v>
      </c>
    </row>
    <row r="8" spans="1:9" ht="19.5" thickBot="1">
      <c r="A8" s="3"/>
      <c r="B8" s="35" t="s">
        <v>11</v>
      </c>
      <c r="C8" s="36" t="s">
        <v>12</v>
      </c>
      <c r="D8" s="37" t="s">
        <v>13</v>
      </c>
      <c r="E8" s="60" t="s">
        <v>14</v>
      </c>
      <c r="F8" s="73" t="s">
        <v>15</v>
      </c>
      <c r="G8" s="38" t="s">
        <v>16</v>
      </c>
      <c r="H8" s="39" t="s">
        <v>17</v>
      </c>
      <c r="I8" s="39" t="s">
        <v>18</v>
      </c>
    </row>
    <row r="9" spans="1:9">
      <c r="A9" s="1" t="s">
        <v>3</v>
      </c>
      <c r="B9" s="30" t="s">
        <v>19</v>
      </c>
      <c r="C9" s="31">
        <v>21</v>
      </c>
      <c r="D9" s="32">
        <v>21</v>
      </c>
      <c r="E9" s="61">
        <v>21</v>
      </c>
      <c r="F9" s="74">
        <f>SUM(C9:E9)</f>
        <v>63</v>
      </c>
      <c r="G9" s="33">
        <v>22</v>
      </c>
      <c r="H9" s="34">
        <f>G9</f>
        <v>22</v>
      </c>
      <c r="I9" s="34">
        <f>F9+H9</f>
        <v>85</v>
      </c>
    </row>
    <row r="10" spans="1:9">
      <c r="A10" s="1" t="s">
        <v>3</v>
      </c>
      <c r="B10" s="16" t="s">
        <v>20</v>
      </c>
      <c r="C10" s="25">
        <v>1</v>
      </c>
      <c r="D10" s="5">
        <v>1</v>
      </c>
      <c r="E10" s="62">
        <v>1</v>
      </c>
      <c r="F10" s="75">
        <f t="shared" ref="F10:F12" si="0">SUM(C10:E10)</f>
        <v>3</v>
      </c>
      <c r="G10" s="6">
        <v>0</v>
      </c>
      <c r="H10" s="18">
        <f t="shared" ref="H10:H12" si="1">G10</f>
        <v>0</v>
      </c>
      <c r="I10" s="18">
        <f t="shared" ref="I10:I12" si="2">F10+H10</f>
        <v>3</v>
      </c>
    </row>
    <row r="11" spans="1:9">
      <c r="A11" s="1" t="s">
        <v>3</v>
      </c>
      <c r="B11" s="16" t="s">
        <v>21</v>
      </c>
      <c r="C11" s="26">
        <v>1</v>
      </c>
      <c r="D11" s="7">
        <v>2.2083333333333335</v>
      </c>
      <c r="E11" s="63">
        <v>1.6666666666666665</v>
      </c>
      <c r="F11" s="76">
        <f t="shared" si="0"/>
        <v>4.875</v>
      </c>
      <c r="G11" s="8">
        <v>0</v>
      </c>
      <c r="H11" s="19">
        <f t="shared" si="1"/>
        <v>0</v>
      </c>
      <c r="I11" s="19">
        <f t="shared" si="2"/>
        <v>4.875</v>
      </c>
    </row>
    <row r="12" spans="1:9">
      <c r="A12" s="1" t="s">
        <v>3</v>
      </c>
      <c r="B12" s="16" t="s">
        <v>22</v>
      </c>
      <c r="C12" s="26">
        <v>4.1666666666666664E-2</v>
      </c>
      <c r="D12" s="7">
        <v>8.3333333333333329E-2</v>
      </c>
      <c r="E12" s="63">
        <v>0.29166666666666669</v>
      </c>
      <c r="F12" s="76">
        <f t="shared" si="0"/>
        <v>0.41666666666666669</v>
      </c>
      <c r="G12" s="8">
        <v>0</v>
      </c>
      <c r="H12" s="19">
        <f t="shared" si="1"/>
        <v>0</v>
      </c>
      <c r="I12" s="19">
        <f t="shared" si="2"/>
        <v>0.41666666666666669</v>
      </c>
    </row>
    <row r="13" spans="1:9">
      <c r="A13" s="1" t="s">
        <v>3</v>
      </c>
      <c r="B13" s="44" t="s">
        <v>23</v>
      </c>
      <c r="C13" s="45">
        <v>30</v>
      </c>
      <c r="D13" s="46">
        <v>33</v>
      </c>
      <c r="E13" s="64">
        <v>9</v>
      </c>
      <c r="F13" s="77"/>
      <c r="G13" s="47">
        <v>34</v>
      </c>
      <c r="H13" s="48"/>
      <c r="I13" s="48"/>
    </row>
    <row r="14" spans="1:9">
      <c r="A14" s="1" t="s">
        <v>3</v>
      </c>
      <c r="B14" s="30" t="s">
        <v>24</v>
      </c>
      <c r="C14" s="40">
        <v>187000</v>
      </c>
      <c r="D14" s="41">
        <v>192000</v>
      </c>
      <c r="E14" s="65">
        <v>192000</v>
      </c>
      <c r="F14" s="78">
        <f t="shared" ref="F14:F38" si="3">SUM(C14:E14)</f>
        <v>571000</v>
      </c>
      <c r="G14" s="42">
        <v>370000</v>
      </c>
      <c r="H14" s="43">
        <f t="shared" ref="H14:H38" si="4">G14</f>
        <v>370000</v>
      </c>
      <c r="I14" s="43">
        <f t="shared" ref="I14:I38" si="5">F14+H14</f>
        <v>941000</v>
      </c>
    </row>
    <row r="15" spans="1:9">
      <c r="A15" s="1" t="s">
        <v>3</v>
      </c>
      <c r="B15" s="16" t="s">
        <v>25</v>
      </c>
      <c r="C15" s="27">
        <v>5000</v>
      </c>
      <c r="D15" s="9">
        <v>0</v>
      </c>
      <c r="E15" s="66">
        <v>0</v>
      </c>
      <c r="F15" s="79">
        <f t="shared" si="3"/>
        <v>5000</v>
      </c>
      <c r="G15" s="10">
        <v>0</v>
      </c>
      <c r="H15" s="20">
        <f t="shared" si="4"/>
        <v>0</v>
      </c>
      <c r="I15" s="20">
        <f t="shared" si="5"/>
        <v>5000</v>
      </c>
    </row>
    <row r="16" spans="1:9">
      <c r="A16" s="1" t="s">
        <v>3</v>
      </c>
      <c r="B16" s="16" t="s">
        <v>26</v>
      </c>
      <c r="C16" s="27">
        <v>0</v>
      </c>
      <c r="D16" s="9">
        <v>3000</v>
      </c>
      <c r="E16" s="66">
        <v>15000</v>
      </c>
      <c r="F16" s="79">
        <f t="shared" si="3"/>
        <v>18000</v>
      </c>
      <c r="G16" s="10">
        <v>0</v>
      </c>
      <c r="H16" s="20">
        <f t="shared" si="4"/>
        <v>0</v>
      </c>
      <c r="I16" s="20">
        <f t="shared" si="5"/>
        <v>18000</v>
      </c>
    </row>
    <row r="17" spans="1:9">
      <c r="A17" s="1" t="s">
        <v>3</v>
      </c>
      <c r="B17" s="16" t="s">
        <v>27</v>
      </c>
      <c r="C17" s="27">
        <v>50000</v>
      </c>
      <c r="D17" s="9">
        <v>50000</v>
      </c>
      <c r="E17" s="66">
        <v>50000</v>
      </c>
      <c r="F17" s="79">
        <f t="shared" si="3"/>
        <v>150000</v>
      </c>
      <c r="G17" s="10">
        <v>50000</v>
      </c>
      <c r="H17" s="20">
        <f t="shared" si="4"/>
        <v>50000</v>
      </c>
      <c r="I17" s="20">
        <f t="shared" si="5"/>
        <v>200000</v>
      </c>
    </row>
    <row r="18" spans="1:9">
      <c r="A18" s="1" t="s">
        <v>3</v>
      </c>
      <c r="B18" s="16" t="s">
        <v>28</v>
      </c>
      <c r="C18" s="27">
        <v>0</v>
      </c>
      <c r="D18" s="9">
        <v>0</v>
      </c>
      <c r="E18" s="66">
        <v>59828</v>
      </c>
      <c r="F18" s="79">
        <f t="shared" si="3"/>
        <v>59828</v>
      </c>
      <c r="G18" s="10">
        <v>0</v>
      </c>
      <c r="H18" s="20">
        <f t="shared" si="4"/>
        <v>0</v>
      </c>
      <c r="I18" s="20">
        <f t="shared" si="5"/>
        <v>59828</v>
      </c>
    </row>
    <row r="19" spans="1:9">
      <c r="A19" s="1" t="s">
        <v>3</v>
      </c>
      <c r="B19" s="16" t="s">
        <v>29</v>
      </c>
      <c r="C19" s="27">
        <v>6000</v>
      </c>
      <c r="D19" s="9">
        <v>3500</v>
      </c>
      <c r="E19" s="66">
        <v>0</v>
      </c>
      <c r="F19" s="79">
        <f t="shared" si="3"/>
        <v>9500</v>
      </c>
      <c r="G19" s="10">
        <v>0</v>
      </c>
      <c r="H19" s="20">
        <f t="shared" si="4"/>
        <v>0</v>
      </c>
      <c r="I19" s="20">
        <f t="shared" si="5"/>
        <v>9500</v>
      </c>
    </row>
    <row r="20" spans="1:9">
      <c r="A20" s="1" t="s">
        <v>3</v>
      </c>
      <c r="B20" s="16" t="s">
        <v>30</v>
      </c>
      <c r="C20" s="27">
        <v>0</v>
      </c>
      <c r="D20" s="9">
        <v>13000</v>
      </c>
      <c r="E20" s="66">
        <v>13000</v>
      </c>
      <c r="F20" s="79">
        <f t="shared" si="3"/>
        <v>26000</v>
      </c>
      <c r="G20" s="10">
        <v>0</v>
      </c>
      <c r="H20" s="20">
        <f t="shared" si="4"/>
        <v>0</v>
      </c>
      <c r="I20" s="20">
        <f t="shared" si="5"/>
        <v>26000</v>
      </c>
    </row>
    <row r="21" spans="1:9">
      <c r="A21" s="1" t="s">
        <v>3</v>
      </c>
      <c r="B21" s="16" t="s">
        <v>21</v>
      </c>
      <c r="C21" s="27">
        <v>44544</v>
      </c>
      <c r="D21" s="9">
        <v>103774</v>
      </c>
      <c r="E21" s="66">
        <v>80840</v>
      </c>
      <c r="F21" s="79">
        <f t="shared" si="3"/>
        <v>229158</v>
      </c>
      <c r="G21" s="10">
        <v>0</v>
      </c>
      <c r="H21" s="20">
        <f t="shared" si="4"/>
        <v>0</v>
      </c>
      <c r="I21" s="20">
        <f t="shared" si="5"/>
        <v>229158</v>
      </c>
    </row>
    <row r="22" spans="1:9">
      <c r="A22" s="1" t="s">
        <v>3</v>
      </c>
      <c r="B22" s="49" t="s">
        <v>22</v>
      </c>
      <c r="C22" s="50">
        <v>371</v>
      </c>
      <c r="D22" s="51">
        <v>784</v>
      </c>
      <c r="E22" s="67">
        <v>2828</v>
      </c>
      <c r="F22" s="80">
        <f t="shared" si="3"/>
        <v>3983</v>
      </c>
      <c r="G22" s="52">
        <v>0</v>
      </c>
      <c r="H22" s="53">
        <f t="shared" si="4"/>
        <v>0</v>
      </c>
      <c r="I22" s="53">
        <f t="shared" si="5"/>
        <v>3983</v>
      </c>
    </row>
    <row r="23" spans="1:9">
      <c r="A23" s="1" t="s">
        <v>3</v>
      </c>
      <c r="B23" s="54" t="s">
        <v>31</v>
      </c>
      <c r="C23" s="55">
        <v>292915</v>
      </c>
      <c r="D23" s="56">
        <v>366058</v>
      </c>
      <c r="E23" s="68">
        <v>413496</v>
      </c>
      <c r="F23" s="81">
        <f t="shared" si="3"/>
        <v>1072469</v>
      </c>
      <c r="G23" s="57">
        <v>420000</v>
      </c>
      <c r="H23" s="58">
        <f t="shared" si="4"/>
        <v>420000</v>
      </c>
      <c r="I23" s="58">
        <f t="shared" si="5"/>
        <v>1492469</v>
      </c>
    </row>
    <row r="24" spans="1:9">
      <c r="A24" s="1" t="s">
        <v>3</v>
      </c>
      <c r="B24" s="54" t="s">
        <v>32</v>
      </c>
      <c r="C24" s="55">
        <v>0</v>
      </c>
      <c r="D24" s="56">
        <v>1738</v>
      </c>
      <c r="E24" s="68">
        <v>9269</v>
      </c>
      <c r="F24" s="81">
        <f t="shared" si="3"/>
        <v>11007</v>
      </c>
      <c r="G24" s="57">
        <v>11531</v>
      </c>
      <c r="H24" s="58">
        <f t="shared" si="4"/>
        <v>11531</v>
      </c>
      <c r="I24" s="58">
        <f t="shared" si="5"/>
        <v>22538</v>
      </c>
    </row>
    <row r="25" spans="1:9">
      <c r="A25" s="1" t="s">
        <v>3</v>
      </c>
      <c r="B25" s="54" t="s">
        <v>33</v>
      </c>
      <c r="C25" s="55">
        <v>0</v>
      </c>
      <c r="D25" s="56">
        <v>1738</v>
      </c>
      <c r="E25" s="68">
        <v>9269</v>
      </c>
      <c r="F25" s="81">
        <f t="shared" si="3"/>
        <v>11007</v>
      </c>
      <c r="G25" s="57">
        <v>11531</v>
      </c>
      <c r="H25" s="58">
        <f t="shared" si="4"/>
        <v>11531</v>
      </c>
      <c r="I25" s="58">
        <f t="shared" si="5"/>
        <v>22538</v>
      </c>
    </row>
    <row r="26" spans="1:9">
      <c r="A26" s="1" t="s">
        <v>3</v>
      </c>
      <c r="B26" s="54" t="s">
        <v>34</v>
      </c>
      <c r="C26" s="55">
        <v>292915</v>
      </c>
      <c r="D26" s="56">
        <v>367796</v>
      </c>
      <c r="E26" s="68">
        <v>422765</v>
      </c>
      <c r="F26" s="81">
        <f t="shared" si="3"/>
        <v>1083476</v>
      </c>
      <c r="G26" s="57">
        <v>431531</v>
      </c>
      <c r="H26" s="58">
        <f t="shared" si="4"/>
        <v>431531</v>
      </c>
      <c r="I26" s="58">
        <f t="shared" si="5"/>
        <v>1515007</v>
      </c>
    </row>
    <row r="27" spans="1:9">
      <c r="A27" s="1" t="s">
        <v>3</v>
      </c>
      <c r="B27" s="30" t="s">
        <v>35</v>
      </c>
      <c r="C27" s="40">
        <v>15300</v>
      </c>
      <c r="D27" s="41">
        <v>19380</v>
      </c>
      <c r="E27" s="65">
        <v>22440</v>
      </c>
      <c r="F27" s="78">
        <f t="shared" si="3"/>
        <v>57120</v>
      </c>
      <c r="G27" s="42">
        <v>22440</v>
      </c>
      <c r="H27" s="43">
        <f t="shared" si="4"/>
        <v>22440</v>
      </c>
      <c r="I27" s="43">
        <f t="shared" si="5"/>
        <v>79560</v>
      </c>
    </row>
    <row r="28" spans="1:9">
      <c r="A28" s="1" t="s">
        <v>3</v>
      </c>
      <c r="B28" s="16" t="s">
        <v>36</v>
      </c>
      <c r="C28" s="27">
        <v>0</v>
      </c>
      <c r="D28" s="9">
        <v>3420</v>
      </c>
      <c r="E28" s="66">
        <v>3960</v>
      </c>
      <c r="F28" s="79">
        <f t="shared" si="3"/>
        <v>7380</v>
      </c>
      <c r="G28" s="10">
        <v>3960</v>
      </c>
      <c r="H28" s="20">
        <f t="shared" si="4"/>
        <v>3960</v>
      </c>
      <c r="I28" s="20">
        <f t="shared" si="5"/>
        <v>11340</v>
      </c>
    </row>
    <row r="29" spans="1:9">
      <c r="A29" s="1" t="s">
        <v>3</v>
      </c>
      <c r="B29" s="16" t="s">
        <v>37</v>
      </c>
      <c r="C29" s="27">
        <v>27450</v>
      </c>
      <c r="D29" s="9">
        <v>34770</v>
      </c>
      <c r="E29" s="66">
        <v>40260</v>
      </c>
      <c r="F29" s="79">
        <f t="shared" si="3"/>
        <v>102480</v>
      </c>
      <c r="G29" s="10">
        <v>40260</v>
      </c>
      <c r="H29" s="20">
        <f t="shared" si="4"/>
        <v>40260</v>
      </c>
      <c r="I29" s="20">
        <f t="shared" si="5"/>
        <v>142740</v>
      </c>
    </row>
    <row r="30" spans="1:9">
      <c r="A30" s="1" t="s">
        <v>3</v>
      </c>
      <c r="B30" s="16" t="s">
        <v>38</v>
      </c>
      <c r="C30" s="27">
        <v>1611</v>
      </c>
      <c r="D30" s="9">
        <v>2023</v>
      </c>
      <c r="E30" s="66">
        <v>2325</v>
      </c>
      <c r="F30" s="79">
        <f t="shared" si="3"/>
        <v>5959</v>
      </c>
      <c r="G30" s="10">
        <v>2373</v>
      </c>
      <c r="H30" s="20">
        <f t="shared" si="4"/>
        <v>2373</v>
      </c>
      <c r="I30" s="20">
        <f t="shared" si="5"/>
        <v>8332</v>
      </c>
    </row>
    <row r="31" spans="1:9">
      <c r="A31" s="1" t="s">
        <v>3</v>
      </c>
      <c r="B31" s="49" t="s">
        <v>39</v>
      </c>
      <c r="C31" s="50">
        <v>-27297</v>
      </c>
      <c r="D31" s="51">
        <v>10301</v>
      </c>
      <c r="E31" s="67">
        <v>1515</v>
      </c>
      <c r="F31" s="80">
        <f t="shared" si="3"/>
        <v>-15481</v>
      </c>
      <c r="G31" s="52">
        <v>0</v>
      </c>
      <c r="H31" s="53">
        <f t="shared" si="4"/>
        <v>0</v>
      </c>
      <c r="I31" s="53">
        <f t="shared" si="5"/>
        <v>-15481</v>
      </c>
    </row>
    <row r="32" spans="1:9">
      <c r="A32" s="1" t="s">
        <v>3</v>
      </c>
      <c r="B32" s="54" t="s">
        <v>40</v>
      </c>
      <c r="C32" s="55">
        <v>17064</v>
      </c>
      <c r="D32" s="56">
        <v>69894</v>
      </c>
      <c r="E32" s="68">
        <v>70500</v>
      </c>
      <c r="F32" s="81">
        <f t="shared" si="3"/>
        <v>157458</v>
      </c>
      <c r="G32" s="57">
        <v>69033</v>
      </c>
      <c r="H32" s="58">
        <f t="shared" si="4"/>
        <v>69033</v>
      </c>
      <c r="I32" s="58">
        <f t="shared" si="5"/>
        <v>226491</v>
      </c>
    </row>
    <row r="33" spans="1:9">
      <c r="A33" s="1" t="s">
        <v>3</v>
      </c>
      <c r="B33" s="30" t="s">
        <v>41</v>
      </c>
      <c r="C33" s="40">
        <v>5860</v>
      </c>
      <c r="D33" s="41">
        <v>8200</v>
      </c>
      <c r="E33" s="65">
        <v>11890</v>
      </c>
      <c r="F33" s="78">
        <f t="shared" si="3"/>
        <v>25950</v>
      </c>
      <c r="G33" s="42">
        <v>12540</v>
      </c>
      <c r="H33" s="43">
        <f t="shared" si="4"/>
        <v>12540</v>
      </c>
      <c r="I33" s="43">
        <f t="shared" si="5"/>
        <v>38490</v>
      </c>
    </row>
    <row r="34" spans="1:9">
      <c r="A34" s="1" t="s">
        <v>3</v>
      </c>
      <c r="B34" s="49" t="s">
        <v>42</v>
      </c>
      <c r="C34" s="50">
        <v>16000</v>
      </c>
      <c r="D34" s="51">
        <v>17200</v>
      </c>
      <c r="E34" s="67">
        <v>16600</v>
      </c>
      <c r="F34" s="80">
        <f t="shared" si="3"/>
        <v>49800</v>
      </c>
      <c r="G34" s="52">
        <v>20700</v>
      </c>
      <c r="H34" s="53">
        <f t="shared" si="4"/>
        <v>20700</v>
      </c>
      <c r="I34" s="53">
        <f t="shared" si="5"/>
        <v>70500</v>
      </c>
    </row>
    <row r="35" spans="1:9">
      <c r="A35" s="1" t="s">
        <v>3</v>
      </c>
      <c r="B35" s="54" t="s">
        <v>43</v>
      </c>
      <c r="C35" s="55">
        <v>38924</v>
      </c>
      <c r="D35" s="56">
        <v>95294</v>
      </c>
      <c r="E35" s="68">
        <v>98990</v>
      </c>
      <c r="F35" s="81">
        <f t="shared" si="3"/>
        <v>233208</v>
      </c>
      <c r="G35" s="57">
        <v>102273</v>
      </c>
      <c r="H35" s="58">
        <f t="shared" si="4"/>
        <v>102273</v>
      </c>
      <c r="I35" s="58">
        <f t="shared" si="5"/>
        <v>335481</v>
      </c>
    </row>
    <row r="36" spans="1:9">
      <c r="A36" s="1" t="s">
        <v>3</v>
      </c>
      <c r="B36" s="54" t="s">
        <v>44</v>
      </c>
      <c r="C36" s="55">
        <v>275851</v>
      </c>
      <c r="D36" s="56">
        <v>296164</v>
      </c>
      <c r="E36" s="68">
        <v>342996</v>
      </c>
      <c r="F36" s="81">
        <f t="shared" si="3"/>
        <v>915011</v>
      </c>
      <c r="G36" s="57">
        <v>350967</v>
      </c>
      <c r="H36" s="58">
        <f t="shared" si="4"/>
        <v>350967</v>
      </c>
      <c r="I36" s="58">
        <f t="shared" si="5"/>
        <v>1265978</v>
      </c>
    </row>
    <row r="37" spans="1:9">
      <c r="A37" s="1" t="s">
        <v>3</v>
      </c>
      <c r="B37" s="54" t="s">
        <v>45</v>
      </c>
      <c r="C37" s="55">
        <v>253991</v>
      </c>
      <c r="D37" s="56">
        <v>272502</v>
      </c>
      <c r="E37" s="68">
        <v>323775</v>
      </c>
      <c r="F37" s="81">
        <f t="shared" si="3"/>
        <v>850268</v>
      </c>
      <c r="G37" s="57">
        <v>329258</v>
      </c>
      <c r="H37" s="58">
        <f t="shared" si="4"/>
        <v>329258</v>
      </c>
      <c r="I37" s="58">
        <f t="shared" si="5"/>
        <v>1179526</v>
      </c>
    </row>
    <row r="38" spans="1:9">
      <c r="A38" s="1" t="s">
        <v>3</v>
      </c>
      <c r="B38" s="54" t="s">
        <v>46</v>
      </c>
      <c r="C38" s="55">
        <v>253991</v>
      </c>
      <c r="D38" s="56">
        <v>272502</v>
      </c>
      <c r="E38" s="68">
        <v>323775</v>
      </c>
      <c r="F38" s="81">
        <f t="shared" si="3"/>
        <v>850268</v>
      </c>
      <c r="G38" s="57">
        <v>329258</v>
      </c>
      <c r="H38" s="58">
        <f t="shared" si="4"/>
        <v>329258</v>
      </c>
      <c r="I38" s="58">
        <f t="shared" si="5"/>
        <v>1179526</v>
      </c>
    </row>
    <row r="39" spans="1:9">
      <c r="A39" s="1" t="s">
        <v>3</v>
      </c>
      <c r="B39" s="30" t="s">
        <v>47</v>
      </c>
      <c r="C39" s="40">
        <v>1</v>
      </c>
      <c r="D39" s="41">
        <v>0</v>
      </c>
      <c r="E39" s="65">
        <v>0</v>
      </c>
      <c r="F39" s="78"/>
      <c r="G39" s="42">
        <v>0</v>
      </c>
      <c r="H39" s="43"/>
      <c r="I39" s="43"/>
    </row>
    <row r="40" spans="1:9">
      <c r="A40" s="1" t="s">
        <v>3</v>
      </c>
      <c r="B40" s="16" t="s">
        <v>48</v>
      </c>
      <c r="C40" s="28" t="s">
        <v>49</v>
      </c>
      <c r="D40" s="11" t="s">
        <v>49</v>
      </c>
      <c r="E40" s="69" t="s">
        <v>49</v>
      </c>
      <c r="F40" s="82"/>
      <c r="G40" s="12" t="s">
        <v>49</v>
      </c>
      <c r="H40" s="21"/>
      <c r="I40" s="21"/>
    </row>
    <row r="41" spans="1:9" ht="19.5" thickBot="1">
      <c r="A41" s="1" t="s">
        <v>3</v>
      </c>
      <c r="B41" s="17" t="s">
        <v>50</v>
      </c>
      <c r="C41" s="29">
        <v>5860</v>
      </c>
      <c r="D41" s="13">
        <v>8200</v>
      </c>
      <c r="E41" s="70">
        <v>11890</v>
      </c>
      <c r="F41" s="83">
        <f>SUM(C41:E41)</f>
        <v>25950</v>
      </c>
      <c r="G41" s="14">
        <v>12540</v>
      </c>
      <c r="H41" s="22">
        <f>G41</f>
        <v>12540</v>
      </c>
      <c r="I41" s="22">
        <f>F41+H41</f>
        <v>38490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2025-10-08T02:32:51Z</dcterms:created>
  <dcterms:modified xsi:type="dcterms:W3CDTF">2025-10-16T01:44:15Z</dcterms:modified>
  <cp:category/>
  <cp:contentStatus/>
</cp:coreProperties>
</file>