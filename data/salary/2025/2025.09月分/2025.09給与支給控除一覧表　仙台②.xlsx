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9月分\"/>
    </mc:Choice>
  </mc:AlternateContent>
  <xr:revisionPtr revIDLastSave="0" documentId="13_ncr:1_{2B45D77F-D3CC-49DF-9C04-9838D5A773E1}" xr6:coauthVersionLast="47" xr6:coauthVersionMax="47" xr10:uidLastSave="{00000000-0000-0000-0000-000000000000}"/>
  <bookViews>
    <workbookView xWindow="-120" yWindow="-120" windowWidth="20730" windowHeight="11160" xr2:uid="{BADA4804-690D-4902-B98C-947A0A0C9669}"/>
  </bookViews>
  <sheets>
    <sheet name="2025年9月度給与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2" l="1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I55" i="2"/>
  <c r="M55" i="2" s="1"/>
  <c r="I52" i="2"/>
  <c r="M52" i="2" s="1"/>
  <c r="I51" i="2"/>
  <c r="M51" i="2" s="1"/>
  <c r="I50" i="2"/>
  <c r="M50" i="2" s="1"/>
  <c r="I49" i="2"/>
  <c r="M49" i="2" s="1"/>
  <c r="I48" i="2"/>
  <c r="M48" i="2" s="1"/>
  <c r="I47" i="2"/>
  <c r="M47" i="2" s="1"/>
  <c r="I46" i="2"/>
  <c r="M46" i="2" s="1"/>
  <c r="I45" i="2"/>
  <c r="M45" i="2" s="1"/>
  <c r="I44" i="2"/>
  <c r="M44" i="2" s="1"/>
  <c r="I43" i="2"/>
  <c r="M43" i="2" s="1"/>
  <c r="I42" i="2"/>
  <c r="M42" i="2" s="1"/>
  <c r="I41" i="2"/>
  <c r="M41" i="2" s="1"/>
  <c r="I40" i="2"/>
  <c r="M40" i="2" s="1"/>
  <c r="I39" i="2"/>
  <c r="M39" i="2" s="1"/>
  <c r="I38" i="2"/>
  <c r="M38" i="2" s="1"/>
  <c r="I37" i="2"/>
  <c r="M37" i="2" s="1"/>
  <c r="I36" i="2"/>
  <c r="M36" i="2" s="1"/>
  <c r="I35" i="2"/>
  <c r="M35" i="2" s="1"/>
  <c r="I34" i="2"/>
  <c r="M34" i="2" s="1"/>
  <c r="I33" i="2"/>
  <c r="M33" i="2" s="1"/>
  <c r="I32" i="2"/>
  <c r="M32" i="2" s="1"/>
  <c r="I31" i="2"/>
  <c r="M31" i="2" s="1"/>
  <c r="I30" i="2"/>
  <c r="M30" i="2" s="1"/>
  <c r="I29" i="2"/>
  <c r="M29" i="2" s="1"/>
  <c r="I28" i="2"/>
  <c r="M28" i="2" s="1"/>
  <c r="I27" i="2"/>
  <c r="M27" i="2" s="1"/>
  <c r="I26" i="2"/>
  <c r="M26" i="2" s="1"/>
  <c r="I25" i="2"/>
  <c r="M25" i="2" s="1"/>
  <c r="I24" i="2"/>
  <c r="M24" i="2" s="1"/>
  <c r="I22" i="2"/>
  <c r="M22" i="2" s="1"/>
  <c r="I21" i="2"/>
  <c r="M21" i="2" s="1"/>
  <c r="I20" i="2"/>
  <c r="M20" i="2" s="1"/>
  <c r="I19" i="2"/>
  <c r="M19" i="2" s="1"/>
  <c r="I18" i="2"/>
  <c r="M18" i="2" s="1"/>
  <c r="I17" i="2"/>
  <c r="M17" i="2" s="1"/>
  <c r="I16" i="2"/>
  <c r="M16" i="2" s="1"/>
  <c r="I15" i="2"/>
  <c r="M15" i="2" s="1"/>
  <c r="I14" i="2"/>
  <c r="M14" i="2" s="1"/>
  <c r="I13" i="2"/>
  <c r="M13" i="2" s="1"/>
  <c r="I12" i="2"/>
  <c r="M12" i="2" s="1"/>
  <c r="I11" i="2"/>
  <c r="M11" i="2" s="1"/>
  <c r="I10" i="2"/>
  <c r="M10" i="2" s="1"/>
  <c r="I9" i="2"/>
  <c r="M9" i="2" s="1"/>
</calcChain>
</file>

<file path=xl/sharedStrings.xml><?xml version="1.0" encoding="utf-8"?>
<sst xmlns="http://schemas.openxmlformats.org/spreadsheetml/2006/main" count="130" uniqueCount="70">
  <si>
    <t>支給控除一覧表</t>
    <phoneticPr fontId="4"/>
  </si>
  <si>
    <t>若林運送株式会社</t>
    <phoneticPr fontId="4"/>
  </si>
  <si>
    <t>2025年10月 8日 作成</t>
    <phoneticPr fontId="4"/>
  </si>
  <si>
    <t/>
  </si>
  <si>
    <t>2025年9月度給与</t>
    <phoneticPr fontId="4"/>
  </si>
  <si>
    <t>1037</t>
    <phoneticPr fontId="4"/>
  </si>
  <si>
    <t>1038</t>
    <phoneticPr fontId="4"/>
  </si>
  <si>
    <t>1042</t>
    <phoneticPr fontId="4"/>
  </si>
  <si>
    <t>1099</t>
    <phoneticPr fontId="4"/>
  </si>
  <si>
    <t>1102</t>
    <phoneticPr fontId="4"/>
  </si>
  <si>
    <t>1117</t>
    <phoneticPr fontId="4"/>
  </si>
  <si>
    <t>小計</t>
    <rPh sb="0" eb="2">
      <t>ショウケイ</t>
    </rPh>
    <phoneticPr fontId="3"/>
  </si>
  <si>
    <t>1043</t>
    <phoneticPr fontId="4"/>
  </si>
  <si>
    <t>1072</t>
    <phoneticPr fontId="4"/>
  </si>
  <si>
    <t>合計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</si>
  <si>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</si>
  <si>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</si>
  <si>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</si>
  <si>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</si>
  <si>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土谷　栄</t>
    <phoneticPr fontId="4"/>
  </si>
  <si>
    <t>小田島　健司</t>
    <phoneticPr fontId="4"/>
  </si>
  <si>
    <t>白井　博</t>
    <phoneticPr fontId="4"/>
  </si>
  <si>
    <t>6名</t>
    <rPh sb="1" eb="2">
      <t>メイ</t>
    </rPh>
    <phoneticPr fontId="4"/>
  </si>
  <si>
    <t>鈴木　貴雄</t>
    <phoneticPr fontId="4"/>
  </si>
  <si>
    <t>佐藤　ゆうこ</t>
    <phoneticPr fontId="4"/>
  </si>
  <si>
    <t>2名</t>
    <rPh sb="1" eb="2">
      <t>メイ</t>
    </rPh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</si>
  <si>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</si>
  <si>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</si>
  <si>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</si>
  <si>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</si>
  <si>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</si>
  <si>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</si>
  <si>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</si>
  <si>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</si>
  <si>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</si>
  <si>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</si>
  <si>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</si>
  <si>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</si>
  <si>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</si>
  <si>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</si>
  <si>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</si>
  <si>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</si>
  <si>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</si>
  <si>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</si>
  <si>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</si>
  <si>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</si>
  <si>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</si>
  <si>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</si>
  <si>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</si>
  <si>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</si>
  <si>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</si>
  <si>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</si>
  <si>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</si>
  <si>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</si>
  <si>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</si>
  <si>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</si>
  <si>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</si>
  <si>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</si>
  <si>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社保料調整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</si>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</sst>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  <xf numFmtId="0" fontId="2" fillId="0" borderId="44" xfId="1" applyFont="1" applyBorder="1" applyAlignment="1">
      <alignment horizontal="center"/>
    </xf>
    <xf numFmtId="0" fontId="2" fillId="0" borderId="14" xfId="1" applyFont="1" applyBorder="1" applyAlignment="1">
      <alignment horizontal="center"/>
    </xf>
  </cellXfs>
  <cellStyles count="2">
    <cellStyle name="標準" xfId="0" builtinId="0"/>
    <cellStyle name="標準 2" xfId="1" xr:uid="{F02EED14-E14F-4E14-BDE5-C7575874D6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0D1F-23BA-4917-83DB-42600019585F}">
  <dimension ref="A1:M55"/>
  <sheetViews>
    <sheetView showZeros="0" tabSelected="1" workbookViewId="0">
      <pane xSplit="2" ySplit="8" topLeftCell="C9" activePane="bottomRight" state="frozen"/>
      <selection pane="bottomRight" activeCell="L47" sqref="L47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9" style="2" bestFit="1" customWidth="1"/>
    <col min="5" max="5" width="11.125" style="2" bestFit="1" customWidth="1"/>
    <col min="6" max="6" width="9" style="2" bestFit="1" customWidth="1"/>
    <col min="7" max="7" width="13.25" style="2" bestFit="1" customWidth="1"/>
    <col min="8" max="8" width="9" style="2" bestFit="1" customWidth="1"/>
    <col min="9" max="9" width="9.625" style="2" bestFit="1" customWidth="1"/>
    <col min="10" max="10" width="11.125" style="2" bestFit="1" customWidth="1"/>
    <col min="11" max="11" width="13.25" style="2" bestFit="1" customWidth="1"/>
    <col min="12" max="13" width="9.625" style="2" bestFit="1" customWidth="1"/>
    <col min="14" max="257" width="9" style="2"/>
    <col min="258" max="258" width="2.375" style="2" customWidth="1"/>
    <col min="259" max="259" width="13.25" style="2" bestFit="1" customWidth="1"/>
    <col min="260" max="261" width="9" style="2" bestFit="1"/>
    <col min="262" max="263" width="11.125" style="2" bestFit="1" customWidth="1"/>
    <col min="264" max="264" width="13.25" style="2" bestFit="1" customWidth="1"/>
    <col min="265" max="265" width="9" style="2" bestFit="1"/>
    <col min="266" max="266" width="13.25" style="2" bestFit="1" customWidth="1"/>
    <col min="267" max="267" width="9" style="2" bestFit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9" style="2" bestFit="1"/>
    <col min="518" max="519" width="11.125" style="2" bestFit="1" customWidth="1"/>
    <col min="520" max="520" width="13.25" style="2" bestFit="1" customWidth="1"/>
    <col min="521" max="521" width="9" style="2" bestFit="1"/>
    <col min="522" max="522" width="13.25" style="2" bestFit="1" customWidth="1"/>
    <col min="523" max="523" width="9" style="2" bestFit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9" style="2" bestFit="1"/>
    <col min="774" max="775" width="11.125" style="2" bestFit="1" customWidth="1"/>
    <col min="776" max="776" width="13.25" style="2" bestFit="1" customWidth="1"/>
    <col min="777" max="777" width="9" style="2" bestFit="1"/>
    <col min="778" max="778" width="13.25" style="2" bestFit="1" customWidth="1"/>
    <col min="779" max="779" width="9" style="2" bestFit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9" style="2" bestFit="1"/>
    <col min="1030" max="1031" width="11.125" style="2" bestFit="1" customWidth="1"/>
    <col min="1032" max="1032" width="13.25" style="2" bestFit="1" customWidth="1"/>
    <col min="1033" max="1033" width="9" style="2" bestFit="1"/>
    <col min="1034" max="1034" width="13.25" style="2" bestFit="1" customWidth="1"/>
    <col min="1035" max="1035" width="9" style="2" bestFit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9" style="2" bestFit="1"/>
    <col min="1286" max="1287" width="11.125" style="2" bestFit="1" customWidth="1"/>
    <col min="1288" max="1288" width="13.25" style="2" bestFit="1" customWidth="1"/>
    <col min="1289" max="1289" width="9" style="2" bestFit="1"/>
    <col min="1290" max="1290" width="13.25" style="2" bestFit="1" customWidth="1"/>
    <col min="1291" max="1291" width="9" style="2" bestFit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9" style="2" bestFit="1"/>
    <col min="1542" max="1543" width="11.125" style="2" bestFit="1" customWidth="1"/>
    <col min="1544" max="1544" width="13.25" style="2" bestFit="1" customWidth="1"/>
    <col min="1545" max="1545" width="9" style="2" bestFit="1"/>
    <col min="1546" max="1546" width="13.25" style="2" bestFit="1" customWidth="1"/>
    <col min="1547" max="1547" width="9" style="2" bestFit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9" style="2" bestFit="1"/>
    <col min="1798" max="1799" width="11.125" style="2" bestFit="1" customWidth="1"/>
    <col min="1800" max="1800" width="13.25" style="2" bestFit="1" customWidth="1"/>
    <col min="1801" max="1801" width="9" style="2" bestFit="1"/>
    <col min="1802" max="1802" width="13.25" style="2" bestFit="1" customWidth="1"/>
    <col min="1803" max="1803" width="9" style="2" bestFit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9" style="2" bestFit="1"/>
    <col min="2054" max="2055" width="11.125" style="2" bestFit="1" customWidth="1"/>
    <col min="2056" max="2056" width="13.25" style="2" bestFit="1" customWidth="1"/>
    <col min="2057" max="2057" width="9" style="2" bestFit="1"/>
    <col min="2058" max="2058" width="13.25" style="2" bestFit="1" customWidth="1"/>
    <col min="2059" max="2059" width="9" style="2" bestFit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9" style="2" bestFit="1"/>
    <col min="2310" max="2311" width="11.125" style="2" bestFit="1" customWidth="1"/>
    <col min="2312" max="2312" width="13.25" style="2" bestFit="1" customWidth="1"/>
    <col min="2313" max="2313" width="9" style="2" bestFit="1"/>
    <col min="2314" max="2314" width="13.25" style="2" bestFit="1" customWidth="1"/>
    <col min="2315" max="2315" width="9" style="2" bestFit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9" style="2" bestFit="1"/>
    <col min="2566" max="2567" width="11.125" style="2" bestFit="1" customWidth="1"/>
    <col min="2568" max="2568" width="13.25" style="2" bestFit="1" customWidth="1"/>
    <col min="2569" max="2569" width="9" style="2" bestFit="1"/>
    <col min="2570" max="2570" width="13.25" style="2" bestFit="1" customWidth="1"/>
    <col min="2571" max="2571" width="9" style="2" bestFit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9" style="2" bestFit="1"/>
    <col min="2822" max="2823" width="11.125" style="2" bestFit="1" customWidth="1"/>
    <col min="2824" max="2824" width="13.25" style="2" bestFit="1" customWidth="1"/>
    <col min="2825" max="2825" width="9" style="2" bestFit="1"/>
    <col min="2826" max="2826" width="13.25" style="2" bestFit="1" customWidth="1"/>
    <col min="2827" max="2827" width="9" style="2" bestFit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9" style="2" bestFit="1"/>
    <col min="3078" max="3079" width="11.125" style="2" bestFit="1" customWidth="1"/>
    <col min="3080" max="3080" width="13.25" style="2" bestFit="1" customWidth="1"/>
    <col min="3081" max="3081" width="9" style="2" bestFit="1"/>
    <col min="3082" max="3082" width="13.25" style="2" bestFit="1" customWidth="1"/>
    <col min="3083" max="3083" width="9" style="2" bestFit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9" style="2" bestFit="1"/>
    <col min="3334" max="3335" width="11.125" style="2" bestFit="1" customWidth="1"/>
    <col min="3336" max="3336" width="13.25" style="2" bestFit="1" customWidth="1"/>
    <col min="3337" max="3337" width="9" style="2" bestFit="1"/>
    <col min="3338" max="3338" width="13.25" style="2" bestFit="1" customWidth="1"/>
    <col min="3339" max="3339" width="9" style="2" bestFit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9" style="2" bestFit="1"/>
    <col min="3590" max="3591" width="11.125" style="2" bestFit="1" customWidth="1"/>
    <col min="3592" max="3592" width="13.25" style="2" bestFit="1" customWidth="1"/>
    <col min="3593" max="3593" width="9" style="2" bestFit="1"/>
    <col min="3594" max="3594" width="13.25" style="2" bestFit="1" customWidth="1"/>
    <col min="3595" max="3595" width="9" style="2" bestFit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9" style="2" bestFit="1"/>
    <col min="3846" max="3847" width="11.125" style="2" bestFit="1" customWidth="1"/>
    <col min="3848" max="3848" width="13.25" style="2" bestFit="1" customWidth="1"/>
    <col min="3849" max="3849" width="9" style="2" bestFit="1"/>
    <col min="3850" max="3850" width="13.25" style="2" bestFit="1" customWidth="1"/>
    <col min="3851" max="3851" width="9" style="2" bestFit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9" style="2" bestFit="1"/>
    <col min="4102" max="4103" width="11.125" style="2" bestFit="1" customWidth="1"/>
    <col min="4104" max="4104" width="13.25" style="2" bestFit="1" customWidth="1"/>
    <col min="4105" max="4105" width="9" style="2" bestFit="1"/>
    <col min="4106" max="4106" width="13.25" style="2" bestFit="1" customWidth="1"/>
    <col min="4107" max="4107" width="9" style="2" bestFit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9" style="2" bestFit="1"/>
    <col min="4358" max="4359" width="11.125" style="2" bestFit="1" customWidth="1"/>
    <col min="4360" max="4360" width="13.25" style="2" bestFit="1" customWidth="1"/>
    <col min="4361" max="4361" width="9" style="2" bestFit="1"/>
    <col min="4362" max="4362" width="13.25" style="2" bestFit="1" customWidth="1"/>
    <col min="4363" max="4363" width="9" style="2" bestFit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9" style="2" bestFit="1"/>
    <col min="4614" max="4615" width="11.125" style="2" bestFit="1" customWidth="1"/>
    <col min="4616" max="4616" width="13.25" style="2" bestFit="1" customWidth="1"/>
    <col min="4617" max="4617" width="9" style="2" bestFit="1"/>
    <col min="4618" max="4618" width="13.25" style="2" bestFit="1" customWidth="1"/>
    <col min="4619" max="4619" width="9" style="2" bestFit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9" style="2" bestFit="1"/>
    <col min="4870" max="4871" width="11.125" style="2" bestFit="1" customWidth="1"/>
    <col min="4872" max="4872" width="13.25" style="2" bestFit="1" customWidth="1"/>
    <col min="4873" max="4873" width="9" style="2" bestFit="1"/>
    <col min="4874" max="4874" width="13.25" style="2" bestFit="1" customWidth="1"/>
    <col min="4875" max="4875" width="9" style="2" bestFit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9" style="2" bestFit="1"/>
    <col min="5126" max="5127" width="11.125" style="2" bestFit="1" customWidth="1"/>
    <col min="5128" max="5128" width="13.25" style="2" bestFit="1" customWidth="1"/>
    <col min="5129" max="5129" width="9" style="2" bestFit="1"/>
    <col min="5130" max="5130" width="13.25" style="2" bestFit="1" customWidth="1"/>
    <col min="5131" max="5131" width="9" style="2" bestFit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9" style="2" bestFit="1"/>
    <col min="5382" max="5383" width="11.125" style="2" bestFit="1" customWidth="1"/>
    <col min="5384" max="5384" width="13.25" style="2" bestFit="1" customWidth="1"/>
    <col min="5385" max="5385" width="9" style="2" bestFit="1"/>
    <col min="5386" max="5386" width="13.25" style="2" bestFit="1" customWidth="1"/>
    <col min="5387" max="5387" width="9" style="2" bestFit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9" style="2" bestFit="1"/>
    <col min="5638" max="5639" width="11.125" style="2" bestFit="1" customWidth="1"/>
    <col min="5640" max="5640" width="13.25" style="2" bestFit="1" customWidth="1"/>
    <col min="5641" max="5641" width="9" style="2" bestFit="1"/>
    <col min="5642" max="5642" width="13.25" style="2" bestFit="1" customWidth="1"/>
    <col min="5643" max="5643" width="9" style="2" bestFit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9" style="2" bestFit="1"/>
    <col min="5894" max="5895" width="11.125" style="2" bestFit="1" customWidth="1"/>
    <col min="5896" max="5896" width="13.25" style="2" bestFit="1" customWidth="1"/>
    <col min="5897" max="5897" width="9" style="2" bestFit="1"/>
    <col min="5898" max="5898" width="13.25" style="2" bestFit="1" customWidth="1"/>
    <col min="5899" max="5899" width="9" style="2" bestFit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9" style="2" bestFit="1"/>
    <col min="6150" max="6151" width="11.125" style="2" bestFit="1" customWidth="1"/>
    <col min="6152" max="6152" width="13.25" style="2" bestFit="1" customWidth="1"/>
    <col min="6153" max="6153" width="9" style="2" bestFit="1"/>
    <col min="6154" max="6154" width="13.25" style="2" bestFit="1" customWidth="1"/>
    <col min="6155" max="6155" width="9" style="2" bestFit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9" style="2" bestFit="1"/>
    <col min="6406" max="6407" width="11.125" style="2" bestFit="1" customWidth="1"/>
    <col min="6408" max="6408" width="13.25" style="2" bestFit="1" customWidth="1"/>
    <col min="6409" max="6409" width="9" style="2" bestFit="1"/>
    <col min="6410" max="6410" width="13.25" style="2" bestFit="1" customWidth="1"/>
    <col min="6411" max="6411" width="9" style="2" bestFit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9" style="2" bestFit="1"/>
    <col min="6662" max="6663" width="11.125" style="2" bestFit="1" customWidth="1"/>
    <col min="6664" max="6664" width="13.25" style="2" bestFit="1" customWidth="1"/>
    <col min="6665" max="6665" width="9" style="2" bestFit="1"/>
    <col min="6666" max="6666" width="13.25" style="2" bestFit="1" customWidth="1"/>
    <col min="6667" max="6667" width="9" style="2" bestFit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9" style="2" bestFit="1"/>
    <col min="6918" max="6919" width="11.125" style="2" bestFit="1" customWidth="1"/>
    <col min="6920" max="6920" width="13.25" style="2" bestFit="1" customWidth="1"/>
    <col min="6921" max="6921" width="9" style="2" bestFit="1"/>
    <col min="6922" max="6922" width="13.25" style="2" bestFit="1" customWidth="1"/>
    <col min="6923" max="6923" width="9" style="2" bestFit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9" style="2" bestFit="1"/>
    <col min="7174" max="7175" width="11.125" style="2" bestFit="1" customWidth="1"/>
    <col min="7176" max="7176" width="13.25" style="2" bestFit="1" customWidth="1"/>
    <col min="7177" max="7177" width="9" style="2" bestFit="1"/>
    <col min="7178" max="7178" width="13.25" style="2" bestFit="1" customWidth="1"/>
    <col min="7179" max="7179" width="9" style="2" bestFit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9" style="2" bestFit="1"/>
    <col min="7430" max="7431" width="11.125" style="2" bestFit="1" customWidth="1"/>
    <col min="7432" max="7432" width="13.25" style="2" bestFit="1" customWidth="1"/>
    <col min="7433" max="7433" width="9" style="2" bestFit="1"/>
    <col min="7434" max="7434" width="13.25" style="2" bestFit="1" customWidth="1"/>
    <col min="7435" max="7435" width="9" style="2" bestFit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9" style="2" bestFit="1"/>
    <col min="7686" max="7687" width="11.125" style="2" bestFit="1" customWidth="1"/>
    <col min="7688" max="7688" width="13.25" style="2" bestFit="1" customWidth="1"/>
    <col min="7689" max="7689" width="9" style="2" bestFit="1"/>
    <col min="7690" max="7690" width="13.25" style="2" bestFit="1" customWidth="1"/>
    <col min="7691" max="7691" width="9" style="2" bestFit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9" style="2" bestFit="1"/>
    <col min="7942" max="7943" width="11.125" style="2" bestFit="1" customWidth="1"/>
    <col min="7944" max="7944" width="13.25" style="2" bestFit="1" customWidth="1"/>
    <col min="7945" max="7945" width="9" style="2" bestFit="1"/>
    <col min="7946" max="7946" width="13.25" style="2" bestFit="1" customWidth="1"/>
    <col min="7947" max="7947" width="9" style="2" bestFit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9" style="2" bestFit="1"/>
    <col min="8198" max="8199" width="11.125" style="2" bestFit="1" customWidth="1"/>
    <col min="8200" max="8200" width="13.25" style="2" bestFit="1" customWidth="1"/>
    <col min="8201" max="8201" width="9" style="2" bestFit="1"/>
    <col min="8202" max="8202" width="13.25" style="2" bestFit="1" customWidth="1"/>
    <col min="8203" max="8203" width="9" style="2" bestFit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9" style="2" bestFit="1"/>
    <col min="8454" max="8455" width="11.125" style="2" bestFit="1" customWidth="1"/>
    <col min="8456" max="8456" width="13.25" style="2" bestFit="1" customWidth="1"/>
    <col min="8457" max="8457" width="9" style="2" bestFit="1"/>
    <col min="8458" max="8458" width="13.25" style="2" bestFit="1" customWidth="1"/>
    <col min="8459" max="8459" width="9" style="2" bestFit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9" style="2" bestFit="1"/>
    <col min="8710" max="8711" width="11.125" style="2" bestFit="1" customWidth="1"/>
    <col min="8712" max="8712" width="13.25" style="2" bestFit="1" customWidth="1"/>
    <col min="8713" max="8713" width="9" style="2" bestFit="1"/>
    <col min="8714" max="8714" width="13.25" style="2" bestFit="1" customWidth="1"/>
    <col min="8715" max="8715" width="9" style="2" bestFit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9" style="2" bestFit="1"/>
    <col min="8966" max="8967" width="11.125" style="2" bestFit="1" customWidth="1"/>
    <col min="8968" max="8968" width="13.25" style="2" bestFit="1" customWidth="1"/>
    <col min="8969" max="8969" width="9" style="2" bestFit="1"/>
    <col min="8970" max="8970" width="13.25" style="2" bestFit="1" customWidth="1"/>
    <col min="8971" max="8971" width="9" style="2" bestFit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9" style="2" bestFit="1"/>
    <col min="9222" max="9223" width="11.125" style="2" bestFit="1" customWidth="1"/>
    <col min="9224" max="9224" width="13.25" style="2" bestFit="1" customWidth="1"/>
    <col min="9225" max="9225" width="9" style="2" bestFit="1"/>
    <col min="9226" max="9226" width="13.25" style="2" bestFit="1" customWidth="1"/>
    <col min="9227" max="9227" width="9" style="2" bestFit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9" style="2" bestFit="1"/>
    <col min="9478" max="9479" width="11.125" style="2" bestFit="1" customWidth="1"/>
    <col min="9480" max="9480" width="13.25" style="2" bestFit="1" customWidth="1"/>
    <col min="9481" max="9481" width="9" style="2" bestFit="1"/>
    <col min="9482" max="9482" width="13.25" style="2" bestFit="1" customWidth="1"/>
    <col min="9483" max="9483" width="9" style="2" bestFit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9" style="2" bestFit="1"/>
    <col min="9734" max="9735" width="11.125" style="2" bestFit="1" customWidth="1"/>
    <col min="9736" max="9736" width="13.25" style="2" bestFit="1" customWidth="1"/>
    <col min="9737" max="9737" width="9" style="2" bestFit="1"/>
    <col min="9738" max="9738" width="13.25" style="2" bestFit="1" customWidth="1"/>
    <col min="9739" max="9739" width="9" style="2" bestFit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9" style="2" bestFit="1"/>
    <col min="9990" max="9991" width="11.125" style="2" bestFit="1" customWidth="1"/>
    <col min="9992" max="9992" width="13.25" style="2" bestFit="1" customWidth="1"/>
    <col min="9993" max="9993" width="9" style="2" bestFit="1"/>
    <col min="9994" max="9994" width="13.25" style="2" bestFit="1" customWidth="1"/>
    <col min="9995" max="9995" width="9" style="2" bestFit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9" style="2" bestFit="1"/>
    <col min="10246" max="10247" width="11.125" style="2" bestFit="1" customWidth="1"/>
    <col min="10248" max="10248" width="13.25" style="2" bestFit="1" customWidth="1"/>
    <col min="10249" max="10249" width="9" style="2" bestFit="1"/>
    <col min="10250" max="10250" width="13.25" style="2" bestFit="1" customWidth="1"/>
    <col min="10251" max="10251" width="9" style="2" bestFit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9" style="2" bestFit="1"/>
    <col min="10502" max="10503" width="11.125" style="2" bestFit="1" customWidth="1"/>
    <col min="10504" max="10504" width="13.25" style="2" bestFit="1" customWidth="1"/>
    <col min="10505" max="10505" width="9" style="2" bestFit="1"/>
    <col min="10506" max="10506" width="13.25" style="2" bestFit="1" customWidth="1"/>
    <col min="10507" max="10507" width="9" style="2" bestFit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9" style="2" bestFit="1"/>
    <col min="10758" max="10759" width="11.125" style="2" bestFit="1" customWidth="1"/>
    <col min="10760" max="10760" width="13.25" style="2" bestFit="1" customWidth="1"/>
    <col min="10761" max="10761" width="9" style="2" bestFit="1"/>
    <col min="10762" max="10762" width="13.25" style="2" bestFit="1" customWidth="1"/>
    <col min="10763" max="10763" width="9" style="2" bestFit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9" style="2" bestFit="1"/>
    <col min="11014" max="11015" width="11.125" style="2" bestFit="1" customWidth="1"/>
    <col min="11016" max="11016" width="13.25" style="2" bestFit="1" customWidth="1"/>
    <col min="11017" max="11017" width="9" style="2" bestFit="1"/>
    <col min="11018" max="11018" width="13.25" style="2" bestFit="1" customWidth="1"/>
    <col min="11019" max="11019" width="9" style="2" bestFit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9" style="2" bestFit="1"/>
    <col min="11270" max="11271" width="11.125" style="2" bestFit="1" customWidth="1"/>
    <col min="11272" max="11272" width="13.25" style="2" bestFit="1" customWidth="1"/>
    <col min="11273" max="11273" width="9" style="2" bestFit="1"/>
    <col min="11274" max="11274" width="13.25" style="2" bestFit="1" customWidth="1"/>
    <col min="11275" max="11275" width="9" style="2" bestFit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9" style="2" bestFit="1"/>
    <col min="11526" max="11527" width="11.125" style="2" bestFit="1" customWidth="1"/>
    <col min="11528" max="11528" width="13.25" style="2" bestFit="1" customWidth="1"/>
    <col min="11529" max="11529" width="9" style="2" bestFit="1"/>
    <col min="11530" max="11530" width="13.25" style="2" bestFit="1" customWidth="1"/>
    <col min="11531" max="11531" width="9" style="2" bestFit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9" style="2" bestFit="1"/>
    <col min="11782" max="11783" width="11.125" style="2" bestFit="1" customWidth="1"/>
    <col min="11784" max="11784" width="13.25" style="2" bestFit="1" customWidth="1"/>
    <col min="11785" max="11785" width="9" style="2" bestFit="1"/>
    <col min="11786" max="11786" width="13.25" style="2" bestFit="1" customWidth="1"/>
    <col min="11787" max="11787" width="9" style="2" bestFit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9" style="2" bestFit="1"/>
    <col min="12038" max="12039" width="11.125" style="2" bestFit="1" customWidth="1"/>
    <col min="12040" max="12040" width="13.25" style="2" bestFit="1" customWidth="1"/>
    <col min="12041" max="12041" width="9" style="2" bestFit="1"/>
    <col min="12042" max="12042" width="13.25" style="2" bestFit="1" customWidth="1"/>
    <col min="12043" max="12043" width="9" style="2" bestFit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9" style="2" bestFit="1"/>
    <col min="12294" max="12295" width="11.125" style="2" bestFit="1" customWidth="1"/>
    <col min="12296" max="12296" width="13.25" style="2" bestFit="1" customWidth="1"/>
    <col min="12297" max="12297" width="9" style="2" bestFit="1"/>
    <col min="12298" max="12298" width="13.25" style="2" bestFit="1" customWidth="1"/>
    <col min="12299" max="12299" width="9" style="2" bestFit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9" style="2" bestFit="1"/>
    <col min="12550" max="12551" width="11.125" style="2" bestFit="1" customWidth="1"/>
    <col min="12552" max="12552" width="13.25" style="2" bestFit="1" customWidth="1"/>
    <col min="12553" max="12553" width="9" style="2" bestFit="1"/>
    <col min="12554" max="12554" width="13.25" style="2" bestFit="1" customWidth="1"/>
    <col min="12555" max="12555" width="9" style="2" bestFit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9" style="2" bestFit="1"/>
    <col min="12806" max="12807" width="11.125" style="2" bestFit="1" customWidth="1"/>
    <col min="12808" max="12808" width="13.25" style="2" bestFit="1" customWidth="1"/>
    <col min="12809" max="12809" width="9" style="2" bestFit="1"/>
    <col min="12810" max="12810" width="13.25" style="2" bestFit="1" customWidth="1"/>
    <col min="12811" max="12811" width="9" style="2" bestFit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9" style="2" bestFit="1"/>
    <col min="13062" max="13063" width="11.125" style="2" bestFit="1" customWidth="1"/>
    <col min="13064" max="13064" width="13.25" style="2" bestFit="1" customWidth="1"/>
    <col min="13065" max="13065" width="9" style="2" bestFit="1"/>
    <col min="13066" max="13066" width="13.25" style="2" bestFit="1" customWidth="1"/>
    <col min="13067" max="13067" width="9" style="2" bestFit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9" style="2" bestFit="1"/>
    <col min="13318" max="13319" width="11.125" style="2" bestFit="1" customWidth="1"/>
    <col min="13320" max="13320" width="13.25" style="2" bestFit="1" customWidth="1"/>
    <col min="13321" max="13321" width="9" style="2" bestFit="1"/>
    <col min="13322" max="13322" width="13.25" style="2" bestFit="1" customWidth="1"/>
    <col min="13323" max="13323" width="9" style="2" bestFit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9" style="2" bestFit="1"/>
    <col min="13574" max="13575" width="11.125" style="2" bestFit="1" customWidth="1"/>
    <col min="13576" max="13576" width="13.25" style="2" bestFit="1" customWidth="1"/>
    <col min="13577" max="13577" width="9" style="2" bestFit="1"/>
    <col min="13578" max="13578" width="13.25" style="2" bestFit="1" customWidth="1"/>
    <col min="13579" max="13579" width="9" style="2" bestFit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9" style="2" bestFit="1"/>
    <col min="13830" max="13831" width="11.125" style="2" bestFit="1" customWidth="1"/>
    <col min="13832" max="13832" width="13.25" style="2" bestFit="1" customWidth="1"/>
    <col min="13833" max="13833" width="9" style="2" bestFit="1"/>
    <col min="13834" max="13834" width="13.25" style="2" bestFit="1" customWidth="1"/>
    <col min="13835" max="13835" width="9" style="2" bestFit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9" style="2" bestFit="1"/>
    <col min="14086" max="14087" width="11.125" style="2" bestFit="1" customWidth="1"/>
    <col min="14088" max="14088" width="13.25" style="2" bestFit="1" customWidth="1"/>
    <col min="14089" max="14089" width="9" style="2" bestFit="1"/>
    <col min="14090" max="14090" width="13.25" style="2" bestFit="1" customWidth="1"/>
    <col min="14091" max="14091" width="9" style="2" bestFit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9" style="2" bestFit="1"/>
    <col min="14342" max="14343" width="11.125" style="2" bestFit="1" customWidth="1"/>
    <col min="14344" max="14344" width="13.25" style="2" bestFit="1" customWidth="1"/>
    <col min="14345" max="14345" width="9" style="2" bestFit="1"/>
    <col min="14346" max="14346" width="13.25" style="2" bestFit="1" customWidth="1"/>
    <col min="14347" max="14347" width="9" style="2" bestFit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9" style="2" bestFit="1"/>
    <col min="14598" max="14599" width="11.125" style="2" bestFit="1" customWidth="1"/>
    <col min="14600" max="14600" width="13.25" style="2" bestFit="1" customWidth="1"/>
    <col min="14601" max="14601" width="9" style="2" bestFit="1"/>
    <col min="14602" max="14602" width="13.25" style="2" bestFit="1" customWidth="1"/>
    <col min="14603" max="14603" width="9" style="2" bestFit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9" style="2" bestFit="1"/>
    <col min="14854" max="14855" width="11.125" style="2" bestFit="1" customWidth="1"/>
    <col min="14856" max="14856" width="13.25" style="2" bestFit="1" customWidth="1"/>
    <col min="14857" max="14857" width="9" style="2" bestFit="1"/>
    <col min="14858" max="14858" width="13.25" style="2" bestFit="1" customWidth="1"/>
    <col min="14859" max="14859" width="9" style="2" bestFit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9" style="2" bestFit="1"/>
    <col min="15110" max="15111" width="11.125" style="2" bestFit="1" customWidth="1"/>
    <col min="15112" max="15112" width="13.25" style="2" bestFit="1" customWidth="1"/>
    <col min="15113" max="15113" width="9" style="2" bestFit="1"/>
    <col min="15114" max="15114" width="13.25" style="2" bestFit="1" customWidth="1"/>
    <col min="15115" max="15115" width="9" style="2" bestFit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9" style="2" bestFit="1"/>
    <col min="15366" max="15367" width="11.125" style="2" bestFit="1" customWidth="1"/>
    <col min="15368" max="15368" width="13.25" style="2" bestFit="1" customWidth="1"/>
    <col min="15369" max="15369" width="9" style="2" bestFit="1"/>
    <col min="15370" max="15370" width="13.25" style="2" bestFit="1" customWidth="1"/>
    <col min="15371" max="15371" width="9" style="2" bestFit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9" style="2" bestFit="1"/>
    <col min="15622" max="15623" width="11.125" style="2" bestFit="1" customWidth="1"/>
    <col min="15624" max="15624" width="13.25" style="2" bestFit="1" customWidth="1"/>
    <col min="15625" max="15625" width="9" style="2" bestFit="1"/>
    <col min="15626" max="15626" width="13.25" style="2" bestFit="1" customWidth="1"/>
    <col min="15627" max="15627" width="9" style="2" bestFit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9" style="2" bestFit="1"/>
    <col min="15878" max="15879" width="11.125" style="2" bestFit="1" customWidth="1"/>
    <col min="15880" max="15880" width="13.25" style="2" bestFit="1" customWidth="1"/>
    <col min="15881" max="15881" width="9" style="2" bestFit="1"/>
    <col min="15882" max="15882" width="13.25" style="2" bestFit="1" customWidth="1"/>
    <col min="15883" max="15883" width="9" style="2" bestFit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9" style="2" bestFit="1"/>
    <col min="16134" max="16135" width="11.125" style="2" bestFit="1" customWidth="1"/>
    <col min="16136" max="16136" width="13.25" style="2" bestFit="1" customWidth="1"/>
    <col min="16137" max="16137" width="9" style="2" bestFit="1"/>
    <col min="16138" max="16138" width="13.25" style="2" bestFit="1" customWidth="1"/>
    <col min="16139" max="16139" width="9" style="2" bestFit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>
      <c r="A2" s="1"/>
    </row>
    <row r="3" spans="1:13">
      <c r="A3" s="1" t="s">
        <v>1</v>
      </c>
    </row>
    <row r="4" spans="1:13">
      <c r="A4" s="1" t="s">
        <v>2</v>
      </c>
    </row>
    <row r="5" spans="1:13">
      <c r="A5" s="1" t="s">
        <v>3</v>
      </c>
    </row>
    <row r="6" spans="1:13" ht="19.5" thickBot="1">
      <c r="A6" s="1" t="s">
        <v>4</v>
      </c>
    </row>
    <row r="7" spans="1:13">
      <c r="B7" s="15"/>
      <c r="C7" s="23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59" t="s">
        <v>10</v>
      </c>
      <c r="I7" s="82" t="s">
        <v>11</v>
      </c>
      <c r="J7" s="4" t="s">
        <v>12</v>
      </c>
      <c r="K7" s="24" t="s">
        <v>13</v>
      </c>
      <c r="L7" s="83" t="s">
        <v>11</v>
      </c>
      <c r="M7" s="83" t="s">
        <v>14</v>
      </c>
    </row>
    <row r="8" spans="1:13" ht="19.5" thickBot="1">
      <c r="A8" s="3"/>
      <c r="B8" s="35" t="s">
        <v>15</v>
      </c>
      <c r="C8" s="36" t="s">
        <v>16</v>
      </c>
      <c r="D8" s="37" t="s">
        <v>17</v>
      </c>
      <c r="E8" s="37" t="s">
        <v>18</v>
      </c>
      <c r="F8" s="37" t="s">
        <v>19</v>
      </c>
      <c r="G8" s="37" t="s">
        <v>20</v>
      </c>
      <c r="H8" s="60" t="s">
        <v>21</v>
      </c>
      <c r="I8" s="71" t="s">
        <v>22</v>
      </c>
      <c r="J8" s="37" t="s">
        <v>23</v>
      </c>
      <c r="K8" s="38" t="s">
        <v>24</v>
      </c>
      <c r="L8" s="39" t="s">
        <v>25</v>
      </c>
      <c r="M8" s="39" t="s">
        <v>22</v>
      </c>
    </row>
    <row r="9" spans="1:13">
      <c r="A9" s="1" t="s">
        <v>3</v>
      </c>
      <c r="B9" s="30" t="s">
        <v>26</v>
      </c>
      <c r="C9" s="31">
        <v>21</v>
      </c>
      <c r="D9" s="32">
        <v>18</v>
      </c>
      <c r="E9" s="32">
        <v>16</v>
      </c>
      <c r="F9" s="32">
        <v>21</v>
      </c>
      <c r="G9" s="32">
        <v>21</v>
      </c>
      <c r="H9" s="61">
        <v>22</v>
      </c>
      <c r="I9" s="72">
        <f>SUM(C9:H9)</f>
        <v>119</v>
      </c>
      <c r="J9" s="32">
        <v>16</v>
      </c>
      <c r="K9" s="33">
        <v>22</v>
      </c>
      <c r="L9" s="34">
        <f>SUM(J9:K9)</f>
        <v>38</v>
      </c>
      <c r="M9" s="34">
        <f>I9+L9</f>
        <v>157</v>
      </c>
    </row>
    <row r="10" spans="1:13">
      <c r="A10" s="1" t="s">
        <v>3</v>
      </c>
      <c r="B10" s="16" t="s">
        <v>27</v>
      </c>
      <c r="C10" s="25">
        <v>1</v>
      </c>
      <c r="D10" s="5">
        <v>3</v>
      </c>
      <c r="E10" s="5">
        <v>3</v>
      </c>
      <c r="F10" s="5">
        <v>2</v>
      </c>
      <c r="G10" s="5">
        <v>3</v>
      </c>
      <c r="H10" s="62">
        <v>1</v>
      </c>
      <c r="I10" s="73">
        <f t="shared" ref="I10:I22" si="0">SUM(C10:H10)</f>
        <v>13</v>
      </c>
      <c r="J10" s="5">
        <v>0</v>
      </c>
      <c r="K10" s="6">
        <v>2</v>
      </c>
      <c r="L10" s="18">
        <f t="shared" ref="L10:L22" si="1">SUM(J10:K10)</f>
        <v>2</v>
      </c>
      <c r="M10" s="18">
        <f t="shared" ref="M10:M22" si="2">I10+L10</f>
        <v>15</v>
      </c>
    </row>
    <row r="11" spans="1:13">
      <c r="A11" s="1" t="s">
        <v>3</v>
      </c>
      <c r="B11" s="16" t="s">
        <v>28</v>
      </c>
      <c r="C11" s="25">
        <v>2</v>
      </c>
      <c r="D11" s="5">
        <v>2</v>
      </c>
      <c r="E11" s="5">
        <v>2</v>
      </c>
      <c r="F11" s="5">
        <v>1</v>
      </c>
      <c r="G11" s="5">
        <v>1</v>
      </c>
      <c r="H11" s="62">
        <v>2</v>
      </c>
      <c r="I11" s="73">
        <f t="shared" si="0"/>
        <v>10</v>
      </c>
      <c r="J11" s="5">
        <v>0</v>
      </c>
      <c r="K11" s="6">
        <v>2</v>
      </c>
      <c r="L11" s="18">
        <f t="shared" si="1"/>
        <v>2</v>
      </c>
      <c r="M11" s="18">
        <f t="shared" si="2"/>
        <v>12</v>
      </c>
    </row>
    <row r="12" spans="1:13">
      <c r="A12" s="1" t="s">
        <v>3</v>
      </c>
      <c r="B12" s="16" t="s">
        <v>29</v>
      </c>
      <c r="C12" s="25">
        <v>0</v>
      </c>
      <c r="D12" s="5">
        <v>2</v>
      </c>
      <c r="E12" s="5">
        <v>4</v>
      </c>
      <c r="F12" s="5">
        <v>0</v>
      </c>
      <c r="G12" s="5">
        <v>0</v>
      </c>
      <c r="H12" s="62">
        <v>0</v>
      </c>
      <c r="I12" s="73">
        <f t="shared" si="0"/>
        <v>6</v>
      </c>
      <c r="J12" s="5">
        <v>0</v>
      </c>
      <c r="K12" s="6">
        <v>0</v>
      </c>
      <c r="L12" s="18">
        <f t="shared" si="1"/>
        <v>0</v>
      </c>
      <c r="M12" s="18">
        <f t="shared" si="2"/>
        <v>6</v>
      </c>
    </row>
    <row r="13" spans="1:13">
      <c r="A13" s="1" t="s">
        <v>3</v>
      </c>
      <c r="B13" s="16" t="s">
        <v>30</v>
      </c>
      <c r="C13" s="25">
        <v>1</v>
      </c>
      <c r="D13" s="5">
        <v>2</v>
      </c>
      <c r="E13" s="5">
        <v>2</v>
      </c>
      <c r="F13" s="5">
        <v>1</v>
      </c>
      <c r="G13" s="5">
        <v>1</v>
      </c>
      <c r="H13" s="62">
        <v>0</v>
      </c>
      <c r="I13" s="73">
        <f t="shared" si="0"/>
        <v>7</v>
      </c>
      <c r="J13" s="5">
        <v>1</v>
      </c>
      <c r="K13" s="6">
        <v>1</v>
      </c>
      <c r="L13" s="18">
        <f t="shared" si="1"/>
        <v>2</v>
      </c>
      <c r="M13" s="18">
        <f t="shared" si="2"/>
        <v>9</v>
      </c>
    </row>
    <row r="14" spans="1:13">
      <c r="A14" s="1" t="s">
        <v>3</v>
      </c>
      <c r="B14" s="16" t="s">
        <v>31</v>
      </c>
      <c r="C14" s="25">
        <v>0</v>
      </c>
      <c r="D14" s="5">
        <v>0</v>
      </c>
      <c r="E14" s="5">
        <v>0</v>
      </c>
      <c r="F14" s="5">
        <v>0</v>
      </c>
      <c r="G14" s="5">
        <v>0</v>
      </c>
      <c r="H14" s="62">
        <v>0</v>
      </c>
      <c r="I14" s="73">
        <f t="shared" si="0"/>
        <v>0</v>
      </c>
      <c r="J14" s="5">
        <v>5</v>
      </c>
      <c r="K14" s="6">
        <v>0</v>
      </c>
      <c r="L14" s="18">
        <f t="shared" si="1"/>
        <v>5</v>
      </c>
      <c r="M14" s="18">
        <f t="shared" si="2"/>
        <v>5</v>
      </c>
    </row>
    <row r="15" spans="1:13">
      <c r="A15" s="1" t="s">
        <v>3</v>
      </c>
      <c r="B15" s="16" t="s">
        <v>32</v>
      </c>
      <c r="C15" s="26">
        <v>1.9166666666666665</v>
      </c>
      <c r="D15" s="7">
        <v>0.375</v>
      </c>
      <c r="E15" s="7">
        <v>1.0416666666666667</v>
      </c>
      <c r="F15" s="7">
        <v>1.375</v>
      </c>
      <c r="G15" s="7">
        <v>2.1666666666666665</v>
      </c>
      <c r="H15" s="63">
        <v>2.625</v>
      </c>
      <c r="I15" s="74">
        <f t="shared" si="0"/>
        <v>9.5</v>
      </c>
      <c r="J15" s="7">
        <v>0</v>
      </c>
      <c r="K15" s="8">
        <v>8.3333333333333329E-2</v>
      </c>
      <c r="L15" s="19">
        <f t="shared" si="1"/>
        <v>8.3333333333333329E-2</v>
      </c>
      <c r="M15" s="19">
        <f t="shared" si="2"/>
        <v>9.5833333333333339</v>
      </c>
    </row>
    <row r="16" spans="1:13">
      <c r="A16" s="1" t="s">
        <v>3</v>
      </c>
      <c r="B16" s="16" t="s">
        <v>33</v>
      </c>
      <c r="C16" s="26">
        <v>0.20833333333333334</v>
      </c>
      <c r="D16" s="7">
        <v>0.66666666666666663</v>
      </c>
      <c r="E16" s="7">
        <v>0</v>
      </c>
      <c r="F16" s="7">
        <v>0.66666666666666663</v>
      </c>
      <c r="G16" s="7">
        <v>1.1666666666666667</v>
      </c>
      <c r="H16" s="63">
        <v>0.375</v>
      </c>
      <c r="I16" s="74">
        <f t="shared" si="0"/>
        <v>3.083333333333333</v>
      </c>
      <c r="J16" s="7">
        <v>0</v>
      </c>
      <c r="K16" s="8">
        <v>0.54166666666666663</v>
      </c>
      <c r="L16" s="19">
        <f t="shared" si="1"/>
        <v>0.54166666666666663</v>
      </c>
      <c r="M16" s="19">
        <f t="shared" si="2"/>
        <v>3.6249999999999996</v>
      </c>
    </row>
    <row r="17" spans="1:13">
      <c r="A17" s="1" t="s">
        <v>3</v>
      </c>
      <c r="B17" s="16" t="s">
        <v>34</v>
      </c>
      <c r="C17" s="26">
        <v>0.70833333333333337</v>
      </c>
      <c r="D17" s="7">
        <v>0.33333333333333331</v>
      </c>
      <c r="E17" s="7">
        <v>0.375</v>
      </c>
      <c r="F17" s="7">
        <v>0.25</v>
      </c>
      <c r="G17" s="7">
        <v>0.45833333333333331</v>
      </c>
      <c r="H17" s="63">
        <v>0.625</v>
      </c>
      <c r="I17" s="74">
        <f t="shared" si="0"/>
        <v>2.75</v>
      </c>
      <c r="J17" s="7">
        <v>0</v>
      </c>
      <c r="K17" s="8">
        <v>0.5</v>
      </c>
      <c r="L17" s="19">
        <f t="shared" si="1"/>
        <v>0.5</v>
      </c>
      <c r="M17" s="19">
        <f t="shared" si="2"/>
        <v>3.25</v>
      </c>
    </row>
    <row r="18" spans="1:13">
      <c r="A18" s="1" t="s">
        <v>3</v>
      </c>
      <c r="B18" s="16" t="s">
        <v>35</v>
      </c>
      <c r="C18" s="26">
        <v>0</v>
      </c>
      <c r="D18" s="7">
        <v>0.33333333333333331</v>
      </c>
      <c r="E18" s="7">
        <v>1.125</v>
      </c>
      <c r="F18" s="7">
        <v>0</v>
      </c>
      <c r="G18" s="7">
        <v>0</v>
      </c>
      <c r="H18" s="63">
        <v>0</v>
      </c>
      <c r="I18" s="74">
        <f t="shared" si="0"/>
        <v>1.4583333333333333</v>
      </c>
      <c r="J18" s="7">
        <v>0</v>
      </c>
      <c r="K18" s="8">
        <v>0</v>
      </c>
      <c r="L18" s="19">
        <f t="shared" si="1"/>
        <v>0</v>
      </c>
      <c r="M18" s="19">
        <f t="shared" si="2"/>
        <v>1.4583333333333333</v>
      </c>
    </row>
    <row r="19" spans="1:13">
      <c r="A19" s="1" t="s">
        <v>3</v>
      </c>
      <c r="B19" s="16" t="s">
        <v>36</v>
      </c>
      <c r="C19" s="26">
        <v>0</v>
      </c>
      <c r="D19" s="7">
        <v>0.33333333333333331</v>
      </c>
      <c r="E19" s="7">
        <v>0.375</v>
      </c>
      <c r="F19" s="7">
        <v>0</v>
      </c>
      <c r="G19" s="7">
        <v>0</v>
      </c>
      <c r="H19" s="63">
        <v>0</v>
      </c>
      <c r="I19" s="74">
        <f t="shared" si="0"/>
        <v>0.70833333333333326</v>
      </c>
      <c r="J19" s="7">
        <v>0</v>
      </c>
      <c r="K19" s="8">
        <v>0</v>
      </c>
      <c r="L19" s="19">
        <f t="shared" si="1"/>
        <v>0</v>
      </c>
      <c r="M19" s="19">
        <f t="shared" si="2"/>
        <v>0.70833333333333326</v>
      </c>
    </row>
    <row r="20" spans="1:13">
      <c r="A20" s="1" t="s">
        <v>3</v>
      </c>
      <c r="B20" s="16" t="s">
        <v>37</v>
      </c>
      <c r="C20" s="26">
        <v>0</v>
      </c>
      <c r="D20" s="7">
        <v>0</v>
      </c>
      <c r="E20" s="7">
        <v>0</v>
      </c>
      <c r="F20" s="7">
        <v>0</v>
      </c>
      <c r="G20" s="7">
        <v>0</v>
      </c>
      <c r="H20" s="63">
        <v>0.125</v>
      </c>
      <c r="I20" s="74">
        <f t="shared" si="0"/>
        <v>0.125</v>
      </c>
      <c r="J20" s="7">
        <v>0</v>
      </c>
      <c r="K20" s="8">
        <v>0</v>
      </c>
      <c r="L20" s="19">
        <f t="shared" si="1"/>
        <v>0</v>
      </c>
      <c r="M20" s="19">
        <f t="shared" si="2"/>
        <v>0.125</v>
      </c>
    </row>
    <row r="21" spans="1:13">
      <c r="A21" s="1" t="s">
        <v>3</v>
      </c>
      <c r="B21" s="16" t="s">
        <v>38</v>
      </c>
      <c r="C21" s="26">
        <v>0</v>
      </c>
      <c r="D21" s="7">
        <v>0</v>
      </c>
      <c r="E21" s="7">
        <v>0</v>
      </c>
      <c r="F21" s="7">
        <v>0</v>
      </c>
      <c r="G21" s="7">
        <v>0</v>
      </c>
      <c r="H21" s="63">
        <v>0</v>
      </c>
      <c r="I21" s="74">
        <f t="shared" si="0"/>
        <v>0</v>
      </c>
      <c r="J21" s="7">
        <v>0</v>
      </c>
      <c r="K21" s="8">
        <v>0.54166666666666663</v>
      </c>
      <c r="L21" s="19">
        <f t="shared" si="1"/>
        <v>0.54166666666666663</v>
      </c>
      <c r="M21" s="19">
        <f t="shared" si="2"/>
        <v>0.54166666666666663</v>
      </c>
    </row>
    <row r="22" spans="1:13">
      <c r="A22" s="1" t="s">
        <v>3</v>
      </c>
      <c r="B22" s="16" t="s">
        <v>39</v>
      </c>
      <c r="C22" s="26">
        <v>1.2916666666666667</v>
      </c>
      <c r="D22" s="7">
        <v>3.2083333333333335</v>
      </c>
      <c r="E22" s="7">
        <v>2.7916666666666665</v>
      </c>
      <c r="F22" s="7">
        <v>0.83333333333333337</v>
      </c>
      <c r="G22" s="7">
        <v>1.2916666666666667</v>
      </c>
      <c r="H22" s="63">
        <v>0.83333333333333337</v>
      </c>
      <c r="I22" s="74">
        <f t="shared" si="0"/>
        <v>10.25</v>
      </c>
      <c r="J22" s="7">
        <v>0.125</v>
      </c>
      <c r="K22" s="8">
        <v>0</v>
      </c>
      <c r="L22" s="19">
        <f t="shared" si="1"/>
        <v>0.125</v>
      </c>
      <c r="M22" s="19">
        <f t="shared" si="2"/>
        <v>10.375</v>
      </c>
    </row>
    <row r="23" spans="1:13">
      <c r="A23" s="1" t="s">
        <v>3</v>
      </c>
      <c r="B23" s="44" t="s">
        <v>40</v>
      </c>
      <c r="C23" s="45">
        <v>37</v>
      </c>
      <c r="D23" s="46">
        <v>29</v>
      </c>
      <c r="E23" s="46">
        <v>21</v>
      </c>
      <c r="F23" s="46">
        <v>17</v>
      </c>
      <c r="G23" s="46">
        <v>9</v>
      </c>
      <c r="H23" s="64">
        <v>11</v>
      </c>
      <c r="I23" s="75"/>
      <c r="J23" s="46">
        <v>38</v>
      </c>
      <c r="K23" s="47">
        <v>26.5</v>
      </c>
      <c r="L23" s="48"/>
      <c r="M23" s="48"/>
    </row>
    <row r="24" spans="1:13">
      <c r="A24" s="1" t="s">
        <v>3</v>
      </c>
      <c r="B24" s="30" t="s">
        <v>41</v>
      </c>
      <c r="C24" s="40">
        <v>187000</v>
      </c>
      <c r="D24" s="41">
        <v>187000</v>
      </c>
      <c r="E24" s="41">
        <v>187000</v>
      </c>
      <c r="F24" s="41">
        <v>187000</v>
      </c>
      <c r="G24" s="41">
        <v>187000</v>
      </c>
      <c r="H24" s="65">
        <v>180000</v>
      </c>
      <c r="I24" s="76">
        <f t="shared" ref="I24:I52" si="3">SUM(C24:H24)</f>
        <v>1115000</v>
      </c>
      <c r="J24" s="41">
        <v>370000</v>
      </c>
      <c r="K24" s="42">
        <v>180000</v>
      </c>
      <c r="L24" s="43">
        <f t="shared" ref="L24:L52" si="4">SUM(J24:K24)</f>
        <v>550000</v>
      </c>
      <c r="M24" s="43">
        <f t="shared" ref="M24:M52" si="5">I24+L24</f>
        <v>1665000</v>
      </c>
    </row>
    <row r="25" spans="1:13">
      <c r="A25" s="1" t="s">
        <v>3</v>
      </c>
      <c r="B25" s="16" t="s">
        <v>42</v>
      </c>
      <c r="C25" s="27">
        <v>5000</v>
      </c>
      <c r="D25" s="9">
        <v>0</v>
      </c>
      <c r="E25" s="9">
        <v>0</v>
      </c>
      <c r="F25" s="9">
        <v>0</v>
      </c>
      <c r="G25" s="9">
        <v>0</v>
      </c>
      <c r="H25" s="66">
        <v>0</v>
      </c>
      <c r="I25" s="77">
        <f t="shared" si="3"/>
        <v>5000</v>
      </c>
      <c r="J25" s="9">
        <v>0</v>
      </c>
      <c r="K25" s="10">
        <v>0</v>
      </c>
      <c r="L25" s="20">
        <f t="shared" si="4"/>
        <v>0</v>
      </c>
      <c r="M25" s="20">
        <f t="shared" si="5"/>
        <v>5000</v>
      </c>
    </row>
    <row r="26" spans="1:13">
      <c r="A26" s="1" t="s">
        <v>3</v>
      </c>
      <c r="B26" s="16" t="s">
        <v>43</v>
      </c>
      <c r="C26" s="27">
        <v>6000</v>
      </c>
      <c r="D26" s="9">
        <v>10000</v>
      </c>
      <c r="E26" s="9">
        <v>0</v>
      </c>
      <c r="F26" s="9">
        <v>0</v>
      </c>
      <c r="G26" s="9">
        <v>0</v>
      </c>
      <c r="H26" s="66">
        <v>0</v>
      </c>
      <c r="I26" s="77">
        <f t="shared" si="3"/>
        <v>16000</v>
      </c>
      <c r="J26" s="9">
        <v>0</v>
      </c>
      <c r="K26" s="10">
        <v>18000</v>
      </c>
      <c r="L26" s="20">
        <f t="shared" si="4"/>
        <v>18000</v>
      </c>
      <c r="M26" s="20">
        <f t="shared" si="5"/>
        <v>34000</v>
      </c>
    </row>
    <row r="27" spans="1:13">
      <c r="A27" s="1" t="s">
        <v>3</v>
      </c>
      <c r="B27" s="16" t="s">
        <v>44</v>
      </c>
      <c r="C27" s="27">
        <v>6000</v>
      </c>
      <c r="D27" s="9">
        <v>6000</v>
      </c>
      <c r="E27" s="9">
        <v>6000</v>
      </c>
      <c r="F27" s="9">
        <v>3500</v>
      </c>
      <c r="G27" s="9">
        <v>3500</v>
      </c>
      <c r="H27" s="66">
        <v>1000</v>
      </c>
      <c r="I27" s="77">
        <f t="shared" si="3"/>
        <v>26000</v>
      </c>
      <c r="J27" s="9">
        <v>0</v>
      </c>
      <c r="K27" s="10">
        <v>0</v>
      </c>
      <c r="L27" s="20">
        <f t="shared" si="4"/>
        <v>0</v>
      </c>
      <c r="M27" s="20">
        <f t="shared" si="5"/>
        <v>26000</v>
      </c>
    </row>
    <row r="28" spans="1:13">
      <c r="A28" s="1" t="s">
        <v>3</v>
      </c>
      <c r="B28" s="16" t="s">
        <v>45</v>
      </c>
      <c r="C28" s="27">
        <v>0</v>
      </c>
      <c r="D28" s="9">
        <v>7600</v>
      </c>
      <c r="E28" s="9">
        <v>0</v>
      </c>
      <c r="F28" s="9">
        <v>0</v>
      </c>
      <c r="G28" s="9">
        <v>0</v>
      </c>
      <c r="H28" s="66">
        <v>0</v>
      </c>
      <c r="I28" s="77">
        <f t="shared" si="3"/>
        <v>7600</v>
      </c>
      <c r="J28" s="9">
        <v>0</v>
      </c>
      <c r="K28" s="10">
        <v>0</v>
      </c>
      <c r="L28" s="20">
        <f t="shared" si="4"/>
        <v>0</v>
      </c>
      <c r="M28" s="20">
        <f t="shared" si="5"/>
        <v>7600</v>
      </c>
    </row>
    <row r="29" spans="1:13">
      <c r="A29" s="1" t="s">
        <v>3</v>
      </c>
      <c r="B29" s="16" t="s">
        <v>32</v>
      </c>
      <c r="C29" s="27">
        <v>70288</v>
      </c>
      <c r="D29" s="9">
        <v>14184</v>
      </c>
      <c r="E29" s="9">
        <v>36125</v>
      </c>
      <c r="F29" s="9">
        <v>47058</v>
      </c>
      <c r="G29" s="9">
        <v>74152</v>
      </c>
      <c r="H29" s="66">
        <v>85365</v>
      </c>
      <c r="I29" s="77">
        <f t="shared" si="3"/>
        <v>327172</v>
      </c>
      <c r="J29" s="9">
        <v>0</v>
      </c>
      <c r="K29" s="10">
        <v>3390</v>
      </c>
      <c r="L29" s="20">
        <f t="shared" si="4"/>
        <v>3390</v>
      </c>
      <c r="M29" s="20">
        <f t="shared" si="5"/>
        <v>330562</v>
      </c>
    </row>
    <row r="30" spans="1:13">
      <c r="A30" s="1" t="s">
        <v>3</v>
      </c>
      <c r="B30" s="16" t="s">
        <v>46</v>
      </c>
      <c r="C30" s="27">
        <v>8250</v>
      </c>
      <c r="D30" s="9">
        <v>27232</v>
      </c>
      <c r="E30" s="9">
        <v>0</v>
      </c>
      <c r="F30" s="9">
        <v>24640</v>
      </c>
      <c r="G30" s="9">
        <v>43120</v>
      </c>
      <c r="H30" s="66">
        <v>13167</v>
      </c>
      <c r="I30" s="77">
        <f t="shared" si="3"/>
        <v>116409</v>
      </c>
      <c r="J30" s="9">
        <v>0</v>
      </c>
      <c r="K30" s="10">
        <v>23803</v>
      </c>
      <c r="L30" s="20">
        <f t="shared" si="4"/>
        <v>23803</v>
      </c>
      <c r="M30" s="20">
        <f t="shared" si="5"/>
        <v>140212</v>
      </c>
    </row>
    <row r="31" spans="1:13">
      <c r="A31" s="1" t="s">
        <v>3</v>
      </c>
      <c r="B31" s="16" t="s">
        <v>47</v>
      </c>
      <c r="C31" s="27">
        <v>28050</v>
      </c>
      <c r="D31" s="9">
        <v>13616</v>
      </c>
      <c r="E31" s="9">
        <v>14049</v>
      </c>
      <c r="F31" s="9">
        <v>9240</v>
      </c>
      <c r="G31" s="9">
        <v>16940</v>
      </c>
      <c r="H31" s="66">
        <v>21945</v>
      </c>
      <c r="I31" s="77">
        <f t="shared" si="3"/>
        <v>103840</v>
      </c>
      <c r="J31" s="9">
        <v>0</v>
      </c>
      <c r="K31" s="10">
        <v>21972</v>
      </c>
      <c r="L31" s="20">
        <f t="shared" si="4"/>
        <v>21972</v>
      </c>
      <c r="M31" s="20">
        <f t="shared" si="5"/>
        <v>125812</v>
      </c>
    </row>
    <row r="32" spans="1:13">
      <c r="A32" s="1" t="s">
        <v>3</v>
      </c>
      <c r="B32" s="16" t="s">
        <v>48</v>
      </c>
      <c r="C32" s="27">
        <v>0</v>
      </c>
      <c r="D32" s="9">
        <v>3528</v>
      </c>
      <c r="E32" s="9">
        <v>10935</v>
      </c>
      <c r="F32" s="9">
        <v>0</v>
      </c>
      <c r="G32" s="9">
        <v>0</v>
      </c>
      <c r="H32" s="66">
        <v>0</v>
      </c>
      <c r="I32" s="77">
        <f t="shared" si="3"/>
        <v>14463</v>
      </c>
      <c r="J32" s="9">
        <v>0</v>
      </c>
      <c r="K32" s="10">
        <v>0</v>
      </c>
      <c r="L32" s="20">
        <f t="shared" si="4"/>
        <v>0</v>
      </c>
      <c r="M32" s="20">
        <f t="shared" si="5"/>
        <v>14463</v>
      </c>
    </row>
    <row r="33" spans="1:13">
      <c r="A33" s="1" t="s">
        <v>3</v>
      </c>
      <c r="B33" s="16" t="s">
        <v>49</v>
      </c>
      <c r="C33" s="27">
        <v>0</v>
      </c>
      <c r="D33" s="9">
        <v>3528</v>
      </c>
      <c r="E33" s="9">
        <v>3645</v>
      </c>
      <c r="F33" s="9">
        <v>0</v>
      </c>
      <c r="G33" s="9">
        <v>0</v>
      </c>
      <c r="H33" s="66">
        <v>0</v>
      </c>
      <c r="I33" s="77">
        <f t="shared" si="3"/>
        <v>7173</v>
      </c>
      <c r="J33" s="9">
        <v>0</v>
      </c>
      <c r="K33" s="10">
        <v>0</v>
      </c>
      <c r="L33" s="20">
        <f t="shared" si="4"/>
        <v>0</v>
      </c>
      <c r="M33" s="20">
        <f t="shared" si="5"/>
        <v>7173</v>
      </c>
    </row>
    <row r="34" spans="1:13">
      <c r="A34" s="1" t="s">
        <v>3</v>
      </c>
      <c r="B34" s="16" t="s">
        <v>37</v>
      </c>
      <c r="C34" s="27">
        <v>0</v>
      </c>
      <c r="D34" s="9">
        <v>0</v>
      </c>
      <c r="E34" s="9">
        <v>0</v>
      </c>
      <c r="F34" s="9">
        <v>0</v>
      </c>
      <c r="G34" s="9">
        <v>0</v>
      </c>
      <c r="H34" s="66">
        <v>813</v>
      </c>
      <c r="I34" s="77">
        <f t="shared" si="3"/>
        <v>813</v>
      </c>
      <c r="J34" s="9">
        <v>0</v>
      </c>
      <c r="K34" s="10">
        <v>0</v>
      </c>
      <c r="L34" s="20">
        <f t="shared" si="4"/>
        <v>0</v>
      </c>
      <c r="M34" s="20">
        <f t="shared" si="5"/>
        <v>813</v>
      </c>
    </row>
    <row r="35" spans="1:13">
      <c r="A35" s="1" t="s">
        <v>3</v>
      </c>
      <c r="B35" s="16" t="s">
        <v>38</v>
      </c>
      <c r="C35" s="27">
        <v>0</v>
      </c>
      <c r="D35" s="9">
        <v>0</v>
      </c>
      <c r="E35" s="9">
        <v>0</v>
      </c>
      <c r="F35" s="9">
        <v>0</v>
      </c>
      <c r="G35" s="9">
        <v>0</v>
      </c>
      <c r="H35" s="66">
        <v>0</v>
      </c>
      <c r="I35" s="77">
        <f t="shared" si="3"/>
        <v>0</v>
      </c>
      <c r="J35" s="9">
        <v>0</v>
      </c>
      <c r="K35" s="10">
        <v>17628</v>
      </c>
      <c r="L35" s="20">
        <f t="shared" si="4"/>
        <v>17628</v>
      </c>
      <c r="M35" s="20">
        <f t="shared" si="5"/>
        <v>17628</v>
      </c>
    </row>
    <row r="36" spans="1:13">
      <c r="A36" s="1" t="s">
        <v>3</v>
      </c>
      <c r="B36" s="49" t="s">
        <v>39</v>
      </c>
      <c r="C36" s="50">
        <v>9486</v>
      </c>
      <c r="D36" s="51">
        <v>24255</v>
      </c>
      <c r="E36" s="51">
        <v>19363</v>
      </c>
      <c r="F36" s="51">
        <v>5700</v>
      </c>
      <c r="G36" s="51">
        <v>8835</v>
      </c>
      <c r="H36" s="67">
        <v>5420</v>
      </c>
      <c r="I36" s="78">
        <f t="shared" si="3"/>
        <v>73059</v>
      </c>
      <c r="J36" s="51">
        <v>1662</v>
      </c>
      <c r="K36" s="52">
        <v>0</v>
      </c>
      <c r="L36" s="53">
        <f t="shared" si="4"/>
        <v>1662</v>
      </c>
      <c r="M36" s="53">
        <f t="shared" si="5"/>
        <v>74721</v>
      </c>
    </row>
    <row r="37" spans="1:13">
      <c r="A37" s="1" t="s">
        <v>3</v>
      </c>
      <c r="B37" s="54" t="s">
        <v>50</v>
      </c>
      <c r="C37" s="55">
        <v>320074</v>
      </c>
      <c r="D37" s="56">
        <v>296943</v>
      </c>
      <c r="E37" s="56">
        <v>277117</v>
      </c>
      <c r="F37" s="56">
        <v>277138</v>
      </c>
      <c r="G37" s="56">
        <v>333547</v>
      </c>
      <c r="H37" s="68">
        <v>307710</v>
      </c>
      <c r="I37" s="79">
        <f t="shared" si="3"/>
        <v>1812529</v>
      </c>
      <c r="J37" s="56">
        <v>371662</v>
      </c>
      <c r="K37" s="57">
        <v>264793</v>
      </c>
      <c r="L37" s="58">
        <f t="shared" si="4"/>
        <v>636455</v>
      </c>
      <c r="M37" s="58">
        <f t="shared" si="5"/>
        <v>2448984</v>
      </c>
    </row>
    <row r="38" spans="1:13">
      <c r="A38" s="1" t="s">
        <v>3</v>
      </c>
      <c r="B38" s="54" t="s">
        <v>51</v>
      </c>
      <c r="C38" s="55">
        <v>9410</v>
      </c>
      <c r="D38" s="56">
        <v>2405</v>
      </c>
      <c r="E38" s="56">
        <v>2196</v>
      </c>
      <c r="F38" s="56">
        <v>7528</v>
      </c>
      <c r="G38" s="56">
        <v>1307</v>
      </c>
      <c r="H38" s="68">
        <v>6535</v>
      </c>
      <c r="I38" s="79">
        <f t="shared" si="3"/>
        <v>29381</v>
      </c>
      <c r="J38" s="56">
        <v>5437</v>
      </c>
      <c r="K38" s="57">
        <v>680</v>
      </c>
      <c r="L38" s="58">
        <f t="shared" si="4"/>
        <v>6117</v>
      </c>
      <c r="M38" s="58">
        <f t="shared" si="5"/>
        <v>35498</v>
      </c>
    </row>
    <row r="39" spans="1:13">
      <c r="A39" s="1" t="s">
        <v>3</v>
      </c>
      <c r="B39" s="54" t="s">
        <v>52</v>
      </c>
      <c r="C39" s="55">
        <v>9410</v>
      </c>
      <c r="D39" s="56">
        <v>2405</v>
      </c>
      <c r="E39" s="56">
        <v>2196</v>
      </c>
      <c r="F39" s="56">
        <v>7528</v>
      </c>
      <c r="G39" s="56">
        <v>1307</v>
      </c>
      <c r="H39" s="68">
        <v>6535</v>
      </c>
      <c r="I39" s="79">
        <f t="shared" si="3"/>
        <v>29381</v>
      </c>
      <c r="J39" s="56">
        <v>5437</v>
      </c>
      <c r="K39" s="57">
        <v>680</v>
      </c>
      <c r="L39" s="58">
        <f t="shared" si="4"/>
        <v>6117</v>
      </c>
      <c r="M39" s="58">
        <f t="shared" si="5"/>
        <v>35498</v>
      </c>
    </row>
    <row r="40" spans="1:13">
      <c r="A40" s="1" t="s">
        <v>3</v>
      </c>
      <c r="B40" s="54" t="s">
        <v>53</v>
      </c>
      <c r="C40" s="55">
        <v>329484</v>
      </c>
      <c r="D40" s="56">
        <v>299348</v>
      </c>
      <c r="E40" s="56">
        <v>279313</v>
      </c>
      <c r="F40" s="56">
        <v>284666</v>
      </c>
      <c r="G40" s="56">
        <v>334854</v>
      </c>
      <c r="H40" s="68">
        <v>314245</v>
      </c>
      <c r="I40" s="79">
        <f t="shared" si="3"/>
        <v>1841910</v>
      </c>
      <c r="J40" s="56">
        <v>377099</v>
      </c>
      <c r="K40" s="57">
        <v>265473</v>
      </c>
      <c r="L40" s="58">
        <f t="shared" si="4"/>
        <v>642572</v>
      </c>
      <c r="M40" s="58">
        <f t="shared" si="5"/>
        <v>2484482</v>
      </c>
    </row>
    <row r="41" spans="1:13">
      <c r="A41" s="1" t="s">
        <v>3</v>
      </c>
      <c r="B41" s="30" t="s">
        <v>54</v>
      </c>
      <c r="C41" s="40">
        <v>18360</v>
      </c>
      <c r="D41" s="41">
        <v>16320</v>
      </c>
      <c r="E41" s="41">
        <v>16320</v>
      </c>
      <c r="F41" s="41">
        <v>15300</v>
      </c>
      <c r="G41" s="41">
        <v>16320</v>
      </c>
      <c r="H41" s="65">
        <v>13260</v>
      </c>
      <c r="I41" s="76">
        <f t="shared" si="3"/>
        <v>95880</v>
      </c>
      <c r="J41" s="41">
        <v>19380</v>
      </c>
      <c r="K41" s="42">
        <v>12240</v>
      </c>
      <c r="L41" s="43">
        <f t="shared" si="4"/>
        <v>31620</v>
      </c>
      <c r="M41" s="43">
        <f t="shared" si="5"/>
        <v>127500</v>
      </c>
    </row>
    <row r="42" spans="1:13">
      <c r="A42" s="1" t="s">
        <v>3</v>
      </c>
      <c r="B42" s="16" t="s">
        <v>55</v>
      </c>
      <c r="C42" s="27">
        <v>3240</v>
      </c>
      <c r="D42" s="9">
        <v>2880</v>
      </c>
      <c r="E42" s="9">
        <v>2880</v>
      </c>
      <c r="F42" s="9">
        <v>2700</v>
      </c>
      <c r="G42" s="9">
        <v>2880</v>
      </c>
      <c r="H42" s="66">
        <v>2340</v>
      </c>
      <c r="I42" s="77">
        <f t="shared" si="3"/>
        <v>16920</v>
      </c>
      <c r="J42" s="9">
        <v>3420</v>
      </c>
      <c r="K42" s="10">
        <v>0</v>
      </c>
      <c r="L42" s="20">
        <f t="shared" si="4"/>
        <v>3420</v>
      </c>
      <c r="M42" s="20">
        <f t="shared" si="5"/>
        <v>20340</v>
      </c>
    </row>
    <row r="43" spans="1:13">
      <c r="A43" s="1" t="s">
        <v>3</v>
      </c>
      <c r="B43" s="16" t="s">
        <v>56</v>
      </c>
      <c r="C43" s="27">
        <v>32940</v>
      </c>
      <c r="D43" s="9">
        <v>29280</v>
      </c>
      <c r="E43" s="9">
        <v>29280</v>
      </c>
      <c r="F43" s="9">
        <v>27450</v>
      </c>
      <c r="G43" s="9">
        <v>29280</v>
      </c>
      <c r="H43" s="66">
        <v>23790</v>
      </c>
      <c r="I43" s="77">
        <f t="shared" si="3"/>
        <v>172020</v>
      </c>
      <c r="J43" s="9">
        <v>34770</v>
      </c>
      <c r="K43" s="10">
        <v>21960</v>
      </c>
      <c r="L43" s="20">
        <f t="shared" si="4"/>
        <v>56730</v>
      </c>
      <c r="M43" s="20">
        <f t="shared" si="5"/>
        <v>228750</v>
      </c>
    </row>
    <row r="44" spans="1:13">
      <c r="A44" s="1" t="s">
        <v>3</v>
      </c>
      <c r="B44" s="16" t="s">
        <v>57</v>
      </c>
      <c r="C44" s="27">
        <v>1812</v>
      </c>
      <c r="D44" s="9">
        <v>1646</v>
      </c>
      <c r="E44" s="9">
        <v>1536</v>
      </c>
      <c r="F44" s="9">
        <v>1566</v>
      </c>
      <c r="G44" s="9">
        <v>1842</v>
      </c>
      <c r="H44" s="66">
        <v>1728</v>
      </c>
      <c r="I44" s="77">
        <f t="shared" si="3"/>
        <v>10130</v>
      </c>
      <c r="J44" s="9">
        <v>2074</v>
      </c>
      <c r="K44" s="10">
        <v>1460</v>
      </c>
      <c r="L44" s="20">
        <f t="shared" si="4"/>
        <v>3534</v>
      </c>
      <c r="M44" s="20">
        <f t="shared" si="5"/>
        <v>13664</v>
      </c>
    </row>
    <row r="45" spans="1:13">
      <c r="A45" s="1" t="s">
        <v>3</v>
      </c>
      <c r="B45" s="49" t="s">
        <v>58</v>
      </c>
      <c r="C45" s="50">
        <v>16664</v>
      </c>
      <c r="D45" s="51">
        <v>16513</v>
      </c>
      <c r="E45" s="51">
        <v>16816</v>
      </c>
      <c r="F45" s="51">
        <v>17724</v>
      </c>
      <c r="G45" s="51">
        <v>17118</v>
      </c>
      <c r="H45" s="67">
        <v>1969</v>
      </c>
      <c r="I45" s="78">
        <f t="shared" si="3"/>
        <v>86804</v>
      </c>
      <c r="J45" s="51">
        <v>0</v>
      </c>
      <c r="K45" s="52">
        <v>569</v>
      </c>
      <c r="L45" s="53">
        <f t="shared" si="4"/>
        <v>569</v>
      </c>
      <c r="M45" s="53">
        <f t="shared" si="5"/>
        <v>87373</v>
      </c>
    </row>
    <row r="46" spans="1:13">
      <c r="A46" s="1" t="s">
        <v>3</v>
      </c>
      <c r="B46" s="54" t="s">
        <v>59</v>
      </c>
      <c r="C46" s="55">
        <v>73016</v>
      </c>
      <c r="D46" s="56">
        <v>66639</v>
      </c>
      <c r="E46" s="56">
        <v>66832</v>
      </c>
      <c r="F46" s="56">
        <v>64740</v>
      </c>
      <c r="G46" s="56">
        <v>67440</v>
      </c>
      <c r="H46" s="68">
        <v>43087</v>
      </c>
      <c r="I46" s="79">
        <f t="shared" si="3"/>
        <v>381754</v>
      </c>
      <c r="J46" s="56">
        <v>59644</v>
      </c>
      <c r="K46" s="57">
        <v>36229</v>
      </c>
      <c r="L46" s="58">
        <f t="shared" si="4"/>
        <v>95873</v>
      </c>
      <c r="M46" s="58">
        <f t="shared" si="5"/>
        <v>477627</v>
      </c>
    </row>
    <row r="47" spans="1:13">
      <c r="A47" s="1" t="s">
        <v>3</v>
      </c>
      <c r="B47" s="30" t="s">
        <v>60</v>
      </c>
      <c r="C47" s="40">
        <v>1600</v>
      </c>
      <c r="D47" s="41">
        <v>2610</v>
      </c>
      <c r="E47" s="41">
        <v>5130</v>
      </c>
      <c r="F47" s="41">
        <v>5210</v>
      </c>
      <c r="G47" s="41">
        <v>5510</v>
      </c>
      <c r="H47" s="65">
        <v>5460</v>
      </c>
      <c r="I47" s="76">
        <f t="shared" si="3"/>
        <v>25520</v>
      </c>
      <c r="J47" s="41">
        <v>9360</v>
      </c>
      <c r="K47" s="42">
        <v>5790</v>
      </c>
      <c r="L47" s="43">
        <f t="shared" si="4"/>
        <v>15150</v>
      </c>
      <c r="M47" s="43">
        <f t="shared" si="5"/>
        <v>40670</v>
      </c>
    </row>
    <row r="48" spans="1:13">
      <c r="A48" s="1" t="s">
        <v>3</v>
      </c>
      <c r="B48" s="49" t="s">
        <v>61</v>
      </c>
      <c r="C48" s="50">
        <v>9400</v>
      </c>
      <c r="D48" s="51">
        <v>10700</v>
      </c>
      <c r="E48" s="51">
        <v>13300</v>
      </c>
      <c r="F48" s="51">
        <v>12500</v>
      </c>
      <c r="G48" s="51">
        <v>10400</v>
      </c>
      <c r="H48" s="67">
        <v>8800</v>
      </c>
      <c r="I48" s="78">
        <f t="shared" si="3"/>
        <v>65100</v>
      </c>
      <c r="J48" s="51">
        <v>18900</v>
      </c>
      <c r="K48" s="52">
        <v>9100</v>
      </c>
      <c r="L48" s="53">
        <f t="shared" si="4"/>
        <v>28000</v>
      </c>
      <c r="M48" s="53">
        <f t="shared" si="5"/>
        <v>93100</v>
      </c>
    </row>
    <row r="49" spans="1:13">
      <c r="A49" s="1" t="s">
        <v>3</v>
      </c>
      <c r="B49" s="54" t="s">
        <v>62</v>
      </c>
      <c r="C49" s="55">
        <v>84016</v>
      </c>
      <c r="D49" s="56">
        <v>79949</v>
      </c>
      <c r="E49" s="56">
        <v>85262</v>
      </c>
      <c r="F49" s="56">
        <v>82450</v>
      </c>
      <c r="G49" s="56">
        <v>83350</v>
      </c>
      <c r="H49" s="68">
        <v>57347</v>
      </c>
      <c r="I49" s="79">
        <f t="shared" si="3"/>
        <v>472374</v>
      </c>
      <c r="J49" s="56">
        <v>87904</v>
      </c>
      <c r="K49" s="57">
        <v>51119</v>
      </c>
      <c r="L49" s="58">
        <f t="shared" si="4"/>
        <v>139023</v>
      </c>
      <c r="M49" s="58">
        <f t="shared" si="5"/>
        <v>611397</v>
      </c>
    </row>
    <row r="50" spans="1:13">
      <c r="A50" s="1" t="s">
        <v>3</v>
      </c>
      <c r="B50" s="54" t="s">
        <v>63</v>
      </c>
      <c r="C50" s="55">
        <v>247058</v>
      </c>
      <c r="D50" s="56">
        <v>230304</v>
      </c>
      <c r="E50" s="56">
        <v>210285</v>
      </c>
      <c r="F50" s="56">
        <v>212398</v>
      </c>
      <c r="G50" s="56">
        <v>266107</v>
      </c>
      <c r="H50" s="68">
        <v>264623</v>
      </c>
      <c r="I50" s="79">
        <f t="shared" si="3"/>
        <v>1430775</v>
      </c>
      <c r="J50" s="56">
        <v>312018</v>
      </c>
      <c r="K50" s="57">
        <v>228564</v>
      </c>
      <c r="L50" s="58">
        <f t="shared" si="4"/>
        <v>540582</v>
      </c>
      <c r="M50" s="58">
        <f t="shared" si="5"/>
        <v>1971357</v>
      </c>
    </row>
    <row r="51" spans="1:13">
      <c r="A51" s="1" t="s">
        <v>3</v>
      </c>
      <c r="B51" s="54" t="s">
        <v>64</v>
      </c>
      <c r="C51" s="55">
        <v>245468</v>
      </c>
      <c r="D51" s="56">
        <v>219399</v>
      </c>
      <c r="E51" s="56">
        <v>194051</v>
      </c>
      <c r="F51" s="56">
        <v>202216</v>
      </c>
      <c r="G51" s="56">
        <v>251504</v>
      </c>
      <c r="H51" s="68">
        <v>256898</v>
      </c>
      <c r="I51" s="79">
        <f t="shared" si="3"/>
        <v>1369536</v>
      </c>
      <c r="J51" s="56">
        <v>289195</v>
      </c>
      <c r="K51" s="57">
        <v>214354</v>
      </c>
      <c r="L51" s="58">
        <f t="shared" si="4"/>
        <v>503549</v>
      </c>
      <c r="M51" s="58">
        <f t="shared" si="5"/>
        <v>1873085</v>
      </c>
    </row>
    <row r="52" spans="1:13">
      <c r="A52" s="1" t="s">
        <v>3</v>
      </c>
      <c r="B52" s="54" t="s">
        <v>65</v>
      </c>
      <c r="C52" s="55">
        <v>245468</v>
      </c>
      <c r="D52" s="56">
        <v>219399</v>
      </c>
      <c r="E52" s="56">
        <v>194051</v>
      </c>
      <c r="F52" s="56">
        <v>202216</v>
      </c>
      <c r="G52" s="56">
        <v>251504</v>
      </c>
      <c r="H52" s="68">
        <v>256898</v>
      </c>
      <c r="I52" s="79">
        <f t="shared" si="3"/>
        <v>1369536</v>
      </c>
      <c r="J52" s="56">
        <v>289195</v>
      </c>
      <c r="K52" s="57">
        <v>214354</v>
      </c>
      <c r="L52" s="58">
        <f t="shared" si="4"/>
        <v>503549</v>
      </c>
      <c r="M52" s="58">
        <f t="shared" si="5"/>
        <v>1873085</v>
      </c>
    </row>
    <row r="53" spans="1:13">
      <c r="A53" s="1" t="s">
        <v>3</v>
      </c>
      <c r="B53" s="30" t="s">
        <v>66</v>
      </c>
      <c r="C53" s="40">
        <v>3</v>
      </c>
      <c r="D53" s="41">
        <v>2</v>
      </c>
      <c r="E53" s="41">
        <v>0</v>
      </c>
      <c r="F53" s="41">
        <v>0</v>
      </c>
      <c r="G53" s="41">
        <v>1</v>
      </c>
      <c r="H53" s="65">
        <v>1</v>
      </c>
      <c r="I53" s="76"/>
      <c r="J53" s="41">
        <v>0</v>
      </c>
      <c r="K53" s="42">
        <v>0</v>
      </c>
      <c r="L53" s="43"/>
      <c r="M53" s="43"/>
    </row>
    <row r="54" spans="1:13">
      <c r="A54" s="1" t="s">
        <v>3</v>
      </c>
      <c r="B54" s="16" t="s">
        <v>67</v>
      </c>
      <c r="C54" s="28" t="s">
        <v>68</v>
      </c>
      <c r="D54" s="11" t="s">
        <v>68</v>
      </c>
      <c r="E54" s="11" t="s">
        <v>68</v>
      </c>
      <c r="F54" s="11" t="s">
        <v>68</v>
      </c>
      <c r="G54" s="11" t="s">
        <v>68</v>
      </c>
      <c r="H54" s="69" t="s">
        <v>68</v>
      </c>
      <c r="I54" s="80"/>
      <c r="J54" s="11" t="s">
        <v>68</v>
      </c>
      <c r="K54" s="12" t="s">
        <v>68</v>
      </c>
      <c r="L54" s="21"/>
      <c r="M54" s="21"/>
    </row>
    <row r="55" spans="1:13" ht="19.5" thickBot="1">
      <c r="A55" s="1" t="s">
        <v>3</v>
      </c>
      <c r="B55" s="17" t="s">
        <v>69</v>
      </c>
      <c r="C55" s="29">
        <v>1600</v>
      </c>
      <c r="D55" s="13">
        <v>2610</v>
      </c>
      <c r="E55" s="13">
        <v>5130</v>
      </c>
      <c r="F55" s="13">
        <v>5210</v>
      </c>
      <c r="G55" s="13">
        <v>5510</v>
      </c>
      <c r="H55" s="70">
        <v>5460</v>
      </c>
      <c r="I55" s="81">
        <f>SUM(C55:H55)</f>
        <v>25520</v>
      </c>
      <c r="J55" s="13">
        <v>9360</v>
      </c>
      <c r="K55" s="14">
        <v>5790</v>
      </c>
      <c r="L55" s="22">
        <f>SUM(J55:K55)</f>
        <v>15150</v>
      </c>
      <c r="M55" s="22">
        <f>I55+L55</f>
        <v>40670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</dc:creator>
  <cp:keywords/>
  <dc:description/>
  <cp:lastModifiedBy>若林孝次郎</cp:lastModifiedBy>
  <cp:revision/>
  <dcterms:created xsi:type="dcterms:W3CDTF">2025-10-08T02:46:39Z</dcterms:created>
  <dcterms:modified xsi:type="dcterms:W3CDTF">2025-10-16T02:12:53Z</dcterms:modified>
  <cp:category/>
  <cp:contentStatus/>
</cp:coreProperties>
</file>