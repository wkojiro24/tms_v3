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9月分\"/>
    </mc:Choice>
  </mc:AlternateContent>
  <xr:revisionPtr revIDLastSave="0" documentId="13_ncr:1_{5ABF8644-782A-4039-83A7-5CB2ACA8AAED}" xr6:coauthVersionLast="47" xr6:coauthVersionMax="47" xr10:uidLastSave="{00000000-0000-0000-0000-000000000000}"/>
  <bookViews>
    <workbookView xWindow="-120" yWindow="-120" windowWidth="20730" windowHeight="11160" xr2:uid="{07894419-6FF1-425F-B0CD-E0BF32A3FF08}"/>
  </bookViews>
  <sheets>
    <sheet name="2025年9月度給与" sheetId="2" r:id="rId1"/>
    <sheet name="2025年9月度給与 (2)" sheetId="3" r:id="rId2"/>
    <sheet name="2025年9月度給与 (3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6" i="4" l="1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O56" i="3" l="1"/>
  <c r="P56" i="3" s="1"/>
  <c r="O53" i="3"/>
  <c r="P53" i="3" s="1"/>
  <c r="O52" i="3"/>
  <c r="P52" i="3" s="1"/>
  <c r="O51" i="3"/>
  <c r="P51" i="3" s="1"/>
  <c r="O50" i="3"/>
  <c r="P50" i="3" s="1"/>
  <c r="O49" i="3"/>
  <c r="P49" i="3" s="1"/>
  <c r="O48" i="3"/>
  <c r="P48" i="3" s="1"/>
  <c r="O47" i="3"/>
  <c r="P47" i="3" s="1"/>
  <c r="O46" i="3"/>
  <c r="P46" i="3" s="1"/>
  <c r="O45" i="3"/>
  <c r="P45" i="3" s="1"/>
  <c r="O44" i="3"/>
  <c r="P44" i="3" s="1"/>
  <c r="O43" i="3"/>
  <c r="P43" i="3" s="1"/>
  <c r="O42" i="3"/>
  <c r="P42" i="3" s="1"/>
  <c r="O41" i="3"/>
  <c r="P41" i="3" s="1"/>
  <c r="O40" i="3"/>
  <c r="P40" i="3" s="1"/>
  <c r="O39" i="3"/>
  <c r="P39" i="3" s="1"/>
  <c r="O38" i="3"/>
  <c r="P38" i="3" s="1"/>
  <c r="O37" i="3"/>
  <c r="P37" i="3" s="1"/>
  <c r="O36" i="3"/>
  <c r="P36" i="3" s="1"/>
  <c r="O35" i="3"/>
  <c r="P35" i="3" s="1"/>
  <c r="O34" i="3"/>
  <c r="P34" i="3" s="1"/>
  <c r="O33" i="3"/>
  <c r="P33" i="3" s="1"/>
  <c r="O32" i="3"/>
  <c r="P32" i="3" s="1"/>
  <c r="O31" i="3"/>
  <c r="P31" i="3" s="1"/>
  <c r="O30" i="3"/>
  <c r="P30" i="3" s="1"/>
  <c r="O29" i="3"/>
  <c r="P29" i="3" s="1"/>
  <c r="O28" i="3"/>
  <c r="P28" i="3" s="1"/>
  <c r="O27" i="3"/>
  <c r="P27" i="3" s="1"/>
  <c r="O26" i="3"/>
  <c r="P26" i="3" s="1"/>
  <c r="O25" i="3"/>
  <c r="P25" i="3" s="1"/>
  <c r="O24" i="3"/>
  <c r="P24" i="3" s="1"/>
  <c r="O23" i="3"/>
  <c r="P23" i="3" s="1"/>
  <c r="O21" i="3"/>
  <c r="P21" i="3" s="1"/>
  <c r="O20" i="3"/>
  <c r="P20" i="3" s="1"/>
  <c r="O19" i="3"/>
  <c r="P19" i="3" s="1"/>
  <c r="O18" i="3"/>
  <c r="P18" i="3" s="1"/>
  <c r="O17" i="3"/>
  <c r="P17" i="3" s="1"/>
  <c r="O16" i="3"/>
  <c r="P16" i="3" s="1"/>
  <c r="O15" i="3"/>
  <c r="P15" i="3" s="1"/>
  <c r="O14" i="3"/>
  <c r="P14" i="3" s="1"/>
  <c r="O13" i="3"/>
  <c r="P13" i="3" s="1"/>
  <c r="O12" i="3"/>
  <c r="P12" i="3" s="1"/>
  <c r="O11" i="3"/>
  <c r="P11" i="3" s="1"/>
  <c r="O10" i="3"/>
  <c r="P10" i="3" s="1"/>
  <c r="O9" i="3"/>
  <c r="P9" i="3" s="1"/>
  <c r="M56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F56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AC56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</calcChain>
</file>

<file path=xl/sharedStrings.xml><?xml version="1.0" encoding="utf-8"?>
<sst xmlns="http://schemas.openxmlformats.org/spreadsheetml/2006/main" count="473" uniqueCount="111">
  <si>
    <t>支給控除一覧表</t>
    <phoneticPr fontId="4"/>
  </si>
  <si>
    <t>若林運送株式会社</t>
    <phoneticPr fontId="4"/>
  </si>
  <si>
    <t>2025年10月 8日 作成</t>
    <phoneticPr fontId="4"/>
  </si>
  <si>
    <t/>
  </si>
  <si>
    <t>2025年9月度給与</t>
    <phoneticPr fontId="4"/>
  </si>
  <si>
    <t>1006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</si>
  <si>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</si>
  <si>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</si>
  <si>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</si>
  <si>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</si>
  <si>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</si>
  <si>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</si>
  <si>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</si>
  <si>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</si>
  <si>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</si>
  <si>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</si>
  <si>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</si>
  <si>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</si>
  <si>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</si>
  <si>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1080</t>
    <phoneticPr fontId="4"/>
  </si>
  <si>
    <t>1013</t>
    <phoneticPr fontId="4"/>
  </si>
  <si>
    <t>1119</t>
    <phoneticPr fontId="4"/>
  </si>
  <si>
    <t>1206</t>
    <phoneticPr fontId="4"/>
  </si>
  <si>
    <t>1210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</si>
  <si>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</si>
  <si>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</si>
  <si>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</si>
  <si>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</si>
  <si>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</si>
  <si>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</si>
  <si>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1014</t>
    <phoneticPr fontId="4"/>
  </si>
  <si>
    <t>項目名</t>
    <phoneticPr fontId="4"/>
  </si>
  <si>
    <t>小林　啓一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</si>
  <si>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</si>
  <si>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</si>
  <si>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</si>
  <si>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</si>
  <si>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</si>
  <si>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</si>
  <si>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</si>
  <si>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</si>
  <si>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</si>
  <si>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</si>
  <si>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</si>
  <si>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</si>
  <si>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</si>
  <si>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若松　美宏</t>
    <phoneticPr fontId="4"/>
  </si>
  <si>
    <t>下山田　英治</t>
    <phoneticPr fontId="4"/>
  </si>
  <si>
    <t>水町　賢土</t>
    <phoneticPr fontId="4"/>
  </si>
  <si>
    <t>鈴木秀和</t>
    <phoneticPr fontId="4"/>
  </si>
  <si>
    <t>吉田直人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</si>
  <si>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</si>
  <si>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</si>
  <si>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</si>
  <si>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</si>
  <si>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</si>
  <si>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　康</t>
    <phoneticPr fontId="4"/>
  </si>
  <si>
    <t>金山　岳夫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</si>
  <si>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</si>
  <si>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</si>
  <si>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</si>
  <si>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</si>
  <si>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</si>
  <si>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特別休暇日数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</si>
  <si>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</si>
  <si>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</si>
  <si>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</si>
  <si>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</si>
  <si>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</si>
  <si>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</si>
  <si>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</si>
  <si>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</si>
  <si>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</si>
  <si>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</si>
  <si>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</si>
  <si>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</si>
  <si>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</si>
  <si>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</si>
  <si>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</si>
  <si>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</si>
  <si>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</si>
  <si>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</si>
  <si>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</si>
  <si>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</si>
  <si>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</si>
  <si>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</si>
  <si>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</si>
  <si>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</si>
  <si>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</si>
  <si>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</si>
  <si>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</si>
  <si>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</si>
  <si>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</si>
  <si>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</si>
  <si>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</si>
  <si>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</si>
  <si>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</si>
  <si>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</si>
  <si>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</si>
  <si>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</si>
  <si>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</si>
  <si>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</si>
  <si>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</si>
  <si>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</si>
  <si>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</si>
  <si>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小計</t>
    <rPh sb="0" eb="2">
      <t>ショウケイ</t>
    </rPh>
    <phoneticPr fontId="3"/>
  </si>
  <si>
    <t>3名</t>
    <rPh sb="1" eb="2">
      <t>メイ</t>
    </rPh>
    <phoneticPr fontId="4"/>
  </si>
  <si>
    <t>6名</t>
    <rPh sb="1" eb="2">
      <t>メイ</t>
    </rPh>
    <phoneticPr fontId="4"/>
  </si>
  <si>
    <t>1名</t>
    <rPh sb="1" eb="2">
      <t>メイ</t>
    </rPh>
    <phoneticPr fontId="4"/>
  </si>
  <si>
    <t>10名</t>
    <rPh sb="2" eb="3">
      <t>メイ</t>
    </rPh>
    <phoneticPr fontId="4"/>
  </si>
  <si>
    <t>16名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</si>
</sst>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0" fontId="2" fillId="0" borderId="14" xfId="1" applyFont="1" applyBorder="1"/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  <xf numFmtId="0" fontId="2" fillId="0" borderId="14" xfId="1" applyFont="1" applyBorder="1" applyAlignment="1">
      <alignment horizontal="center"/>
    </xf>
    <xf numFmtId="0" fontId="2" fillId="0" borderId="44" xfId="1" applyFont="1" applyBorder="1" applyAlignment="1">
      <alignment horizontal="center"/>
    </xf>
  </cellXfs>
  <cellStyles count="2">
    <cellStyle name="標準" xfId="0" builtinId="0"/>
    <cellStyle name="標準 2" xfId="1" xr:uid="{7C8C8AEE-CB07-4DE9-8A61-516C89FB8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B734-1CFB-419E-A30C-F8405C62BABA}">
  <dimension ref="A1:AC56"/>
  <sheetViews>
    <sheetView showZeros="0" tabSelected="1" workbookViewId="0">
      <pane xSplit="2" ySplit="8" topLeftCell="Q39" activePane="bottomRight" state="frozen"/>
      <selection pane="bottomRight" activeCell="B6" sqref="B6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14" width="11.125" style="2" bestFit="1" customWidth="1"/>
    <col min="15" max="15" width="9" style="2" bestFit="1" customWidth="1"/>
    <col min="16" max="17" width="11.125" style="2" bestFit="1" customWidth="1"/>
    <col min="18" max="18" width="13.25" style="2" bestFit="1" customWidth="1"/>
    <col min="19" max="19" width="11.125" style="2" bestFit="1" customWidth="1"/>
    <col min="20" max="21" width="9" style="2" bestFit="1" customWidth="1"/>
    <col min="22" max="26" width="11.125" style="2" bestFit="1" customWidth="1"/>
    <col min="27" max="27" width="9" style="2" bestFit="1" customWidth="1"/>
    <col min="28" max="28" width="11.125" style="2" bestFit="1" customWidth="1"/>
    <col min="29" max="29" width="9.625" style="2" bestFit="1" customWidth="1"/>
    <col min="30" max="256" width="9" style="2"/>
    <col min="257" max="257" width="2.375" style="2" customWidth="1"/>
    <col min="258" max="258" width="13.25" style="2" bestFit="1" customWidth="1"/>
    <col min="259" max="259" width="11.125" style="2" bestFit="1" customWidth="1"/>
    <col min="260" max="260" width="13.25" style="2" bestFit="1" customWidth="1"/>
    <col min="261" max="261" width="11.125" style="2" bestFit="1" customWidth="1"/>
    <col min="262" max="262" width="9" style="2" bestFit="1"/>
    <col min="263" max="273" width="11.125" style="2" bestFit="1" customWidth="1"/>
    <col min="274" max="274" width="9" style="2" bestFit="1"/>
    <col min="275" max="276" width="11.125" style="2" bestFit="1" customWidth="1"/>
    <col min="277" max="278" width="9" style="2" bestFit="1"/>
    <col min="279" max="283" width="11.125" style="2" bestFit="1" customWidth="1"/>
    <col min="284" max="284" width="9" style="2" bestFit="1"/>
    <col min="285" max="285" width="9.625" style="2" bestFit="1" customWidth="1"/>
    <col min="286" max="512" width="9" style="2"/>
    <col min="513" max="513" width="2.375" style="2" customWidth="1"/>
    <col min="514" max="514" width="13.25" style="2" bestFit="1" customWidth="1"/>
    <col min="515" max="515" width="11.125" style="2" bestFit="1" customWidth="1"/>
    <col min="516" max="516" width="13.25" style="2" bestFit="1" customWidth="1"/>
    <col min="517" max="517" width="11.125" style="2" bestFit="1" customWidth="1"/>
    <col min="518" max="518" width="9" style="2" bestFit="1"/>
    <col min="519" max="529" width="11.125" style="2" bestFit="1" customWidth="1"/>
    <col min="530" max="530" width="9" style="2" bestFit="1"/>
    <col min="531" max="532" width="11.125" style="2" bestFit="1" customWidth="1"/>
    <col min="533" max="534" width="9" style="2" bestFit="1"/>
    <col min="535" max="539" width="11.125" style="2" bestFit="1" customWidth="1"/>
    <col min="540" max="540" width="9" style="2" bestFit="1"/>
    <col min="541" max="541" width="9.625" style="2" bestFit="1" customWidth="1"/>
    <col min="542" max="768" width="9" style="2"/>
    <col min="769" max="769" width="2.375" style="2" customWidth="1"/>
    <col min="770" max="770" width="13.25" style="2" bestFit="1" customWidth="1"/>
    <col min="771" max="771" width="11.125" style="2" bestFit="1" customWidth="1"/>
    <col min="772" max="772" width="13.25" style="2" bestFit="1" customWidth="1"/>
    <col min="773" max="773" width="11.125" style="2" bestFit="1" customWidth="1"/>
    <col min="774" max="774" width="9" style="2" bestFit="1"/>
    <col min="775" max="785" width="11.125" style="2" bestFit="1" customWidth="1"/>
    <col min="786" max="786" width="9" style="2" bestFit="1"/>
    <col min="787" max="788" width="11.125" style="2" bestFit="1" customWidth="1"/>
    <col min="789" max="790" width="9" style="2" bestFit="1"/>
    <col min="791" max="795" width="11.125" style="2" bestFit="1" customWidth="1"/>
    <col min="796" max="796" width="9" style="2" bestFit="1"/>
    <col min="797" max="797" width="9.625" style="2" bestFit="1" customWidth="1"/>
    <col min="798" max="1024" width="9" style="2"/>
    <col min="1025" max="1025" width="2.375" style="2" customWidth="1"/>
    <col min="1026" max="1026" width="13.25" style="2" bestFit="1" customWidth="1"/>
    <col min="1027" max="1027" width="11.125" style="2" bestFit="1" customWidth="1"/>
    <col min="1028" max="1028" width="13.25" style="2" bestFit="1" customWidth="1"/>
    <col min="1029" max="1029" width="11.125" style="2" bestFit="1" customWidth="1"/>
    <col min="1030" max="1030" width="9" style="2" bestFit="1"/>
    <col min="1031" max="1041" width="11.125" style="2" bestFit="1" customWidth="1"/>
    <col min="1042" max="1042" width="9" style="2" bestFit="1"/>
    <col min="1043" max="1044" width="11.125" style="2" bestFit="1" customWidth="1"/>
    <col min="1045" max="1046" width="9" style="2" bestFit="1"/>
    <col min="1047" max="1051" width="11.125" style="2" bestFit="1" customWidth="1"/>
    <col min="1052" max="1052" width="9" style="2" bestFit="1"/>
    <col min="1053" max="1053" width="9.625" style="2" bestFit="1" customWidth="1"/>
    <col min="1054" max="1280" width="9" style="2"/>
    <col min="1281" max="1281" width="2.375" style="2" customWidth="1"/>
    <col min="1282" max="1282" width="13.25" style="2" bestFit="1" customWidth="1"/>
    <col min="1283" max="1283" width="11.125" style="2" bestFit="1" customWidth="1"/>
    <col min="1284" max="1284" width="13.25" style="2" bestFit="1" customWidth="1"/>
    <col min="1285" max="1285" width="11.125" style="2" bestFit="1" customWidth="1"/>
    <col min="1286" max="1286" width="9" style="2" bestFit="1"/>
    <col min="1287" max="1297" width="11.125" style="2" bestFit="1" customWidth="1"/>
    <col min="1298" max="1298" width="9" style="2" bestFit="1"/>
    <col min="1299" max="1300" width="11.125" style="2" bestFit="1" customWidth="1"/>
    <col min="1301" max="1302" width="9" style="2" bestFit="1"/>
    <col min="1303" max="1307" width="11.125" style="2" bestFit="1" customWidth="1"/>
    <col min="1308" max="1308" width="9" style="2" bestFit="1"/>
    <col min="1309" max="1309" width="9.625" style="2" bestFit="1" customWidth="1"/>
    <col min="1310" max="1536" width="9" style="2"/>
    <col min="1537" max="1537" width="2.375" style="2" customWidth="1"/>
    <col min="1538" max="1538" width="13.25" style="2" bestFit="1" customWidth="1"/>
    <col min="1539" max="1539" width="11.125" style="2" bestFit="1" customWidth="1"/>
    <col min="1540" max="1540" width="13.25" style="2" bestFit="1" customWidth="1"/>
    <col min="1541" max="1541" width="11.125" style="2" bestFit="1" customWidth="1"/>
    <col min="1542" max="1542" width="9" style="2" bestFit="1"/>
    <col min="1543" max="1553" width="11.125" style="2" bestFit="1" customWidth="1"/>
    <col min="1554" max="1554" width="9" style="2" bestFit="1"/>
    <col min="1555" max="1556" width="11.125" style="2" bestFit="1" customWidth="1"/>
    <col min="1557" max="1558" width="9" style="2" bestFit="1"/>
    <col min="1559" max="1563" width="11.125" style="2" bestFit="1" customWidth="1"/>
    <col min="1564" max="1564" width="9" style="2" bestFit="1"/>
    <col min="1565" max="1565" width="9.625" style="2" bestFit="1" customWidth="1"/>
    <col min="1566" max="1792" width="9" style="2"/>
    <col min="1793" max="1793" width="2.375" style="2" customWidth="1"/>
    <col min="1794" max="1794" width="13.25" style="2" bestFit="1" customWidth="1"/>
    <col min="1795" max="1795" width="11.125" style="2" bestFit="1" customWidth="1"/>
    <col min="1796" max="1796" width="13.25" style="2" bestFit="1" customWidth="1"/>
    <col min="1797" max="1797" width="11.125" style="2" bestFit="1" customWidth="1"/>
    <col min="1798" max="1798" width="9" style="2" bestFit="1"/>
    <col min="1799" max="1809" width="11.125" style="2" bestFit="1" customWidth="1"/>
    <col min="1810" max="1810" width="9" style="2" bestFit="1"/>
    <col min="1811" max="1812" width="11.125" style="2" bestFit="1" customWidth="1"/>
    <col min="1813" max="1814" width="9" style="2" bestFit="1"/>
    <col min="1815" max="1819" width="11.125" style="2" bestFit="1" customWidth="1"/>
    <col min="1820" max="1820" width="9" style="2" bestFit="1"/>
    <col min="1821" max="1821" width="9.625" style="2" bestFit="1" customWidth="1"/>
    <col min="1822" max="2048" width="9" style="2"/>
    <col min="2049" max="2049" width="2.375" style="2" customWidth="1"/>
    <col min="2050" max="2050" width="13.25" style="2" bestFit="1" customWidth="1"/>
    <col min="2051" max="2051" width="11.125" style="2" bestFit="1" customWidth="1"/>
    <col min="2052" max="2052" width="13.25" style="2" bestFit="1" customWidth="1"/>
    <col min="2053" max="2053" width="11.125" style="2" bestFit="1" customWidth="1"/>
    <col min="2054" max="2054" width="9" style="2" bestFit="1"/>
    <col min="2055" max="2065" width="11.125" style="2" bestFit="1" customWidth="1"/>
    <col min="2066" max="2066" width="9" style="2" bestFit="1"/>
    <col min="2067" max="2068" width="11.125" style="2" bestFit="1" customWidth="1"/>
    <col min="2069" max="2070" width="9" style="2" bestFit="1"/>
    <col min="2071" max="2075" width="11.125" style="2" bestFit="1" customWidth="1"/>
    <col min="2076" max="2076" width="9" style="2" bestFit="1"/>
    <col min="2077" max="2077" width="9.625" style="2" bestFit="1" customWidth="1"/>
    <col min="2078" max="2304" width="9" style="2"/>
    <col min="2305" max="2305" width="2.375" style="2" customWidth="1"/>
    <col min="2306" max="2306" width="13.25" style="2" bestFit="1" customWidth="1"/>
    <col min="2307" max="2307" width="11.125" style="2" bestFit="1" customWidth="1"/>
    <col min="2308" max="2308" width="13.25" style="2" bestFit="1" customWidth="1"/>
    <col min="2309" max="2309" width="11.125" style="2" bestFit="1" customWidth="1"/>
    <col min="2310" max="2310" width="9" style="2" bestFit="1"/>
    <col min="2311" max="2321" width="11.125" style="2" bestFit="1" customWidth="1"/>
    <col min="2322" max="2322" width="9" style="2" bestFit="1"/>
    <col min="2323" max="2324" width="11.125" style="2" bestFit="1" customWidth="1"/>
    <col min="2325" max="2326" width="9" style="2" bestFit="1"/>
    <col min="2327" max="2331" width="11.125" style="2" bestFit="1" customWidth="1"/>
    <col min="2332" max="2332" width="9" style="2" bestFit="1"/>
    <col min="2333" max="2333" width="9.625" style="2" bestFit="1" customWidth="1"/>
    <col min="2334" max="2560" width="9" style="2"/>
    <col min="2561" max="2561" width="2.375" style="2" customWidth="1"/>
    <col min="2562" max="2562" width="13.25" style="2" bestFit="1" customWidth="1"/>
    <col min="2563" max="2563" width="11.125" style="2" bestFit="1" customWidth="1"/>
    <col min="2564" max="2564" width="13.25" style="2" bestFit="1" customWidth="1"/>
    <col min="2565" max="2565" width="11.125" style="2" bestFit="1" customWidth="1"/>
    <col min="2566" max="2566" width="9" style="2" bestFit="1"/>
    <col min="2567" max="2577" width="11.125" style="2" bestFit="1" customWidth="1"/>
    <col min="2578" max="2578" width="9" style="2" bestFit="1"/>
    <col min="2579" max="2580" width="11.125" style="2" bestFit="1" customWidth="1"/>
    <col min="2581" max="2582" width="9" style="2" bestFit="1"/>
    <col min="2583" max="2587" width="11.125" style="2" bestFit="1" customWidth="1"/>
    <col min="2588" max="2588" width="9" style="2" bestFit="1"/>
    <col min="2589" max="2589" width="9.625" style="2" bestFit="1" customWidth="1"/>
    <col min="2590" max="2816" width="9" style="2"/>
    <col min="2817" max="2817" width="2.375" style="2" customWidth="1"/>
    <col min="2818" max="2818" width="13.25" style="2" bestFit="1" customWidth="1"/>
    <col min="2819" max="2819" width="11.125" style="2" bestFit="1" customWidth="1"/>
    <col min="2820" max="2820" width="13.25" style="2" bestFit="1" customWidth="1"/>
    <col min="2821" max="2821" width="11.125" style="2" bestFit="1" customWidth="1"/>
    <col min="2822" max="2822" width="9" style="2" bestFit="1"/>
    <col min="2823" max="2833" width="11.125" style="2" bestFit="1" customWidth="1"/>
    <col min="2834" max="2834" width="9" style="2" bestFit="1"/>
    <col min="2835" max="2836" width="11.125" style="2" bestFit="1" customWidth="1"/>
    <col min="2837" max="2838" width="9" style="2" bestFit="1"/>
    <col min="2839" max="2843" width="11.125" style="2" bestFit="1" customWidth="1"/>
    <col min="2844" max="2844" width="9" style="2" bestFit="1"/>
    <col min="2845" max="2845" width="9.625" style="2" bestFit="1" customWidth="1"/>
    <col min="2846" max="3072" width="9" style="2"/>
    <col min="3073" max="3073" width="2.375" style="2" customWidth="1"/>
    <col min="3074" max="3074" width="13.25" style="2" bestFit="1" customWidth="1"/>
    <col min="3075" max="3075" width="11.125" style="2" bestFit="1" customWidth="1"/>
    <col min="3076" max="3076" width="13.25" style="2" bestFit="1" customWidth="1"/>
    <col min="3077" max="3077" width="11.125" style="2" bestFit="1" customWidth="1"/>
    <col min="3078" max="3078" width="9" style="2" bestFit="1"/>
    <col min="3079" max="3089" width="11.125" style="2" bestFit="1" customWidth="1"/>
    <col min="3090" max="3090" width="9" style="2" bestFit="1"/>
    <col min="3091" max="3092" width="11.125" style="2" bestFit="1" customWidth="1"/>
    <col min="3093" max="3094" width="9" style="2" bestFit="1"/>
    <col min="3095" max="3099" width="11.125" style="2" bestFit="1" customWidth="1"/>
    <col min="3100" max="3100" width="9" style="2" bestFit="1"/>
    <col min="3101" max="3101" width="9.625" style="2" bestFit="1" customWidth="1"/>
    <col min="3102" max="3328" width="9" style="2"/>
    <col min="3329" max="3329" width="2.375" style="2" customWidth="1"/>
    <col min="3330" max="3330" width="13.25" style="2" bestFit="1" customWidth="1"/>
    <col min="3331" max="3331" width="11.125" style="2" bestFit="1" customWidth="1"/>
    <col min="3332" max="3332" width="13.25" style="2" bestFit="1" customWidth="1"/>
    <col min="3333" max="3333" width="11.125" style="2" bestFit="1" customWidth="1"/>
    <col min="3334" max="3334" width="9" style="2" bestFit="1"/>
    <col min="3335" max="3345" width="11.125" style="2" bestFit="1" customWidth="1"/>
    <col min="3346" max="3346" width="9" style="2" bestFit="1"/>
    <col min="3347" max="3348" width="11.125" style="2" bestFit="1" customWidth="1"/>
    <col min="3349" max="3350" width="9" style="2" bestFit="1"/>
    <col min="3351" max="3355" width="11.125" style="2" bestFit="1" customWidth="1"/>
    <col min="3356" max="3356" width="9" style="2" bestFit="1"/>
    <col min="3357" max="3357" width="9.625" style="2" bestFit="1" customWidth="1"/>
    <col min="3358" max="3584" width="9" style="2"/>
    <col min="3585" max="3585" width="2.375" style="2" customWidth="1"/>
    <col min="3586" max="3586" width="13.25" style="2" bestFit="1" customWidth="1"/>
    <col min="3587" max="3587" width="11.125" style="2" bestFit="1" customWidth="1"/>
    <col min="3588" max="3588" width="13.25" style="2" bestFit="1" customWidth="1"/>
    <col min="3589" max="3589" width="11.125" style="2" bestFit="1" customWidth="1"/>
    <col min="3590" max="3590" width="9" style="2" bestFit="1"/>
    <col min="3591" max="3601" width="11.125" style="2" bestFit="1" customWidth="1"/>
    <col min="3602" max="3602" width="9" style="2" bestFit="1"/>
    <col min="3603" max="3604" width="11.125" style="2" bestFit="1" customWidth="1"/>
    <col min="3605" max="3606" width="9" style="2" bestFit="1"/>
    <col min="3607" max="3611" width="11.125" style="2" bestFit="1" customWidth="1"/>
    <col min="3612" max="3612" width="9" style="2" bestFit="1"/>
    <col min="3613" max="3613" width="9.625" style="2" bestFit="1" customWidth="1"/>
    <col min="3614" max="3840" width="9" style="2"/>
    <col min="3841" max="3841" width="2.375" style="2" customWidth="1"/>
    <col min="3842" max="3842" width="13.25" style="2" bestFit="1" customWidth="1"/>
    <col min="3843" max="3843" width="11.125" style="2" bestFit="1" customWidth="1"/>
    <col min="3844" max="3844" width="13.25" style="2" bestFit="1" customWidth="1"/>
    <col min="3845" max="3845" width="11.125" style="2" bestFit="1" customWidth="1"/>
    <col min="3846" max="3846" width="9" style="2" bestFit="1"/>
    <col min="3847" max="3857" width="11.125" style="2" bestFit="1" customWidth="1"/>
    <col min="3858" max="3858" width="9" style="2" bestFit="1"/>
    <col min="3859" max="3860" width="11.125" style="2" bestFit="1" customWidth="1"/>
    <col min="3861" max="3862" width="9" style="2" bestFit="1"/>
    <col min="3863" max="3867" width="11.125" style="2" bestFit="1" customWidth="1"/>
    <col min="3868" max="3868" width="9" style="2" bestFit="1"/>
    <col min="3869" max="3869" width="9.625" style="2" bestFit="1" customWidth="1"/>
    <col min="3870" max="4096" width="9" style="2"/>
    <col min="4097" max="4097" width="2.375" style="2" customWidth="1"/>
    <col min="4098" max="4098" width="13.25" style="2" bestFit="1" customWidth="1"/>
    <col min="4099" max="4099" width="11.125" style="2" bestFit="1" customWidth="1"/>
    <col min="4100" max="4100" width="13.25" style="2" bestFit="1" customWidth="1"/>
    <col min="4101" max="4101" width="11.125" style="2" bestFit="1" customWidth="1"/>
    <col min="4102" max="4102" width="9" style="2" bestFit="1"/>
    <col min="4103" max="4113" width="11.125" style="2" bestFit="1" customWidth="1"/>
    <col min="4114" max="4114" width="9" style="2" bestFit="1"/>
    <col min="4115" max="4116" width="11.125" style="2" bestFit="1" customWidth="1"/>
    <col min="4117" max="4118" width="9" style="2" bestFit="1"/>
    <col min="4119" max="4123" width="11.125" style="2" bestFit="1" customWidth="1"/>
    <col min="4124" max="4124" width="9" style="2" bestFit="1"/>
    <col min="4125" max="4125" width="9.625" style="2" bestFit="1" customWidth="1"/>
    <col min="4126" max="4352" width="9" style="2"/>
    <col min="4353" max="4353" width="2.375" style="2" customWidth="1"/>
    <col min="4354" max="4354" width="13.25" style="2" bestFit="1" customWidth="1"/>
    <col min="4355" max="4355" width="11.125" style="2" bestFit="1" customWidth="1"/>
    <col min="4356" max="4356" width="13.25" style="2" bestFit="1" customWidth="1"/>
    <col min="4357" max="4357" width="11.125" style="2" bestFit="1" customWidth="1"/>
    <col min="4358" max="4358" width="9" style="2" bestFit="1"/>
    <col min="4359" max="4369" width="11.125" style="2" bestFit="1" customWidth="1"/>
    <col min="4370" max="4370" width="9" style="2" bestFit="1"/>
    <col min="4371" max="4372" width="11.125" style="2" bestFit="1" customWidth="1"/>
    <col min="4373" max="4374" width="9" style="2" bestFit="1"/>
    <col min="4375" max="4379" width="11.125" style="2" bestFit="1" customWidth="1"/>
    <col min="4380" max="4380" width="9" style="2" bestFit="1"/>
    <col min="4381" max="4381" width="9.625" style="2" bestFit="1" customWidth="1"/>
    <col min="4382" max="4608" width="9" style="2"/>
    <col min="4609" max="4609" width="2.375" style="2" customWidth="1"/>
    <col min="4610" max="4610" width="13.25" style="2" bestFit="1" customWidth="1"/>
    <col min="4611" max="4611" width="11.125" style="2" bestFit="1" customWidth="1"/>
    <col min="4612" max="4612" width="13.25" style="2" bestFit="1" customWidth="1"/>
    <col min="4613" max="4613" width="11.125" style="2" bestFit="1" customWidth="1"/>
    <col min="4614" max="4614" width="9" style="2" bestFit="1"/>
    <col min="4615" max="4625" width="11.125" style="2" bestFit="1" customWidth="1"/>
    <col min="4626" max="4626" width="9" style="2" bestFit="1"/>
    <col min="4627" max="4628" width="11.125" style="2" bestFit="1" customWidth="1"/>
    <col min="4629" max="4630" width="9" style="2" bestFit="1"/>
    <col min="4631" max="4635" width="11.125" style="2" bestFit="1" customWidth="1"/>
    <col min="4636" max="4636" width="9" style="2" bestFit="1"/>
    <col min="4637" max="4637" width="9.625" style="2" bestFit="1" customWidth="1"/>
    <col min="4638" max="4864" width="9" style="2"/>
    <col min="4865" max="4865" width="2.375" style="2" customWidth="1"/>
    <col min="4866" max="4866" width="13.25" style="2" bestFit="1" customWidth="1"/>
    <col min="4867" max="4867" width="11.125" style="2" bestFit="1" customWidth="1"/>
    <col min="4868" max="4868" width="13.25" style="2" bestFit="1" customWidth="1"/>
    <col min="4869" max="4869" width="11.125" style="2" bestFit="1" customWidth="1"/>
    <col min="4870" max="4870" width="9" style="2" bestFit="1"/>
    <col min="4871" max="4881" width="11.125" style="2" bestFit="1" customWidth="1"/>
    <col min="4882" max="4882" width="9" style="2" bestFit="1"/>
    <col min="4883" max="4884" width="11.125" style="2" bestFit="1" customWidth="1"/>
    <col min="4885" max="4886" width="9" style="2" bestFit="1"/>
    <col min="4887" max="4891" width="11.125" style="2" bestFit="1" customWidth="1"/>
    <col min="4892" max="4892" width="9" style="2" bestFit="1"/>
    <col min="4893" max="4893" width="9.625" style="2" bestFit="1" customWidth="1"/>
    <col min="4894" max="5120" width="9" style="2"/>
    <col min="5121" max="5121" width="2.375" style="2" customWidth="1"/>
    <col min="5122" max="5122" width="13.25" style="2" bestFit="1" customWidth="1"/>
    <col min="5123" max="5123" width="11.125" style="2" bestFit="1" customWidth="1"/>
    <col min="5124" max="5124" width="13.25" style="2" bestFit="1" customWidth="1"/>
    <col min="5125" max="5125" width="11.125" style="2" bestFit="1" customWidth="1"/>
    <col min="5126" max="5126" width="9" style="2" bestFit="1"/>
    <col min="5127" max="5137" width="11.125" style="2" bestFit="1" customWidth="1"/>
    <col min="5138" max="5138" width="9" style="2" bestFit="1"/>
    <col min="5139" max="5140" width="11.125" style="2" bestFit="1" customWidth="1"/>
    <col min="5141" max="5142" width="9" style="2" bestFit="1"/>
    <col min="5143" max="5147" width="11.125" style="2" bestFit="1" customWidth="1"/>
    <col min="5148" max="5148" width="9" style="2" bestFit="1"/>
    <col min="5149" max="5149" width="9.625" style="2" bestFit="1" customWidth="1"/>
    <col min="5150" max="5376" width="9" style="2"/>
    <col min="5377" max="5377" width="2.375" style="2" customWidth="1"/>
    <col min="5378" max="5378" width="13.25" style="2" bestFit="1" customWidth="1"/>
    <col min="5379" max="5379" width="11.125" style="2" bestFit="1" customWidth="1"/>
    <col min="5380" max="5380" width="13.25" style="2" bestFit="1" customWidth="1"/>
    <col min="5381" max="5381" width="11.125" style="2" bestFit="1" customWidth="1"/>
    <col min="5382" max="5382" width="9" style="2" bestFit="1"/>
    <col min="5383" max="5393" width="11.125" style="2" bestFit="1" customWidth="1"/>
    <col min="5394" max="5394" width="9" style="2" bestFit="1"/>
    <col min="5395" max="5396" width="11.125" style="2" bestFit="1" customWidth="1"/>
    <col min="5397" max="5398" width="9" style="2" bestFit="1"/>
    <col min="5399" max="5403" width="11.125" style="2" bestFit="1" customWidth="1"/>
    <col min="5404" max="5404" width="9" style="2" bestFit="1"/>
    <col min="5405" max="5405" width="9.625" style="2" bestFit="1" customWidth="1"/>
    <col min="5406" max="5632" width="9" style="2"/>
    <col min="5633" max="5633" width="2.375" style="2" customWidth="1"/>
    <col min="5634" max="5634" width="13.25" style="2" bestFit="1" customWidth="1"/>
    <col min="5635" max="5635" width="11.125" style="2" bestFit="1" customWidth="1"/>
    <col min="5636" max="5636" width="13.25" style="2" bestFit="1" customWidth="1"/>
    <col min="5637" max="5637" width="11.125" style="2" bestFit="1" customWidth="1"/>
    <col min="5638" max="5638" width="9" style="2" bestFit="1"/>
    <col min="5639" max="5649" width="11.125" style="2" bestFit="1" customWidth="1"/>
    <col min="5650" max="5650" width="9" style="2" bestFit="1"/>
    <col min="5651" max="5652" width="11.125" style="2" bestFit="1" customWidth="1"/>
    <col min="5653" max="5654" width="9" style="2" bestFit="1"/>
    <col min="5655" max="5659" width="11.125" style="2" bestFit="1" customWidth="1"/>
    <col min="5660" max="5660" width="9" style="2" bestFit="1"/>
    <col min="5661" max="5661" width="9.625" style="2" bestFit="1" customWidth="1"/>
    <col min="5662" max="5888" width="9" style="2"/>
    <col min="5889" max="5889" width="2.375" style="2" customWidth="1"/>
    <col min="5890" max="5890" width="13.25" style="2" bestFit="1" customWidth="1"/>
    <col min="5891" max="5891" width="11.125" style="2" bestFit="1" customWidth="1"/>
    <col min="5892" max="5892" width="13.25" style="2" bestFit="1" customWidth="1"/>
    <col min="5893" max="5893" width="11.125" style="2" bestFit="1" customWidth="1"/>
    <col min="5894" max="5894" width="9" style="2" bestFit="1"/>
    <col min="5895" max="5905" width="11.125" style="2" bestFit="1" customWidth="1"/>
    <col min="5906" max="5906" width="9" style="2" bestFit="1"/>
    <col min="5907" max="5908" width="11.125" style="2" bestFit="1" customWidth="1"/>
    <col min="5909" max="5910" width="9" style="2" bestFit="1"/>
    <col min="5911" max="5915" width="11.125" style="2" bestFit="1" customWidth="1"/>
    <col min="5916" max="5916" width="9" style="2" bestFit="1"/>
    <col min="5917" max="5917" width="9.625" style="2" bestFit="1" customWidth="1"/>
    <col min="5918" max="6144" width="9" style="2"/>
    <col min="6145" max="6145" width="2.375" style="2" customWidth="1"/>
    <col min="6146" max="6146" width="13.25" style="2" bestFit="1" customWidth="1"/>
    <col min="6147" max="6147" width="11.125" style="2" bestFit="1" customWidth="1"/>
    <col min="6148" max="6148" width="13.25" style="2" bestFit="1" customWidth="1"/>
    <col min="6149" max="6149" width="11.125" style="2" bestFit="1" customWidth="1"/>
    <col min="6150" max="6150" width="9" style="2" bestFit="1"/>
    <col min="6151" max="6161" width="11.125" style="2" bestFit="1" customWidth="1"/>
    <col min="6162" max="6162" width="9" style="2" bestFit="1"/>
    <col min="6163" max="6164" width="11.125" style="2" bestFit="1" customWidth="1"/>
    <col min="6165" max="6166" width="9" style="2" bestFit="1"/>
    <col min="6167" max="6171" width="11.125" style="2" bestFit="1" customWidth="1"/>
    <col min="6172" max="6172" width="9" style="2" bestFit="1"/>
    <col min="6173" max="6173" width="9.625" style="2" bestFit="1" customWidth="1"/>
    <col min="6174" max="6400" width="9" style="2"/>
    <col min="6401" max="6401" width="2.375" style="2" customWidth="1"/>
    <col min="6402" max="6402" width="13.25" style="2" bestFit="1" customWidth="1"/>
    <col min="6403" max="6403" width="11.125" style="2" bestFit="1" customWidth="1"/>
    <col min="6404" max="6404" width="13.25" style="2" bestFit="1" customWidth="1"/>
    <col min="6405" max="6405" width="11.125" style="2" bestFit="1" customWidth="1"/>
    <col min="6406" max="6406" width="9" style="2" bestFit="1"/>
    <col min="6407" max="6417" width="11.125" style="2" bestFit="1" customWidth="1"/>
    <col min="6418" max="6418" width="9" style="2" bestFit="1"/>
    <col min="6419" max="6420" width="11.125" style="2" bestFit="1" customWidth="1"/>
    <col min="6421" max="6422" width="9" style="2" bestFit="1"/>
    <col min="6423" max="6427" width="11.125" style="2" bestFit="1" customWidth="1"/>
    <col min="6428" max="6428" width="9" style="2" bestFit="1"/>
    <col min="6429" max="6429" width="9.625" style="2" bestFit="1" customWidth="1"/>
    <col min="6430" max="6656" width="9" style="2"/>
    <col min="6657" max="6657" width="2.375" style="2" customWidth="1"/>
    <col min="6658" max="6658" width="13.25" style="2" bestFit="1" customWidth="1"/>
    <col min="6659" max="6659" width="11.125" style="2" bestFit="1" customWidth="1"/>
    <col min="6660" max="6660" width="13.25" style="2" bestFit="1" customWidth="1"/>
    <col min="6661" max="6661" width="11.125" style="2" bestFit="1" customWidth="1"/>
    <col min="6662" max="6662" width="9" style="2" bestFit="1"/>
    <col min="6663" max="6673" width="11.125" style="2" bestFit="1" customWidth="1"/>
    <col min="6674" max="6674" width="9" style="2" bestFit="1"/>
    <col min="6675" max="6676" width="11.125" style="2" bestFit="1" customWidth="1"/>
    <col min="6677" max="6678" width="9" style="2" bestFit="1"/>
    <col min="6679" max="6683" width="11.125" style="2" bestFit="1" customWidth="1"/>
    <col min="6684" max="6684" width="9" style="2" bestFit="1"/>
    <col min="6685" max="6685" width="9.625" style="2" bestFit="1" customWidth="1"/>
    <col min="6686" max="6912" width="9" style="2"/>
    <col min="6913" max="6913" width="2.375" style="2" customWidth="1"/>
    <col min="6914" max="6914" width="13.25" style="2" bestFit="1" customWidth="1"/>
    <col min="6915" max="6915" width="11.125" style="2" bestFit="1" customWidth="1"/>
    <col min="6916" max="6916" width="13.25" style="2" bestFit="1" customWidth="1"/>
    <col min="6917" max="6917" width="11.125" style="2" bestFit="1" customWidth="1"/>
    <col min="6918" max="6918" width="9" style="2" bestFit="1"/>
    <col min="6919" max="6929" width="11.125" style="2" bestFit="1" customWidth="1"/>
    <col min="6930" max="6930" width="9" style="2" bestFit="1"/>
    <col min="6931" max="6932" width="11.125" style="2" bestFit="1" customWidth="1"/>
    <col min="6933" max="6934" width="9" style="2" bestFit="1"/>
    <col min="6935" max="6939" width="11.125" style="2" bestFit="1" customWidth="1"/>
    <col min="6940" max="6940" width="9" style="2" bestFit="1"/>
    <col min="6941" max="6941" width="9.625" style="2" bestFit="1" customWidth="1"/>
    <col min="6942" max="7168" width="9" style="2"/>
    <col min="7169" max="7169" width="2.375" style="2" customWidth="1"/>
    <col min="7170" max="7170" width="13.25" style="2" bestFit="1" customWidth="1"/>
    <col min="7171" max="7171" width="11.125" style="2" bestFit="1" customWidth="1"/>
    <col min="7172" max="7172" width="13.25" style="2" bestFit="1" customWidth="1"/>
    <col min="7173" max="7173" width="11.125" style="2" bestFit="1" customWidth="1"/>
    <col min="7174" max="7174" width="9" style="2" bestFit="1"/>
    <col min="7175" max="7185" width="11.125" style="2" bestFit="1" customWidth="1"/>
    <col min="7186" max="7186" width="9" style="2" bestFit="1"/>
    <col min="7187" max="7188" width="11.125" style="2" bestFit="1" customWidth="1"/>
    <col min="7189" max="7190" width="9" style="2" bestFit="1"/>
    <col min="7191" max="7195" width="11.125" style="2" bestFit="1" customWidth="1"/>
    <col min="7196" max="7196" width="9" style="2" bestFit="1"/>
    <col min="7197" max="7197" width="9.625" style="2" bestFit="1" customWidth="1"/>
    <col min="7198" max="7424" width="9" style="2"/>
    <col min="7425" max="7425" width="2.375" style="2" customWidth="1"/>
    <col min="7426" max="7426" width="13.25" style="2" bestFit="1" customWidth="1"/>
    <col min="7427" max="7427" width="11.125" style="2" bestFit="1" customWidth="1"/>
    <col min="7428" max="7428" width="13.25" style="2" bestFit="1" customWidth="1"/>
    <col min="7429" max="7429" width="11.125" style="2" bestFit="1" customWidth="1"/>
    <col min="7430" max="7430" width="9" style="2" bestFit="1"/>
    <col min="7431" max="7441" width="11.125" style="2" bestFit="1" customWidth="1"/>
    <col min="7442" max="7442" width="9" style="2" bestFit="1"/>
    <col min="7443" max="7444" width="11.125" style="2" bestFit="1" customWidth="1"/>
    <col min="7445" max="7446" width="9" style="2" bestFit="1"/>
    <col min="7447" max="7451" width="11.125" style="2" bestFit="1" customWidth="1"/>
    <col min="7452" max="7452" width="9" style="2" bestFit="1"/>
    <col min="7453" max="7453" width="9.625" style="2" bestFit="1" customWidth="1"/>
    <col min="7454" max="7680" width="9" style="2"/>
    <col min="7681" max="7681" width="2.375" style="2" customWidth="1"/>
    <col min="7682" max="7682" width="13.25" style="2" bestFit="1" customWidth="1"/>
    <col min="7683" max="7683" width="11.125" style="2" bestFit="1" customWidth="1"/>
    <col min="7684" max="7684" width="13.25" style="2" bestFit="1" customWidth="1"/>
    <col min="7685" max="7685" width="11.125" style="2" bestFit="1" customWidth="1"/>
    <col min="7686" max="7686" width="9" style="2" bestFit="1"/>
    <col min="7687" max="7697" width="11.125" style="2" bestFit="1" customWidth="1"/>
    <col min="7698" max="7698" width="9" style="2" bestFit="1"/>
    <col min="7699" max="7700" width="11.125" style="2" bestFit="1" customWidth="1"/>
    <col min="7701" max="7702" width="9" style="2" bestFit="1"/>
    <col min="7703" max="7707" width="11.125" style="2" bestFit="1" customWidth="1"/>
    <col min="7708" max="7708" width="9" style="2" bestFit="1"/>
    <col min="7709" max="7709" width="9.625" style="2" bestFit="1" customWidth="1"/>
    <col min="7710" max="7936" width="9" style="2"/>
    <col min="7937" max="7937" width="2.375" style="2" customWidth="1"/>
    <col min="7938" max="7938" width="13.25" style="2" bestFit="1" customWidth="1"/>
    <col min="7939" max="7939" width="11.125" style="2" bestFit="1" customWidth="1"/>
    <col min="7940" max="7940" width="13.25" style="2" bestFit="1" customWidth="1"/>
    <col min="7941" max="7941" width="11.125" style="2" bestFit="1" customWidth="1"/>
    <col min="7942" max="7942" width="9" style="2" bestFit="1"/>
    <col min="7943" max="7953" width="11.125" style="2" bestFit="1" customWidth="1"/>
    <col min="7954" max="7954" width="9" style="2" bestFit="1"/>
    <col min="7955" max="7956" width="11.125" style="2" bestFit="1" customWidth="1"/>
    <col min="7957" max="7958" width="9" style="2" bestFit="1"/>
    <col min="7959" max="7963" width="11.125" style="2" bestFit="1" customWidth="1"/>
    <col min="7964" max="7964" width="9" style="2" bestFit="1"/>
    <col min="7965" max="7965" width="9.625" style="2" bestFit="1" customWidth="1"/>
    <col min="7966" max="8192" width="9" style="2"/>
    <col min="8193" max="8193" width="2.375" style="2" customWidth="1"/>
    <col min="8194" max="8194" width="13.25" style="2" bestFit="1" customWidth="1"/>
    <col min="8195" max="8195" width="11.125" style="2" bestFit="1" customWidth="1"/>
    <col min="8196" max="8196" width="13.25" style="2" bestFit="1" customWidth="1"/>
    <col min="8197" max="8197" width="11.125" style="2" bestFit="1" customWidth="1"/>
    <col min="8198" max="8198" width="9" style="2" bestFit="1"/>
    <col min="8199" max="8209" width="11.125" style="2" bestFit="1" customWidth="1"/>
    <col min="8210" max="8210" width="9" style="2" bestFit="1"/>
    <col min="8211" max="8212" width="11.125" style="2" bestFit="1" customWidth="1"/>
    <col min="8213" max="8214" width="9" style="2" bestFit="1"/>
    <col min="8215" max="8219" width="11.125" style="2" bestFit="1" customWidth="1"/>
    <col min="8220" max="8220" width="9" style="2" bestFit="1"/>
    <col min="8221" max="8221" width="9.625" style="2" bestFit="1" customWidth="1"/>
    <col min="8222" max="8448" width="9" style="2"/>
    <col min="8449" max="8449" width="2.375" style="2" customWidth="1"/>
    <col min="8450" max="8450" width="13.25" style="2" bestFit="1" customWidth="1"/>
    <col min="8451" max="8451" width="11.125" style="2" bestFit="1" customWidth="1"/>
    <col min="8452" max="8452" width="13.25" style="2" bestFit="1" customWidth="1"/>
    <col min="8453" max="8453" width="11.125" style="2" bestFit="1" customWidth="1"/>
    <col min="8454" max="8454" width="9" style="2" bestFit="1"/>
    <col min="8455" max="8465" width="11.125" style="2" bestFit="1" customWidth="1"/>
    <col min="8466" max="8466" width="9" style="2" bestFit="1"/>
    <col min="8467" max="8468" width="11.125" style="2" bestFit="1" customWidth="1"/>
    <col min="8469" max="8470" width="9" style="2" bestFit="1"/>
    <col min="8471" max="8475" width="11.125" style="2" bestFit="1" customWidth="1"/>
    <col min="8476" max="8476" width="9" style="2" bestFit="1"/>
    <col min="8477" max="8477" width="9.625" style="2" bestFit="1" customWidth="1"/>
    <col min="8478" max="8704" width="9" style="2"/>
    <col min="8705" max="8705" width="2.375" style="2" customWidth="1"/>
    <col min="8706" max="8706" width="13.25" style="2" bestFit="1" customWidth="1"/>
    <col min="8707" max="8707" width="11.125" style="2" bestFit="1" customWidth="1"/>
    <col min="8708" max="8708" width="13.25" style="2" bestFit="1" customWidth="1"/>
    <col min="8709" max="8709" width="11.125" style="2" bestFit="1" customWidth="1"/>
    <col min="8710" max="8710" width="9" style="2" bestFit="1"/>
    <col min="8711" max="8721" width="11.125" style="2" bestFit="1" customWidth="1"/>
    <col min="8722" max="8722" width="9" style="2" bestFit="1"/>
    <col min="8723" max="8724" width="11.125" style="2" bestFit="1" customWidth="1"/>
    <col min="8725" max="8726" width="9" style="2" bestFit="1"/>
    <col min="8727" max="8731" width="11.125" style="2" bestFit="1" customWidth="1"/>
    <col min="8732" max="8732" width="9" style="2" bestFit="1"/>
    <col min="8733" max="8733" width="9.625" style="2" bestFit="1" customWidth="1"/>
    <col min="8734" max="8960" width="9" style="2"/>
    <col min="8961" max="8961" width="2.375" style="2" customWidth="1"/>
    <col min="8962" max="8962" width="13.25" style="2" bestFit="1" customWidth="1"/>
    <col min="8963" max="8963" width="11.125" style="2" bestFit="1" customWidth="1"/>
    <col min="8964" max="8964" width="13.25" style="2" bestFit="1" customWidth="1"/>
    <col min="8965" max="8965" width="11.125" style="2" bestFit="1" customWidth="1"/>
    <col min="8966" max="8966" width="9" style="2" bestFit="1"/>
    <col min="8967" max="8977" width="11.125" style="2" bestFit="1" customWidth="1"/>
    <col min="8978" max="8978" width="9" style="2" bestFit="1"/>
    <col min="8979" max="8980" width="11.125" style="2" bestFit="1" customWidth="1"/>
    <col min="8981" max="8982" width="9" style="2" bestFit="1"/>
    <col min="8983" max="8987" width="11.125" style="2" bestFit="1" customWidth="1"/>
    <col min="8988" max="8988" width="9" style="2" bestFit="1"/>
    <col min="8989" max="8989" width="9.625" style="2" bestFit="1" customWidth="1"/>
    <col min="8990" max="9216" width="9" style="2"/>
    <col min="9217" max="9217" width="2.375" style="2" customWidth="1"/>
    <col min="9218" max="9218" width="13.25" style="2" bestFit="1" customWidth="1"/>
    <col min="9219" max="9219" width="11.125" style="2" bestFit="1" customWidth="1"/>
    <col min="9220" max="9220" width="13.25" style="2" bestFit="1" customWidth="1"/>
    <col min="9221" max="9221" width="11.125" style="2" bestFit="1" customWidth="1"/>
    <col min="9222" max="9222" width="9" style="2" bestFit="1"/>
    <col min="9223" max="9233" width="11.125" style="2" bestFit="1" customWidth="1"/>
    <col min="9234" max="9234" width="9" style="2" bestFit="1"/>
    <col min="9235" max="9236" width="11.125" style="2" bestFit="1" customWidth="1"/>
    <col min="9237" max="9238" width="9" style="2" bestFit="1"/>
    <col min="9239" max="9243" width="11.125" style="2" bestFit="1" customWidth="1"/>
    <col min="9244" max="9244" width="9" style="2" bestFit="1"/>
    <col min="9245" max="9245" width="9.625" style="2" bestFit="1" customWidth="1"/>
    <col min="9246" max="9472" width="9" style="2"/>
    <col min="9473" max="9473" width="2.375" style="2" customWidth="1"/>
    <col min="9474" max="9474" width="13.25" style="2" bestFit="1" customWidth="1"/>
    <col min="9475" max="9475" width="11.125" style="2" bestFit="1" customWidth="1"/>
    <col min="9476" max="9476" width="13.25" style="2" bestFit="1" customWidth="1"/>
    <col min="9477" max="9477" width="11.125" style="2" bestFit="1" customWidth="1"/>
    <col min="9478" max="9478" width="9" style="2" bestFit="1"/>
    <col min="9479" max="9489" width="11.125" style="2" bestFit="1" customWidth="1"/>
    <col min="9490" max="9490" width="9" style="2" bestFit="1"/>
    <col min="9491" max="9492" width="11.125" style="2" bestFit="1" customWidth="1"/>
    <col min="9493" max="9494" width="9" style="2" bestFit="1"/>
    <col min="9495" max="9499" width="11.125" style="2" bestFit="1" customWidth="1"/>
    <col min="9500" max="9500" width="9" style="2" bestFit="1"/>
    <col min="9501" max="9501" width="9.625" style="2" bestFit="1" customWidth="1"/>
    <col min="9502" max="9728" width="9" style="2"/>
    <col min="9729" max="9729" width="2.375" style="2" customWidth="1"/>
    <col min="9730" max="9730" width="13.25" style="2" bestFit="1" customWidth="1"/>
    <col min="9731" max="9731" width="11.125" style="2" bestFit="1" customWidth="1"/>
    <col min="9732" max="9732" width="13.25" style="2" bestFit="1" customWidth="1"/>
    <col min="9733" max="9733" width="11.125" style="2" bestFit="1" customWidth="1"/>
    <col min="9734" max="9734" width="9" style="2" bestFit="1"/>
    <col min="9735" max="9745" width="11.125" style="2" bestFit="1" customWidth="1"/>
    <col min="9746" max="9746" width="9" style="2" bestFit="1"/>
    <col min="9747" max="9748" width="11.125" style="2" bestFit="1" customWidth="1"/>
    <col min="9749" max="9750" width="9" style="2" bestFit="1"/>
    <col min="9751" max="9755" width="11.125" style="2" bestFit="1" customWidth="1"/>
    <col min="9756" max="9756" width="9" style="2" bestFit="1"/>
    <col min="9757" max="9757" width="9.625" style="2" bestFit="1" customWidth="1"/>
    <col min="9758" max="9984" width="9" style="2"/>
    <col min="9985" max="9985" width="2.375" style="2" customWidth="1"/>
    <col min="9986" max="9986" width="13.25" style="2" bestFit="1" customWidth="1"/>
    <col min="9987" max="9987" width="11.125" style="2" bestFit="1" customWidth="1"/>
    <col min="9988" max="9988" width="13.25" style="2" bestFit="1" customWidth="1"/>
    <col min="9989" max="9989" width="11.125" style="2" bestFit="1" customWidth="1"/>
    <col min="9990" max="9990" width="9" style="2" bestFit="1"/>
    <col min="9991" max="10001" width="11.125" style="2" bestFit="1" customWidth="1"/>
    <col min="10002" max="10002" width="9" style="2" bestFit="1"/>
    <col min="10003" max="10004" width="11.125" style="2" bestFit="1" customWidth="1"/>
    <col min="10005" max="10006" width="9" style="2" bestFit="1"/>
    <col min="10007" max="10011" width="11.125" style="2" bestFit="1" customWidth="1"/>
    <col min="10012" max="10012" width="9" style="2" bestFit="1"/>
    <col min="10013" max="10013" width="9.625" style="2" bestFit="1" customWidth="1"/>
    <col min="10014" max="10240" width="9" style="2"/>
    <col min="10241" max="10241" width="2.375" style="2" customWidth="1"/>
    <col min="10242" max="10242" width="13.25" style="2" bestFit="1" customWidth="1"/>
    <col min="10243" max="10243" width="11.125" style="2" bestFit="1" customWidth="1"/>
    <col min="10244" max="10244" width="13.25" style="2" bestFit="1" customWidth="1"/>
    <col min="10245" max="10245" width="11.125" style="2" bestFit="1" customWidth="1"/>
    <col min="10246" max="10246" width="9" style="2" bestFit="1"/>
    <col min="10247" max="10257" width="11.125" style="2" bestFit="1" customWidth="1"/>
    <col min="10258" max="10258" width="9" style="2" bestFit="1"/>
    <col min="10259" max="10260" width="11.125" style="2" bestFit="1" customWidth="1"/>
    <col min="10261" max="10262" width="9" style="2" bestFit="1"/>
    <col min="10263" max="10267" width="11.125" style="2" bestFit="1" customWidth="1"/>
    <col min="10268" max="10268" width="9" style="2" bestFit="1"/>
    <col min="10269" max="10269" width="9.625" style="2" bestFit="1" customWidth="1"/>
    <col min="10270" max="10496" width="9" style="2"/>
    <col min="10497" max="10497" width="2.375" style="2" customWidth="1"/>
    <col min="10498" max="10498" width="13.25" style="2" bestFit="1" customWidth="1"/>
    <col min="10499" max="10499" width="11.125" style="2" bestFit="1" customWidth="1"/>
    <col min="10500" max="10500" width="13.25" style="2" bestFit="1" customWidth="1"/>
    <col min="10501" max="10501" width="11.125" style="2" bestFit="1" customWidth="1"/>
    <col min="10502" max="10502" width="9" style="2" bestFit="1"/>
    <col min="10503" max="10513" width="11.125" style="2" bestFit="1" customWidth="1"/>
    <col min="10514" max="10514" width="9" style="2" bestFit="1"/>
    <col min="10515" max="10516" width="11.125" style="2" bestFit="1" customWidth="1"/>
    <col min="10517" max="10518" width="9" style="2" bestFit="1"/>
    <col min="10519" max="10523" width="11.125" style="2" bestFit="1" customWidth="1"/>
    <col min="10524" max="10524" width="9" style="2" bestFit="1"/>
    <col min="10525" max="10525" width="9.625" style="2" bestFit="1" customWidth="1"/>
    <col min="10526" max="10752" width="9" style="2"/>
    <col min="10753" max="10753" width="2.375" style="2" customWidth="1"/>
    <col min="10754" max="10754" width="13.25" style="2" bestFit="1" customWidth="1"/>
    <col min="10755" max="10755" width="11.125" style="2" bestFit="1" customWidth="1"/>
    <col min="10756" max="10756" width="13.25" style="2" bestFit="1" customWidth="1"/>
    <col min="10757" max="10757" width="11.125" style="2" bestFit="1" customWidth="1"/>
    <col min="10758" max="10758" width="9" style="2" bestFit="1"/>
    <col min="10759" max="10769" width="11.125" style="2" bestFit="1" customWidth="1"/>
    <col min="10770" max="10770" width="9" style="2" bestFit="1"/>
    <col min="10771" max="10772" width="11.125" style="2" bestFit="1" customWidth="1"/>
    <col min="10773" max="10774" width="9" style="2" bestFit="1"/>
    <col min="10775" max="10779" width="11.125" style="2" bestFit="1" customWidth="1"/>
    <col min="10780" max="10780" width="9" style="2" bestFit="1"/>
    <col min="10781" max="10781" width="9.625" style="2" bestFit="1" customWidth="1"/>
    <col min="10782" max="11008" width="9" style="2"/>
    <col min="11009" max="11009" width="2.375" style="2" customWidth="1"/>
    <col min="11010" max="11010" width="13.25" style="2" bestFit="1" customWidth="1"/>
    <col min="11011" max="11011" width="11.125" style="2" bestFit="1" customWidth="1"/>
    <col min="11012" max="11012" width="13.25" style="2" bestFit="1" customWidth="1"/>
    <col min="11013" max="11013" width="11.125" style="2" bestFit="1" customWidth="1"/>
    <col min="11014" max="11014" width="9" style="2" bestFit="1"/>
    <col min="11015" max="11025" width="11.125" style="2" bestFit="1" customWidth="1"/>
    <col min="11026" max="11026" width="9" style="2" bestFit="1"/>
    <col min="11027" max="11028" width="11.125" style="2" bestFit="1" customWidth="1"/>
    <col min="11029" max="11030" width="9" style="2" bestFit="1"/>
    <col min="11031" max="11035" width="11.125" style="2" bestFit="1" customWidth="1"/>
    <col min="11036" max="11036" width="9" style="2" bestFit="1"/>
    <col min="11037" max="11037" width="9.625" style="2" bestFit="1" customWidth="1"/>
    <col min="11038" max="11264" width="9" style="2"/>
    <col min="11265" max="11265" width="2.375" style="2" customWidth="1"/>
    <col min="11266" max="11266" width="13.25" style="2" bestFit="1" customWidth="1"/>
    <col min="11267" max="11267" width="11.125" style="2" bestFit="1" customWidth="1"/>
    <col min="11268" max="11268" width="13.25" style="2" bestFit="1" customWidth="1"/>
    <col min="11269" max="11269" width="11.125" style="2" bestFit="1" customWidth="1"/>
    <col min="11270" max="11270" width="9" style="2" bestFit="1"/>
    <col min="11271" max="11281" width="11.125" style="2" bestFit="1" customWidth="1"/>
    <col min="11282" max="11282" width="9" style="2" bestFit="1"/>
    <col min="11283" max="11284" width="11.125" style="2" bestFit="1" customWidth="1"/>
    <col min="11285" max="11286" width="9" style="2" bestFit="1"/>
    <col min="11287" max="11291" width="11.125" style="2" bestFit="1" customWidth="1"/>
    <col min="11292" max="11292" width="9" style="2" bestFit="1"/>
    <col min="11293" max="11293" width="9.625" style="2" bestFit="1" customWidth="1"/>
    <col min="11294" max="11520" width="9" style="2"/>
    <col min="11521" max="11521" width="2.375" style="2" customWidth="1"/>
    <col min="11522" max="11522" width="13.25" style="2" bestFit="1" customWidth="1"/>
    <col min="11523" max="11523" width="11.125" style="2" bestFit="1" customWidth="1"/>
    <col min="11524" max="11524" width="13.25" style="2" bestFit="1" customWidth="1"/>
    <col min="11525" max="11525" width="11.125" style="2" bestFit="1" customWidth="1"/>
    <col min="11526" max="11526" width="9" style="2" bestFit="1"/>
    <col min="11527" max="11537" width="11.125" style="2" bestFit="1" customWidth="1"/>
    <col min="11538" max="11538" width="9" style="2" bestFit="1"/>
    <col min="11539" max="11540" width="11.125" style="2" bestFit="1" customWidth="1"/>
    <col min="11541" max="11542" width="9" style="2" bestFit="1"/>
    <col min="11543" max="11547" width="11.125" style="2" bestFit="1" customWidth="1"/>
    <col min="11548" max="11548" width="9" style="2" bestFit="1"/>
    <col min="11549" max="11549" width="9.625" style="2" bestFit="1" customWidth="1"/>
    <col min="11550" max="11776" width="9" style="2"/>
    <col min="11777" max="11777" width="2.375" style="2" customWidth="1"/>
    <col min="11778" max="11778" width="13.25" style="2" bestFit="1" customWidth="1"/>
    <col min="11779" max="11779" width="11.125" style="2" bestFit="1" customWidth="1"/>
    <col min="11780" max="11780" width="13.25" style="2" bestFit="1" customWidth="1"/>
    <col min="11781" max="11781" width="11.125" style="2" bestFit="1" customWidth="1"/>
    <col min="11782" max="11782" width="9" style="2" bestFit="1"/>
    <col min="11783" max="11793" width="11.125" style="2" bestFit="1" customWidth="1"/>
    <col min="11794" max="11794" width="9" style="2" bestFit="1"/>
    <col min="11795" max="11796" width="11.125" style="2" bestFit="1" customWidth="1"/>
    <col min="11797" max="11798" width="9" style="2" bestFit="1"/>
    <col min="11799" max="11803" width="11.125" style="2" bestFit="1" customWidth="1"/>
    <col min="11804" max="11804" width="9" style="2" bestFit="1"/>
    <col min="11805" max="11805" width="9.625" style="2" bestFit="1" customWidth="1"/>
    <col min="11806" max="12032" width="9" style="2"/>
    <col min="12033" max="12033" width="2.375" style="2" customWidth="1"/>
    <col min="12034" max="12034" width="13.25" style="2" bestFit="1" customWidth="1"/>
    <col min="12035" max="12035" width="11.125" style="2" bestFit="1" customWidth="1"/>
    <col min="12036" max="12036" width="13.25" style="2" bestFit="1" customWidth="1"/>
    <col min="12037" max="12037" width="11.125" style="2" bestFit="1" customWidth="1"/>
    <col min="12038" max="12038" width="9" style="2" bestFit="1"/>
    <col min="12039" max="12049" width="11.125" style="2" bestFit="1" customWidth="1"/>
    <col min="12050" max="12050" width="9" style="2" bestFit="1"/>
    <col min="12051" max="12052" width="11.125" style="2" bestFit="1" customWidth="1"/>
    <col min="12053" max="12054" width="9" style="2" bestFit="1"/>
    <col min="12055" max="12059" width="11.125" style="2" bestFit="1" customWidth="1"/>
    <col min="12060" max="12060" width="9" style="2" bestFit="1"/>
    <col min="12061" max="12061" width="9.625" style="2" bestFit="1" customWidth="1"/>
    <col min="12062" max="12288" width="9" style="2"/>
    <col min="12289" max="12289" width="2.375" style="2" customWidth="1"/>
    <col min="12290" max="12290" width="13.25" style="2" bestFit="1" customWidth="1"/>
    <col min="12291" max="12291" width="11.125" style="2" bestFit="1" customWidth="1"/>
    <col min="12292" max="12292" width="13.25" style="2" bestFit="1" customWidth="1"/>
    <col min="12293" max="12293" width="11.125" style="2" bestFit="1" customWidth="1"/>
    <col min="12294" max="12294" width="9" style="2" bestFit="1"/>
    <col min="12295" max="12305" width="11.125" style="2" bestFit="1" customWidth="1"/>
    <col min="12306" max="12306" width="9" style="2" bestFit="1"/>
    <col min="12307" max="12308" width="11.125" style="2" bestFit="1" customWidth="1"/>
    <col min="12309" max="12310" width="9" style="2" bestFit="1"/>
    <col min="12311" max="12315" width="11.125" style="2" bestFit="1" customWidth="1"/>
    <col min="12316" max="12316" width="9" style="2" bestFit="1"/>
    <col min="12317" max="12317" width="9.625" style="2" bestFit="1" customWidth="1"/>
    <col min="12318" max="12544" width="9" style="2"/>
    <col min="12545" max="12545" width="2.375" style="2" customWidth="1"/>
    <col min="12546" max="12546" width="13.25" style="2" bestFit="1" customWidth="1"/>
    <col min="12547" max="12547" width="11.125" style="2" bestFit="1" customWidth="1"/>
    <col min="12548" max="12548" width="13.25" style="2" bestFit="1" customWidth="1"/>
    <col min="12549" max="12549" width="11.125" style="2" bestFit="1" customWidth="1"/>
    <col min="12550" max="12550" width="9" style="2" bestFit="1"/>
    <col min="12551" max="12561" width="11.125" style="2" bestFit="1" customWidth="1"/>
    <col min="12562" max="12562" width="9" style="2" bestFit="1"/>
    <col min="12563" max="12564" width="11.125" style="2" bestFit="1" customWidth="1"/>
    <col min="12565" max="12566" width="9" style="2" bestFit="1"/>
    <col min="12567" max="12571" width="11.125" style="2" bestFit="1" customWidth="1"/>
    <col min="12572" max="12572" width="9" style="2" bestFit="1"/>
    <col min="12573" max="12573" width="9.625" style="2" bestFit="1" customWidth="1"/>
    <col min="12574" max="12800" width="9" style="2"/>
    <col min="12801" max="12801" width="2.375" style="2" customWidth="1"/>
    <col min="12802" max="12802" width="13.25" style="2" bestFit="1" customWidth="1"/>
    <col min="12803" max="12803" width="11.125" style="2" bestFit="1" customWidth="1"/>
    <col min="12804" max="12804" width="13.25" style="2" bestFit="1" customWidth="1"/>
    <col min="12805" max="12805" width="11.125" style="2" bestFit="1" customWidth="1"/>
    <col min="12806" max="12806" width="9" style="2" bestFit="1"/>
    <col min="12807" max="12817" width="11.125" style="2" bestFit="1" customWidth="1"/>
    <col min="12818" max="12818" width="9" style="2" bestFit="1"/>
    <col min="12819" max="12820" width="11.125" style="2" bestFit="1" customWidth="1"/>
    <col min="12821" max="12822" width="9" style="2" bestFit="1"/>
    <col min="12823" max="12827" width="11.125" style="2" bestFit="1" customWidth="1"/>
    <col min="12828" max="12828" width="9" style="2" bestFit="1"/>
    <col min="12829" max="12829" width="9.625" style="2" bestFit="1" customWidth="1"/>
    <col min="12830" max="13056" width="9" style="2"/>
    <col min="13057" max="13057" width="2.375" style="2" customWidth="1"/>
    <col min="13058" max="13058" width="13.25" style="2" bestFit="1" customWidth="1"/>
    <col min="13059" max="13059" width="11.125" style="2" bestFit="1" customWidth="1"/>
    <col min="13060" max="13060" width="13.25" style="2" bestFit="1" customWidth="1"/>
    <col min="13061" max="13061" width="11.125" style="2" bestFit="1" customWidth="1"/>
    <col min="13062" max="13062" width="9" style="2" bestFit="1"/>
    <col min="13063" max="13073" width="11.125" style="2" bestFit="1" customWidth="1"/>
    <col min="13074" max="13074" width="9" style="2" bestFit="1"/>
    <col min="13075" max="13076" width="11.125" style="2" bestFit="1" customWidth="1"/>
    <col min="13077" max="13078" width="9" style="2" bestFit="1"/>
    <col min="13079" max="13083" width="11.125" style="2" bestFit="1" customWidth="1"/>
    <col min="13084" max="13084" width="9" style="2" bestFit="1"/>
    <col min="13085" max="13085" width="9.625" style="2" bestFit="1" customWidth="1"/>
    <col min="13086" max="13312" width="9" style="2"/>
    <col min="13313" max="13313" width="2.375" style="2" customWidth="1"/>
    <col min="13314" max="13314" width="13.25" style="2" bestFit="1" customWidth="1"/>
    <col min="13315" max="13315" width="11.125" style="2" bestFit="1" customWidth="1"/>
    <col min="13316" max="13316" width="13.25" style="2" bestFit="1" customWidth="1"/>
    <col min="13317" max="13317" width="11.125" style="2" bestFit="1" customWidth="1"/>
    <col min="13318" max="13318" width="9" style="2" bestFit="1"/>
    <col min="13319" max="13329" width="11.125" style="2" bestFit="1" customWidth="1"/>
    <col min="13330" max="13330" width="9" style="2" bestFit="1"/>
    <col min="13331" max="13332" width="11.125" style="2" bestFit="1" customWidth="1"/>
    <col min="13333" max="13334" width="9" style="2" bestFit="1"/>
    <col min="13335" max="13339" width="11.125" style="2" bestFit="1" customWidth="1"/>
    <col min="13340" max="13340" width="9" style="2" bestFit="1"/>
    <col min="13341" max="13341" width="9.625" style="2" bestFit="1" customWidth="1"/>
    <col min="13342" max="13568" width="9" style="2"/>
    <col min="13569" max="13569" width="2.375" style="2" customWidth="1"/>
    <col min="13570" max="13570" width="13.25" style="2" bestFit="1" customWidth="1"/>
    <col min="13571" max="13571" width="11.125" style="2" bestFit="1" customWidth="1"/>
    <col min="13572" max="13572" width="13.25" style="2" bestFit="1" customWidth="1"/>
    <col min="13573" max="13573" width="11.125" style="2" bestFit="1" customWidth="1"/>
    <col min="13574" max="13574" width="9" style="2" bestFit="1"/>
    <col min="13575" max="13585" width="11.125" style="2" bestFit="1" customWidth="1"/>
    <col min="13586" max="13586" width="9" style="2" bestFit="1"/>
    <col min="13587" max="13588" width="11.125" style="2" bestFit="1" customWidth="1"/>
    <col min="13589" max="13590" width="9" style="2" bestFit="1"/>
    <col min="13591" max="13595" width="11.125" style="2" bestFit="1" customWidth="1"/>
    <col min="13596" max="13596" width="9" style="2" bestFit="1"/>
    <col min="13597" max="13597" width="9.625" style="2" bestFit="1" customWidth="1"/>
    <col min="13598" max="13824" width="9" style="2"/>
    <col min="13825" max="13825" width="2.375" style="2" customWidth="1"/>
    <col min="13826" max="13826" width="13.25" style="2" bestFit="1" customWidth="1"/>
    <col min="13827" max="13827" width="11.125" style="2" bestFit="1" customWidth="1"/>
    <col min="13828" max="13828" width="13.25" style="2" bestFit="1" customWidth="1"/>
    <col min="13829" max="13829" width="11.125" style="2" bestFit="1" customWidth="1"/>
    <col min="13830" max="13830" width="9" style="2" bestFit="1"/>
    <col min="13831" max="13841" width="11.125" style="2" bestFit="1" customWidth="1"/>
    <col min="13842" max="13842" width="9" style="2" bestFit="1"/>
    <col min="13843" max="13844" width="11.125" style="2" bestFit="1" customWidth="1"/>
    <col min="13845" max="13846" width="9" style="2" bestFit="1"/>
    <col min="13847" max="13851" width="11.125" style="2" bestFit="1" customWidth="1"/>
    <col min="13852" max="13852" width="9" style="2" bestFit="1"/>
    <col min="13853" max="13853" width="9.625" style="2" bestFit="1" customWidth="1"/>
    <col min="13854" max="14080" width="9" style="2"/>
    <col min="14081" max="14081" width="2.375" style="2" customWidth="1"/>
    <col min="14082" max="14082" width="13.25" style="2" bestFit="1" customWidth="1"/>
    <col min="14083" max="14083" width="11.125" style="2" bestFit="1" customWidth="1"/>
    <col min="14084" max="14084" width="13.25" style="2" bestFit="1" customWidth="1"/>
    <col min="14085" max="14085" width="11.125" style="2" bestFit="1" customWidth="1"/>
    <col min="14086" max="14086" width="9" style="2" bestFit="1"/>
    <col min="14087" max="14097" width="11.125" style="2" bestFit="1" customWidth="1"/>
    <col min="14098" max="14098" width="9" style="2" bestFit="1"/>
    <col min="14099" max="14100" width="11.125" style="2" bestFit="1" customWidth="1"/>
    <col min="14101" max="14102" width="9" style="2" bestFit="1"/>
    <col min="14103" max="14107" width="11.125" style="2" bestFit="1" customWidth="1"/>
    <col min="14108" max="14108" width="9" style="2" bestFit="1"/>
    <col min="14109" max="14109" width="9.625" style="2" bestFit="1" customWidth="1"/>
    <col min="14110" max="14336" width="9" style="2"/>
    <col min="14337" max="14337" width="2.375" style="2" customWidth="1"/>
    <col min="14338" max="14338" width="13.25" style="2" bestFit="1" customWidth="1"/>
    <col min="14339" max="14339" width="11.125" style="2" bestFit="1" customWidth="1"/>
    <col min="14340" max="14340" width="13.25" style="2" bestFit="1" customWidth="1"/>
    <col min="14341" max="14341" width="11.125" style="2" bestFit="1" customWidth="1"/>
    <col min="14342" max="14342" width="9" style="2" bestFit="1"/>
    <col min="14343" max="14353" width="11.125" style="2" bestFit="1" customWidth="1"/>
    <col min="14354" max="14354" width="9" style="2" bestFit="1"/>
    <col min="14355" max="14356" width="11.125" style="2" bestFit="1" customWidth="1"/>
    <col min="14357" max="14358" width="9" style="2" bestFit="1"/>
    <col min="14359" max="14363" width="11.125" style="2" bestFit="1" customWidth="1"/>
    <col min="14364" max="14364" width="9" style="2" bestFit="1"/>
    <col min="14365" max="14365" width="9.625" style="2" bestFit="1" customWidth="1"/>
    <col min="14366" max="14592" width="9" style="2"/>
    <col min="14593" max="14593" width="2.375" style="2" customWidth="1"/>
    <col min="14594" max="14594" width="13.25" style="2" bestFit="1" customWidth="1"/>
    <col min="14595" max="14595" width="11.125" style="2" bestFit="1" customWidth="1"/>
    <col min="14596" max="14596" width="13.25" style="2" bestFit="1" customWidth="1"/>
    <col min="14597" max="14597" width="11.125" style="2" bestFit="1" customWidth="1"/>
    <col min="14598" max="14598" width="9" style="2" bestFit="1"/>
    <col min="14599" max="14609" width="11.125" style="2" bestFit="1" customWidth="1"/>
    <col min="14610" max="14610" width="9" style="2" bestFit="1"/>
    <col min="14611" max="14612" width="11.125" style="2" bestFit="1" customWidth="1"/>
    <col min="14613" max="14614" width="9" style="2" bestFit="1"/>
    <col min="14615" max="14619" width="11.125" style="2" bestFit="1" customWidth="1"/>
    <col min="14620" max="14620" width="9" style="2" bestFit="1"/>
    <col min="14621" max="14621" width="9.625" style="2" bestFit="1" customWidth="1"/>
    <col min="14622" max="14848" width="9" style="2"/>
    <col min="14849" max="14849" width="2.375" style="2" customWidth="1"/>
    <col min="14850" max="14850" width="13.25" style="2" bestFit="1" customWidth="1"/>
    <col min="14851" max="14851" width="11.125" style="2" bestFit="1" customWidth="1"/>
    <col min="14852" max="14852" width="13.25" style="2" bestFit="1" customWidth="1"/>
    <col min="14853" max="14853" width="11.125" style="2" bestFit="1" customWidth="1"/>
    <col min="14854" max="14854" width="9" style="2" bestFit="1"/>
    <col min="14855" max="14865" width="11.125" style="2" bestFit="1" customWidth="1"/>
    <col min="14866" max="14866" width="9" style="2" bestFit="1"/>
    <col min="14867" max="14868" width="11.125" style="2" bestFit="1" customWidth="1"/>
    <col min="14869" max="14870" width="9" style="2" bestFit="1"/>
    <col min="14871" max="14875" width="11.125" style="2" bestFit="1" customWidth="1"/>
    <col min="14876" max="14876" width="9" style="2" bestFit="1"/>
    <col min="14877" max="14877" width="9.625" style="2" bestFit="1" customWidth="1"/>
    <col min="14878" max="15104" width="9" style="2"/>
    <col min="15105" max="15105" width="2.375" style="2" customWidth="1"/>
    <col min="15106" max="15106" width="13.25" style="2" bestFit="1" customWidth="1"/>
    <col min="15107" max="15107" width="11.125" style="2" bestFit="1" customWidth="1"/>
    <col min="15108" max="15108" width="13.25" style="2" bestFit="1" customWidth="1"/>
    <col min="15109" max="15109" width="11.125" style="2" bestFit="1" customWidth="1"/>
    <col min="15110" max="15110" width="9" style="2" bestFit="1"/>
    <col min="15111" max="15121" width="11.125" style="2" bestFit="1" customWidth="1"/>
    <col min="15122" max="15122" width="9" style="2" bestFit="1"/>
    <col min="15123" max="15124" width="11.125" style="2" bestFit="1" customWidth="1"/>
    <col min="15125" max="15126" width="9" style="2" bestFit="1"/>
    <col min="15127" max="15131" width="11.125" style="2" bestFit="1" customWidth="1"/>
    <col min="15132" max="15132" width="9" style="2" bestFit="1"/>
    <col min="15133" max="15133" width="9.625" style="2" bestFit="1" customWidth="1"/>
    <col min="15134" max="15360" width="9" style="2"/>
    <col min="15361" max="15361" width="2.375" style="2" customWidth="1"/>
    <col min="15362" max="15362" width="13.25" style="2" bestFit="1" customWidth="1"/>
    <col min="15363" max="15363" width="11.125" style="2" bestFit="1" customWidth="1"/>
    <col min="15364" max="15364" width="13.25" style="2" bestFit="1" customWidth="1"/>
    <col min="15365" max="15365" width="11.125" style="2" bestFit="1" customWidth="1"/>
    <col min="15366" max="15366" width="9" style="2" bestFit="1"/>
    <col min="15367" max="15377" width="11.125" style="2" bestFit="1" customWidth="1"/>
    <col min="15378" max="15378" width="9" style="2" bestFit="1"/>
    <col min="15379" max="15380" width="11.125" style="2" bestFit="1" customWidth="1"/>
    <col min="15381" max="15382" width="9" style="2" bestFit="1"/>
    <col min="15383" max="15387" width="11.125" style="2" bestFit="1" customWidth="1"/>
    <col min="15388" max="15388" width="9" style="2" bestFit="1"/>
    <col min="15389" max="15389" width="9.625" style="2" bestFit="1" customWidth="1"/>
    <col min="15390" max="15616" width="9" style="2"/>
    <col min="15617" max="15617" width="2.375" style="2" customWidth="1"/>
    <col min="15618" max="15618" width="13.25" style="2" bestFit="1" customWidth="1"/>
    <col min="15619" max="15619" width="11.125" style="2" bestFit="1" customWidth="1"/>
    <col min="15620" max="15620" width="13.25" style="2" bestFit="1" customWidth="1"/>
    <col min="15621" max="15621" width="11.125" style="2" bestFit="1" customWidth="1"/>
    <col min="15622" max="15622" width="9" style="2" bestFit="1"/>
    <col min="15623" max="15633" width="11.125" style="2" bestFit="1" customWidth="1"/>
    <col min="15634" max="15634" width="9" style="2" bestFit="1"/>
    <col min="15635" max="15636" width="11.125" style="2" bestFit="1" customWidth="1"/>
    <col min="15637" max="15638" width="9" style="2" bestFit="1"/>
    <col min="15639" max="15643" width="11.125" style="2" bestFit="1" customWidth="1"/>
    <col min="15644" max="15644" width="9" style="2" bestFit="1"/>
    <col min="15645" max="15645" width="9.625" style="2" bestFit="1" customWidth="1"/>
    <col min="15646" max="15872" width="9" style="2"/>
    <col min="15873" max="15873" width="2.375" style="2" customWidth="1"/>
    <col min="15874" max="15874" width="13.25" style="2" bestFit="1" customWidth="1"/>
    <col min="15875" max="15875" width="11.125" style="2" bestFit="1" customWidth="1"/>
    <col min="15876" max="15876" width="13.25" style="2" bestFit="1" customWidth="1"/>
    <col min="15877" max="15877" width="11.125" style="2" bestFit="1" customWidth="1"/>
    <col min="15878" max="15878" width="9" style="2" bestFit="1"/>
    <col min="15879" max="15889" width="11.125" style="2" bestFit="1" customWidth="1"/>
    <col min="15890" max="15890" width="9" style="2" bestFit="1"/>
    <col min="15891" max="15892" width="11.125" style="2" bestFit="1" customWidth="1"/>
    <col min="15893" max="15894" width="9" style="2" bestFit="1"/>
    <col min="15895" max="15899" width="11.125" style="2" bestFit="1" customWidth="1"/>
    <col min="15900" max="15900" width="9" style="2" bestFit="1"/>
    <col min="15901" max="15901" width="9.625" style="2" bestFit="1" customWidth="1"/>
    <col min="15902" max="16128" width="9" style="2"/>
    <col min="16129" max="16129" width="2.375" style="2" customWidth="1"/>
    <col min="16130" max="16130" width="13.25" style="2" bestFit="1" customWidth="1"/>
    <col min="16131" max="16131" width="11.125" style="2" bestFit="1" customWidth="1"/>
    <col min="16132" max="16132" width="13.25" style="2" bestFit="1" customWidth="1"/>
    <col min="16133" max="16133" width="11.125" style="2" bestFit="1" customWidth="1"/>
    <col min="16134" max="16134" width="9" style="2" bestFit="1"/>
    <col min="16135" max="16145" width="11.125" style="2" bestFit="1" customWidth="1"/>
    <col min="16146" max="16146" width="9" style="2" bestFit="1"/>
    <col min="16147" max="16148" width="11.125" style="2" bestFit="1" customWidth="1"/>
    <col min="16149" max="16150" width="9" style="2" bestFit="1"/>
    <col min="16151" max="16155" width="11.125" style="2" bestFit="1" customWidth="1"/>
    <col min="16156" max="16156" width="9" style="2" bestFit="1"/>
    <col min="16157" max="16157" width="9.625" style="2" bestFit="1" customWidth="1"/>
    <col min="16158" max="16384" width="9" style="2"/>
  </cols>
  <sheetData>
    <row r="1" spans="1:29">
      <c r="A1" s="1" t="s">
        <v>0</v>
      </c>
    </row>
    <row r="2" spans="1:29">
      <c r="A2" s="1"/>
    </row>
    <row r="3" spans="1:29">
      <c r="A3" s="1" t="s">
        <v>1</v>
      </c>
    </row>
    <row r="4" spans="1:29">
      <c r="A4" s="1" t="s">
        <v>2</v>
      </c>
    </row>
    <row r="5" spans="1:29">
      <c r="A5" s="1" t="s">
        <v>3</v>
      </c>
    </row>
    <row r="6" spans="1:29" ht="19.5" thickBot="1">
      <c r="A6" s="1" t="s">
        <v>4</v>
      </c>
    </row>
    <row r="7" spans="1:29">
      <c r="B7" s="15"/>
      <c r="C7" s="2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4" t="s">
        <v>21</v>
      </c>
      <c r="T7" s="4" t="s">
        <v>22</v>
      </c>
      <c r="U7" s="4" t="s">
        <v>23</v>
      </c>
      <c r="V7" s="4" t="s">
        <v>24</v>
      </c>
      <c r="W7" s="4" t="s">
        <v>25</v>
      </c>
      <c r="X7" s="4" t="s">
        <v>26</v>
      </c>
      <c r="Y7" s="4" t="s">
        <v>27</v>
      </c>
      <c r="Z7" s="4" t="s">
        <v>28</v>
      </c>
      <c r="AA7" s="60" t="s">
        <v>29</v>
      </c>
      <c r="AB7" s="25" t="s">
        <v>30</v>
      </c>
      <c r="AC7" s="18"/>
    </row>
    <row r="8" spans="1:29" ht="19.5" thickBot="1">
      <c r="A8" s="3"/>
      <c r="B8" s="36" t="s">
        <v>31</v>
      </c>
      <c r="C8" s="37" t="s">
        <v>32</v>
      </c>
      <c r="D8" s="38" t="s">
        <v>33</v>
      </c>
      <c r="E8" s="38" t="s">
        <v>34</v>
      </c>
      <c r="F8" s="38" t="s">
        <v>35</v>
      </c>
      <c r="G8" s="38" t="s">
        <v>36</v>
      </c>
      <c r="H8" s="38" t="s">
        <v>37</v>
      </c>
      <c r="I8" s="38" t="s">
        <v>38</v>
      </c>
      <c r="J8" s="38" t="s">
        <v>39</v>
      </c>
      <c r="K8" s="38" t="s">
        <v>40</v>
      </c>
      <c r="L8" s="38" t="s">
        <v>41</v>
      </c>
      <c r="M8" s="38" t="s">
        <v>42</v>
      </c>
      <c r="N8" s="38" t="s">
        <v>43</v>
      </c>
      <c r="O8" s="38" t="s">
        <v>44</v>
      </c>
      <c r="P8" s="38" t="s">
        <v>45</v>
      </c>
      <c r="Q8" s="38" t="s">
        <v>46</v>
      </c>
      <c r="R8" s="38" t="s">
        <v>47</v>
      </c>
      <c r="S8" s="38" t="s">
        <v>48</v>
      </c>
      <c r="T8" s="38" t="s">
        <v>49</v>
      </c>
      <c r="U8" s="38" t="s">
        <v>50</v>
      </c>
      <c r="V8" s="38" t="s">
        <v>51</v>
      </c>
      <c r="W8" s="38" t="s">
        <v>52</v>
      </c>
      <c r="X8" s="38" t="s">
        <v>53</v>
      </c>
      <c r="Y8" s="38" t="s">
        <v>54</v>
      </c>
      <c r="Z8" s="38" t="s">
        <v>55</v>
      </c>
      <c r="AA8" s="61" t="s">
        <v>56</v>
      </c>
      <c r="AB8" s="39" t="s">
        <v>57</v>
      </c>
      <c r="AC8" s="40" t="s">
        <v>58</v>
      </c>
    </row>
    <row r="9" spans="1:29">
      <c r="A9" s="1" t="s">
        <v>3</v>
      </c>
      <c r="B9" s="31" t="s">
        <v>59</v>
      </c>
      <c r="C9" s="32">
        <v>21</v>
      </c>
      <c r="D9" s="33">
        <v>20</v>
      </c>
      <c r="E9" s="33">
        <v>20</v>
      </c>
      <c r="F9" s="33">
        <v>20</v>
      </c>
      <c r="G9" s="33">
        <v>13</v>
      </c>
      <c r="H9" s="33">
        <v>22</v>
      </c>
      <c r="I9" s="33">
        <v>19</v>
      </c>
      <c r="J9" s="33">
        <v>20</v>
      </c>
      <c r="K9" s="33">
        <v>20</v>
      </c>
      <c r="L9" s="33">
        <v>21</v>
      </c>
      <c r="M9" s="33">
        <v>19</v>
      </c>
      <c r="N9" s="33">
        <v>22</v>
      </c>
      <c r="O9" s="33">
        <v>21</v>
      </c>
      <c r="P9" s="33">
        <v>22</v>
      </c>
      <c r="Q9" s="33">
        <v>22</v>
      </c>
      <c r="R9" s="33">
        <v>22</v>
      </c>
      <c r="S9" s="33">
        <v>19</v>
      </c>
      <c r="T9" s="33">
        <v>20</v>
      </c>
      <c r="U9" s="33">
        <v>16</v>
      </c>
      <c r="V9" s="33">
        <v>10</v>
      </c>
      <c r="W9" s="33">
        <v>13</v>
      </c>
      <c r="X9" s="33">
        <v>15</v>
      </c>
      <c r="Y9" s="33">
        <v>6</v>
      </c>
      <c r="Z9" s="33">
        <v>7</v>
      </c>
      <c r="AA9" s="62">
        <v>22</v>
      </c>
      <c r="AB9" s="34">
        <v>21</v>
      </c>
      <c r="AC9" s="35">
        <f t="shared" ref="AC9:AC21" si="0">SUM(C9:AA9)</f>
        <v>452</v>
      </c>
    </row>
    <row r="10" spans="1:29">
      <c r="A10" s="1" t="s">
        <v>3</v>
      </c>
      <c r="B10" s="16" t="s">
        <v>60</v>
      </c>
      <c r="C10" s="26">
        <v>3</v>
      </c>
      <c r="D10" s="5">
        <v>3</v>
      </c>
      <c r="E10" s="5">
        <v>1</v>
      </c>
      <c r="F10" s="5">
        <v>2</v>
      </c>
      <c r="G10" s="5">
        <v>3</v>
      </c>
      <c r="H10" s="5">
        <v>2</v>
      </c>
      <c r="I10" s="5">
        <v>3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3</v>
      </c>
      <c r="P10" s="5">
        <v>0</v>
      </c>
      <c r="Q10" s="5">
        <v>0</v>
      </c>
      <c r="R10" s="5">
        <v>2</v>
      </c>
      <c r="S10" s="5">
        <v>3</v>
      </c>
      <c r="T10" s="5">
        <v>2</v>
      </c>
      <c r="U10" s="5">
        <v>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63">
        <v>0</v>
      </c>
      <c r="AB10" s="6">
        <v>0</v>
      </c>
      <c r="AC10" s="19">
        <f t="shared" si="0"/>
        <v>33</v>
      </c>
    </row>
    <row r="11" spans="1:29">
      <c r="A11" s="1" t="s">
        <v>3</v>
      </c>
      <c r="B11" s="16" t="s">
        <v>61</v>
      </c>
      <c r="C11" s="26">
        <v>3</v>
      </c>
      <c r="D11" s="5">
        <v>3</v>
      </c>
      <c r="E11" s="5">
        <v>2</v>
      </c>
      <c r="F11" s="5">
        <v>4</v>
      </c>
      <c r="G11" s="5">
        <v>1</v>
      </c>
      <c r="H11" s="5">
        <v>2</v>
      </c>
      <c r="I11" s="5">
        <v>3</v>
      </c>
      <c r="J11" s="5">
        <v>3</v>
      </c>
      <c r="K11" s="5">
        <v>3</v>
      </c>
      <c r="L11" s="5">
        <v>0</v>
      </c>
      <c r="M11" s="5">
        <v>3</v>
      </c>
      <c r="N11" s="5">
        <v>2</v>
      </c>
      <c r="O11" s="5">
        <v>1</v>
      </c>
      <c r="P11" s="5">
        <v>3</v>
      </c>
      <c r="Q11" s="5">
        <v>0</v>
      </c>
      <c r="R11" s="5">
        <v>0</v>
      </c>
      <c r="S11" s="5">
        <v>0</v>
      </c>
      <c r="T11" s="5">
        <v>4</v>
      </c>
      <c r="U11" s="5">
        <v>1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63">
        <v>0</v>
      </c>
      <c r="AB11" s="6">
        <v>0</v>
      </c>
      <c r="AC11" s="19">
        <f t="shared" si="0"/>
        <v>38</v>
      </c>
    </row>
    <row r="12" spans="1:29">
      <c r="A12" s="1" t="s">
        <v>3</v>
      </c>
      <c r="B12" s="16" t="s">
        <v>62</v>
      </c>
      <c r="C12" s="26">
        <v>1</v>
      </c>
      <c r="D12" s="5">
        <v>2</v>
      </c>
      <c r="E12" s="5">
        <v>2</v>
      </c>
      <c r="F12" s="5">
        <v>2</v>
      </c>
      <c r="G12" s="5">
        <v>3</v>
      </c>
      <c r="H12" s="5">
        <v>0</v>
      </c>
      <c r="I12" s="5">
        <v>3</v>
      </c>
      <c r="J12" s="5">
        <v>2</v>
      </c>
      <c r="K12" s="5">
        <v>2</v>
      </c>
      <c r="L12" s="5">
        <v>2</v>
      </c>
      <c r="M12" s="5">
        <v>3.5</v>
      </c>
      <c r="N12" s="5">
        <v>0</v>
      </c>
      <c r="O12" s="5">
        <v>1</v>
      </c>
      <c r="P12" s="5">
        <v>0</v>
      </c>
      <c r="Q12" s="5">
        <v>0</v>
      </c>
      <c r="R12" s="5">
        <v>0.5</v>
      </c>
      <c r="S12" s="5">
        <v>3</v>
      </c>
      <c r="T12" s="5">
        <v>2</v>
      </c>
      <c r="U12" s="5">
        <v>0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63">
        <v>0</v>
      </c>
      <c r="AB12" s="6">
        <v>1</v>
      </c>
      <c r="AC12" s="19">
        <f t="shared" si="0"/>
        <v>30</v>
      </c>
    </row>
    <row r="13" spans="1:29">
      <c r="A13" s="1" t="s">
        <v>3</v>
      </c>
      <c r="B13" s="16" t="s">
        <v>63</v>
      </c>
      <c r="C13" s="26">
        <v>0</v>
      </c>
      <c r="D13" s="5">
        <v>0</v>
      </c>
      <c r="E13" s="5">
        <v>0</v>
      </c>
      <c r="F13" s="5">
        <v>0</v>
      </c>
      <c r="G13" s="5">
        <v>6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63">
        <v>0</v>
      </c>
      <c r="AB13" s="6">
        <v>0</v>
      </c>
      <c r="AC13" s="19">
        <f t="shared" si="0"/>
        <v>6</v>
      </c>
    </row>
    <row r="14" spans="1:29">
      <c r="A14" s="1" t="s">
        <v>3</v>
      </c>
      <c r="B14" s="16" t="s">
        <v>64</v>
      </c>
      <c r="C14" s="26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5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63">
        <v>0</v>
      </c>
      <c r="AB14" s="6">
        <v>0</v>
      </c>
      <c r="AC14" s="19">
        <f t="shared" si="0"/>
        <v>5</v>
      </c>
    </row>
    <row r="15" spans="1:29">
      <c r="A15" s="1" t="s">
        <v>3</v>
      </c>
      <c r="B15" s="16" t="s">
        <v>65</v>
      </c>
      <c r="C15" s="2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2.9583333333333335</v>
      </c>
      <c r="W15" s="7">
        <v>3.2916666666666665</v>
      </c>
      <c r="X15" s="7">
        <v>4.041666666666667</v>
      </c>
      <c r="Y15" s="7">
        <v>1.9166666666666665</v>
      </c>
      <c r="Z15" s="7">
        <v>2.0416666666666665</v>
      </c>
      <c r="AA15" s="64">
        <v>5.625</v>
      </c>
      <c r="AB15" s="8">
        <v>0</v>
      </c>
      <c r="AC15" s="20">
        <f t="shared" si="0"/>
        <v>19.875</v>
      </c>
    </row>
    <row r="16" spans="1:29">
      <c r="A16" s="1" t="s">
        <v>3</v>
      </c>
      <c r="B16" s="16" t="s">
        <v>66</v>
      </c>
      <c r="C16" s="27">
        <v>0.79166666666666663</v>
      </c>
      <c r="D16" s="7">
        <v>2</v>
      </c>
      <c r="E16" s="7">
        <v>1.7083333333333335</v>
      </c>
      <c r="F16" s="7">
        <v>1.625</v>
      </c>
      <c r="G16" s="7">
        <v>0.875</v>
      </c>
      <c r="H16" s="7">
        <v>1.4583333333333333</v>
      </c>
      <c r="I16" s="7">
        <v>1.4583333333333333</v>
      </c>
      <c r="J16" s="7">
        <v>1.6666666666666665</v>
      </c>
      <c r="K16" s="7">
        <v>1.0416666666666667</v>
      </c>
      <c r="L16" s="7">
        <v>1.1666666666666667</v>
      </c>
      <c r="M16" s="7">
        <v>1.625</v>
      </c>
      <c r="N16" s="7">
        <v>2.875</v>
      </c>
      <c r="O16" s="7">
        <v>2.5833333333333335</v>
      </c>
      <c r="P16" s="7">
        <v>1.5</v>
      </c>
      <c r="Q16" s="7">
        <v>0</v>
      </c>
      <c r="R16" s="7">
        <v>0.91666666666666663</v>
      </c>
      <c r="S16" s="7">
        <v>0.33333333333333331</v>
      </c>
      <c r="T16" s="7">
        <v>0.91666666666666663</v>
      </c>
      <c r="U16" s="7">
        <v>0.83333333333333337</v>
      </c>
      <c r="V16" s="7">
        <v>0</v>
      </c>
      <c r="W16" s="7">
        <v>0</v>
      </c>
      <c r="X16" s="7">
        <v>0</v>
      </c>
      <c r="Y16" s="7">
        <v>8.3333333333333329E-2</v>
      </c>
      <c r="Z16" s="7">
        <v>0</v>
      </c>
      <c r="AA16" s="64">
        <v>8.3333333333333329E-2</v>
      </c>
      <c r="AB16" s="8">
        <v>0</v>
      </c>
      <c r="AC16" s="20">
        <f t="shared" si="0"/>
        <v>25.541666666666661</v>
      </c>
    </row>
    <row r="17" spans="1:29">
      <c r="A17" s="1" t="s">
        <v>3</v>
      </c>
      <c r="B17" s="16" t="s">
        <v>67</v>
      </c>
      <c r="C17" s="27">
        <v>0.79166666666666663</v>
      </c>
      <c r="D17" s="7">
        <v>1</v>
      </c>
      <c r="E17" s="7">
        <v>0.16666666666666666</v>
      </c>
      <c r="F17" s="7">
        <v>0.83333333333333337</v>
      </c>
      <c r="G17" s="7">
        <v>1</v>
      </c>
      <c r="H17" s="7">
        <v>0.70833333333333337</v>
      </c>
      <c r="I17" s="7">
        <v>1.0833333333333333</v>
      </c>
      <c r="J17" s="7">
        <v>0.29166666666666669</v>
      </c>
      <c r="K17" s="7">
        <v>0.41666666666666669</v>
      </c>
      <c r="L17" s="7">
        <v>0.41666666666666669</v>
      </c>
      <c r="M17" s="7">
        <v>0.5</v>
      </c>
      <c r="N17" s="7">
        <v>0.33333333333333331</v>
      </c>
      <c r="O17" s="7">
        <v>0.95833333333333337</v>
      </c>
      <c r="P17" s="7">
        <v>0</v>
      </c>
      <c r="Q17" s="7">
        <v>0</v>
      </c>
      <c r="R17" s="7">
        <v>0.41666666666666669</v>
      </c>
      <c r="S17" s="7">
        <v>0.95833333333333337</v>
      </c>
      <c r="T17" s="7">
        <v>0.45833333333333331</v>
      </c>
      <c r="U17" s="7">
        <v>0.375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64">
        <v>0</v>
      </c>
      <c r="AB17" s="8">
        <v>0</v>
      </c>
      <c r="AC17" s="20">
        <f t="shared" si="0"/>
        <v>10.708333333333334</v>
      </c>
    </row>
    <row r="18" spans="1:29">
      <c r="A18" s="1" t="s">
        <v>3</v>
      </c>
      <c r="B18" s="16" t="s">
        <v>68</v>
      </c>
      <c r="C18" s="27">
        <v>0.75</v>
      </c>
      <c r="D18" s="7">
        <v>1.0416666666666667</v>
      </c>
      <c r="E18" s="7">
        <v>0.83333333333333337</v>
      </c>
      <c r="F18" s="7">
        <v>1.6666666666666665</v>
      </c>
      <c r="G18" s="7">
        <v>0.41666666666666669</v>
      </c>
      <c r="H18" s="7">
        <v>0.58333333333333337</v>
      </c>
      <c r="I18" s="7">
        <v>1.1666666666666667</v>
      </c>
      <c r="J18" s="7">
        <v>1.0833333333333333</v>
      </c>
      <c r="K18" s="7">
        <v>1.2916666666666667</v>
      </c>
      <c r="L18" s="7">
        <v>0</v>
      </c>
      <c r="M18" s="7">
        <v>1.25</v>
      </c>
      <c r="N18" s="7">
        <v>0.54166666666666663</v>
      </c>
      <c r="O18" s="7">
        <v>0.5</v>
      </c>
      <c r="P18" s="7">
        <v>0.91666666666666663</v>
      </c>
      <c r="Q18" s="7">
        <v>0</v>
      </c>
      <c r="R18" s="7">
        <v>0</v>
      </c>
      <c r="S18" s="7">
        <v>0</v>
      </c>
      <c r="T18" s="7">
        <v>1.125</v>
      </c>
      <c r="U18" s="7">
        <v>0.33333333333333331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64">
        <v>0</v>
      </c>
      <c r="AB18" s="8">
        <v>0</v>
      </c>
      <c r="AC18" s="20">
        <f t="shared" si="0"/>
        <v>13.499999999999998</v>
      </c>
    </row>
    <row r="19" spans="1:29">
      <c r="A19" s="1" t="s">
        <v>3</v>
      </c>
      <c r="B19" s="16" t="s">
        <v>69</v>
      </c>
      <c r="C19" s="2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0.375</v>
      </c>
      <c r="O19" s="7">
        <v>0.25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64">
        <v>0</v>
      </c>
      <c r="AB19" s="8">
        <v>0</v>
      </c>
      <c r="AC19" s="20">
        <f t="shared" si="0"/>
        <v>0.625</v>
      </c>
    </row>
    <row r="20" spans="1:29">
      <c r="A20" s="1" t="s">
        <v>3</v>
      </c>
      <c r="B20" s="16" t="s">
        <v>70</v>
      </c>
      <c r="C20" s="2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0.29166666666666669</v>
      </c>
      <c r="W20" s="7">
        <v>0</v>
      </c>
      <c r="X20" s="7">
        <v>0</v>
      </c>
      <c r="Y20" s="7">
        <v>0</v>
      </c>
      <c r="Z20" s="7">
        <v>0</v>
      </c>
      <c r="AA20" s="64">
        <v>0</v>
      </c>
      <c r="AB20" s="8">
        <v>0</v>
      </c>
      <c r="AC20" s="20">
        <f t="shared" si="0"/>
        <v>0.29166666666666669</v>
      </c>
    </row>
    <row r="21" spans="1:29">
      <c r="A21" s="1" t="s">
        <v>3</v>
      </c>
      <c r="B21" s="16" t="s">
        <v>71</v>
      </c>
      <c r="C21" s="27">
        <v>0.20833333333333334</v>
      </c>
      <c r="D21" s="7">
        <v>0.70833333333333337</v>
      </c>
      <c r="E21" s="7">
        <v>0.79166666666666663</v>
      </c>
      <c r="F21" s="7">
        <v>3.2083333333333335</v>
      </c>
      <c r="G21" s="7">
        <v>8.3333333333333329E-2</v>
      </c>
      <c r="H21" s="7">
        <v>0.16666666666666666</v>
      </c>
      <c r="I21" s="7">
        <v>0.16666666666666666</v>
      </c>
      <c r="J21" s="7">
        <v>0.66666666666666663</v>
      </c>
      <c r="K21" s="7">
        <v>0.54166666666666663</v>
      </c>
      <c r="L21" s="7">
        <v>0.29166666666666669</v>
      </c>
      <c r="M21" s="7">
        <v>0.45833333333333331</v>
      </c>
      <c r="N21" s="7">
        <v>1.125</v>
      </c>
      <c r="O21" s="7">
        <v>1.4166666666666667</v>
      </c>
      <c r="P21" s="7">
        <v>0.45833333333333331</v>
      </c>
      <c r="Q21" s="7">
        <v>0</v>
      </c>
      <c r="R21" s="7">
        <v>0</v>
      </c>
      <c r="S21" s="7">
        <v>0</v>
      </c>
      <c r="T21" s="7">
        <v>0</v>
      </c>
      <c r="U21" s="7">
        <v>4.1666666666666664E-2</v>
      </c>
      <c r="V21" s="7">
        <v>2.0833333333333335</v>
      </c>
      <c r="W21" s="7">
        <v>0</v>
      </c>
      <c r="X21" s="7">
        <v>0</v>
      </c>
      <c r="Y21" s="7">
        <v>0.41666666666666669</v>
      </c>
      <c r="Z21" s="7">
        <v>1.4583333333333333</v>
      </c>
      <c r="AA21" s="64">
        <v>2.2916666666666665</v>
      </c>
      <c r="AB21" s="8">
        <v>0</v>
      </c>
      <c r="AC21" s="20">
        <f t="shared" si="0"/>
        <v>16.583333333333336</v>
      </c>
    </row>
    <row r="22" spans="1:29">
      <c r="A22" s="1" t="s">
        <v>3</v>
      </c>
      <c r="B22" s="45" t="s">
        <v>72</v>
      </c>
      <c r="C22" s="46">
        <v>8.5</v>
      </c>
      <c r="D22" s="47">
        <v>24</v>
      </c>
      <c r="E22" s="47">
        <v>31</v>
      </c>
      <c r="F22" s="47">
        <v>22</v>
      </c>
      <c r="G22" s="47">
        <v>16</v>
      </c>
      <c r="H22" s="47">
        <v>30</v>
      </c>
      <c r="I22" s="47">
        <v>24.5</v>
      </c>
      <c r="J22" s="47">
        <v>27.5</v>
      </c>
      <c r="K22" s="47">
        <v>27</v>
      </c>
      <c r="L22" s="47">
        <v>23.5</v>
      </c>
      <c r="M22" s="47">
        <v>26</v>
      </c>
      <c r="N22" s="47">
        <v>12</v>
      </c>
      <c r="O22" s="47">
        <v>12</v>
      </c>
      <c r="P22" s="47">
        <v>23</v>
      </c>
      <c r="Q22" s="47">
        <v>27.5</v>
      </c>
      <c r="R22" s="47">
        <v>37.5</v>
      </c>
      <c r="S22" s="47">
        <v>9</v>
      </c>
      <c r="T22" s="47">
        <v>8</v>
      </c>
      <c r="U22" s="47">
        <v>0</v>
      </c>
      <c r="V22" s="47">
        <v>3</v>
      </c>
      <c r="W22" s="47">
        <v>21</v>
      </c>
      <c r="X22" s="47">
        <v>21</v>
      </c>
      <c r="Y22" s="47">
        <v>6</v>
      </c>
      <c r="Z22" s="47">
        <v>18</v>
      </c>
      <c r="AA22" s="65">
        <v>6</v>
      </c>
      <c r="AB22" s="48">
        <v>33.5</v>
      </c>
      <c r="AC22" s="49"/>
    </row>
    <row r="23" spans="1:29">
      <c r="A23" s="1" t="s">
        <v>3</v>
      </c>
      <c r="B23" s="31" t="s">
        <v>73</v>
      </c>
      <c r="C23" s="41">
        <v>182000</v>
      </c>
      <c r="D23" s="42">
        <v>197000</v>
      </c>
      <c r="E23" s="42">
        <v>197000</v>
      </c>
      <c r="F23" s="42">
        <v>175000</v>
      </c>
      <c r="G23" s="42">
        <v>182000</v>
      </c>
      <c r="H23" s="42">
        <v>187000</v>
      </c>
      <c r="I23" s="42">
        <v>182000</v>
      </c>
      <c r="J23" s="42">
        <v>197000</v>
      </c>
      <c r="K23" s="42">
        <v>197000</v>
      </c>
      <c r="L23" s="42">
        <v>192000</v>
      </c>
      <c r="M23" s="42">
        <v>187000</v>
      </c>
      <c r="N23" s="42">
        <v>180000</v>
      </c>
      <c r="O23" s="42">
        <v>175000</v>
      </c>
      <c r="P23" s="42">
        <v>180000</v>
      </c>
      <c r="Q23" s="42">
        <v>380000</v>
      </c>
      <c r="R23" s="42">
        <v>285000</v>
      </c>
      <c r="S23" s="42">
        <v>225000</v>
      </c>
      <c r="T23" s="42">
        <v>175000</v>
      </c>
      <c r="U23" s="42">
        <v>175000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66">
        <v>0</v>
      </c>
      <c r="AB23" s="43">
        <v>390000</v>
      </c>
      <c r="AC23" s="44">
        <f t="shared" ref="AC23:AC53" si="1">SUM(C23:AA23)</f>
        <v>3850000</v>
      </c>
    </row>
    <row r="24" spans="1:29">
      <c r="A24" s="1" t="s">
        <v>3</v>
      </c>
      <c r="B24" s="16" t="s">
        <v>74</v>
      </c>
      <c r="C24" s="28">
        <v>0</v>
      </c>
      <c r="D24" s="9">
        <v>20000</v>
      </c>
      <c r="E24" s="9">
        <v>20000</v>
      </c>
      <c r="F24" s="9">
        <v>0</v>
      </c>
      <c r="G24" s="9">
        <v>0</v>
      </c>
      <c r="H24" s="9">
        <v>5000</v>
      </c>
      <c r="I24" s="9">
        <v>0</v>
      </c>
      <c r="J24" s="9">
        <v>0</v>
      </c>
      <c r="K24" s="9">
        <v>0</v>
      </c>
      <c r="L24" s="9">
        <v>5000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67">
        <v>0</v>
      </c>
      <c r="AB24" s="10">
        <v>0</v>
      </c>
      <c r="AC24" s="21">
        <f t="shared" si="1"/>
        <v>50000</v>
      </c>
    </row>
    <row r="25" spans="1:29">
      <c r="A25" s="1" t="s">
        <v>3</v>
      </c>
      <c r="B25" s="16" t="s">
        <v>75</v>
      </c>
      <c r="C25" s="28">
        <v>0</v>
      </c>
      <c r="D25" s="9">
        <v>3000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3000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67">
        <v>0</v>
      </c>
      <c r="AB25" s="10">
        <v>0</v>
      </c>
      <c r="AC25" s="21">
        <f t="shared" si="1"/>
        <v>6000</v>
      </c>
    </row>
    <row r="26" spans="1:29">
      <c r="A26" s="1" t="s">
        <v>3</v>
      </c>
      <c r="B26" s="16" t="s">
        <v>76</v>
      </c>
      <c r="C26" s="28">
        <v>0</v>
      </c>
      <c r="D26" s="9">
        <v>0</v>
      </c>
      <c r="E26" s="9">
        <v>3047</v>
      </c>
      <c r="F26" s="9">
        <v>2510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103460</v>
      </c>
      <c r="M26" s="9">
        <v>9480</v>
      </c>
      <c r="N26" s="9">
        <v>0</v>
      </c>
      <c r="O26" s="9">
        <v>0</v>
      </c>
      <c r="P26" s="9">
        <v>30614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67">
        <v>0</v>
      </c>
      <c r="AB26" s="10">
        <v>0</v>
      </c>
      <c r="AC26" s="21">
        <f t="shared" si="1"/>
        <v>149111</v>
      </c>
    </row>
    <row r="27" spans="1:29">
      <c r="A27" s="1" t="s">
        <v>3</v>
      </c>
      <c r="B27" s="16" t="s">
        <v>77</v>
      </c>
      <c r="C27" s="28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69225</v>
      </c>
      <c r="W27" s="9">
        <v>81765</v>
      </c>
      <c r="X27" s="9">
        <v>103790</v>
      </c>
      <c r="Y27" s="9">
        <v>44850</v>
      </c>
      <c r="Z27" s="9">
        <v>47775</v>
      </c>
      <c r="AA27" s="67">
        <v>131625</v>
      </c>
      <c r="AB27" s="10">
        <v>0</v>
      </c>
      <c r="AC27" s="21">
        <f t="shared" si="1"/>
        <v>479030</v>
      </c>
    </row>
    <row r="28" spans="1:29">
      <c r="A28" s="1" t="s">
        <v>3</v>
      </c>
      <c r="B28" s="16" t="s">
        <v>78</v>
      </c>
      <c r="C28" s="28">
        <v>6000</v>
      </c>
      <c r="D28" s="9">
        <v>6000</v>
      </c>
      <c r="E28" s="9">
        <v>6000</v>
      </c>
      <c r="F28" s="9">
        <v>6000</v>
      </c>
      <c r="G28" s="9">
        <v>6000</v>
      </c>
      <c r="H28" s="9">
        <v>6000</v>
      </c>
      <c r="I28" s="9">
        <v>6000</v>
      </c>
      <c r="J28" s="9">
        <v>3500</v>
      </c>
      <c r="K28" s="9">
        <v>6000</v>
      </c>
      <c r="L28" s="9">
        <v>2000</v>
      </c>
      <c r="M28" s="9">
        <v>6000</v>
      </c>
      <c r="N28" s="9">
        <v>2000</v>
      </c>
      <c r="O28" s="9">
        <v>3500</v>
      </c>
      <c r="P28" s="9">
        <v>3500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67">
        <v>0</v>
      </c>
      <c r="AB28" s="10">
        <v>0</v>
      </c>
      <c r="AC28" s="21">
        <f t="shared" si="1"/>
        <v>68500</v>
      </c>
    </row>
    <row r="29" spans="1:29">
      <c r="A29" s="1" t="s">
        <v>3</v>
      </c>
      <c r="B29" s="16" t="s">
        <v>79</v>
      </c>
      <c r="C29" s="28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6825</v>
      </c>
      <c r="W29" s="9">
        <v>0</v>
      </c>
      <c r="X29" s="9">
        <v>0</v>
      </c>
      <c r="Y29" s="9">
        <v>0</v>
      </c>
      <c r="Z29" s="9">
        <v>0</v>
      </c>
      <c r="AA29" s="67">
        <v>0</v>
      </c>
      <c r="AB29" s="10">
        <v>0</v>
      </c>
      <c r="AC29" s="21">
        <f t="shared" si="1"/>
        <v>6825</v>
      </c>
    </row>
    <row r="30" spans="1:29">
      <c r="A30" s="1" t="s">
        <v>3</v>
      </c>
      <c r="B30" s="16" t="s">
        <v>80</v>
      </c>
      <c r="C30" s="28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15000</v>
      </c>
      <c r="K30" s="9">
        <v>15000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67">
        <v>0</v>
      </c>
      <c r="AB30" s="10">
        <v>0</v>
      </c>
      <c r="AC30" s="21">
        <f t="shared" si="1"/>
        <v>30000</v>
      </c>
    </row>
    <row r="31" spans="1:29">
      <c r="A31" s="1" t="s">
        <v>3</v>
      </c>
      <c r="B31" s="16" t="s">
        <v>81</v>
      </c>
      <c r="C31" s="28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41865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67">
        <v>0</v>
      </c>
      <c r="AB31" s="10">
        <v>0</v>
      </c>
      <c r="AC31" s="21">
        <f t="shared" si="1"/>
        <v>41865</v>
      </c>
    </row>
    <row r="32" spans="1:29">
      <c r="A32" s="1" t="s">
        <v>3</v>
      </c>
      <c r="B32" s="16" t="s">
        <v>66</v>
      </c>
      <c r="C32" s="28">
        <v>26752</v>
      </c>
      <c r="D32" s="9">
        <v>81168</v>
      </c>
      <c r="E32" s="9">
        <v>68429</v>
      </c>
      <c r="F32" s="9">
        <v>52845</v>
      </c>
      <c r="G32" s="9">
        <v>29568</v>
      </c>
      <c r="H32" s="9">
        <v>51905</v>
      </c>
      <c r="I32" s="9">
        <v>49280</v>
      </c>
      <c r="J32" s="9">
        <v>64520</v>
      </c>
      <c r="K32" s="9">
        <v>40775</v>
      </c>
      <c r="L32" s="9">
        <v>41720</v>
      </c>
      <c r="M32" s="9">
        <v>56355</v>
      </c>
      <c r="N32" s="9">
        <v>94047</v>
      </c>
      <c r="O32" s="9">
        <v>82832</v>
      </c>
      <c r="P32" s="9">
        <v>49464</v>
      </c>
      <c r="Q32" s="9">
        <v>0</v>
      </c>
      <c r="R32" s="9">
        <v>47432</v>
      </c>
      <c r="S32" s="9">
        <v>13472</v>
      </c>
      <c r="T32" s="9">
        <v>28820</v>
      </c>
      <c r="U32" s="9">
        <v>26200</v>
      </c>
      <c r="V32" s="9">
        <v>0</v>
      </c>
      <c r="W32" s="9">
        <v>0</v>
      </c>
      <c r="X32" s="9">
        <v>0</v>
      </c>
      <c r="Y32" s="9">
        <v>2438</v>
      </c>
      <c r="Z32" s="9">
        <v>0</v>
      </c>
      <c r="AA32" s="67">
        <v>2438</v>
      </c>
      <c r="AB32" s="10">
        <v>0</v>
      </c>
      <c r="AC32" s="21">
        <f t="shared" si="1"/>
        <v>910460</v>
      </c>
    </row>
    <row r="33" spans="1:29">
      <c r="A33" s="1" t="s">
        <v>3</v>
      </c>
      <c r="B33" s="16" t="s">
        <v>82</v>
      </c>
      <c r="C33" s="28">
        <v>28880</v>
      </c>
      <c r="D33" s="9">
        <v>43848</v>
      </c>
      <c r="E33" s="9">
        <v>7208</v>
      </c>
      <c r="F33" s="9">
        <v>29260</v>
      </c>
      <c r="G33" s="9">
        <v>36480</v>
      </c>
      <c r="H33" s="9">
        <v>27217</v>
      </c>
      <c r="I33" s="9">
        <v>39520</v>
      </c>
      <c r="J33" s="9">
        <v>12194</v>
      </c>
      <c r="K33" s="9">
        <v>17620</v>
      </c>
      <c r="L33" s="9">
        <v>16090</v>
      </c>
      <c r="M33" s="9">
        <v>18732</v>
      </c>
      <c r="N33" s="9">
        <v>11776</v>
      </c>
      <c r="O33" s="9">
        <v>33189</v>
      </c>
      <c r="P33" s="9">
        <v>0</v>
      </c>
      <c r="Q33" s="9">
        <v>0</v>
      </c>
      <c r="R33" s="9">
        <v>23290</v>
      </c>
      <c r="S33" s="9">
        <v>41814</v>
      </c>
      <c r="T33" s="9">
        <v>15565</v>
      </c>
      <c r="U33" s="9">
        <v>12735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67">
        <v>0</v>
      </c>
      <c r="AB33" s="10">
        <v>0</v>
      </c>
      <c r="AC33" s="21">
        <f t="shared" si="1"/>
        <v>415418</v>
      </c>
    </row>
    <row r="34" spans="1:29">
      <c r="A34" s="1" t="s">
        <v>3</v>
      </c>
      <c r="B34" s="16" t="s">
        <v>83</v>
      </c>
      <c r="C34" s="28">
        <v>27360</v>
      </c>
      <c r="D34" s="9">
        <v>45675</v>
      </c>
      <c r="E34" s="9">
        <v>36040</v>
      </c>
      <c r="F34" s="9">
        <v>58520</v>
      </c>
      <c r="G34" s="9">
        <v>15200</v>
      </c>
      <c r="H34" s="9">
        <v>22414</v>
      </c>
      <c r="I34" s="9">
        <v>42560</v>
      </c>
      <c r="J34" s="9">
        <v>45292</v>
      </c>
      <c r="K34" s="9">
        <v>54622</v>
      </c>
      <c r="L34" s="9">
        <v>0</v>
      </c>
      <c r="M34" s="9">
        <v>46830</v>
      </c>
      <c r="N34" s="9">
        <v>19136</v>
      </c>
      <c r="O34" s="9">
        <v>17316</v>
      </c>
      <c r="P34" s="9">
        <v>32648</v>
      </c>
      <c r="Q34" s="9">
        <v>0</v>
      </c>
      <c r="R34" s="9">
        <v>0</v>
      </c>
      <c r="S34" s="9">
        <v>0</v>
      </c>
      <c r="T34" s="9">
        <v>38205</v>
      </c>
      <c r="U34" s="9">
        <v>11320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67">
        <v>0</v>
      </c>
      <c r="AB34" s="10">
        <v>0</v>
      </c>
      <c r="AC34" s="21">
        <f t="shared" si="1"/>
        <v>513138</v>
      </c>
    </row>
    <row r="35" spans="1:29">
      <c r="A35" s="1" t="s">
        <v>3</v>
      </c>
      <c r="B35" s="16" t="s">
        <v>69</v>
      </c>
      <c r="C35" s="28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2457</v>
      </c>
      <c r="O35" s="9">
        <v>1602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67">
        <v>0</v>
      </c>
      <c r="AB35" s="10">
        <v>0</v>
      </c>
      <c r="AC35" s="21">
        <f t="shared" si="1"/>
        <v>4059</v>
      </c>
    </row>
    <row r="36" spans="1:29">
      <c r="A36" s="1" t="s">
        <v>3</v>
      </c>
      <c r="B36" s="50" t="s">
        <v>71</v>
      </c>
      <c r="C36" s="51">
        <v>1410</v>
      </c>
      <c r="D36" s="52">
        <v>5746</v>
      </c>
      <c r="E36" s="52">
        <v>6346</v>
      </c>
      <c r="F36" s="52">
        <v>20867</v>
      </c>
      <c r="G36" s="52">
        <v>564</v>
      </c>
      <c r="H36" s="52">
        <v>1188</v>
      </c>
      <c r="I36" s="52">
        <v>1128</v>
      </c>
      <c r="J36" s="52">
        <v>5168</v>
      </c>
      <c r="K36" s="52">
        <v>4238</v>
      </c>
      <c r="L36" s="52">
        <v>2086</v>
      </c>
      <c r="M36" s="52">
        <v>3179</v>
      </c>
      <c r="N36" s="52">
        <v>7371</v>
      </c>
      <c r="O36" s="52">
        <v>9078</v>
      </c>
      <c r="P36" s="52">
        <v>3025</v>
      </c>
      <c r="Q36" s="52">
        <v>0</v>
      </c>
      <c r="R36" s="52">
        <v>0</v>
      </c>
      <c r="S36" s="52">
        <v>0</v>
      </c>
      <c r="T36" s="52">
        <v>0</v>
      </c>
      <c r="U36" s="52">
        <v>262</v>
      </c>
      <c r="V36" s="52">
        <v>12200</v>
      </c>
      <c r="W36" s="52">
        <v>0</v>
      </c>
      <c r="X36" s="52">
        <v>0</v>
      </c>
      <c r="Y36" s="52">
        <v>2440</v>
      </c>
      <c r="Z36" s="52">
        <v>8540</v>
      </c>
      <c r="AA36" s="68">
        <v>13420</v>
      </c>
      <c r="AB36" s="53">
        <v>0</v>
      </c>
      <c r="AC36" s="54">
        <f t="shared" si="1"/>
        <v>108256</v>
      </c>
    </row>
    <row r="37" spans="1:29">
      <c r="A37" s="1" t="s">
        <v>3</v>
      </c>
      <c r="B37" s="55" t="s">
        <v>84</v>
      </c>
      <c r="C37" s="56">
        <v>272402</v>
      </c>
      <c r="D37" s="57">
        <v>402437</v>
      </c>
      <c r="E37" s="57">
        <v>344070</v>
      </c>
      <c r="F37" s="57">
        <v>345002</v>
      </c>
      <c r="G37" s="57">
        <v>269812</v>
      </c>
      <c r="H37" s="57">
        <v>300724</v>
      </c>
      <c r="I37" s="57">
        <v>320488</v>
      </c>
      <c r="J37" s="57">
        <v>342674</v>
      </c>
      <c r="K37" s="57">
        <v>335255</v>
      </c>
      <c r="L37" s="57">
        <v>362356</v>
      </c>
      <c r="M37" s="57">
        <v>327576</v>
      </c>
      <c r="N37" s="57">
        <v>316787</v>
      </c>
      <c r="O37" s="57">
        <v>322517</v>
      </c>
      <c r="P37" s="57">
        <v>299251</v>
      </c>
      <c r="Q37" s="57">
        <v>380000</v>
      </c>
      <c r="R37" s="57">
        <v>358722</v>
      </c>
      <c r="S37" s="57">
        <v>280286</v>
      </c>
      <c r="T37" s="57">
        <v>257590</v>
      </c>
      <c r="U37" s="57">
        <v>183652</v>
      </c>
      <c r="V37" s="57">
        <v>88250</v>
      </c>
      <c r="W37" s="57">
        <v>81765</v>
      </c>
      <c r="X37" s="57">
        <v>103790</v>
      </c>
      <c r="Y37" s="57">
        <v>49728</v>
      </c>
      <c r="Z37" s="57">
        <v>56315</v>
      </c>
      <c r="AA37" s="69">
        <v>147483</v>
      </c>
      <c r="AB37" s="58">
        <v>390000</v>
      </c>
      <c r="AC37" s="59">
        <f t="shared" si="1"/>
        <v>6548932</v>
      </c>
    </row>
    <row r="38" spans="1:29">
      <c r="A38" s="1" t="s">
        <v>3</v>
      </c>
      <c r="B38" s="55" t="s">
        <v>85</v>
      </c>
      <c r="C38" s="56">
        <v>15461</v>
      </c>
      <c r="D38" s="57">
        <v>6700</v>
      </c>
      <c r="E38" s="57">
        <v>3293</v>
      </c>
      <c r="F38" s="57">
        <v>2978</v>
      </c>
      <c r="G38" s="57">
        <v>1947</v>
      </c>
      <c r="H38" s="57">
        <v>1489</v>
      </c>
      <c r="I38" s="57">
        <v>3579</v>
      </c>
      <c r="J38" s="57">
        <v>5498</v>
      </c>
      <c r="K38" s="57">
        <v>8246</v>
      </c>
      <c r="L38" s="57">
        <v>6299</v>
      </c>
      <c r="M38" s="57">
        <v>11195</v>
      </c>
      <c r="N38" s="57">
        <v>9305</v>
      </c>
      <c r="O38" s="57">
        <v>9305</v>
      </c>
      <c r="P38" s="57">
        <v>2864</v>
      </c>
      <c r="Q38" s="57">
        <v>3952</v>
      </c>
      <c r="R38" s="57">
        <v>6185</v>
      </c>
      <c r="S38" s="57">
        <v>7559</v>
      </c>
      <c r="T38" s="57">
        <v>11911</v>
      </c>
      <c r="U38" s="57">
        <v>6700</v>
      </c>
      <c r="V38" s="57">
        <v>4581</v>
      </c>
      <c r="W38" s="57">
        <v>2978</v>
      </c>
      <c r="X38" s="57">
        <v>2148</v>
      </c>
      <c r="Y38" s="57">
        <v>2234</v>
      </c>
      <c r="Z38" s="57">
        <v>2806</v>
      </c>
      <c r="AA38" s="69">
        <v>14488</v>
      </c>
      <c r="AB38" s="58">
        <v>8189</v>
      </c>
      <c r="AC38" s="59">
        <f t="shared" si="1"/>
        <v>153701</v>
      </c>
    </row>
    <row r="39" spans="1:29">
      <c r="A39" s="1" t="s">
        <v>3</v>
      </c>
      <c r="B39" s="55" t="s">
        <v>86</v>
      </c>
      <c r="C39" s="56">
        <v>15461</v>
      </c>
      <c r="D39" s="57">
        <v>6700</v>
      </c>
      <c r="E39" s="57">
        <v>3293</v>
      </c>
      <c r="F39" s="57">
        <v>2978</v>
      </c>
      <c r="G39" s="57">
        <v>1947</v>
      </c>
      <c r="H39" s="57">
        <v>1489</v>
      </c>
      <c r="I39" s="57">
        <v>3579</v>
      </c>
      <c r="J39" s="57">
        <v>5498</v>
      </c>
      <c r="K39" s="57">
        <v>8246</v>
      </c>
      <c r="L39" s="57">
        <v>6299</v>
      </c>
      <c r="M39" s="57">
        <v>11195</v>
      </c>
      <c r="N39" s="57">
        <v>9305</v>
      </c>
      <c r="O39" s="57">
        <v>9305</v>
      </c>
      <c r="P39" s="57">
        <v>2864</v>
      </c>
      <c r="Q39" s="57">
        <v>3952</v>
      </c>
      <c r="R39" s="57">
        <v>6185</v>
      </c>
      <c r="S39" s="57">
        <v>7559</v>
      </c>
      <c r="T39" s="57">
        <v>11911</v>
      </c>
      <c r="U39" s="57">
        <v>6700</v>
      </c>
      <c r="V39" s="57">
        <v>4581</v>
      </c>
      <c r="W39" s="57">
        <v>2978</v>
      </c>
      <c r="X39" s="57">
        <v>2148</v>
      </c>
      <c r="Y39" s="57">
        <v>2234</v>
      </c>
      <c r="Z39" s="57">
        <v>2806</v>
      </c>
      <c r="AA39" s="69">
        <v>14488</v>
      </c>
      <c r="AB39" s="58">
        <v>8189</v>
      </c>
      <c r="AC39" s="59">
        <f t="shared" si="1"/>
        <v>153701</v>
      </c>
    </row>
    <row r="40" spans="1:29">
      <c r="A40" s="1" t="s">
        <v>3</v>
      </c>
      <c r="B40" s="55" t="s">
        <v>87</v>
      </c>
      <c r="C40" s="56">
        <v>287863</v>
      </c>
      <c r="D40" s="57">
        <v>409137</v>
      </c>
      <c r="E40" s="57">
        <v>347363</v>
      </c>
      <c r="F40" s="57">
        <v>347980</v>
      </c>
      <c r="G40" s="57">
        <v>271759</v>
      </c>
      <c r="H40" s="57">
        <v>302213</v>
      </c>
      <c r="I40" s="57">
        <v>324067</v>
      </c>
      <c r="J40" s="57">
        <v>348172</v>
      </c>
      <c r="K40" s="57">
        <v>343501</v>
      </c>
      <c r="L40" s="57">
        <v>368655</v>
      </c>
      <c r="M40" s="57">
        <v>338771</v>
      </c>
      <c r="N40" s="57">
        <v>326092</v>
      </c>
      <c r="O40" s="57">
        <v>331822</v>
      </c>
      <c r="P40" s="57">
        <v>302115</v>
      </c>
      <c r="Q40" s="57">
        <v>383952</v>
      </c>
      <c r="R40" s="57">
        <v>364907</v>
      </c>
      <c r="S40" s="57">
        <v>287845</v>
      </c>
      <c r="T40" s="57">
        <v>269501</v>
      </c>
      <c r="U40" s="57">
        <v>190352</v>
      </c>
      <c r="V40" s="57">
        <v>92831</v>
      </c>
      <c r="W40" s="57">
        <v>84743</v>
      </c>
      <c r="X40" s="57">
        <v>105938</v>
      </c>
      <c r="Y40" s="57">
        <v>51962</v>
      </c>
      <c r="Z40" s="57">
        <v>59121</v>
      </c>
      <c r="AA40" s="69">
        <v>161971</v>
      </c>
      <c r="AB40" s="58">
        <v>398189</v>
      </c>
      <c r="AC40" s="59">
        <f t="shared" si="1"/>
        <v>6702633</v>
      </c>
    </row>
    <row r="41" spans="1:29">
      <c r="A41" s="1" t="s">
        <v>3</v>
      </c>
      <c r="B41" s="31" t="s">
        <v>88</v>
      </c>
      <c r="C41" s="41">
        <v>15300</v>
      </c>
      <c r="D41" s="42">
        <v>16320</v>
      </c>
      <c r="E41" s="42">
        <v>18360</v>
      </c>
      <c r="F41" s="42">
        <v>17340</v>
      </c>
      <c r="G41" s="42">
        <v>16320</v>
      </c>
      <c r="H41" s="42">
        <v>15300</v>
      </c>
      <c r="I41" s="42">
        <v>15300</v>
      </c>
      <c r="J41" s="42">
        <v>16320</v>
      </c>
      <c r="K41" s="42">
        <v>15300</v>
      </c>
      <c r="L41" s="42">
        <v>18360</v>
      </c>
      <c r="M41" s="42">
        <v>15300</v>
      </c>
      <c r="N41" s="42">
        <v>16320</v>
      </c>
      <c r="O41" s="42">
        <v>15300</v>
      </c>
      <c r="P41" s="42">
        <v>17340</v>
      </c>
      <c r="Q41" s="42">
        <v>19380</v>
      </c>
      <c r="R41" s="42">
        <v>19380</v>
      </c>
      <c r="S41" s="42">
        <v>14280</v>
      </c>
      <c r="T41" s="42">
        <v>13260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66">
        <v>8160</v>
      </c>
      <c r="AB41" s="43">
        <v>20910</v>
      </c>
      <c r="AC41" s="44">
        <f t="shared" si="1"/>
        <v>302940</v>
      </c>
    </row>
    <row r="42" spans="1:29">
      <c r="A42" s="1" t="s">
        <v>3</v>
      </c>
      <c r="B42" s="16" t="s">
        <v>89</v>
      </c>
      <c r="C42" s="28">
        <v>2700</v>
      </c>
      <c r="D42" s="9">
        <v>2880</v>
      </c>
      <c r="E42" s="9">
        <v>3240</v>
      </c>
      <c r="F42" s="9">
        <v>0</v>
      </c>
      <c r="G42" s="9">
        <v>2880</v>
      </c>
      <c r="H42" s="9">
        <v>2700</v>
      </c>
      <c r="I42" s="9">
        <v>2700</v>
      </c>
      <c r="J42" s="9">
        <v>2880</v>
      </c>
      <c r="K42" s="9">
        <v>2700</v>
      </c>
      <c r="L42" s="9">
        <v>3240</v>
      </c>
      <c r="M42" s="9">
        <v>2700</v>
      </c>
      <c r="N42" s="9">
        <v>2880</v>
      </c>
      <c r="O42" s="9">
        <v>2700</v>
      </c>
      <c r="P42" s="9">
        <v>3060</v>
      </c>
      <c r="Q42" s="9">
        <v>3420</v>
      </c>
      <c r="R42" s="9">
        <v>3420</v>
      </c>
      <c r="S42" s="9">
        <v>0</v>
      </c>
      <c r="T42" s="9">
        <v>2340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67">
        <v>0</v>
      </c>
      <c r="AB42" s="10">
        <v>3690</v>
      </c>
      <c r="AC42" s="21">
        <f t="shared" si="1"/>
        <v>46440</v>
      </c>
    </row>
    <row r="43" spans="1:29">
      <c r="A43" s="1" t="s">
        <v>3</v>
      </c>
      <c r="B43" s="16" t="s">
        <v>90</v>
      </c>
      <c r="C43" s="28">
        <v>27450</v>
      </c>
      <c r="D43" s="9">
        <v>29280</v>
      </c>
      <c r="E43" s="9">
        <v>32940</v>
      </c>
      <c r="F43" s="9">
        <v>31110</v>
      </c>
      <c r="G43" s="9">
        <v>29280</v>
      </c>
      <c r="H43" s="9">
        <v>27450</v>
      </c>
      <c r="I43" s="9">
        <v>27450</v>
      </c>
      <c r="J43" s="9">
        <v>29280</v>
      </c>
      <c r="K43" s="9">
        <v>27450</v>
      </c>
      <c r="L43" s="9">
        <v>32940</v>
      </c>
      <c r="M43" s="9">
        <v>27450</v>
      </c>
      <c r="N43" s="9">
        <v>29280</v>
      </c>
      <c r="O43" s="9">
        <v>27450</v>
      </c>
      <c r="P43" s="9">
        <v>31110</v>
      </c>
      <c r="Q43" s="9">
        <v>34770</v>
      </c>
      <c r="R43" s="9">
        <v>34770</v>
      </c>
      <c r="S43" s="9">
        <v>25620</v>
      </c>
      <c r="T43" s="9">
        <v>23790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67">
        <v>14640</v>
      </c>
      <c r="AB43" s="10">
        <v>37515</v>
      </c>
      <c r="AC43" s="21">
        <f t="shared" si="1"/>
        <v>543510</v>
      </c>
    </row>
    <row r="44" spans="1:29">
      <c r="A44" s="1" t="s">
        <v>3</v>
      </c>
      <c r="B44" s="16" t="s">
        <v>91</v>
      </c>
      <c r="C44" s="28">
        <v>1583</v>
      </c>
      <c r="D44" s="9">
        <v>2250</v>
      </c>
      <c r="E44" s="9">
        <v>1910</v>
      </c>
      <c r="F44" s="9">
        <v>1914</v>
      </c>
      <c r="G44" s="9">
        <v>1495</v>
      </c>
      <c r="H44" s="9">
        <v>1662</v>
      </c>
      <c r="I44" s="9">
        <v>1782</v>
      </c>
      <c r="J44" s="9">
        <v>1915</v>
      </c>
      <c r="K44" s="9">
        <v>1889</v>
      </c>
      <c r="L44" s="9">
        <v>2028</v>
      </c>
      <c r="M44" s="9">
        <v>1863</v>
      </c>
      <c r="N44" s="9">
        <v>1794</v>
      </c>
      <c r="O44" s="9">
        <v>1825</v>
      </c>
      <c r="P44" s="9">
        <v>1662</v>
      </c>
      <c r="Q44" s="9">
        <v>2112</v>
      </c>
      <c r="R44" s="9">
        <v>2007</v>
      </c>
      <c r="S44" s="9">
        <v>1583</v>
      </c>
      <c r="T44" s="9">
        <v>1482</v>
      </c>
      <c r="U44" s="9">
        <v>1047</v>
      </c>
      <c r="V44" s="9">
        <v>0</v>
      </c>
      <c r="W44" s="9">
        <v>466</v>
      </c>
      <c r="X44" s="9">
        <v>583</v>
      </c>
      <c r="Y44" s="9">
        <v>0</v>
      </c>
      <c r="Z44" s="9">
        <v>325</v>
      </c>
      <c r="AA44" s="67">
        <v>891</v>
      </c>
      <c r="AB44" s="10">
        <v>2190</v>
      </c>
      <c r="AC44" s="21">
        <f t="shared" si="1"/>
        <v>36068</v>
      </c>
    </row>
    <row r="45" spans="1:29">
      <c r="A45" s="1" t="s">
        <v>3</v>
      </c>
      <c r="B45" s="50" t="s">
        <v>92</v>
      </c>
      <c r="C45" s="51">
        <v>17573</v>
      </c>
      <c r="D45" s="52">
        <v>15452</v>
      </c>
      <c r="E45" s="52">
        <v>16362</v>
      </c>
      <c r="F45" s="52">
        <v>13268</v>
      </c>
      <c r="G45" s="52">
        <v>10756</v>
      </c>
      <c r="H45" s="52">
        <v>17119</v>
      </c>
      <c r="I45" s="52">
        <v>10756</v>
      </c>
      <c r="J45" s="52">
        <v>-19393</v>
      </c>
      <c r="K45" s="52">
        <v>-15606</v>
      </c>
      <c r="L45" s="52">
        <v>11513</v>
      </c>
      <c r="M45" s="52">
        <v>-15909</v>
      </c>
      <c r="N45" s="52">
        <v>4696</v>
      </c>
      <c r="O45" s="52">
        <v>15905</v>
      </c>
      <c r="P45" s="52">
        <v>-31513</v>
      </c>
      <c r="Q45" s="52">
        <v>454</v>
      </c>
      <c r="R45" s="52">
        <v>16664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Z45" s="52">
        <v>0</v>
      </c>
      <c r="AA45" s="68">
        <v>6110</v>
      </c>
      <c r="AB45" s="53">
        <v>454</v>
      </c>
      <c r="AC45" s="54">
        <f t="shared" si="1"/>
        <v>74207</v>
      </c>
    </row>
    <row r="46" spans="1:29">
      <c r="A46" s="1" t="s">
        <v>3</v>
      </c>
      <c r="B46" s="55" t="s">
        <v>93</v>
      </c>
      <c r="C46" s="56">
        <v>64606</v>
      </c>
      <c r="D46" s="57">
        <v>66182</v>
      </c>
      <c r="E46" s="57">
        <v>72812</v>
      </c>
      <c r="F46" s="57">
        <v>63632</v>
      </c>
      <c r="G46" s="57">
        <v>60731</v>
      </c>
      <c r="H46" s="57">
        <v>64231</v>
      </c>
      <c r="I46" s="57">
        <v>57988</v>
      </c>
      <c r="J46" s="57">
        <v>31002</v>
      </c>
      <c r="K46" s="57">
        <v>31733</v>
      </c>
      <c r="L46" s="57">
        <v>68081</v>
      </c>
      <c r="M46" s="57">
        <v>31404</v>
      </c>
      <c r="N46" s="57">
        <v>54970</v>
      </c>
      <c r="O46" s="57">
        <v>63180</v>
      </c>
      <c r="P46" s="57">
        <v>21659</v>
      </c>
      <c r="Q46" s="57">
        <v>60136</v>
      </c>
      <c r="R46" s="57">
        <v>76241</v>
      </c>
      <c r="S46" s="57">
        <v>41483</v>
      </c>
      <c r="T46" s="57">
        <v>40872</v>
      </c>
      <c r="U46" s="57">
        <v>1047</v>
      </c>
      <c r="V46" s="57">
        <v>0</v>
      </c>
      <c r="W46" s="57">
        <v>466</v>
      </c>
      <c r="X46" s="57">
        <v>583</v>
      </c>
      <c r="Y46" s="57">
        <v>0</v>
      </c>
      <c r="Z46" s="57">
        <v>325</v>
      </c>
      <c r="AA46" s="69">
        <v>29801</v>
      </c>
      <c r="AB46" s="58">
        <v>64759</v>
      </c>
      <c r="AC46" s="59">
        <f t="shared" si="1"/>
        <v>1003165</v>
      </c>
    </row>
    <row r="47" spans="1:29">
      <c r="A47" s="1" t="s">
        <v>3</v>
      </c>
      <c r="B47" s="31" t="s">
        <v>94</v>
      </c>
      <c r="C47" s="41">
        <v>3430</v>
      </c>
      <c r="D47" s="42">
        <v>8200</v>
      </c>
      <c r="E47" s="42">
        <v>7310</v>
      </c>
      <c r="F47" s="42">
        <v>7670</v>
      </c>
      <c r="G47" s="42">
        <v>5090</v>
      </c>
      <c r="H47" s="42">
        <v>4450</v>
      </c>
      <c r="I47" s="42">
        <v>7000</v>
      </c>
      <c r="J47" s="42">
        <v>9330</v>
      </c>
      <c r="K47" s="42">
        <v>8670</v>
      </c>
      <c r="L47" s="42">
        <v>1670</v>
      </c>
      <c r="M47" s="42">
        <v>8200</v>
      </c>
      <c r="N47" s="42">
        <v>6970</v>
      </c>
      <c r="O47" s="42">
        <v>6890</v>
      </c>
      <c r="P47" s="42">
        <v>7540</v>
      </c>
      <c r="Q47" s="42">
        <v>7530</v>
      </c>
      <c r="R47" s="42">
        <v>6100</v>
      </c>
      <c r="S47" s="42">
        <v>6150</v>
      </c>
      <c r="T47" s="42">
        <v>5360</v>
      </c>
      <c r="U47" s="42">
        <v>2530</v>
      </c>
      <c r="V47" s="42">
        <v>0</v>
      </c>
      <c r="W47" s="42">
        <v>0</v>
      </c>
      <c r="X47" s="42">
        <v>890</v>
      </c>
      <c r="Y47" s="42">
        <v>0</v>
      </c>
      <c r="Z47" s="42">
        <v>0</v>
      </c>
      <c r="AA47" s="66">
        <v>10</v>
      </c>
      <c r="AB47" s="43">
        <v>10440</v>
      </c>
      <c r="AC47" s="44">
        <f t="shared" si="1"/>
        <v>120990</v>
      </c>
    </row>
    <row r="48" spans="1:29">
      <c r="A48" s="1" t="s">
        <v>3</v>
      </c>
      <c r="B48" s="16" t="s">
        <v>95</v>
      </c>
      <c r="C48" s="28">
        <v>1300</v>
      </c>
      <c r="D48" s="9">
        <v>0</v>
      </c>
      <c r="E48" s="9">
        <v>0</v>
      </c>
      <c r="F48" s="9">
        <v>1300</v>
      </c>
      <c r="G48" s="9">
        <v>1300</v>
      </c>
      <c r="H48" s="9">
        <v>1300</v>
      </c>
      <c r="I48" s="9">
        <v>1300</v>
      </c>
      <c r="J48" s="9">
        <v>1300</v>
      </c>
      <c r="K48" s="9">
        <v>1300</v>
      </c>
      <c r="L48" s="9">
        <v>1300</v>
      </c>
      <c r="M48" s="9">
        <v>1300</v>
      </c>
      <c r="N48" s="9">
        <v>1300</v>
      </c>
      <c r="O48" s="9">
        <v>1300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67">
        <v>0</v>
      </c>
      <c r="AB48" s="10">
        <v>0</v>
      </c>
      <c r="AC48" s="21">
        <f t="shared" si="1"/>
        <v>14300</v>
      </c>
    </row>
    <row r="49" spans="1:29">
      <c r="A49" s="1" t="s">
        <v>3</v>
      </c>
      <c r="B49" s="50" t="s">
        <v>96</v>
      </c>
      <c r="C49" s="51">
        <v>8100</v>
      </c>
      <c r="D49" s="52">
        <v>20000</v>
      </c>
      <c r="E49" s="52">
        <v>17800</v>
      </c>
      <c r="F49" s="52">
        <v>14100</v>
      </c>
      <c r="G49" s="52">
        <v>12800</v>
      </c>
      <c r="H49" s="52">
        <v>10300</v>
      </c>
      <c r="I49" s="52">
        <v>13200</v>
      </c>
      <c r="J49" s="52">
        <v>15400</v>
      </c>
      <c r="K49" s="52">
        <v>14900</v>
      </c>
      <c r="L49" s="52">
        <v>1100</v>
      </c>
      <c r="M49" s="52">
        <v>0</v>
      </c>
      <c r="N49" s="52">
        <v>7800</v>
      </c>
      <c r="O49" s="52">
        <v>11700</v>
      </c>
      <c r="P49" s="52">
        <v>11800</v>
      </c>
      <c r="Q49" s="52">
        <v>20200</v>
      </c>
      <c r="R49" s="52">
        <v>14600</v>
      </c>
      <c r="S49" s="52">
        <v>7800</v>
      </c>
      <c r="T49" s="52">
        <v>0</v>
      </c>
      <c r="U49" s="52">
        <v>0</v>
      </c>
      <c r="V49" s="52">
        <v>0</v>
      </c>
      <c r="W49" s="52">
        <v>500</v>
      </c>
      <c r="X49" s="52">
        <v>2300</v>
      </c>
      <c r="Y49" s="52">
        <v>0</v>
      </c>
      <c r="Z49" s="52">
        <v>2600</v>
      </c>
      <c r="AA49" s="68">
        <v>7100</v>
      </c>
      <c r="AB49" s="53">
        <v>21800</v>
      </c>
      <c r="AC49" s="54">
        <f t="shared" si="1"/>
        <v>214100</v>
      </c>
    </row>
    <row r="50" spans="1:29">
      <c r="A50" s="1" t="s">
        <v>3</v>
      </c>
      <c r="B50" s="55" t="s">
        <v>97</v>
      </c>
      <c r="C50" s="56">
        <v>77436</v>
      </c>
      <c r="D50" s="57">
        <v>94382</v>
      </c>
      <c r="E50" s="57">
        <v>97922</v>
      </c>
      <c r="F50" s="57">
        <v>86702</v>
      </c>
      <c r="G50" s="57">
        <v>79921</v>
      </c>
      <c r="H50" s="57">
        <v>80281</v>
      </c>
      <c r="I50" s="57">
        <v>79488</v>
      </c>
      <c r="J50" s="57">
        <v>57032</v>
      </c>
      <c r="K50" s="57">
        <v>56603</v>
      </c>
      <c r="L50" s="57">
        <v>72151</v>
      </c>
      <c r="M50" s="57">
        <v>40904</v>
      </c>
      <c r="N50" s="57">
        <v>71040</v>
      </c>
      <c r="O50" s="57">
        <v>83070</v>
      </c>
      <c r="P50" s="57">
        <v>40999</v>
      </c>
      <c r="Q50" s="57">
        <v>87866</v>
      </c>
      <c r="R50" s="57">
        <v>96941</v>
      </c>
      <c r="S50" s="57">
        <v>55433</v>
      </c>
      <c r="T50" s="57">
        <v>46232</v>
      </c>
      <c r="U50" s="57">
        <v>3577</v>
      </c>
      <c r="V50" s="57">
        <v>0</v>
      </c>
      <c r="W50" s="57">
        <v>966</v>
      </c>
      <c r="X50" s="57">
        <v>3773</v>
      </c>
      <c r="Y50" s="57">
        <v>0</v>
      </c>
      <c r="Z50" s="57">
        <v>2925</v>
      </c>
      <c r="AA50" s="69">
        <v>36911</v>
      </c>
      <c r="AB50" s="58">
        <v>96999</v>
      </c>
      <c r="AC50" s="59">
        <f t="shared" si="1"/>
        <v>1352555</v>
      </c>
    </row>
    <row r="51" spans="1:29">
      <c r="A51" s="1" t="s">
        <v>3</v>
      </c>
      <c r="B51" s="55" t="s">
        <v>98</v>
      </c>
      <c r="C51" s="56">
        <v>207796</v>
      </c>
      <c r="D51" s="57">
        <v>336255</v>
      </c>
      <c r="E51" s="57">
        <v>271258</v>
      </c>
      <c r="F51" s="57">
        <v>281370</v>
      </c>
      <c r="G51" s="57">
        <v>209081</v>
      </c>
      <c r="H51" s="57">
        <v>236493</v>
      </c>
      <c r="I51" s="57">
        <v>262500</v>
      </c>
      <c r="J51" s="57">
        <v>311672</v>
      </c>
      <c r="K51" s="57">
        <v>303522</v>
      </c>
      <c r="L51" s="57">
        <v>294275</v>
      </c>
      <c r="M51" s="57">
        <v>296172</v>
      </c>
      <c r="N51" s="57">
        <v>261817</v>
      </c>
      <c r="O51" s="57">
        <v>259337</v>
      </c>
      <c r="P51" s="57">
        <v>277592</v>
      </c>
      <c r="Q51" s="57">
        <v>319864</v>
      </c>
      <c r="R51" s="57">
        <v>282481</v>
      </c>
      <c r="S51" s="57">
        <v>238803</v>
      </c>
      <c r="T51" s="57">
        <v>216718</v>
      </c>
      <c r="U51" s="57">
        <v>182605</v>
      </c>
      <c r="V51" s="57">
        <v>88250</v>
      </c>
      <c r="W51" s="57">
        <v>81299</v>
      </c>
      <c r="X51" s="57">
        <v>103207</v>
      </c>
      <c r="Y51" s="57">
        <v>49728</v>
      </c>
      <c r="Z51" s="57">
        <v>55990</v>
      </c>
      <c r="AA51" s="69">
        <v>117682</v>
      </c>
      <c r="AB51" s="58">
        <v>325241</v>
      </c>
      <c r="AC51" s="59">
        <f t="shared" si="1"/>
        <v>5545767</v>
      </c>
    </row>
    <row r="52" spans="1:29">
      <c r="A52" s="1" t="s">
        <v>3</v>
      </c>
      <c r="B52" s="55" t="s">
        <v>99</v>
      </c>
      <c r="C52" s="56">
        <v>210427</v>
      </c>
      <c r="D52" s="57">
        <v>314755</v>
      </c>
      <c r="E52" s="57">
        <v>249441</v>
      </c>
      <c r="F52" s="57">
        <v>261278</v>
      </c>
      <c r="G52" s="57">
        <v>191838</v>
      </c>
      <c r="H52" s="57">
        <v>221932</v>
      </c>
      <c r="I52" s="57">
        <v>244579</v>
      </c>
      <c r="J52" s="57">
        <v>291140</v>
      </c>
      <c r="K52" s="57">
        <v>286898</v>
      </c>
      <c r="L52" s="57">
        <v>296504</v>
      </c>
      <c r="M52" s="57">
        <v>297867</v>
      </c>
      <c r="N52" s="57">
        <v>255052</v>
      </c>
      <c r="O52" s="57">
        <v>248752</v>
      </c>
      <c r="P52" s="57">
        <v>261116</v>
      </c>
      <c r="Q52" s="57">
        <v>296086</v>
      </c>
      <c r="R52" s="57">
        <v>267966</v>
      </c>
      <c r="S52" s="57">
        <v>232412</v>
      </c>
      <c r="T52" s="57">
        <v>223269</v>
      </c>
      <c r="U52" s="57">
        <v>186775</v>
      </c>
      <c r="V52" s="57">
        <v>92831</v>
      </c>
      <c r="W52" s="57">
        <v>83777</v>
      </c>
      <c r="X52" s="57">
        <v>102165</v>
      </c>
      <c r="Y52" s="57">
        <v>51962</v>
      </c>
      <c r="Z52" s="57">
        <v>56196</v>
      </c>
      <c r="AA52" s="69">
        <v>125060</v>
      </c>
      <c r="AB52" s="58">
        <v>301190</v>
      </c>
      <c r="AC52" s="59">
        <f t="shared" si="1"/>
        <v>5350078</v>
      </c>
    </row>
    <row r="53" spans="1:29">
      <c r="A53" s="1" t="s">
        <v>3</v>
      </c>
      <c r="B53" s="55" t="s">
        <v>100</v>
      </c>
      <c r="C53" s="56">
        <v>210427</v>
      </c>
      <c r="D53" s="57">
        <v>314755</v>
      </c>
      <c r="E53" s="57">
        <v>249441</v>
      </c>
      <c r="F53" s="57">
        <v>261278</v>
      </c>
      <c r="G53" s="57">
        <v>191838</v>
      </c>
      <c r="H53" s="57">
        <v>221932</v>
      </c>
      <c r="I53" s="57">
        <v>244579</v>
      </c>
      <c r="J53" s="57">
        <v>291140</v>
      </c>
      <c r="K53" s="57">
        <v>286898</v>
      </c>
      <c r="L53" s="57">
        <v>296504</v>
      </c>
      <c r="M53" s="57">
        <v>297867</v>
      </c>
      <c r="N53" s="57">
        <v>255052</v>
      </c>
      <c r="O53" s="57">
        <v>248752</v>
      </c>
      <c r="P53" s="57">
        <v>261116</v>
      </c>
      <c r="Q53" s="57">
        <v>296086</v>
      </c>
      <c r="R53" s="57">
        <v>267966</v>
      </c>
      <c r="S53" s="57">
        <v>232412</v>
      </c>
      <c r="T53" s="57">
        <v>223269</v>
      </c>
      <c r="U53" s="57">
        <v>186775</v>
      </c>
      <c r="V53" s="57">
        <v>92831</v>
      </c>
      <c r="W53" s="57">
        <v>83777</v>
      </c>
      <c r="X53" s="57">
        <v>102165</v>
      </c>
      <c r="Y53" s="57">
        <v>51962</v>
      </c>
      <c r="Z53" s="57">
        <v>56196</v>
      </c>
      <c r="AA53" s="69">
        <v>125060</v>
      </c>
      <c r="AB53" s="58">
        <v>301190</v>
      </c>
      <c r="AC53" s="59">
        <f t="shared" si="1"/>
        <v>5350078</v>
      </c>
    </row>
    <row r="54" spans="1:29">
      <c r="A54" s="1" t="s">
        <v>3</v>
      </c>
      <c r="B54" s="31" t="s">
        <v>101</v>
      </c>
      <c r="C54" s="41">
        <v>1</v>
      </c>
      <c r="D54" s="42">
        <v>1</v>
      </c>
      <c r="E54" s="42">
        <v>0</v>
      </c>
      <c r="F54" s="42">
        <v>0</v>
      </c>
      <c r="G54" s="42">
        <v>0</v>
      </c>
      <c r="H54" s="42">
        <v>1</v>
      </c>
      <c r="I54" s="42">
        <v>0</v>
      </c>
      <c r="J54" s="42">
        <v>0</v>
      </c>
      <c r="K54" s="42">
        <v>0</v>
      </c>
      <c r="L54" s="42">
        <v>4</v>
      </c>
      <c r="M54" s="42">
        <v>0</v>
      </c>
      <c r="N54" s="42">
        <v>0</v>
      </c>
      <c r="O54" s="42">
        <v>0</v>
      </c>
      <c r="P54" s="42">
        <v>0</v>
      </c>
      <c r="Q54" s="42">
        <v>1</v>
      </c>
      <c r="R54" s="42">
        <v>1</v>
      </c>
      <c r="S54" s="42">
        <v>0</v>
      </c>
      <c r="T54" s="42">
        <v>0</v>
      </c>
      <c r="U54" s="42">
        <v>1</v>
      </c>
      <c r="V54" s="42">
        <v>1</v>
      </c>
      <c r="W54" s="42">
        <v>0</v>
      </c>
      <c r="X54" s="42">
        <v>0</v>
      </c>
      <c r="Y54" s="42">
        <v>1</v>
      </c>
      <c r="Z54" s="42">
        <v>1</v>
      </c>
      <c r="AA54" s="66">
        <v>1</v>
      </c>
      <c r="AB54" s="43">
        <v>0</v>
      </c>
      <c r="AC54" s="44"/>
    </row>
    <row r="55" spans="1:29">
      <c r="A55" s="1" t="s">
        <v>3</v>
      </c>
      <c r="B55" s="16" t="s">
        <v>102</v>
      </c>
      <c r="C55" s="29" t="s">
        <v>103</v>
      </c>
      <c r="D55" s="11" t="s">
        <v>103</v>
      </c>
      <c r="E55" s="11" t="s">
        <v>103</v>
      </c>
      <c r="F55" s="11" t="s">
        <v>103</v>
      </c>
      <c r="G55" s="11" t="s">
        <v>103</v>
      </c>
      <c r="H55" s="11" t="s">
        <v>103</v>
      </c>
      <c r="I55" s="11" t="s">
        <v>103</v>
      </c>
      <c r="J55" s="11" t="s">
        <v>103</v>
      </c>
      <c r="K55" s="11" t="s">
        <v>103</v>
      </c>
      <c r="L55" s="11" t="s">
        <v>103</v>
      </c>
      <c r="M55" s="11" t="s">
        <v>103</v>
      </c>
      <c r="N55" s="11" t="s">
        <v>103</v>
      </c>
      <c r="O55" s="11" t="s">
        <v>103</v>
      </c>
      <c r="P55" s="11" t="s">
        <v>103</v>
      </c>
      <c r="Q55" s="11" t="s">
        <v>103</v>
      </c>
      <c r="R55" s="11" t="s">
        <v>103</v>
      </c>
      <c r="S55" s="11" t="s">
        <v>103</v>
      </c>
      <c r="T55" s="11" t="s">
        <v>103</v>
      </c>
      <c r="U55" s="11" t="s">
        <v>103</v>
      </c>
      <c r="V55" s="11" t="s">
        <v>103</v>
      </c>
      <c r="W55" s="11" t="s">
        <v>103</v>
      </c>
      <c r="X55" s="11" t="s">
        <v>103</v>
      </c>
      <c r="Y55" s="11" t="s">
        <v>103</v>
      </c>
      <c r="Z55" s="11" t="s">
        <v>103</v>
      </c>
      <c r="AA55" s="70" t="s">
        <v>103</v>
      </c>
      <c r="AB55" s="12" t="s">
        <v>103</v>
      </c>
      <c r="AC55" s="22"/>
    </row>
    <row r="56" spans="1:29" ht="19.5" thickBot="1">
      <c r="A56" s="1" t="s">
        <v>3</v>
      </c>
      <c r="B56" s="17" t="s">
        <v>104</v>
      </c>
      <c r="C56" s="30">
        <v>3430</v>
      </c>
      <c r="D56" s="13">
        <v>8200</v>
      </c>
      <c r="E56" s="13">
        <v>7310</v>
      </c>
      <c r="F56" s="13">
        <v>7670</v>
      </c>
      <c r="G56" s="13">
        <v>5090</v>
      </c>
      <c r="H56" s="13">
        <v>4450</v>
      </c>
      <c r="I56" s="13">
        <v>7000</v>
      </c>
      <c r="J56" s="13">
        <v>9330</v>
      </c>
      <c r="K56" s="13">
        <v>8670</v>
      </c>
      <c r="L56" s="13">
        <v>1670</v>
      </c>
      <c r="M56" s="13">
        <v>8200</v>
      </c>
      <c r="N56" s="13">
        <v>6970</v>
      </c>
      <c r="O56" s="13">
        <v>6890</v>
      </c>
      <c r="P56" s="13">
        <v>7540</v>
      </c>
      <c r="Q56" s="13">
        <v>7530</v>
      </c>
      <c r="R56" s="13">
        <v>6100</v>
      </c>
      <c r="S56" s="13">
        <v>6150</v>
      </c>
      <c r="T56" s="13">
        <v>5360</v>
      </c>
      <c r="U56" s="13">
        <v>2530</v>
      </c>
      <c r="V56" s="13">
        <v>0</v>
      </c>
      <c r="W56" s="13">
        <v>0</v>
      </c>
      <c r="X56" s="13">
        <v>890</v>
      </c>
      <c r="Y56" s="13">
        <v>0</v>
      </c>
      <c r="Z56" s="13">
        <v>0</v>
      </c>
      <c r="AA56" s="71">
        <v>10</v>
      </c>
      <c r="AB56" s="14">
        <v>10440</v>
      </c>
      <c r="AC56" s="23">
        <f>SUM(C56:AA56)</f>
        <v>120990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9511-0A47-4025-ADD0-03649231C645}">
  <dimension ref="A1:P56"/>
  <sheetViews>
    <sheetView showZeros="0" workbookViewId="0">
      <pane xSplit="2" ySplit="8" topLeftCell="C49" activePane="bottomRight" state="frozen"/>
      <selection pane="bottomRight" activeCell="M53" activeCellId="1" sqref="F53 M5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3.25" style="2" bestFit="1" customWidth="1"/>
    <col min="5" max="5" width="11.125" style="2" bestFit="1" customWidth="1"/>
    <col min="6" max="6" width="9.625" style="2" bestFit="1" customWidth="1"/>
    <col min="7" max="11" width="11.125" style="2" bestFit="1" customWidth="1"/>
    <col min="12" max="12" width="9" style="2" bestFit="1" customWidth="1"/>
    <col min="13" max="13" width="9.625" style="2" bestFit="1" customWidth="1"/>
    <col min="14" max="14" width="11.125" style="2" bestFit="1" customWidth="1"/>
    <col min="15" max="16" width="9.625" style="2" bestFit="1" customWidth="1"/>
    <col min="17" max="241" width="9" style="2"/>
    <col min="242" max="242" width="2.375" style="2" customWidth="1"/>
    <col min="243" max="243" width="13.25" style="2" bestFit="1" customWidth="1"/>
    <col min="244" max="244" width="11.125" style="2" bestFit="1" customWidth="1"/>
    <col min="245" max="245" width="13.25" style="2" bestFit="1" customWidth="1"/>
    <col min="246" max="246" width="11.125" style="2" bestFit="1" customWidth="1"/>
    <col min="247" max="247" width="9" style="2"/>
    <col min="248" max="258" width="11.125" style="2" bestFit="1" customWidth="1"/>
    <col min="259" max="259" width="9" style="2"/>
    <col min="260" max="261" width="11.125" style="2" bestFit="1" customWidth="1"/>
    <col min="262" max="263" width="9" style="2"/>
    <col min="264" max="268" width="11.125" style="2" bestFit="1" customWidth="1"/>
    <col min="269" max="269" width="9" style="2"/>
    <col min="270" max="270" width="9.625" style="2" bestFit="1" customWidth="1"/>
    <col min="271" max="497" width="9" style="2"/>
    <col min="498" max="498" width="2.375" style="2" customWidth="1"/>
    <col min="499" max="499" width="13.25" style="2" bestFit="1" customWidth="1"/>
    <col min="500" max="500" width="11.125" style="2" bestFit="1" customWidth="1"/>
    <col min="501" max="501" width="13.25" style="2" bestFit="1" customWidth="1"/>
    <col min="502" max="502" width="11.125" style="2" bestFit="1" customWidth="1"/>
    <col min="503" max="503" width="9" style="2"/>
    <col min="504" max="514" width="11.125" style="2" bestFit="1" customWidth="1"/>
    <col min="515" max="515" width="9" style="2"/>
    <col min="516" max="517" width="11.125" style="2" bestFit="1" customWidth="1"/>
    <col min="518" max="519" width="9" style="2"/>
    <col min="520" max="524" width="11.125" style="2" bestFit="1" customWidth="1"/>
    <col min="525" max="525" width="9" style="2"/>
    <col min="526" max="526" width="9.625" style="2" bestFit="1" customWidth="1"/>
    <col min="527" max="753" width="9" style="2"/>
    <col min="754" max="754" width="2.375" style="2" customWidth="1"/>
    <col min="755" max="755" width="13.25" style="2" bestFit="1" customWidth="1"/>
    <col min="756" max="756" width="11.125" style="2" bestFit="1" customWidth="1"/>
    <col min="757" max="757" width="13.25" style="2" bestFit="1" customWidth="1"/>
    <col min="758" max="758" width="11.125" style="2" bestFit="1" customWidth="1"/>
    <col min="759" max="759" width="9" style="2"/>
    <col min="760" max="770" width="11.125" style="2" bestFit="1" customWidth="1"/>
    <col min="771" max="771" width="9" style="2"/>
    <col min="772" max="773" width="11.125" style="2" bestFit="1" customWidth="1"/>
    <col min="774" max="775" width="9" style="2"/>
    <col min="776" max="780" width="11.125" style="2" bestFit="1" customWidth="1"/>
    <col min="781" max="781" width="9" style="2"/>
    <col min="782" max="782" width="9.625" style="2" bestFit="1" customWidth="1"/>
    <col min="783" max="1009" width="9" style="2"/>
    <col min="1010" max="1010" width="2.375" style="2" customWidth="1"/>
    <col min="1011" max="1011" width="13.25" style="2" bestFit="1" customWidth="1"/>
    <col min="1012" max="1012" width="11.125" style="2" bestFit="1" customWidth="1"/>
    <col min="1013" max="1013" width="13.25" style="2" bestFit="1" customWidth="1"/>
    <col min="1014" max="1014" width="11.125" style="2" bestFit="1" customWidth="1"/>
    <col min="1015" max="1015" width="9" style="2"/>
    <col min="1016" max="1026" width="11.125" style="2" bestFit="1" customWidth="1"/>
    <col min="1027" max="1027" width="9" style="2"/>
    <col min="1028" max="1029" width="11.125" style="2" bestFit="1" customWidth="1"/>
    <col min="1030" max="1031" width="9" style="2"/>
    <col min="1032" max="1036" width="11.125" style="2" bestFit="1" customWidth="1"/>
    <col min="1037" max="1037" width="9" style="2"/>
    <col min="1038" max="1038" width="9.625" style="2" bestFit="1" customWidth="1"/>
    <col min="1039" max="1265" width="9" style="2"/>
    <col min="1266" max="1266" width="2.375" style="2" customWidth="1"/>
    <col min="1267" max="1267" width="13.25" style="2" bestFit="1" customWidth="1"/>
    <col min="1268" max="1268" width="11.125" style="2" bestFit="1" customWidth="1"/>
    <col min="1269" max="1269" width="13.25" style="2" bestFit="1" customWidth="1"/>
    <col min="1270" max="1270" width="11.125" style="2" bestFit="1" customWidth="1"/>
    <col min="1271" max="1271" width="9" style="2"/>
    <col min="1272" max="1282" width="11.125" style="2" bestFit="1" customWidth="1"/>
    <col min="1283" max="1283" width="9" style="2"/>
    <col min="1284" max="1285" width="11.125" style="2" bestFit="1" customWidth="1"/>
    <col min="1286" max="1287" width="9" style="2"/>
    <col min="1288" max="1292" width="11.125" style="2" bestFit="1" customWidth="1"/>
    <col min="1293" max="1293" width="9" style="2"/>
    <col min="1294" max="1294" width="9.625" style="2" bestFit="1" customWidth="1"/>
    <col min="1295" max="1521" width="9" style="2"/>
    <col min="1522" max="1522" width="2.375" style="2" customWidth="1"/>
    <col min="1523" max="1523" width="13.25" style="2" bestFit="1" customWidth="1"/>
    <col min="1524" max="1524" width="11.125" style="2" bestFit="1" customWidth="1"/>
    <col min="1525" max="1525" width="13.25" style="2" bestFit="1" customWidth="1"/>
    <col min="1526" max="1526" width="11.125" style="2" bestFit="1" customWidth="1"/>
    <col min="1527" max="1527" width="9" style="2"/>
    <col min="1528" max="1538" width="11.125" style="2" bestFit="1" customWidth="1"/>
    <col min="1539" max="1539" width="9" style="2"/>
    <col min="1540" max="1541" width="11.125" style="2" bestFit="1" customWidth="1"/>
    <col min="1542" max="1543" width="9" style="2"/>
    <col min="1544" max="1548" width="11.125" style="2" bestFit="1" customWidth="1"/>
    <col min="1549" max="1549" width="9" style="2"/>
    <col min="1550" max="1550" width="9.625" style="2" bestFit="1" customWidth="1"/>
    <col min="1551" max="1777" width="9" style="2"/>
    <col min="1778" max="1778" width="2.375" style="2" customWidth="1"/>
    <col min="1779" max="1779" width="13.25" style="2" bestFit="1" customWidth="1"/>
    <col min="1780" max="1780" width="11.125" style="2" bestFit="1" customWidth="1"/>
    <col min="1781" max="1781" width="13.25" style="2" bestFit="1" customWidth="1"/>
    <col min="1782" max="1782" width="11.125" style="2" bestFit="1" customWidth="1"/>
    <col min="1783" max="1783" width="9" style="2"/>
    <col min="1784" max="1794" width="11.125" style="2" bestFit="1" customWidth="1"/>
    <col min="1795" max="1795" width="9" style="2"/>
    <col min="1796" max="1797" width="11.125" style="2" bestFit="1" customWidth="1"/>
    <col min="1798" max="1799" width="9" style="2"/>
    <col min="1800" max="1804" width="11.125" style="2" bestFit="1" customWidth="1"/>
    <col min="1805" max="1805" width="9" style="2"/>
    <col min="1806" max="1806" width="9.625" style="2" bestFit="1" customWidth="1"/>
    <col min="1807" max="2033" width="9" style="2"/>
    <col min="2034" max="2034" width="2.375" style="2" customWidth="1"/>
    <col min="2035" max="2035" width="13.25" style="2" bestFit="1" customWidth="1"/>
    <col min="2036" max="2036" width="11.125" style="2" bestFit="1" customWidth="1"/>
    <col min="2037" max="2037" width="13.25" style="2" bestFit="1" customWidth="1"/>
    <col min="2038" max="2038" width="11.125" style="2" bestFit="1" customWidth="1"/>
    <col min="2039" max="2039" width="9" style="2"/>
    <col min="2040" max="2050" width="11.125" style="2" bestFit="1" customWidth="1"/>
    <col min="2051" max="2051" width="9" style="2"/>
    <col min="2052" max="2053" width="11.125" style="2" bestFit="1" customWidth="1"/>
    <col min="2054" max="2055" width="9" style="2"/>
    <col min="2056" max="2060" width="11.125" style="2" bestFit="1" customWidth="1"/>
    <col min="2061" max="2061" width="9" style="2"/>
    <col min="2062" max="2062" width="9.625" style="2" bestFit="1" customWidth="1"/>
    <col min="2063" max="2289" width="9" style="2"/>
    <col min="2290" max="2290" width="2.375" style="2" customWidth="1"/>
    <col min="2291" max="2291" width="13.25" style="2" bestFit="1" customWidth="1"/>
    <col min="2292" max="2292" width="11.125" style="2" bestFit="1" customWidth="1"/>
    <col min="2293" max="2293" width="13.25" style="2" bestFit="1" customWidth="1"/>
    <col min="2294" max="2294" width="11.125" style="2" bestFit="1" customWidth="1"/>
    <col min="2295" max="2295" width="9" style="2"/>
    <col min="2296" max="2306" width="11.125" style="2" bestFit="1" customWidth="1"/>
    <col min="2307" max="2307" width="9" style="2"/>
    <col min="2308" max="2309" width="11.125" style="2" bestFit="1" customWidth="1"/>
    <col min="2310" max="2311" width="9" style="2"/>
    <col min="2312" max="2316" width="11.125" style="2" bestFit="1" customWidth="1"/>
    <col min="2317" max="2317" width="9" style="2"/>
    <col min="2318" max="2318" width="9.625" style="2" bestFit="1" customWidth="1"/>
    <col min="2319" max="2545" width="9" style="2"/>
    <col min="2546" max="2546" width="2.375" style="2" customWidth="1"/>
    <col min="2547" max="2547" width="13.25" style="2" bestFit="1" customWidth="1"/>
    <col min="2548" max="2548" width="11.125" style="2" bestFit="1" customWidth="1"/>
    <col min="2549" max="2549" width="13.25" style="2" bestFit="1" customWidth="1"/>
    <col min="2550" max="2550" width="11.125" style="2" bestFit="1" customWidth="1"/>
    <col min="2551" max="2551" width="9" style="2"/>
    <col min="2552" max="2562" width="11.125" style="2" bestFit="1" customWidth="1"/>
    <col min="2563" max="2563" width="9" style="2"/>
    <col min="2564" max="2565" width="11.125" style="2" bestFit="1" customWidth="1"/>
    <col min="2566" max="2567" width="9" style="2"/>
    <col min="2568" max="2572" width="11.125" style="2" bestFit="1" customWidth="1"/>
    <col min="2573" max="2573" width="9" style="2"/>
    <col min="2574" max="2574" width="9.625" style="2" bestFit="1" customWidth="1"/>
    <col min="2575" max="2801" width="9" style="2"/>
    <col min="2802" max="2802" width="2.375" style="2" customWidth="1"/>
    <col min="2803" max="2803" width="13.25" style="2" bestFit="1" customWidth="1"/>
    <col min="2804" max="2804" width="11.125" style="2" bestFit="1" customWidth="1"/>
    <col min="2805" max="2805" width="13.25" style="2" bestFit="1" customWidth="1"/>
    <col min="2806" max="2806" width="11.125" style="2" bestFit="1" customWidth="1"/>
    <col min="2807" max="2807" width="9" style="2"/>
    <col min="2808" max="2818" width="11.125" style="2" bestFit="1" customWidth="1"/>
    <col min="2819" max="2819" width="9" style="2"/>
    <col min="2820" max="2821" width="11.125" style="2" bestFit="1" customWidth="1"/>
    <col min="2822" max="2823" width="9" style="2"/>
    <col min="2824" max="2828" width="11.125" style="2" bestFit="1" customWidth="1"/>
    <col min="2829" max="2829" width="9" style="2"/>
    <col min="2830" max="2830" width="9.625" style="2" bestFit="1" customWidth="1"/>
    <col min="2831" max="3057" width="9" style="2"/>
    <col min="3058" max="3058" width="2.375" style="2" customWidth="1"/>
    <col min="3059" max="3059" width="13.25" style="2" bestFit="1" customWidth="1"/>
    <col min="3060" max="3060" width="11.125" style="2" bestFit="1" customWidth="1"/>
    <col min="3061" max="3061" width="13.25" style="2" bestFit="1" customWidth="1"/>
    <col min="3062" max="3062" width="11.125" style="2" bestFit="1" customWidth="1"/>
    <col min="3063" max="3063" width="9" style="2"/>
    <col min="3064" max="3074" width="11.125" style="2" bestFit="1" customWidth="1"/>
    <col min="3075" max="3075" width="9" style="2"/>
    <col min="3076" max="3077" width="11.125" style="2" bestFit="1" customWidth="1"/>
    <col min="3078" max="3079" width="9" style="2"/>
    <col min="3080" max="3084" width="11.125" style="2" bestFit="1" customWidth="1"/>
    <col min="3085" max="3085" width="9" style="2"/>
    <col min="3086" max="3086" width="9.625" style="2" bestFit="1" customWidth="1"/>
    <col min="3087" max="3313" width="9" style="2"/>
    <col min="3314" max="3314" width="2.375" style="2" customWidth="1"/>
    <col min="3315" max="3315" width="13.25" style="2" bestFit="1" customWidth="1"/>
    <col min="3316" max="3316" width="11.125" style="2" bestFit="1" customWidth="1"/>
    <col min="3317" max="3317" width="13.25" style="2" bestFit="1" customWidth="1"/>
    <col min="3318" max="3318" width="11.125" style="2" bestFit="1" customWidth="1"/>
    <col min="3319" max="3319" width="9" style="2"/>
    <col min="3320" max="3330" width="11.125" style="2" bestFit="1" customWidth="1"/>
    <col min="3331" max="3331" width="9" style="2"/>
    <col min="3332" max="3333" width="11.125" style="2" bestFit="1" customWidth="1"/>
    <col min="3334" max="3335" width="9" style="2"/>
    <col min="3336" max="3340" width="11.125" style="2" bestFit="1" customWidth="1"/>
    <col min="3341" max="3341" width="9" style="2"/>
    <col min="3342" max="3342" width="9.625" style="2" bestFit="1" customWidth="1"/>
    <col min="3343" max="3569" width="9" style="2"/>
    <col min="3570" max="3570" width="2.375" style="2" customWidth="1"/>
    <col min="3571" max="3571" width="13.25" style="2" bestFit="1" customWidth="1"/>
    <col min="3572" max="3572" width="11.125" style="2" bestFit="1" customWidth="1"/>
    <col min="3573" max="3573" width="13.25" style="2" bestFit="1" customWidth="1"/>
    <col min="3574" max="3574" width="11.125" style="2" bestFit="1" customWidth="1"/>
    <col min="3575" max="3575" width="9" style="2"/>
    <col min="3576" max="3586" width="11.125" style="2" bestFit="1" customWidth="1"/>
    <col min="3587" max="3587" width="9" style="2"/>
    <col min="3588" max="3589" width="11.125" style="2" bestFit="1" customWidth="1"/>
    <col min="3590" max="3591" width="9" style="2"/>
    <col min="3592" max="3596" width="11.125" style="2" bestFit="1" customWidth="1"/>
    <col min="3597" max="3597" width="9" style="2"/>
    <col min="3598" max="3598" width="9.625" style="2" bestFit="1" customWidth="1"/>
    <col min="3599" max="3825" width="9" style="2"/>
    <col min="3826" max="3826" width="2.375" style="2" customWidth="1"/>
    <col min="3827" max="3827" width="13.25" style="2" bestFit="1" customWidth="1"/>
    <col min="3828" max="3828" width="11.125" style="2" bestFit="1" customWidth="1"/>
    <col min="3829" max="3829" width="13.25" style="2" bestFit="1" customWidth="1"/>
    <col min="3830" max="3830" width="11.125" style="2" bestFit="1" customWidth="1"/>
    <col min="3831" max="3831" width="9" style="2"/>
    <col min="3832" max="3842" width="11.125" style="2" bestFit="1" customWidth="1"/>
    <col min="3843" max="3843" width="9" style="2"/>
    <col min="3844" max="3845" width="11.125" style="2" bestFit="1" customWidth="1"/>
    <col min="3846" max="3847" width="9" style="2"/>
    <col min="3848" max="3852" width="11.125" style="2" bestFit="1" customWidth="1"/>
    <col min="3853" max="3853" width="9" style="2"/>
    <col min="3854" max="3854" width="9.625" style="2" bestFit="1" customWidth="1"/>
    <col min="3855" max="4081" width="9" style="2"/>
    <col min="4082" max="4082" width="2.375" style="2" customWidth="1"/>
    <col min="4083" max="4083" width="13.25" style="2" bestFit="1" customWidth="1"/>
    <col min="4084" max="4084" width="11.125" style="2" bestFit="1" customWidth="1"/>
    <col min="4085" max="4085" width="13.25" style="2" bestFit="1" customWidth="1"/>
    <col min="4086" max="4086" width="11.125" style="2" bestFit="1" customWidth="1"/>
    <col min="4087" max="4087" width="9" style="2"/>
    <col min="4088" max="4098" width="11.125" style="2" bestFit="1" customWidth="1"/>
    <col min="4099" max="4099" width="9" style="2"/>
    <col min="4100" max="4101" width="11.125" style="2" bestFit="1" customWidth="1"/>
    <col min="4102" max="4103" width="9" style="2"/>
    <col min="4104" max="4108" width="11.125" style="2" bestFit="1" customWidth="1"/>
    <col min="4109" max="4109" width="9" style="2"/>
    <col min="4110" max="4110" width="9.625" style="2" bestFit="1" customWidth="1"/>
    <col min="4111" max="4337" width="9" style="2"/>
    <col min="4338" max="4338" width="2.375" style="2" customWidth="1"/>
    <col min="4339" max="4339" width="13.25" style="2" bestFit="1" customWidth="1"/>
    <col min="4340" max="4340" width="11.125" style="2" bestFit="1" customWidth="1"/>
    <col min="4341" max="4341" width="13.25" style="2" bestFit="1" customWidth="1"/>
    <col min="4342" max="4342" width="11.125" style="2" bestFit="1" customWidth="1"/>
    <col min="4343" max="4343" width="9" style="2"/>
    <col min="4344" max="4354" width="11.125" style="2" bestFit="1" customWidth="1"/>
    <col min="4355" max="4355" width="9" style="2"/>
    <col min="4356" max="4357" width="11.125" style="2" bestFit="1" customWidth="1"/>
    <col min="4358" max="4359" width="9" style="2"/>
    <col min="4360" max="4364" width="11.125" style="2" bestFit="1" customWidth="1"/>
    <col min="4365" max="4365" width="9" style="2"/>
    <col min="4366" max="4366" width="9.625" style="2" bestFit="1" customWidth="1"/>
    <col min="4367" max="4593" width="9" style="2"/>
    <col min="4594" max="4594" width="2.375" style="2" customWidth="1"/>
    <col min="4595" max="4595" width="13.25" style="2" bestFit="1" customWidth="1"/>
    <col min="4596" max="4596" width="11.125" style="2" bestFit="1" customWidth="1"/>
    <col min="4597" max="4597" width="13.25" style="2" bestFit="1" customWidth="1"/>
    <col min="4598" max="4598" width="11.125" style="2" bestFit="1" customWidth="1"/>
    <col min="4599" max="4599" width="9" style="2"/>
    <col min="4600" max="4610" width="11.125" style="2" bestFit="1" customWidth="1"/>
    <col min="4611" max="4611" width="9" style="2"/>
    <col min="4612" max="4613" width="11.125" style="2" bestFit="1" customWidth="1"/>
    <col min="4614" max="4615" width="9" style="2"/>
    <col min="4616" max="4620" width="11.125" style="2" bestFit="1" customWidth="1"/>
    <col min="4621" max="4621" width="9" style="2"/>
    <col min="4622" max="4622" width="9.625" style="2" bestFit="1" customWidth="1"/>
    <col min="4623" max="4849" width="9" style="2"/>
    <col min="4850" max="4850" width="2.375" style="2" customWidth="1"/>
    <col min="4851" max="4851" width="13.25" style="2" bestFit="1" customWidth="1"/>
    <col min="4852" max="4852" width="11.125" style="2" bestFit="1" customWidth="1"/>
    <col min="4853" max="4853" width="13.25" style="2" bestFit="1" customWidth="1"/>
    <col min="4854" max="4854" width="11.125" style="2" bestFit="1" customWidth="1"/>
    <col min="4855" max="4855" width="9" style="2"/>
    <col min="4856" max="4866" width="11.125" style="2" bestFit="1" customWidth="1"/>
    <col min="4867" max="4867" width="9" style="2"/>
    <col min="4868" max="4869" width="11.125" style="2" bestFit="1" customWidth="1"/>
    <col min="4870" max="4871" width="9" style="2"/>
    <col min="4872" max="4876" width="11.125" style="2" bestFit="1" customWidth="1"/>
    <col min="4877" max="4877" width="9" style="2"/>
    <col min="4878" max="4878" width="9.625" style="2" bestFit="1" customWidth="1"/>
    <col min="4879" max="5105" width="9" style="2"/>
    <col min="5106" max="5106" width="2.375" style="2" customWidth="1"/>
    <col min="5107" max="5107" width="13.25" style="2" bestFit="1" customWidth="1"/>
    <col min="5108" max="5108" width="11.125" style="2" bestFit="1" customWidth="1"/>
    <col min="5109" max="5109" width="13.25" style="2" bestFit="1" customWidth="1"/>
    <col min="5110" max="5110" width="11.125" style="2" bestFit="1" customWidth="1"/>
    <col min="5111" max="5111" width="9" style="2"/>
    <col min="5112" max="5122" width="11.125" style="2" bestFit="1" customWidth="1"/>
    <col min="5123" max="5123" width="9" style="2"/>
    <col min="5124" max="5125" width="11.125" style="2" bestFit="1" customWidth="1"/>
    <col min="5126" max="5127" width="9" style="2"/>
    <col min="5128" max="5132" width="11.125" style="2" bestFit="1" customWidth="1"/>
    <col min="5133" max="5133" width="9" style="2"/>
    <col min="5134" max="5134" width="9.625" style="2" bestFit="1" customWidth="1"/>
    <col min="5135" max="5361" width="9" style="2"/>
    <col min="5362" max="5362" width="2.375" style="2" customWidth="1"/>
    <col min="5363" max="5363" width="13.25" style="2" bestFit="1" customWidth="1"/>
    <col min="5364" max="5364" width="11.125" style="2" bestFit="1" customWidth="1"/>
    <col min="5365" max="5365" width="13.25" style="2" bestFit="1" customWidth="1"/>
    <col min="5366" max="5366" width="11.125" style="2" bestFit="1" customWidth="1"/>
    <col min="5367" max="5367" width="9" style="2"/>
    <col min="5368" max="5378" width="11.125" style="2" bestFit="1" customWidth="1"/>
    <col min="5379" max="5379" width="9" style="2"/>
    <col min="5380" max="5381" width="11.125" style="2" bestFit="1" customWidth="1"/>
    <col min="5382" max="5383" width="9" style="2"/>
    <col min="5384" max="5388" width="11.125" style="2" bestFit="1" customWidth="1"/>
    <col min="5389" max="5389" width="9" style="2"/>
    <col min="5390" max="5390" width="9.625" style="2" bestFit="1" customWidth="1"/>
    <col min="5391" max="5617" width="9" style="2"/>
    <col min="5618" max="5618" width="2.375" style="2" customWidth="1"/>
    <col min="5619" max="5619" width="13.25" style="2" bestFit="1" customWidth="1"/>
    <col min="5620" max="5620" width="11.125" style="2" bestFit="1" customWidth="1"/>
    <col min="5621" max="5621" width="13.25" style="2" bestFit="1" customWidth="1"/>
    <col min="5622" max="5622" width="11.125" style="2" bestFit="1" customWidth="1"/>
    <col min="5623" max="5623" width="9" style="2"/>
    <col min="5624" max="5634" width="11.125" style="2" bestFit="1" customWidth="1"/>
    <col min="5635" max="5635" width="9" style="2"/>
    <col min="5636" max="5637" width="11.125" style="2" bestFit="1" customWidth="1"/>
    <col min="5638" max="5639" width="9" style="2"/>
    <col min="5640" max="5644" width="11.125" style="2" bestFit="1" customWidth="1"/>
    <col min="5645" max="5645" width="9" style="2"/>
    <col min="5646" max="5646" width="9.625" style="2" bestFit="1" customWidth="1"/>
    <col min="5647" max="5873" width="9" style="2"/>
    <col min="5874" max="5874" width="2.375" style="2" customWidth="1"/>
    <col min="5875" max="5875" width="13.25" style="2" bestFit="1" customWidth="1"/>
    <col min="5876" max="5876" width="11.125" style="2" bestFit="1" customWidth="1"/>
    <col min="5877" max="5877" width="13.25" style="2" bestFit="1" customWidth="1"/>
    <col min="5878" max="5878" width="11.125" style="2" bestFit="1" customWidth="1"/>
    <col min="5879" max="5879" width="9" style="2"/>
    <col min="5880" max="5890" width="11.125" style="2" bestFit="1" customWidth="1"/>
    <col min="5891" max="5891" width="9" style="2"/>
    <col min="5892" max="5893" width="11.125" style="2" bestFit="1" customWidth="1"/>
    <col min="5894" max="5895" width="9" style="2"/>
    <col min="5896" max="5900" width="11.125" style="2" bestFit="1" customWidth="1"/>
    <col min="5901" max="5901" width="9" style="2"/>
    <col min="5902" max="5902" width="9.625" style="2" bestFit="1" customWidth="1"/>
    <col min="5903" max="6129" width="9" style="2"/>
    <col min="6130" max="6130" width="2.375" style="2" customWidth="1"/>
    <col min="6131" max="6131" width="13.25" style="2" bestFit="1" customWidth="1"/>
    <col min="6132" max="6132" width="11.125" style="2" bestFit="1" customWidth="1"/>
    <col min="6133" max="6133" width="13.25" style="2" bestFit="1" customWidth="1"/>
    <col min="6134" max="6134" width="11.125" style="2" bestFit="1" customWidth="1"/>
    <col min="6135" max="6135" width="9" style="2"/>
    <col min="6136" max="6146" width="11.125" style="2" bestFit="1" customWidth="1"/>
    <col min="6147" max="6147" width="9" style="2"/>
    <col min="6148" max="6149" width="11.125" style="2" bestFit="1" customWidth="1"/>
    <col min="6150" max="6151" width="9" style="2"/>
    <col min="6152" max="6156" width="11.125" style="2" bestFit="1" customWidth="1"/>
    <col min="6157" max="6157" width="9" style="2"/>
    <col min="6158" max="6158" width="9.625" style="2" bestFit="1" customWidth="1"/>
    <col min="6159" max="6385" width="9" style="2"/>
    <col min="6386" max="6386" width="2.375" style="2" customWidth="1"/>
    <col min="6387" max="6387" width="13.25" style="2" bestFit="1" customWidth="1"/>
    <col min="6388" max="6388" width="11.125" style="2" bestFit="1" customWidth="1"/>
    <col min="6389" max="6389" width="13.25" style="2" bestFit="1" customWidth="1"/>
    <col min="6390" max="6390" width="11.125" style="2" bestFit="1" customWidth="1"/>
    <col min="6391" max="6391" width="9" style="2"/>
    <col min="6392" max="6402" width="11.125" style="2" bestFit="1" customWidth="1"/>
    <col min="6403" max="6403" width="9" style="2"/>
    <col min="6404" max="6405" width="11.125" style="2" bestFit="1" customWidth="1"/>
    <col min="6406" max="6407" width="9" style="2"/>
    <col min="6408" max="6412" width="11.125" style="2" bestFit="1" customWidth="1"/>
    <col min="6413" max="6413" width="9" style="2"/>
    <col min="6414" max="6414" width="9.625" style="2" bestFit="1" customWidth="1"/>
    <col min="6415" max="6641" width="9" style="2"/>
    <col min="6642" max="6642" width="2.375" style="2" customWidth="1"/>
    <col min="6643" max="6643" width="13.25" style="2" bestFit="1" customWidth="1"/>
    <col min="6644" max="6644" width="11.125" style="2" bestFit="1" customWidth="1"/>
    <col min="6645" max="6645" width="13.25" style="2" bestFit="1" customWidth="1"/>
    <col min="6646" max="6646" width="11.125" style="2" bestFit="1" customWidth="1"/>
    <col min="6647" max="6647" width="9" style="2"/>
    <col min="6648" max="6658" width="11.125" style="2" bestFit="1" customWidth="1"/>
    <col min="6659" max="6659" width="9" style="2"/>
    <col min="6660" max="6661" width="11.125" style="2" bestFit="1" customWidth="1"/>
    <col min="6662" max="6663" width="9" style="2"/>
    <col min="6664" max="6668" width="11.125" style="2" bestFit="1" customWidth="1"/>
    <col min="6669" max="6669" width="9" style="2"/>
    <col min="6670" max="6670" width="9.625" style="2" bestFit="1" customWidth="1"/>
    <col min="6671" max="6897" width="9" style="2"/>
    <col min="6898" max="6898" width="2.375" style="2" customWidth="1"/>
    <col min="6899" max="6899" width="13.25" style="2" bestFit="1" customWidth="1"/>
    <col min="6900" max="6900" width="11.125" style="2" bestFit="1" customWidth="1"/>
    <col min="6901" max="6901" width="13.25" style="2" bestFit="1" customWidth="1"/>
    <col min="6902" max="6902" width="11.125" style="2" bestFit="1" customWidth="1"/>
    <col min="6903" max="6903" width="9" style="2"/>
    <col min="6904" max="6914" width="11.125" style="2" bestFit="1" customWidth="1"/>
    <col min="6915" max="6915" width="9" style="2"/>
    <col min="6916" max="6917" width="11.125" style="2" bestFit="1" customWidth="1"/>
    <col min="6918" max="6919" width="9" style="2"/>
    <col min="6920" max="6924" width="11.125" style="2" bestFit="1" customWidth="1"/>
    <col min="6925" max="6925" width="9" style="2"/>
    <col min="6926" max="6926" width="9.625" style="2" bestFit="1" customWidth="1"/>
    <col min="6927" max="7153" width="9" style="2"/>
    <col min="7154" max="7154" width="2.375" style="2" customWidth="1"/>
    <col min="7155" max="7155" width="13.25" style="2" bestFit="1" customWidth="1"/>
    <col min="7156" max="7156" width="11.125" style="2" bestFit="1" customWidth="1"/>
    <col min="7157" max="7157" width="13.25" style="2" bestFit="1" customWidth="1"/>
    <col min="7158" max="7158" width="11.125" style="2" bestFit="1" customWidth="1"/>
    <col min="7159" max="7159" width="9" style="2"/>
    <col min="7160" max="7170" width="11.125" style="2" bestFit="1" customWidth="1"/>
    <col min="7171" max="7171" width="9" style="2"/>
    <col min="7172" max="7173" width="11.125" style="2" bestFit="1" customWidth="1"/>
    <col min="7174" max="7175" width="9" style="2"/>
    <col min="7176" max="7180" width="11.125" style="2" bestFit="1" customWidth="1"/>
    <col min="7181" max="7181" width="9" style="2"/>
    <col min="7182" max="7182" width="9.625" style="2" bestFit="1" customWidth="1"/>
    <col min="7183" max="7409" width="9" style="2"/>
    <col min="7410" max="7410" width="2.375" style="2" customWidth="1"/>
    <col min="7411" max="7411" width="13.25" style="2" bestFit="1" customWidth="1"/>
    <col min="7412" max="7412" width="11.125" style="2" bestFit="1" customWidth="1"/>
    <col min="7413" max="7413" width="13.25" style="2" bestFit="1" customWidth="1"/>
    <col min="7414" max="7414" width="11.125" style="2" bestFit="1" customWidth="1"/>
    <col min="7415" max="7415" width="9" style="2"/>
    <col min="7416" max="7426" width="11.125" style="2" bestFit="1" customWidth="1"/>
    <col min="7427" max="7427" width="9" style="2"/>
    <col min="7428" max="7429" width="11.125" style="2" bestFit="1" customWidth="1"/>
    <col min="7430" max="7431" width="9" style="2"/>
    <col min="7432" max="7436" width="11.125" style="2" bestFit="1" customWidth="1"/>
    <col min="7437" max="7437" width="9" style="2"/>
    <col min="7438" max="7438" width="9.625" style="2" bestFit="1" customWidth="1"/>
    <col min="7439" max="7665" width="9" style="2"/>
    <col min="7666" max="7666" width="2.375" style="2" customWidth="1"/>
    <col min="7667" max="7667" width="13.25" style="2" bestFit="1" customWidth="1"/>
    <col min="7668" max="7668" width="11.125" style="2" bestFit="1" customWidth="1"/>
    <col min="7669" max="7669" width="13.25" style="2" bestFit="1" customWidth="1"/>
    <col min="7670" max="7670" width="11.125" style="2" bestFit="1" customWidth="1"/>
    <col min="7671" max="7671" width="9" style="2"/>
    <col min="7672" max="7682" width="11.125" style="2" bestFit="1" customWidth="1"/>
    <col min="7683" max="7683" width="9" style="2"/>
    <col min="7684" max="7685" width="11.125" style="2" bestFit="1" customWidth="1"/>
    <col min="7686" max="7687" width="9" style="2"/>
    <col min="7688" max="7692" width="11.125" style="2" bestFit="1" customWidth="1"/>
    <col min="7693" max="7693" width="9" style="2"/>
    <col min="7694" max="7694" width="9.625" style="2" bestFit="1" customWidth="1"/>
    <col min="7695" max="7921" width="9" style="2"/>
    <col min="7922" max="7922" width="2.375" style="2" customWidth="1"/>
    <col min="7923" max="7923" width="13.25" style="2" bestFit="1" customWidth="1"/>
    <col min="7924" max="7924" width="11.125" style="2" bestFit="1" customWidth="1"/>
    <col min="7925" max="7925" width="13.25" style="2" bestFit="1" customWidth="1"/>
    <col min="7926" max="7926" width="11.125" style="2" bestFit="1" customWidth="1"/>
    <col min="7927" max="7927" width="9" style="2"/>
    <col min="7928" max="7938" width="11.125" style="2" bestFit="1" customWidth="1"/>
    <col min="7939" max="7939" width="9" style="2"/>
    <col min="7940" max="7941" width="11.125" style="2" bestFit="1" customWidth="1"/>
    <col min="7942" max="7943" width="9" style="2"/>
    <col min="7944" max="7948" width="11.125" style="2" bestFit="1" customWidth="1"/>
    <col min="7949" max="7949" width="9" style="2"/>
    <col min="7950" max="7950" width="9.625" style="2" bestFit="1" customWidth="1"/>
    <col min="7951" max="8177" width="9" style="2"/>
    <col min="8178" max="8178" width="2.375" style="2" customWidth="1"/>
    <col min="8179" max="8179" width="13.25" style="2" bestFit="1" customWidth="1"/>
    <col min="8180" max="8180" width="11.125" style="2" bestFit="1" customWidth="1"/>
    <col min="8181" max="8181" width="13.25" style="2" bestFit="1" customWidth="1"/>
    <col min="8182" max="8182" width="11.125" style="2" bestFit="1" customWidth="1"/>
    <col min="8183" max="8183" width="9" style="2"/>
    <col min="8184" max="8194" width="11.125" style="2" bestFit="1" customWidth="1"/>
    <col min="8195" max="8195" width="9" style="2"/>
    <col min="8196" max="8197" width="11.125" style="2" bestFit="1" customWidth="1"/>
    <col min="8198" max="8199" width="9" style="2"/>
    <col min="8200" max="8204" width="11.125" style="2" bestFit="1" customWidth="1"/>
    <col min="8205" max="8205" width="9" style="2"/>
    <col min="8206" max="8206" width="9.625" style="2" bestFit="1" customWidth="1"/>
    <col min="8207" max="8433" width="9" style="2"/>
    <col min="8434" max="8434" width="2.375" style="2" customWidth="1"/>
    <col min="8435" max="8435" width="13.25" style="2" bestFit="1" customWidth="1"/>
    <col min="8436" max="8436" width="11.125" style="2" bestFit="1" customWidth="1"/>
    <col min="8437" max="8437" width="13.25" style="2" bestFit="1" customWidth="1"/>
    <col min="8438" max="8438" width="11.125" style="2" bestFit="1" customWidth="1"/>
    <col min="8439" max="8439" width="9" style="2"/>
    <col min="8440" max="8450" width="11.125" style="2" bestFit="1" customWidth="1"/>
    <col min="8451" max="8451" width="9" style="2"/>
    <col min="8452" max="8453" width="11.125" style="2" bestFit="1" customWidth="1"/>
    <col min="8454" max="8455" width="9" style="2"/>
    <col min="8456" max="8460" width="11.125" style="2" bestFit="1" customWidth="1"/>
    <col min="8461" max="8461" width="9" style="2"/>
    <col min="8462" max="8462" width="9.625" style="2" bestFit="1" customWidth="1"/>
    <col min="8463" max="8689" width="9" style="2"/>
    <col min="8690" max="8690" width="2.375" style="2" customWidth="1"/>
    <col min="8691" max="8691" width="13.25" style="2" bestFit="1" customWidth="1"/>
    <col min="8692" max="8692" width="11.125" style="2" bestFit="1" customWidth="1"/>
    <col min="8693" max="8693" width="13.25" style="2" bestFit="1" customWidth="1"/>
    <col min="8694" max="8694" width="11.125" style="2" bestFit="1" customWidth="1"/>
    <col min="8695" max="8695" width="9" style="2"/>
    <col min="8696" max="8706" width="11.125" style="2" bestFit="1" customWidth="1"/>
    <col min="8707" max="8707" width="9" style="2"/>
    <col min="8708" max="8709" width="11.125" style="2" bestFit="1" customWidth="1"/>
    <col min="8710" max="8711" width="9" style="2"/>
    <col min="8712" max="8716" width="11.125" style="2" bestFit="1" customWidth="1"/>
    <col min="8717" max="8717" width="9" style="2"/>
    <col min="8718" max="8718" width="9.625" style="2" bestFit="1" customWidth="1"/>
    <col min="8719" max="8945" width="9" style="2"/>
    <col min="8946" max="8946" width="2.375" style="2" customWidth="1"/>
    <col min="8947" max="8947" width="13.25" style="2" bestFit="1" customWidth="1"/>
    <col min="8948" max="8948" width="11.125" style="2" bestFit="1" customWidth="1"/>
    <col min="8949" max="8949" width="13.25" style="2" bestFit="1" customWidth="1"/>
    <col min="8950" max="8950" width="11.125" style="2" bestFit="1" customWidth="1"/>
    <col min="8951" max="8951" width="9" style="2"/>
    <col min="8952" max="8962" width="11.125" style="2" bestFit="1" customWidth="1"/>
    <col min="8963" max="8963" width="9" style="2"/>
    <col min="8964" max="8965" width="11.125" style="2" bestFit="1" customWidth="1"/>
    <col min="8966" max="8967" width="9" style="2"/>
    <col min="8968" max="8972" width="11.125" style="2" bestFit="1" customWidth="1"/>
    <col min="8973" max="8973" width="9" style="2"/>
    <col min="8974" max="8974" width="9.625" style="2" bestFit="1" customWidth="1"/>
    <col min="8975" max="9201" width="9" style="2"/>
    <col min="9202" max="9202" width="2.375" style="2" customWidth="1"/>
    <col min="9203" max="9203" width="13.25" style="2" bestFit="1" customWidth="1"/>
    <col min="9204" max="9204" width="11.125" style="2" bestFit="1" customWidth="1"/>
    <col min="9205" max="9205" width="13.25" style="2" bestFit="1" customWidth="1"/>
    <col min="9206" max="9206" width="11.125" style="2" bestFit="1" customWidth="1"/>
    <col min="9207" max="9207" width="9" style="2"/>
    <col min="9208" max="9218" width="11.125" style="2" bestFit="1" customWidth="1"/>
    <col min="9219" max="9219" width="9" style="2"/>
    <col min="9220" max="9221" width="11.125" style="2" bestFit="1" customWidth="1"/>
    <col min="9222" max="9223" width="9" style="2"/>
    <col min="9224" max="9228" width="11.125" style="2" bestFit="1" customWidth="1"/>
    <col min="9229" max="9229" width="9" style="2"/>
    <col min="9230" max="9230" width="9.625" style="2" bestFit="1" customWidth="1"/>
    <col min="9231" max="9457" width="9" style="2"/>
    <col min="9458" max="9458" width="2.375" style="2" customWidth="1"/>
    <col min="9459" max="9459" width="13.25" style="2" bestFit="1" customWidth="1"/>
    <col min="9460" max="9460" width="11.125" style="2" bestFit="1" customWidth="1"/>
    <col min="9461" max="9461" width="13.25" style="2" bestFit="1" customWidth="1"/>
    <col min="9462" max="9462" width="11.125" style="2" bestFit="1" customWidth="1"/>
    <col min="9463" max="9463" width="9" style="2"/>
    <col min="9464" max="9474" width="11.125" style="2" bestFit="1" customWidth="1"/>
    <col min="9475" max="9475" width="9" style="2"/>
    <col min="9476" max="9477" width="11.125" style="2" bestFit="1" customWidth="1"/>
    <col min="9478" max="9479" width="9" style="2"/>
    <col min="9480" max="9484" width="11.125" style="2" bestFit="1" customWidth="1"/>
    <col min="9485" max="9485" width="9" style="2"/>
    <col min="9486" max="9486" width="9.625" style="2" bestFit="1" customWidth="1"/>
    <col min="9487" max="9713" width="9" style="2"/>
    <col min="9714" max="9714" width="2.375" style="2" customWidth="1"/>
    <col min="9715" max="9715" width="13.25" style="2" bestFit="1" customWidth="1"/>
    <col min="9716" max="9716" width="11.125" style="2" bestFit="1" customWidth="1"/>
    <col min="9717" max="9717" width="13.25" style="2" bestFit="1" customWidth="1"/>
    <col min="9718" max="9718" width="11.125" style="2" bestFit="1" customWidth="1"/>
    <col min="9719" max="9719" width="9" style="2"/>
    <col min="9720" max="9730" width="11.125" style="2" bestFit="1" customWidth="1"/>
    <col min="9731" max="9731" width="9" style="2"/>
    <col min="9732" max="9733" width="11.125" style="2" bestFit="1" customWidth="1"/>
    <col min="9734" max="9735" width="9" style="2"/>
    <col min="9736" max="9740" width="11.125" style="2" bestFit="1" customWidth="1"/>
    <col min="9741" max="9741" width="9" style="2"/>
    <col min="9742" max="9742" width="9.625" style="2" bestFit="1" customWidth="1"/>
    <col min="9743" max="9969" width="9" style="2"/>
    <col min="9970" max="9970" width="2.375" style="2" customWidth="1"/>
    <col min="9971" max="9971" width="13.25" style="2" bestFit="1" customWidth="1"/>
    <col min="9972" max="9972" width="11.125" style="2" bestFit="1" customWidth="1"/>
    <col min="9973" max="9973" width="13.25" style="2" bestFit="1" customWidth="1"/>
    <col min="9974" max="9974" width="11.125" style="2" bestFit="1" customWidth="1"/>
    <col min="9975" max="9975" width="9" style="2"/>
    <col min="9976" max="9986" width="11.125" style="2" bestFit="1" customWidth="1"/>
    <col min="9987" max="9987" width="9" style="2"/>
    <col min="9988" max="9989" width="11.125" style="2" bestFit="1" customWidth="1"/>
    <col min="9990" max="9991" width="9" style="2"/>
    <col min="9992" max="9996" width="11.125" style="2" bestFit="1" customWidth="1"/>
    <col min="9997" max="9997" width="9" style="2"/>
    <col min="9998" max="9998" width="9.625" style="2" bestFit="1" customWidth="1"/>
    <col min="9999" max="10225" width="9" style="2"/>
    <col min="10226" max="10226" width="2.375" style="2" customWidth="1"/>
    <col min="10227" max="10227" width="13.25" style="2" bestFit="1" customWidth="1"/>
    <col min="10228" max="10228" width="11.125" style="2" bestFit="1" customWidth="1"/>
    <col min="10229" max="10229" width="13.25" style="2" bestFit="1" customWidth="1"/>
    <col min="10230" max="10230" width="11.125" style="2" bestFit="1" customWidth="1"/>
    <col min="10231" max="10231" width="9" style="2"/>
    <col min="10232" max="10242" width="11.125" style="2" bestFit="1" customWidth="1"/>
    <col min="10243" max="10243" width="9" style="2"/>
    <col min="10244" max="10245" width="11.125" style="2" bestFit="1" customWidth="1"/>
    <col min="10246" max="10247" width="9" style="2"/>
    <col min="10248" max="10252" width="11.125" style="2" bestFit="1" customWidth="1"/>
    <col min="10253" max="10253" width="9" style="2"/>
    <col min="10254" max="10254" width="9.625" style="2" bestFit="1" customWidth="1"/>
    <col min="10255" max="10481" width="9" style="2"/>
    <col min="10482" max="10482" width="2.375" style="2" customWidth="1"/>
    <col min="10483" max="10483" width="13.25" style="2" bestFit="1" customWidth="1"/>
    <col min="10484" max="10484" width="11.125" style="2" bestFit="1" customWidth="1"/>
    <col min="10485" max="10485" width="13.25" style="2" bestFit="1" customWidth="1"/>
    <col min="10486" max="10486" width="11.125" style="2" bestFit="1" customWidth="1"/>
    <col min="10487" max="10487" width="9" style="2"/>
    <col min="10488" max="10498" width="11.125" style="2" bestFit="1" customWidth="1"/>
    <col min="10499" max="10499" width="9" style="2"/>
    <col min="10500" max="10501" width="11.125" style="2" bestFit="1" customWidth="1"/>
    <col min="10502" max="10503" width="9" style="2"/>
    <col min="10504" max="10508" width="11.125" style="2" bestFit="1" customWidth="1"/>
    <col min="10509" max="10509" width="9" style="2"/>
    <col min="10510" max="10510" width="9.625" style="2" bestFit="1" customWidth="1"/>
    <col min="10511" max="10737" width="9" style="2"/>
    <col min="10738" max="10738" width="2.375" style="2" customWidth="1"/>
    <col min="10739" max="10739" width="13.25" style="2" bestFit="1" customWidth="1"/>
    <col min="10740" max="10740" width="11.125" style="2" bestFit="1" customWidth="1"/>
    <col min="10741" max="10741" width="13.25" style="2" bestFit="1" customWidth="1"/>
    <col min="10742" max="10742" width="11.125" style="2" bestFit="1" customWidth="1"/>
    <col min="10743" max="10743" width="9" style="2"/>
    <col min="10744" max="10754" width="11.125" style="2" bestFit="1" customWidth="1"/>
    <col min="10755" max="10755" width="9" style="2"/>
    <col min="10756" max="10757" width="11.125" style="2" bestFit="1" customWidth="1"/>
    <col min="10758" max="10759" width="9" style="2"/>
    <col min="10760" max="10764" width="11.125" style="2" bestFit="1" customWidth="1"/>
    <col min="10765" max="10765" width="9" style="2"/>
    <col min="10766" max="10766" width="9.625" style="2" bestFit="1" customWidth="1"/>
    <col min="10767" max="10993" width="9" style="2"/>
    <col min="10994" max="10994" width="2.375" style="2" customWidth="1"/>
    <col min="10995" max="10995" width="13.25" style="2" bestFit="1" customWidth="1"/>
    <col min="10996" max="10996" width="11.125" style="2" bestFit="1" customWidth="1"/>
    <col min="10997" max="10997" width="13.25" style="2" bestFit="1" customWidth="1"/>
    <col min="10998" max="10998" width="11.125" style="2" bestFit="1" customWidth="1"/>
    <col min="10999" max="10999" width="9" style="2"/>
    <col min="11000" max="11010" width="11.125" style="2" bestFit="1" customWidth="1"/>
    <col min="11011" max="11011" width="9" style="2"/>
    <col min="11012" max="11013" width="11.125" style="2" bestFit="1" customWidth="1"/>
    <col min="11014" max="11015" width="9" style="2"/>
    <col min="11016" max="11020" width="11.125" style="2" bestFit="1" customWidth="1"/>
    <col min="11021" max="11021" width="9" style="2"/>
    <col min="11022" max="11022" width="9.625" style="2" bestFit="1" customWidth="1"/>
    <col min="11023" max="11249" width="9" style="2"/>
    <col min="11250" max="11250" width="2.375" style="2" customWidth="1"/>
    <col min="11251" max="11251" width="13.25" style="2" bestFit="1" customWidth="1"/>
    <col min="11252" max="11252" width="11.125" style="2" bestFit="1" customWidth="1"/>
    <col min="11253" max="11253" width="13.25" style="2" bestFit="1" customWidth="1"/>
    <col min="11254" max="11254" width="11.125" style="2" bestFit="1" customWidth="1"/>
    <col min="11255" max="11255" width="9" style="2"/>
    <col min="11256" max="11266" width="11.125" style="2" bestFit="1" customWidth="1"/>
    <col min="11267" max="11267" width="9" style="2"/>
    <col min="11268" max="11269" width="11.125" style="2" bestFit="1" customWidth="1"/>
    <col min="11270" max="11271" width="9" style="2"/>
    <col min="11272" max="11276" width="11.125" style="2" bestFit="1" customWidth="1"/>
    <col min="11277" max="11277" width="9" style="2"/>
    <col min="11278" max="11278" width="9.625" style="2" bestFit="1" customWidth="1"/>
    <col min="11279" max="11505" width="9" style="2"/>
    <col min="11506" max="11506" width="2.375" style="2" customWidth="1"/>
    <col min="11507" max="11507" width="13.25" style="2" bestFit="1" customWidth="1"/>
    <col min="11508" max="11508" width="11.125" style="2" bestFit="1" customWidth="1"/>
    <col min="11509" max="11509" width="13.25" style="2" bestFit="1" customWidth="1"/>
    <col min="11510" max="11510" width="11.125" style="2" bestFit="1" customWidth="1"/>
    <col min="11511" max="11511" width="9" style="2"/>
    <col min="11512" max="11522" width="11.125" style="2" bestFit="1" customWidth="1"/>
    <col min="11523" max="11523" width="9" style="2"/>
    <col min="11524" max="11525" width="11.125" style="2" bestFit="1" customWidth="1"/>
    <col min="11526" max="11527" width="9" style="2"/>
    <col min="11528" max="11532" width="11.125" style="2" bestFit="1" customWidth="1"/>
    <col min="11533" max="11533" width="9" style="2"/>
    <col min="11534" max="11534" width="9.625" style="2" bestFit="1" customWidth="1"/>
    <col min="11535" max="11761" width="9" style="2"/>
    <col min="11762" max="11762" width="2.375" style="2" customWidth="1"/>
    <col min="11763" max="11763" width="13.25" style="2" bestFit="1" customWidth="1"/>
    <col min="11764" max="11764" width="11.125" style="2" bestFit="1" customWidth="1"/>
    <col min="11765" max="11765" width="13.25" style="2" bestFit="1" customWidth="1"/>
    <col min="11766" max="11766" width="11.125" style="2" bestFit="1" customWidth="1"/>
    <col min="11767" max="11767" width="9" style="2"/>
    <col min="11768" max="11778" width="11.125" style="2" bestFit="1" customWidth="1"/>
    <col min="11779" max="11779" width="9" style="2"/>
    <col min="11780" max="11781" width="11.125" style="2" bestFit="1" customWidth="1"/>
    <col min="11782" max="11783" width="9" style="2"/>
    <col min="11784" max="11788" width="11.125" style="2" bestFit="1" customWidth="1"/>
    <col min="11789" max="11789" width="9" style="2"/>
    <col min="11790" max="11790" width="9.625" style="2" bestFit="1" customWidth="1"/>
    <col min="11791" max="12017" width="9" style="2"/>
    <col min="12018" max="12018" width="2.375" style="2" customWidth="1"/>
    <col min="12019" max="12019" width="13.25" style="2" bestFit="1" customWidth="1"/>
    <col min="12020" max="12020" width="11.125" style="2" bestFit="1" customWidth="1"/>
    <col min="12021" max="12021" width="13.25" style="2" bestFit="1" customWidth="1"/>
    <col min="12022" max="12022" width="11.125" style="2" bestFit="1" customWidth="1"/>
    <col min="12023" max="12023" width="9" style="2"/>
    <col min="12024" max="12034" width="11.125" style="2" bestFit="1" customWidth="1"/>
    <col min="12035" max="12035" width="9" style="2"/>
    <col min="12036" max="12037" width="11.125" style="2" bestFit="1" customWidth="1"/>
    <col min="12038" max="12039" width="9" style="2"/>
    <col min="12040" max="12044" width="11.125" style="2" bestFit="1" customWidth="1"/>
    <col min="12045" max="12045" width="9" style="2"/>
    <col min="12046" max="12046" width="9.625" style="2" bestFit="1" customWidth="1"/>
    <col min="12047" max="12273" width="9" style="2"/>
    <col min="12274" max="12274" width="2.375" style="2" customWidth="1"/>
    <col min="12275" max="12275" width="13.25" style="2" bestFit="1" customWidth="1"/>
    <col min="12276" max="12276" width="11.125" style="2" bestFit="1" customWidth="1"/>
    <col min="12277" max="12277" width="13.25" style="2" bestFit="1" customWidth="1"/>
    <col min="12278" max="12278" width="11.125" style="2" bestFit="1" customWidth="1"/>
    <col min="12279" max="12279" width="9" style="2"/>
    <col min="12280" max="12290" width="11.125" style="2" bestFit="1" customWidth="1"/>
    <col min="12291" max="12291" width="9" style="2"/>
    <col min="12292" max="12293" width="11.125" style="2" bestFit="1" customWidth="1"/>
    <col min="12294" max="12295" width="9" style="2"/>
    <col min="12296" max="12300" width="11.125" style="2" bestFit="1" customWidth="1"/>
    <col min="12301" max="12301" width="9" style="2"/>
    <col min="12302" max="12302" width="9.625" style="2" bestFit="1" customWidth="1"/>
    <col min="12303" max="12529" width="9" style="2"/>
    <col min="12530" max="12530" width="2.375" style="2" customWidth="1"/>
    <col min="12531" max="12531" width="13.25" style="2" bestFit="1" customWidth="1"/>
    <col min="12532" max="12532" width="11.125" style="2" bestFit="1" customWidth="1"/>
    <col min="12533" max="12533" width="13.25" style="2" bestFit="1" customWidth="1"/>
    <col min="12534" max="12534" width="11.125" style="2" bestFit="1" customWidth="1"/>
    <col min="12535" max="12535" width="9" style="2"/>
    <col min="12536" max="12546" width="11.125" style="2" bestFit="1" customWidth="1"/>
    <col min="12547" max="12547" width="9" style="2"/>
    <col min="12548" max="12549" width="11.125" style="2" bestFit="1" customWidth="1"/>
    <col min="12550" max="12551" width="9" style="2"/>
    <col min="12552" max="12556" width="11.125" style="2" bestFit="1" customWidth="1"/>
    <col min="12557" max="12557" width="9" style="2"/>
    <col min="12558" max="12558" width="9.625" style="2" bestFit="1" customWidth="1"/>
    <col min="12559" max="12785" width="9" style="2"/>
    <col min="12786" max="12786" width="2.375" style="2" customWidth="1"/>
    <col min="12787" max="12787" width="13.25" style="2" bestFit="1" customWidth="1"/>
    <col min="12788" max="12788" width="11.125" style="2" bestFit="1" customWidth="1"/>
    <col min="12789" max="12789" width="13.25" style="2" bestFit="1" customWidth="1"/>
    <col min="12790" max="12790" width="11.125" style="2" bestFit="1" customWidth="1"/>
    <col min="12791" max="12791" width="9" style="2"/>
    <col min="12792" max="12802" width="11.125" style="2" bestFit="1" customWidth="1"/>
    <col min="12803" max="12803" width="9" style="2"/>
    <col min="12804" max="12805" width="11.125" style="2" bestFit="1" customWidth="1"/>
    <col min="12806" max="12807" width="9" style="2"/>
    <col min="12808" max="12812" width="11.125" style="2" bestFit="1" customWidth="1"/>
    <col min="12813" max="12813" width="9" style="2"/>
    <col min="12814" max="12814" width="9.625" style="2" bestFit="1" customWidth="1"/>
    <col min="12815" max="13041" width="9" style="2"/>
    <col min="13042" max="13042" width="2.375" style="2" customWidth="1"/>
    <col min="13043" max="13043" width="13.25" style="2" bestFit="1" customWidth="1"/>
    <col min="13044" max="13044" width="11.125" style="2" bestFit="1" customWidth="1"/>
    <col min="13045" max="13045" width="13.25" style="2" bestFit="1" customWidth="1"/>
    <col min="13046" max="13046" width="11.125" style="2" bestFit="1" customWidth="1"/>
    <col min="13047" max="13047" width="9" style="2"/>
    <col min="13048" max="13058" width="11.125" style="2" bestFit="1" customWidth="1"/>
    <col min="13059" max="13059" width="9" style="2"/>
    <col min="13060" max="13061" width="11.125" style="2" bestFit="1" customWidth="1"/>
    <col min="13062" max="13063" width="9" style="2"/>
    <col min="13064" max="13068" width="11.125" style="2" bestFit="1" customWidth="1"/>
    <col min="13069" max="13069" width="9" style="2"/>
    <col min="13070" max="13070" width="9.625" style="2" bestFit="1" customWidth="1"/>
    <col min="13071" max="13297" width="9" style="2"/>
    <col min="13298" max="13298" width="2.375" style="2" customWidth="1"/>
    <col min="13299" max="13299" width="13.25" style="2" bestFit="1" customWidth="1"/>
    <col min="13300" max="13300" width="11.125" style="2" bestFit="1" customWidth="1"/>
    <col min="13301" max="13301" width="13.25" style="2" bestFit="1" customWidth="1"/>
    <col min="13302" max="13302" width="11.125" style="2" bestFit="1" customWidth="1"/>
    <col min="13303" max="13303" width="9" style="2"/>
    <col min="13304" max="13314" width="11.125" style="2" bestFit="1" customWidth="1"/>
    <col min="13315" max="13315" width="9" style="2"/>
    <col min="13316" max="13317" width="11.125" style="2" bestFit="1" customWidth="1"/>
    <col min="13318" max="13319" width="9" style="2"/>
    <col min="13320" max="13324" width="11.125" style="2" bestFit="1" customWidth="1"/>
    <col min="13325" max="13325" width="9" style="2"/>
    <col min="13326" max="13326" width="9.625" style="2" bestFit="1" customWidth="1"/>
    <col min="13327" max="13553" width="9" style="2"/>
    <col min="13554" max="13554" width="2.375" style="2" customWidth="1"/>
    <col min="13555" max="13555" width="13.25" style="2" bestFit="1" customWidth="1"/>
    <col min="13556" max="13556" width="11.125" style="2" bestFit="1" customWidth="1"/>
    <col min="13557" max="13557" width="13.25" style="2" bestFit="1" customWidth="1"/>
    <col min="13558" max="13558" width="11.125" style="2" bestFit="1" customWidth="1"/>
    <col min="13559" max="13559" width="9" style="2"/>
    <col min="13560" max="13570" width="11.125" style="2" bestFit="1" customWidth="1"/>
    <col min="13571" max="13571" width="9" style="2"/>
    <col min="13572" max="13573" width="11.125" style="2" bestFit="1" customWidth="1"/>
    <col min="13574" max="13575" width="9" style="2"/>
    <col min="13576" max="13580" width="11.125" style="2" bestFit="1" customWidth="1"/>
    <col min="13581" max="13581" width="9" style="2"/>
    <col min="13582" max="13582" width="9.625" style="2" bestFit="1" customWidth="1"/>
    <col min="13583" max="13809" width="9" style="2"/>
    <col min="13810" max="13810" width="2.375" style="2" customWidth="1"/>
    <col min="13811" max="13811" width="13.25" style="2" bestFit="1" customWidth="1"/>
    <col min="13812" max="13812" width="11.125" style="2" bestFit="1" customWidth="1"/>
    <col min="13813" max="13813" width="13.25" style="2" bestFit="1" customWidth="1"/>
    <col min="13814" max="13814" width="11.125" style="2" bestFit="1" customWidth="1"/>
    <col min="13815" max="13815" width="9" style="2"/>
    <col min="13816" max="13826" width="11.125" style="2" bestFit="1" customWidth="1"/>
    <col min="13827" max="13827" width="9" style="2"/>
    <col min="13828" max="13829" width="11.125" style="2" bestFit="1" customWidth="1"/>
    <col min="13830" max="13831" width="9" style="2"/>
    <col min="13832" max="13836" width="11.125" style="2" bestFit="1" customWidth="1"/>
    <col min="13837" max="13837" width="9" style="2"/>
    <col min="13838" max="13838" width="9.625" style="2" bestFit="1" customWidth="1"/>
    <col min="13839" max="14065" width="9" style="2"/>
    <col min="14066" max="14066" width="2.375" style="2" customWidth="1"/>
    <col min="14067" max="14067" width="13.25" style="2" bestFit="1" customWidth="1"/>
    <col min="14068" max="14068" width="11.125" style="2" bestFit="1" customWidth="1"/>
    <col min="14069" max="14069" width="13.25" style="2" bestFit="1" customWidth="1"/>
    <col min="14070" max="14070" width="11.125" style="2" bestFit="1" customWidth="1"/>
    <col min="14071" max="14071" width="9" style="2"/>
    <col min="14072" max="14082" width="11.125" style="2" bestFit="1" customWidth="1"/>
    <col min="14083" max="14083" width="9" style="2"/>
    <col min="14084" max="14085" width="11.125" style="2" bestFit="1" customWidth="1"/>
    <col min="14086" max="14087" width="9" style="2"/>
    <col min="14088" max="14092" width="11.125" style="2" bestFit="1" customWidth="1"/>
    <col min="14093" max="14093" width="9" style="2"/>
    <col min="14094" max="14094" width="9.625" style="2" bestFit="1" customWidth="1"/>
    <col min="14095" max="14321" width="9" style="2"/>
    <col min="14322" max="14322" width="2.375" style="2" customWidth="1"/>
    <col min="14323" max="14323" width="13.25" style="2" bestFit="1" customWidth="1"/>
    <col min="14324" max="14324" width="11.125" style="2" bestFit="1" customWidth="1"/>
    <col min="14325" max="14325" width="13.25" style="2" bestFit="1" customWidth="1"/>
    <col min="14326" max="14326" width="11.125" style="2" bestFit="1" customWidth="1"/>
    <col min="14327" max="14327" width="9" style="2"/>
    <col min="14328" max="14338" width="11.125" style="2" bestFit="1" customWidth="1"/>
    <col min="14339" max="14339" width="9" style="2"/>
    <col min="14340" max="14341" width="11.125" style="2" bestFit="1" customWidth="1"/>
    <col min="14342" max="14343" width="9" style="2"/>
    <col min="14344" max="14348" width="11.125" style="2" bestFit="1" customWidth="1"/>
    <col min="14349" max="14349" width="9" style="2"/>
    <col min="14350" max="14350" width="9.625" style="2" bestFit="1" customWidth="1"/>
    <col min="14351" max="14577" width="9" style="2"/>
    <col min="14578" max="14578" width="2.375" style="2" customWidth="1"/>
    <col min="14579" max="14579" width="13.25" style="2" bestFit="1" customWidth="1"/>
    <col min="14580" max="14580" width="11.125" style="2" bestFit="1" customWidth="1"/>
    <col min="14581" max="14581" width="13.25" style="2" bestFit="1" customWidth="1"/>
    <col min="14582" max="14582" width="11.125" style="2" bestFit="1" customWidth="1"/>
    <col min="14583" max="14583" width="9" style="2"/>
    <col min="14584" max="14594" width="11.125" style="2" bestFit="1" customWidth="1"/>
    <col min="14595" max="14595" width="9" style="2"/>
    <col min="14596" max="14597" width="11.125" style="2" bestFit="1" customWidth="1"/>
    <col min="14598" max="14599" width="9" style="2"/>
    <col min="14600" max="14604" width="11.125" style="2" bestFit="1" customWidth="1"/>
    <col min="14605" max="14605" width="9" style="2"/>
    <col min="14606" max="14606" width="9.625" style="2" bestFit="1" customWidth="1"/>
    <col min="14607" max="14833" width="9" style="2"/>
    <col min="14834" max="14834" width="2.375" style="2" customWidth="1"/>
    <col min="14835" max="14835" width="13.25" style="2" bestFit="1" customWidth="1"/>
    <col min="14836" max="14836" width="11.125" style="2" bestFit="1" customWidth="1"/>
    <col min="14837" max="14837" width="13.25" style="2" bestFit="1" customWidth="1"/>
    <col min="14838" max="14838" width="11.125" style="2" bestFit="1" customWidth="1"/>
    <col min="14839" max="14839" width="9" style="2"/>
    <col min="14840" max="14850" width="11.125" style="2" bestFit="1" customWidth="1"/>
    <col min="14851" max="14851" width="9" style="2"/>
    <col min="14852" max="14853" width="11.125" style="2" bestFit="1" customWidth="1"/>
    <col min="14854" max="14855" width="9" style="2"/>
    <col min="14856" max="14860" width="11.125" style="2" bestFit="1" customWidth="1"/>
    <col min="14861" max="14861" width="9" style="2"/>
    <col min="14862" max="14862" width="9.625" style="2" bestFit="1" customWidth="1"/>
    <col min="14863" max="15089" width="9" style="2"/>
    <col min="15090" max="15090" width="2.375" style="2" customWidth="1"/>
    <col min="15091" max="15091" width="13.25" style="2" bestFit="1" customWidth="1"/>
    <col min="15092" max="15092" width="11.125" style="2" bestFit="1" customWidth="1"/>
    <col min="15093" max="15093" width="13.25" style="2" bestFit="1" customWidth="1"/>
    <col min="15094" max="15094" width="11.125" style="2" bestFit="1" customWidth="1"/>
    <col min="15095" max="15095" width="9" style="2"/>
    <col min="15096" max="15106" width="11.125" style="2" bestFit="1" customWidth="1"/>
    <col min="15107" max="15107" width="9" style="2"/>
    <col min="15108" max="15109" width="11.125" style="2" bestFit="1" customWidth="1"/>
    <col min="15110" max="15111" width="9" style="2"/>
    <col min="15112" max="15116" width="11.125" style="2" bestFit="1" customWidth="1"/>
    <col min="15117" max="15117" width="9" style="2"/>
    <col min="15118" max="15118" width="9.625" style="2" bestFit="1" customWidth="1"/>
    <col min="15119" max="15345" width="9" style="2"/>
    <col min="15346" max="15346" width="2.375" style="2" customWidth="1"/>
    <col min="15347" max="15347" width="13.25" style="2" bestFit="1" customWidth="1"/>
    <col min="15348" max="15348" width="11.125" style="2" bestFit="1" customWidth="1"/>
    <col min="15349" max="15349" width="13.25" style="2" bestFit="1" customWidth="1"/>
    <col min="15350" max="15350" width="11.125" style="2" bestFit="1" customWidth="1"/>
    <col min="15351" max="15351" width="9" style="2"/>
    <col min="15352" max="15362" width="11.125" style="2" bestFit="1" customWidth="1"/>
    <col min="15363" max="15363" width="9" style="2"/>
    <col min="15364" max="15365" width="11.125" style="2" bestFit="1" customWidth="1"/>
    <col min="15366" max="15367" width="9" style="2"/>
    <col min="15368" max="15372" width="11.125" style="2" bestFit="1" customWidth="1"/>
    <col min="15373" max="15373" width="9" style="2"/>
    <col min="15374" max="15374" width="9.625" style="2" bestFit="1" customWidth="1"/>
    <col min="15375" max="15601" width="9" style="2"/>
    <col min="15602" max="15602" width="2.375" style="2" customWidth="1"/>
    <col min="15603" max="15603" width="13.25" style="2" bestFit="1" customWidth="1"/>
    <col min="15604" max="15604" width="11.125" style="2" bestFit="1" customWidth="1"/>
    <col min="15605" max="15605" width="13.25" style="2" bestFit="1" customWidth="1"/>
    <col min="15606" max="15606" width="11.125" style="2" bestFit="1" customWidth="1"/>
    <col min="15607" max="15607" width="9" style="2"/>
    <col min="15608" max="15618" width="11.125" style="2" bestFit="1" customWidth="1"/>
    <col min="15619" max="15619" width="9" style="2"/>
    <col min="15620" max="15621" width="11.125" style="2" bestFit="1" customWidth="1"/>
    <col min="15622" max="15623" width="9" style="2"/>
    <col min="15624" max="15628" width="11.125" style="2" bestFit="1" customWidth="1"/>
    <col min="15629" max="15629" width="9" style="2"/>
    <col min="15630" max="15630" width="9.625" style="2" bestFit="1" customWidth="1"/>
    <col min="15631" max="15857" width="9" style="2"/>
    <col min="15858" max="15858" width="2.375" style="2" customWidth="1"/>
    <col min="15859" max="15859" width="13.25" style="2" bestFit="1" customWidth="1"/>
    <col min="15860" max="15860" width="11.125" style="2" bestFit="1" customWidth="1"/>
    <col min="15861" max="15861" width="13.25" style="2" bestFit="1" customWidth="1"/>
    <col min="15862" max="15862" width="11.125" style="2" bestFit="1" customWidth="1"/>
    <col min="15863" max="15863" width="9" style="2"/>
    <col min="15864" max="15874" width="11.125" style="2" bestFit="1" customWidth="1"/>
    <col min="15875" max="15875" width="9" style="2"/>
    <col min="15876" max="15877" width="11.125" style="2" bestFit="1" customWidth="1"/>
    <col min="15878" max="15879" width="9" style="2"/>
    <col min="15880" max="15884" width="11.125" style="2" bestFit="1" customWidth="1"/>
    <col min="15885" max="15885" width="9" style="2"/>
    <col min="15886" max="15886" width="9.625" style="2" bestFit="1" customWidth="1"/>
    <col min="15887" max="16113" width="9" style="2"/>
    <col min="16114" max="16114" width="2.375" style="2" customWidth="1"/>
    <col min="16115" max="16115" width="13.25" style="2" bestFit="1" customWidth="1"/>
    <col min="16116" max="16116" width="11.125" style="2" bestFit="1" customWidth="1"/>
    <col min="16117" max="16117" width="13.25" style="2" bestFit="1" customWidth="1"/>
    <col min="16118" max="16118" width="11.125" style="2" bestFit="1" customWidth="1"/>
    <col min="16119" max="16119" width="9" style="2"/>
    <col min="16120" max="16130" width="11.125" style="2" bestFit="1" customWidth="1"/>
    <col min="16131" max="16131" width="9" style="2"/>
    <col min="16132" max="16133" width="11.125" style="2" bestFit="1" customWidth="1"/>
    <col min="16134" max="16135" width="9" style="2"/>
    <col min="16136" max="16140" width="11.125" style="2" bestFit="1" customWidth="1"/>
    <col min="16141" max="16141" width="9" style="2"/>
    <col min="16142" max="16142" width="9.625" style="2" bestFit="1" customWidth="1"/>
    <col min="16143" max="16384" width="9" style="2"/>
  </cols>
  <sheetData>
    <row r="1" spans="1:16">
      <c r="A1" s="1" t="s">
        <v>0</v>
      </c>
    </row>
    <row r="2" spans="1:16">
      <c r="A2" s="1"/>
    </row>
    <row r="3" spans="1:16">
      <c r="A3" s="1" t="s">
        <v>1</v>
      </c>
    </row>
    <row r="4" spans="1:16">
      <c r="A4" s="1" t="s">
        <v>2</v>
      </c>
    </row>
    <row r="5" spans="1:16">
      <c r="A5" s="1" t="s">
        <v>3</v>
      </c>
    </row>
    <row r="6" spans="1:16" ht="19.5" thickBot="1">
      <c r="A6" s="1" t="s">
        <v>4</v>
      </c>
    </row>
    <row r="7" spans="1:16">
      <c r="B7" s="15"/>
      <c r="C7" s="4" t="s">
        <v>19</v>
      </c>
      <c r="D7" s="4" t="s">
        <v>20</v>
      </c>
      <c r="E7" s="60" t="s">
        <v>21</v>
      </c>
      <c r="F7" s="84" t="s">
        <v>105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60" t="s">
        <v>29</v>
      </c>
      <c r="M7" s="84" t="s">
        <v>105</v>
      </c>
      <c r="N7" s="25" t="s">
        <v>30</v>
      </c>
      <c r="O7" s="83" t="s">
        <v>105</v>
      </c>
      <c r="P7" s="83" t="s">
        <v>58</v>
      </c>
    </row>
    <row r="8" spans="1:16" ht="19.5" thickBot="1">
      <c r="A8" s="3"/>
      <c r="B8" s="36" t="s">
        <v>31</v>
      </c>
      <c r="C8" s="38" t="s">
        <v>46</v>
      </c>
      <c r="D8" s="38" t="s">
        <v>47</v>
      </c>
      <c r="E8" s="61" t="s">
        <v>48</v>
      </c>
      <c r="F8" s="72" t="s">
        <v>106</v>
      </c>
      <c r="G8" s="38" t="s">
        <v>51</v>
      </c>
      <c r="H8" s="38" t="s">
        <v>52</v>
      </c>
      <c r="I8" s="38" t="s">
        <v>53</v>
      </c>
      <c r="J8" s="38" t="s">
        <v>54</v>
      </c>
      <c r="K8" s="38" t="s">
        <v>55</v>
      </c>
      <c r="L8" s="61" t="s">
        <v>56</v>
      </c>
      <c r="M8" s="72" t="s">
        <v>107</v>
      </c>
      <c r="N8" s="39" t="s">
        <v>57</v>
      </c>
      <c r="O8" s="40" t="s">
        <v>108</v>
      </c>
      <c r="P8" s="40" t="s">
        <v>109</v>
      </c>
    </row>
    <row r="9" spans="1:16">
      <c r="A9" s="1" t="s">
        <v>3</v>
      </c>
      <c r="B9" s="31" t="s">
        <v>59</v>
      </c>
      <c r="C9" s="33">
        <v>22</v>
      </c>
      <c r="D9" s="33">
        <v>22</v>
      </c>
      <c r="E9" s="62">
        <v>19</v>
      </c>
      <c r="F9" s="73">
        <f>SUM(C9:E9)</f>
        <v>63</v>
      </c>
      <c r="G9" s="33">
        <v>10</v>
      </c>
      <c r="H9" s="33">
        <v>13</v>
      </c>
      <c r="I9" s="33">
        <v>15</v>
      </c>
      <c r="J9" s="33">
        <v>6</v>
      </c>
      <c r="K9" s="33">
        <v>7</v>
      </c>
      <c r="L9" s="62">
        <v>22</v>
      </c>
      <c r="M9" s="73">
        <f>SUM(G9:L9)</f>
        <v>73</v>
      </c>
      <c r="N9" s="34">
        <v>21</v>
      </c>
      <c r="O9" s="35">
        <f>N9</f>
        <v>21</v>
      </c>
      <c r="P9" s="35">
        <f>O9</f>
        <v>21</v>
      </c>
    </row>
    <row r="10" spans="1:16">
      <c r="A10" s="1" t="s">
        <v>3</v>
      </c>
      <c r="B10" s="16" t="s">
        <v>60</v>
      </c>
      <c r="C10" s="5">
        <v>0</v>
      </c>
      <c r="D10" s="5">
        <v>2</v>
      </c>
      <c r="E10" s="63">
        <v>3</v>
      </c>
      <c r="F10" s="74">
        <f t="shared" ref="F10:F21" si="0">SUM(C10:E10)</f>
        <v>5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63">
        <v>0</v>
      </c>
      <c r="M10" s="74">
        <f t="shared" ref="M10:M21" si="1">SUM(G10:L10)</f>
        <v>0</v>
      </c>
      <c r="N10" s="6">
        <v>0</v>
      </c>
      <c r="O10" s="19">
        <f t="shared" ref="O10:P21" si="2">N10</f>
        <v>0</v>
      </c>
      <c r="P10" s="19">
        <f t="shared" si="2"/>
        <v>0</v>
      </c>
    </row>
    <row r="11" spans="1:16">
      <c r="A11" s="1" t="s">
        <v>3</v>
      </c>
      <c r="B11" s="16" t="s">
        <v>61</v>
      </c>
      <c r="C11" s="5">
        <v>0</v>
      </c>
      <c r="D11" s="5">
        <v>0</v>
      </c>
      <c r="E11" s="63">
        <v>0</v>
      </c>
      <c r="F11" s="74">
        <f t="shared" si="0"/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3">
        <v>0</v>
      </c>
      <c r="M11" s="74">
        <f t="shared" si="1"/>
        <v>0</v>
      </c>
      <c r="N11" s="6">
        <v>0</v>
      </c>
      <c r="O11" s="19">
        <f t="shared" si="2"/>
        <v>0</v>
      </c>
      <c r="P11" s="19">
        <f t="shared" si="2"/>
        <v>0</v>
      </c>
    </row>
    <row r="12" spans="1:16">
      <c r="A12" s="1" t="s">
        <v>3</v>
      </c>
      <c r="B12" s="16" t="s">
        <v>62</v>
      </c>
      <c r="C12" s="5">
        <v>0</v>
      </c>
      <c r="D12" s="5">
        <v>0.5</v>
      </c>
      <c r="E12" s="63">
        <v>3</v>
      </c>
      <c r="F12" s="74">
        <f t="shared" si="0"/>
        <v>3.5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63">
        <v>0</v>
      </c>
      <c r="M12" s="74">
        <f t="shared" si="1"/>
        <v>1</v>
      </c>
      <c r="N12" s="6">
        <v>1</v>
      </c>
      <c r="O12" s="19">
        <f t="shared" si="2"/>
        <v>1</v>
      </c>
      <c r="P12" s="19">
        <f t="shared" si="2"/>
        <v>1</v>
      </c>
    </row>
    <row r="13" spans="1:16">
      <c r="A13" s="1" t="s">
        <v>3</v>
      </c>
      <c r="B13" s="16" t="s">
        <v>63</v>
      </c>
      <c r="C13" s="5">
        <v>0</v>
      </c>
      <c r="D13" s="5">
        <v>0</v>
      </c>
      <c r="E13" s="63">
        <v>0</v>
      </c>
      <c r="F13" s="74">
        <f t="shared" si="0"/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63">
        <v>0</v>
      </c>
      <c r="M13" s="74">
        <f t="shared" si="1"/>
        <v>0</v>
      </c>
      <c r="N13" s="6">
        <v>0</v>
      </c>
      <c r="O13" s="19">
        <f t="shared" si="2"/>
        <v>0</v>
      </c>
      <c r="P13" s="19">
        <f t="shared" si="2"/>
        <v>0</v>
      </c>
    </row>
    <row r="14" spans="1:16">
      <c r="A14" s="1" t="s">
        <v>3</v>
      </c>
      <c r="B14" s="16" t="s">
        <v>64</v>
      </c>
      <c r="C14" s="5">
        <v>0</v>
      </c>
      <c r="D14" s="5">
        <v>0</v>
      </c>
      <c r="E14" s="63">
        <v>0</v>
      </c>
      <c r="F14" s="74">
        <f t="shared" si="0"/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63">
        <v>0</v>
      </c>
      <c r="M14" s="74">
        <f t="shared" si="1"/>
        <v>0</v>
      </c>
      <c r="N14" s="6">
        <v>0</v>
      </c>
      <c r="O14" s="19">
        <f t="shared" si="2"/>
        <v>0</v>
      </c>
      <c r="P14" s="19">
        <f t="shared" si="2"/>
        <v>0</v>
      </c>
    </row>
    <row r="15" spans="1:16">
      <c r="A15" s="1" t="s">
        <v>3</v>
      </c>
      <c r="B15" s="16" t="s">
        <v>65</v>
      </c>
      <c r="C15" s="7">
        <v>0</v>
      </c>
      <c r="D15" s="7">
        <v>0</v>
      </c>
      <c r="E15" s="64">
        <v>0</v>
      </c>
      <c r="F15" s="75">
        <f t="shared" si="0"/>
        <v>0</v>
      </c>
      <c r="G15" s="7">
        <v>2.9583333333333335</v>
      </c>
      <c r="H15" s="7">
        <v>3.2916666666666665</v>
      </c>
      <c r="I15" s="7">
        <v>4.041666666666667</v>
      </c>
      <c r="J15" s="7">
        <v>1.9166666666666665</v>
      </c>
      <c r="K15" s="7">
        <v>2.0416666666666665</v>
      </c>
      <c r="L15" s="64">
        <v>5.625</v>
      </c>
      <c r="M15" s="75">
        <f t="shared" si="1"/>
        <v>19.875</v>
      </c>
      <c r="N15" s="8">
        <v>0</v>
      </c>
      <c r="O15" s="20">
        <f t="shared" si="2"/>
        <v>0</v>
      </c>
      <c r="P15" s="20">
        <f t="shared" si="2"/>
        <v>0</v>
      </c>
    </row>
    <row r="16" spans="1:16">
      <c r="A16" s="1" t="s">
        <v>3</v>
      </c>
      <c r="B16" s="16" t="s">
        <v>66</v>
      </c>
      <c r="C16" s="7">
        <v>0</v>
      </c>
      <c r="D16" s="7">
        <v>0.91666666666666663</v>
      </c>
      <c r="E16" s="64">
        <v>0.33333333333333331</v>
      </c>
      <c r="F16" s="75">
        <f t="shared" si="0"/>
        <v>1.25</v>
      </c>
      <c r="G16" s="7">
        <v>0</v>
      </c>
      <c r="H16" s="7">
        <v>0</v>
      </c>
      <c r="I16" s="7">
        <v>0</v>
      </c>
      <c r="J16" s="7">
        <v>8.3333333333333329E-2</v>
      </c>
      <c r="K16" s="7">
        <v>0</v>
      </c>
      <c r="L16" s="64">
        <v>8.3333333333333329E-2</v>
      </c>
      <c r="M16" s="75">
        <f t="shared" si="1"/>
        <v>0.16666666666666666</v>
      </c>
      <c r="N16" s="8">
        <v>0</v>
      </c>
      <c r="O16" s="20">
        <f t="shared" si="2"/>
        <v>0</v>
      </c>
      <c r="P16" s="20">
        <f t="shared" si="2"/>
        <v>0</v>
      </c>
    </row>
    <row r="17" spans="1:16">
      <c r="A17" s="1" t="s">
        <v>3</v>
      </c>
      <c r="B17" s="16" t="s">
        <v>67</v>
      </c>
      <c r="C17" s="7">
        <v>0</v>
      </c>
      <c r="D17" s="7">
        <v>0.41666666666666669</v>
      </c>
      <c r="E17" s="64">
        <v>0.95833333333333337</v>
      </c>
      <c r="F17" s="75">
        <f t="shared" si="0"/>
        <v>1.375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64">
        <v>0</v>
      </c>
      <c r="M17" s="75">
        <f t="shared" si="1"/>
        <v>0</v>
      </c>
      <c r="N17" s="8">
        <v>0</v>
      </c>
      <c r="O17" s="20">
        <f t="shared" si="2"/>
        <v>0</v>
      </c>
      <c r="P17" s="20">
        <f t="shared" si="2"/>
        <v>0</v>
      </c>
    </row>
    <row r="18" spans="1:16">
      <c r="A18" s="1" t="s">
        <v>3</v>
      </c>
      <c r="B18" s="16" t="s">
        <v>68</v>
      </c>
      <c r="C18" s="7">
        <v>0</v>
      </c>
      <c r="D18" s="7">
        <v>0</v>
      </c>
      <c r="E18" s="64">
        <v>0</v>
      </c>
      <c r="F18" s="75">
        <f t="shared" si="0"/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64">
        <v>0</v>
      </c>
      <c r="M18" s="75">
        <f t="shared" si="1"/>
        <v>0</v>
      </c>
      <c r="N18" s="8">
        <v>0</v>
      </c>
      <c r="O18" s="20">
        <f t="shared" si="2"/>
        <v>0</v>
      </c>
      <c r="P18" s="20">
        <f t="shared" si="2"/>
        <v>0</v>
      </c>
    </row>
    <row r="19" spans="1:16">
      <c r="A19" s="1" t="s">
        <v>3</v>
      </c>
      <c r="B19" s="16" t="s">
        <v>69</v>
      </c>
      <c r="C19" s="7">
        <v>0</v>
      </c>
      <c r="D19" s="7">
        <v>0</v>
      </c>
      <c r="E19" s="64">
        <v>0</v>
      </c>
      <c r="F19" s="75">
        <f t="shared" si="0"/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64">
        <v>0</v>
      </c>
      <c r="M19" s="75">
        <f t="shared" si="1"/>
        <v>0</v>
      </c>
      <c r="N19" s="8">
        <v>0</v>
      </c>
      <c r="O19" s="20">
        <f t="shared" si="2"/>
        <v>0</v>
      </c>
      <c r="P19" s="20">
        <f t="shared" si="2"/>
        <v>0</v>
      </c>
    </row>
    <row r="20" spans="1:16">
      <c r="A20" s="1" t="s">
        <v>3</v>
      </c>
      <c r="B20" s="16" t="s">
        <v>70</v>
      </c>
      <c r="C20" s="7">
        <v>0</v>
      </c>
      <c r="D20" s="7">
        <v>0</v>
      </c>
      <c r="E20" s="64">
        <v>0</v>
      </c>
      <c r="F20" s="75">
        <f t="shared" si="0"/>
        <v>0</v>
      </c>
      <c r="G20" s="7">
        <v>0.29166666666666669</v>
      </c>
      <c r="H20" s="7">
        <v>0</v>
      </c>
      <c r="I20" s="7">
        <v>0</v>
      </c>
      <c r="J20" s="7">
        <v>0</v>
      </c>
      <c r="K20" s="7">
        <v>0</v>
      </c>
      <c r="L20" s="64">
        <v>0</v>
      </c>
      <c r="M20" s="75">
        <f t="shared" si="1"/>
        <v>0.29166666666666669</v>
      </c>
      <c r="N20" s="8">
        <v>0</v>
      </c>
      <c r="O20" s="20">
        <f t="shared" si="2"/>
        <v>0</v>
      </c>
      <c r="P20" s="20">
        <f t="shared" si="2"/>
        <v>0</v>
      </c>
    </row>
    <row r="21" spans="1:16">
      <c r="A21" s="1" t="s">
        <v>3</v>
      </c>
      <c r="B21" s="16" t="s">
        <v>71</v>
      </c>
      <c r="C21" s="7">
        <v>0</v>
      </c>
      <c r="D21" s="7">
        <v>0</v>
      </c>
      <c r="E21" s="64">
        <v>0</v>
      </c>
      <c r="F21" s="75">
        <f t="shared" si="0"/>
        <v>0</v>
      </c>
      <c r="G21" s="7">
        <v>2.0833333333333335</v>
      </c>
      <c r="H21" s="7">
        <v>0</v>
      </c>
      <c r="I21" s="7">
        <v>0</v>
      </c>
      <c r="J21" s="7">
        <v>0.41666666666666669</v>
      </c>
      <c r="K21" s="7">
        <v>1.4583333333333333</v>
      </c>
      <c r="L21" s="64">
        <v>2.2916666666666665</v>
      </c>
      <c r="M21" s="75">
        <f t="shared" si="1"/>
        <v>6.25</v>
      </c>
      <c r="N21" s="8">
        <v>0</v>
      </c>
      <c r="O21" s="20">
        <f t="shared" si="2"/>
        <v>0</v>
      </c>
      <c r="P21" s="20">
        <f t="shared" si="2"/>
        <v>0</v>
      </c>
    </row>
    <row r="22" spans="1:16">
      <c r="A22" s="1" t="s">
        <v>3</v>
      </c>
      <c r="B22" s="45" t="s">
        <v>72</v>
      </c>
      <c r="C22" s="47">
        <v>27.5</v>
      </c>
      <c r="D22" s="47">
        <v>37.5</v>
      </c>
      <c r="E22" s="65">
        <v>9</v>
      </c>
      <c r="F22" s="76"/>
      <c r="G22" s="47">
        <v>3</v>
      </c>
      <c r="H22" s="47">
        <v>21</v>
      </c>
      <c r="I22" s="47">
        <v>21</v>
      </c>
      <c r="J22" s="47">
        <v>6</v>
      </c>
      <c r="K22" s="47">
        <v>18</v>
      </c>
      <c r="L22" s="65">
        <v>6</v>
      </c>
      <c r="M22" s="76"/>
      <c r="N22" s="48">
        <v>33.5</v>
      </c>
      <c r="O22" s="49"/>
      <c r="P22" s="49"/>
    </row>
    <row r="23" spans="1:16">
      <c r="A23" s="1" t="s">
        <v>3</v>
      </c>
      <c r="B23" s="31" t="s">
        <v>73</v>
      </c>
      <c r="C23" s="42">
        <v>380000</v>
      </c>
      <c r="D23" s="42">
        <v>285000</v>
      </c>
      <c r="E23" s="66">
        <v>225000</v>
      </c>
      <c r="F23" s="77">
        <f t="shared" ref="F23:F53" si="3">SUM(C23:E23)</f>
        <v>890000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66">
        <v>0</v>
      </c>
      <c r="M23" s="77">
        <f t="shared" ref="M23:M53" si="4">SUM(G23:L23)</f>
        <v>0</v>
      </c>
      <c r="N23" s="43">
        <v>390000</v>
      </c>
      <c r="O23" s="44">
        <f t="shared" ref="O23:P53" si="5">N23</f>
        <v>390000</v>
      </c>
      <c r="P23" s="44">
        <f t="shared" si="5"/>
        <v>390000</v>
      </c>
    </row>
    <row r="24" spans="1:16">
      <c r="A24" s="1" t="s">
        <v>3</v>
      </c>
      <c r="B24" s="16" t="s">
        <v>74</v>
      </c>
      <c r="C24" s="9">
        <v>0</v>
      </c>
      <c r="D24" s="9">
        <v>0</v>
      </c>
      <c r="E24" s="67">
        <v>0</v>
      </c>
      <c r="F24" s="78">
        <f t="shared" si="3"/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67">
        <v>0</v>
      </c>
      <c r="M24" s="78">
        <f t="shared" si="4"/>
        <v>0</v>
      </c>
      <c r="N24" s="10">
        <v>0</v>
      </c>
      <c r="O24" s="21">
        <f t="shared" si="5"/>
        <v>0</v>
      </c>
      <c r="P24" s="21">
        <f t="shared" si="5"/>
        <v>0</v>
      </c>
    </row>
    <row r="25" spans="1:16">
      <c r="A25" s="1" t="s">
        <v>3</v>
      </c>
      <c r="B25" s="16" t="s">
        <v>75</v>
      </c>
      <c r="C25" s="9">
        <v>0</v>
      </c>
      <c r="D25" s="9">
        <v>3000</v>
      </c>
      <c r="E25" s="67">
        <v>0</v>
      </c>
      <c r="F25" s="78">
        <f t="shared" si="3"/>
        <v>3000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67">
        <v>0</v>
      </c>
      <c r="M25" s="78">
        <f t="shared" si="4"/>
        <v>0</v>
      </c>
      <c r="N25" s="10">
        <v>0</v>
      </c>
      <c r="O25" s="21">
        <f t="shared" si="5"/>
        <v>0</v>
      </c>
      <c r="P25" s="21">
        <f t="shared" si="5"/>
        <v>0</v>
      </c>
    </row>
    <row r="26" spans="1:16">
      <c r="A26" s="1" t="s">
        <v>3</v>
      </c>
      <c r="B26" s="16" t="s">
        <v>76</v>
      </c>
      <c r="C26" s="9">
        <v>0</v>
      </c>
      <c r="D26" s="9">
        <v>0</v>
      </c>
      <c r="E26" s="67">
        <v>0</v>
      </c>
      <c r="F26" s="78">
        <f t="shared" si="3"/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67">
        <v>0</v>
      </c>
      <c r="M26" s="78">
        <f t="shared" si="4"/>
        <v>0</v>
      </c>
      <c r="N26" s="10">
        <v>0</v>
      </c>
      <c r="O26" s="21">
        <f t="shared" si="5"/>
        <v>0</v>
      </c>
      <c r="P26" s="21">
        <f t="shared" si="5"/>
        <v>0</v>
      </c>
    </row>
    <row r="27" spans="1:16">
      <c r="A27" s="1" t="s">
        <v>3</v>
      </c>
      <c r="B27" s="16" t="s">
        <v>77</v>
      </c>
      <c r="C27" s="9">
        <v>0</v>
      </c>
      <c r="D27" s="9">
        <v>0</v>
      </c>
      <c r="E27" s="67">
        <v>0</v>
      </c>
      <c r="F27" s="78">
        <f t="shared" si="3"/>
        <v>0</v>
      </c>
      <c r="G27" s="9">
        <v>69225</v>
      </c>
      <c r="H27" s="9">
        <v>81765</v>
      </c>
      <c r="I27" s="9">
        <v>103790</v>
      </c>
      <c r="J27" s="9">
        <v>44850</v>
      </c>
      <c r="K27" s="9">
        <v>47775</v>
      </c>
      <c r="L27" s="67">
        <v>131625</v>
      </c>
      <c r="M27" s="78">
        <f t="shared" si="4"/>
        <v>479030</v>
      </c>
      <c r="N27" s="10">
        <v>0</v>
      </c>
      <c r="O27" s="21">
        <f t="shared" si="5"/>
        <v>0</v>
      </c>
      <c r="P27" s="21">
        <f t="shared" si="5"/>
        <v>0</v>
      </c>
    </row>
    <row r="28" spans="1:16">
      <c r="A28" s="1" t="s">
        <v>3</v>
      </c>
      <c r="B28" s="16" t="s">
        <v>78</v>
      </c>
      <c r="C28" s="9">
        <v>0</v>
      </c>
      <c r="D28" s="9">
        <v>0</v>
      </c>
      <c r="E28" s="67">
        <v>0</v>
      </c>
      <c r="F28" s="78">
        <f t="shared" si="3"/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67">
        <v>0</v>
      </c>
      <c r="M28" s="78">
        <f t="shared" si="4"/>
        <v>0</v>
      </c>
      <c r="N28" s="10">
        <v>0</v>
      </c>
      <c r="O28" s="21">
        <f t="shared" si="5"/>
        <v>0</v>
      </c>
      <c r="P28" s="21">
        <f t="shared" si="5"/>
        <v>0</v>
      </c>
    </row>
    <row r="29" spans="1:16">
      <c r="A29" s="1" t="s">
        <v>3</v>
      </c>
      <c r="B29" s="16" t="s">
        <v>79</v>
      </c>
      <c r="C29" s="9">
        <v>0</v>
      </c>
      <c r="D29" s="9">
        <v>0</v>
      </c>
      <c r="E29" s="67">
        <v>0</v>
      </c>
      <c r="F29" s="78">
        <f t="shared" si="3"/>
        <v>0</v>
      </c>
      <c r="G29" s="9">
        <v>6825</v>
      </c>
      <c r="H29" s="9">
        <v>0</v>
      </c>
      <c r="I29" s="9">
        <v>0</v>
      </c>
      <c r="J29" s="9">
        <v>0</v>
      </c>
      <c r="K29" s="9">
        <v>0</v>
      </c>
      <c r="L29" s="67">
        <v>0</v>
      </c>
      <c r="M29" s="78">
        <f t="shared" si="4"/>
        <v>6825</v>
      </c>
      <c r="N29" s="10">
        <v>0</v>
      </c>
      <c r="O29" s="21">
        <f t="shared" si="5"/>
        <v>0</v>
      </c>
      <c r="P29" s="21">
        <f t="shared" si="5"/>
        <v>0</v>
      </c>
    </row>
    <row r="30" spans="1:16">
      <c r="A30" s="1" t="s">
        <v>3</v>
      </c>
      <c r="B30" s="16" t="s">
        <v>80</v>
      </c>
      <c r="C30" s="9">
        <v>0</v>
      </c>
      <c r="D30" s="9">
        <v>0</v>
      </c>
      <c r="E30" s="67">
        <v>0</v>
      </c>
      <c r="F30" s="78">
        <f t="shared" si="3"/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67">
        <v>0</v>
      </c>
      <c r="M30" s="78">
        <f t="shared" si="4"/>
        <v>0</v>
      </c>
      <c r="N30" s="10">
        <v>0</v>
      </c>
      <c r="O30" s="21">
        <f t="shared" si="5"/>
        <v>0</v>
      </c>
      <c r="P30" s="21">
        <f t="shared" si="5"/>
        <v>0</v>
      </c>
    </row>
    <row r="31" spans="1:16">
      <c r="A31" s="1" t="s">
        <v>3</v>
      </c>
      <c r="B31" s="16" t="s">
        <v>81</v>
      </c>
      <c r="C31" s="9">
        <v>0</v>
      </c>
      <c r="D31" s="9">
        <v>0</v>
      </c>
      <c r="E31" s="67">
        <v>0</v>
      </c>
      <c r="F31" s="78">
        <f t="shared" si="3"/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67">
        <v>0</v>
      </c>
      <c r="M31" s="78">
        <f t="shared" si="4"/>
        <v>0</v>
      </c>
      <c r="N31" s="10">
        <v>0</v>
      </c>
      <c r="O31" s="21">
        <f t="shared" si="5"/>
        <v>0</v>
      </c>
      <c r="P31" s="21">
        <f t="shared" si="5"/>
        <v>0</v>
      </c>
    </row>
    <row r="32" spans="1:16">
      <c r="A32" s="1" t="s">
        <v>3</v>
      </c>
      <c r="B32" s="16" t="s">
        <v>66</v>
      </c>
      <c r="C32" s="9">
        <v>0</v>
      </c>
      <c r="D32" s="9">
        <v>47432</v>
      </c>
      <c r="E32" s="67">
        <v>13472</v>
      </c>
      <c r="F32" s="78">
        <f t="shared" si="3"/>
        <v>60904</v>
      </c>
      <c r="G32" s="9">
        <v>0</v>
      </c>
      <c r="H32" s="9">
        <v>0</v>
      </c>
      <c r="I32" s="9">
        <v>0</v>
      </c>
      <c r="J32" s="9">
        <v>2438</v>
      </c>
      <c r="K32" s="9">
        <v>0</v>
      </c>
      <c r="L32" s="67">
        <v>2438</v>
      </c>
      <c r="M32" s="78">
        <f t="shared" si="4"/>
        <v>4876</v>
      </c>
      <c r="N32" s="10">
        <v>0</v>
      </c>
      <c r="O32" s="21">
        <f t="shared" si="5"/>
        <v>0</v>
      </c>
      <c r="P32" s="21">
        <f t="shared" si="5"/>
        <v>0</v>
      </c>
    </row>
    <row r="33" spans="1:16">
      <c r="A33" s="1" t="s">
        <v>3</v>
      </c>
      <c r="B33" s="16" t="s">
        <v>82</v>
      </c>
      <c r="C33" s="9">
        <v>0</v>
      </c>
      <c r="D33" s="9">
        <v>23290</v>
      </c>
      <c r="E33" s="67">
        <v>41814</v>
      </c>
      <c r="F33" s="78">
        <f t="shared" si="3"/>
        <v>65104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67">
        <v>0</v>
      </c>
      <c r="M33" s="78">
        <f t="shared" si="4"/>
        <v>0</v>
      </c>
      <c r="N33" s="10">
        <v>0</v>
      </c>
      <c r="O33" s="21">
        <f t="shared" si="5"/>
        <v>0</v>
      </c>
      <c r="P33" s="21">
        <f t="shared" si="5"/>
        <v>0</v>
      </c>
    </row>
    <row r="34" spans="1:16">
      <c r="A34" s="1" t="s">
        <v>3</v>
      </c>
      <c r="B34" s="16" t="s">
        <v>83</v>
      </c>
      <c r="C34" s="9">
        <v>0</v>
      </c>
      <c r="D34" s="9">
        <v>0</v>
      </c>
      <c r="E34" s="67">
        <v>0</v>
      </c>
      <c r="F34" s="78">
        <f t="shared" si="3"/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67">
        <v>0</v>
      </c>
      <c r="M34" s="78">
        <f t="shared" si="4"/>
        <v>0</v>
      </c>
      <c r="N34" s="10">
        <v>0</v>
      </c>
      <c r="O34" s="21">
        <f t="shared" si="5"/>
        <v>0</v>
      </c>
      <c r="P34" s="21">
        <f t="shared" si="5"/>
        <v>0</v>
      </c>
    </row>
    <row r="35" spans="1:16">
      <c r="A35" s="1" t="s">
        <v>3</v>
      </c>
      <c r="B35" s="16" t="s">
        <v>69</v>
      </c>
      <c r="C35" s="9">
        <v>0</v>
      </c>
      <c r="D35" s="9">
        <v>0</v>
      </c>
      <c r="E35" s="67">
        <v>0</v>
      </c>
      <c r="F35" s="78">
        <f t="shared" si="3"/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67">
        <v>0</v>
      </c>
      <c r="M35" s="78">
        <f t="shared" si="4"/>
        <v>0</v>
      </c>
      <c r="N35" s="10">
        <v>0</v>
      </c>
      <c r="O35" s="21">
        <f t="shared" si="5"/>
        <v>0</v>
      </c>
      <c r="P35" s="21">
        <f t="shared" si="5"/>
        <v>0</v>
      </c>
    </row>
    <row r="36" spans="1:16">
      <c r="A36" s="1" t="s">
        <v>3</v>
      </c>
      <c r="B36" s="50" t="s">
        <v>71</v>
      </c>
      <c r="C36" s="52">
        <v>0</v>
      </c>
      <c r="D36" s="52">
        <v>0</v>
      </c>
      <c r="E36" s="68">
        <v>0</v>
      </c>
      <c r="F36" s="79">
        <f t="shared" si="3"/>
        <v>0</v>
      </c>
      <c r="G36" s="52">
        <v>12200</v>
      </c>
      <c r="H36" s="52">
        <v>0</v>
      </c>
      <c r="I36" s="52">
        <v>0</v>
      </c>
      <c r="J36" s="52">
        <v>2440</v>
      </c>
      <c r="K36" s="52">
        <v>8540</v>
      </c>
      <c r="L36" s="68">
        <v>13420</v>
      </c>
      <c r="M36" s="79">
        <f t="shared" si="4"/>
        <v>36600</v>
      </c>
      <c r="N36" s="53">
        <v>0</v>
      </c>
      <c r="O36" s="54">
        <f t="shared" si="5"/>
        <v>0</v>
      </c>
      <c r="P36" s="54">
        <f t="shared" si="5"/>
        <v>0</v>
      </c>
    </row>
    <row r="37" spans="1:16">
      <c r="A37" s="1" t="s">
        <v>3</v>
      </c>
      <c r="B37" s="55" t="s">
        <v>84</v>
      </c>
      <c r="C37" s="57">
        <v>380000</v>
      </c>
      <c r="D37" s="57">
        <v>358722</v>
      </c>
      <c r="E37" s="69">
        <v>280286</v>
      </c>
      <c r="F37" s="80">
        <f t="shared" si="3"/>
        <v>1019008</v>
      </c>
      <c r="G37" s="57">
        <v>88250</v>
      </c>
      <c r="H37" s="57">
        <v>81765</v>
      </c>
      <c r="I37" s="57">
        <v>103790</v>
      </c>
      <c r="J37" s="57">
        <v>49728</v>
      </c>
      <c r="K37" s="57">
        <v>56315</v>
      </c>
      <c r="L37" s="69">
        <v>147483</v>
      </c>
      <c r="M37" s="80">
        <f t="shared" si="4"/>
        <v>527331</v>
      </c>
      <c r="N37" s="58">
        <v>390000</v>
      </c>
      <c r="O37" s="59">
        <f t="shared" si="5"/>
        <v>390000</v>
      </c>
      <c r="P37" s="59">
        <f t="shared" si="5"/>
        <v>390000</v>
      </c>
    </row>
    <row r="38" spans="1:16">
      <c r="A38" s="1" t="s">
        <v>3</v>
      </c>
      <c r="B38" s="55" t="s">
        <v>85</v>
      </c>
      <c r="C38" s="57">
        <v>3952</v>
      </c>
      <c r="D38" s="57">
        <v>6185</v>
      </c>
      <c r="E38" s="69">
        <v>7559</v>
      </c>
      <c r="F38" s="80">
        <f t="shared" si="3"/>
        <v>17696</v>
      </c>
      <c r="G38" s="57">
        <v>4581</v>
      </c>
      <c r="H38" s="57">
        <v>2978</v>
      </c>
      <c r="I38" s="57">
        <v>2148</v>
      </c>
      <c r="J38" s="57">
        <v>2234</v>
      </c>
      <c r="K38" s="57">
        <v>2806</v>
      </c>
      <c r="L38" s="69">
        <v>14488</v>
      </c>
      <c r="M38" s="80">
        <f t="shared" si="4"/>
        <v>29235</v>
      </c>
      <c r="N38" s="58">
        <v>8189</v>
      </c>
      <c r="O38" s="59">
        <f t="shared" si="5"/>
        <v>8189</v>
      </c>
      <c r="P38" s="59">
        <f t="shared" si="5"/>
        <v>8189</v>
      </c>
    </row>
    <row r="39" spans="1:16">
      <c r="A39" s="1" t="s">
        <v>3</v>
      </c>
      <c r="B39" s="55" t="s">
        <v>86</v>
      </c>
      <c r="C39" s="57">
        <v>3952</v>
      </c>
      <c r="D39" s="57">
        <v>6185</v>
      </c>
      <c r="E39" s="69">
        <v>7559</v>
      </c>
      <c r="F39" s="80">
        <f t="shared" si="3"/>
        <v>17696</v>
      </c>
      <c r="G39" s="57">
        <v>4581</v>
      </c>
      <c r="H39" s="57">
        <v>2978</v>
      </c>
      <c r="I39" s="57">
        <v>2148</v>
      </c>
      <c r="J39" s="57">
        <v>2234</v>
      </c>
      <c r="K39" s="57">
        <v>2806</v>
      </c>
      <c r="L39" s="69">
        <v>14488</v>
      </c>
      <c r="M39" s="80">
        <f t="shared" si="4"/>
        <v>29235</v>
      </c>
      <c r="N39" s="58">
        <v>8189</v>
      </c>
      <c r="O39" s="59">
        <f t="shared" si="5"/>
        <v>8189</v>
      </c>
      <c r="P39" s="59">
        <f t="shared" si="5"/>
        <v>8189</v>
      </c>
    </row>
    <row r="40" spans="1:16">
      <c r="A40" s="1" t="s">
        <v>3</v>
      </c>
      <c r="B40" s="55" t="s">
        <v>87</v>
      </c>
      <c r="C40" s="57">
        <v>383952</v>
      </c>
      <c r="D40" s="57">
        <v>364907</v>
      </c>
      <c r="E40" s="69">
        <v>287845</v>
      </c>
      <c r="F40" s="80">
        <f t="shared" si="3"/>
        <v>1036704</v>
      </c>
      <c r="G40" s="57">
        <v>92831</v>
      </c>
      <c r="H40" s="57">
        <v>84743</v>
      </c>
      <c r="I40" s="57">
        <v>105938</v>
      </c>
      <c r="J40" s="57">
        <v>51962</v>
      </c>
      <c r="K40" s="57">
        <v>59121</v>
      </c>
      <c r="L40" s="69">
        <v>161971</v>
      </c>
      <c r="M40" s="80">
        <f t="shared" si="4"/>
        <v>556566</v>
      </c>
      <c r="N40" s="58">
        <v>398189</v>
      </c>
      <c r="O40" s="59">
        <f t="shared" si="5"/>
        <v>398189</v>
      </c>
      <c r="P40" s="59">
        <f t="shared" si="5"/>
        <v>398189</v>
      </c>
    </row>
    <row r="41" spans="1:16">
      <c r="A41" s="1" t="s">
        <v>3</v>
      </c>
      <c r="B41" s="31" t="s">
        <v>88</v>
      </c>
      <c r="C41" s="42">
        <v>19380</v>
      </c>
      <c r="D41" s="42">
        <v>19380</v>
      </c>
      <c r="E41" s="66">
        <v>14280</v>
      </c>
      <c r="F41" s="77">
        <f t="shared" si="3"/>
        <v>53040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66">
        <v>8160</v>
      </c>
      <c r="M41" s="77">
        <f t="shared" si="4"/>
        <v>8160</v>
      </c>
      <c r="N41" s="43">
        <v>20910</v>
      </c>
      <c r="O41" s="44">
        <f t="shared" si="5"/>
        <v>20910</v>
      </c>
      <c r="P41" s="44">
        <f t="shared" si="5"/>
        <v>20910</v>
      </c>
    </row>
    <row r="42" spans="1:16">
      <c r="A42" s="1" t="s">
        <v>3</v>
      </c>
      <c r="B42" s="16" t="s">
        <v>89</v>
      </c>
      <c r="C42" s="9">
        <v>3420</v>
      </c>
      <c r="D42" s="9">
        <v>3420</v>
      </c>
      <c r="E42" s="67">
        <v>0</v>
      </c>
      <c r="F42" s="78">
        <f t="shared" si="3"/>
        <v>6840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67">
        <v>0</v>
      </c>
      <c r="M42" s="78">
        <f t="shared" si="4"/>
        <v>0</v>
      </c>
      <c r="N42" s="10">
        <v>3690</v>
      </c>
      <c r="O42" s="21">
        <f t="shared" si="5"/>
        <v>3690</v>
      </c>
      <c r="P42" s="21">
        <f t="shared" si="5"/>
        <v>3690</v>
      </c>
    </row>
    <row r="43" spans="1:16">
      <c r="A43" s="1" t="s">
        <v>3</v>
      </c>
      <c r="B43" s="16" t="s">
        <v>90</v>
      </c>
      <c r="C43" s="9">
        <v>34770</v>
      </c>
      <c r="D43" s="9">
        <v>34770</v>
      </c>
      <c r="E43" s="67">
        <v>25620</v>
      </c>
      <c r="F43" s="78">
        <f t="shared" si="3"/>
        <v>95160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67">
        <v>14640</v>
      </c>
      <c r="M43" s="78">
        <f t="shared" si="4"/>
        <v>14640</v>
      </c>
      <c r="N43" s="10">
        <v>37515</v>
      </c>
      <c r="O43" s="21">
        <f t="shared" si="5"/>
        <v>37515</v>
      </c>
      <c r="P43" s="21">
        <f t="shared" si="5"/>
        <v>37515</v>
      </c>
    </row>
    <row r="44" spans="1:16">
      <c r="A44" s="1" t="s">
        <v>3</v>
      </c>
      <c r="B44" s="16" t="s">
        <v>91</v>
      </c>
      <c r="C44" s="9">
        <v>2112</v>
      </c>
      <c r="D44" s="9">
        <v>2007</v>
      </c>
      <c r="E44" s="67">
        <v>1583</v>
      </c>
      <c r="F44" s="78">
        <f t="shared" si="3"/>
        <v>5702</v>
      </c>
      <c r="G44" s="9">
        <v>0</v>
      </c>
      <c r="H44" s="9">
        <v>466</v>
      </c>
      <c r="I44" s="9">
        <v>583</v>
      </c>
      <c r="J44" s="9">
        <v>0</v>
      </c>
      <c r="K44" s="9">
        <v>325</v>
      </c>
      <c r="L44" s="67">
        <v>891</v>
      </c>
      <c r="M44" s="78">
        <f t="shared" si="4"/>
        <v>2265</v>
      </c>
      <c r="N44" s="10">
        <v>2190</v>
      </c>
      <c r="O44" s="21">
        <f t="shared" si="5"/>
        <v>2190</v>
      </c>
      <c r="P44" s="21">
        <f t="shared" si="5"/>
        <v>2190</v>
      </c>
    </row>
    <row r="45" spans="1:16">
      <c r="A45" s="1" t="s">
        <v>3</v>
      </c>
      <c r="B45" s="50" t="s">
        <v>92</v>
      </c>
      <c r="C45" s="52">
        <v>454</v>
      </c>
      <c r="D45" s="52">
        <v>16664</v>
      </c>
      <c r="E45" s="68">
        <v>0</v>
      </c>
      <c r="F45" s="79">
        <f t="shared" si="3"/>
        <v>17118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68">
        <v>6110</v>
      </c>
      <c r="M45" s="79">
        <f t="shared" si="4"/>
        <v>6110</v>
      </c>
      <c r="N45" s="53">
        <v>454</v>
      </c>
      <c r="O45" s="54">
        <f t="shared" si="5"/>
        <v>454</v>
      </c>
      <c r="P45" s="54">
        <f t="shared" si="5"/>
        <v>454</v>
      </c>
    </row>
    <row r="46" spans="1:16">
      <c r="A46" s="1" t="s">
        <v>3</v>
      </c>
      <c r="B46" s="55" t="s">
        <v>93</v>
      </c>
      <c r="C46" s="57">
        <v>60136</v>
      </c>
      <c r="D46" s="57">
        <v>76241</v>
      </c>
      <c r="E46" s="69">
        <v>41483</v>
      </c>
      <c r="F46" s="80">
        <f t="shared" si="3"/>
        <v>177860</v>
      </c>
      <c r="G46" s="57">
        <v>0</v>
      </c>
      <c r="H46" s="57">
        <v>466</v>
      </c>
      <c r="I46" s="57">
        <v>583</v>
      </c>
      <c r="J46" s="57">
        <v>0</v>
      </c>
      <c r="K46" s="57">
        <v>325</v>
      </c>
      <c r="L46" s="69">
        <v>29801</v>
      </c>
      <c r="M46" s="80">
        <f t="shared" si="4"/>
        <v>31175</v>
      </c>
      <c r="N46" s="58">
        <v>64759</v>
      </c>
      <c r="O46" s="59">
        <f t="shared" si="5"/>
        <v>64759</v>
      </c>
      <c r="P46" s="59">
        <f t="shared" si="5"/>
        <v>64759</v>
      </c>
    </row>
    <row r="47" spans="1:16">
      <c r="A47" s="1" t="s">
        <v>3</v>
      </c>
      <c r="B47" s="31" t="s">
        <v>94</v>
      </c>
      <c r="C47" s="42">
        <v>7530</v>
      </c>
      <c r="D47" s="42">
        <v>6100</v>
      </c>
      <c r="E47" s="66">
        <v>6150</v>
      </c>
      <c r="F47" s="77">
        <f t="shared" si="3"/>
        <v>19780</v>
      </c>
      <c r="G47" s="42">
        <v>0</v>
      </c>
      <c r="H47" s="42">
        <v>0</v>
      </c>
      <c r="I47" s="42">
        <v>890</v>
      </c>
      <c r="J47" s="42">
        <v>0</v>
      </c>
      <c r="K47" s="42">
        <v>0</v>
      </c>
      <c r="L47" s="66">
        <v>10</v>
      </c>
      <c r="M47" s="77">
        <f t="shared" si="4"/>
        <v>900</v>
      </c>
      <c r="N47" s="43">
        <v>10440</v>
      </c>
      <c r="O47" s="44">
        <f t="shared" si="5"/>
        <v>10440</v>
      </c>
      <c r="P47" s="44">
        <f t="shared" si="5"/>
        <v>10440</v>
      </c>
    </row>
    <row r="48" spans="1:16">
      <c r="A48" s="1" t="s">
        <v>3</v>
      </c>
      <c r="B48" s="16" t="s">
        <v>95</v>
      </c>
      <c r="C48" s="9">
        <v>0</v>
      </c>
      <c r="D48" s="9">
        <v>0</v>
      </c>
      <c r="E48" s="67">
        <v>0</v>
      </c>
      <c r="F48" s="78">
        <f t="shared" si="3"/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67">
        <v>0</v>
      </c>
      <c r="M48" s="78">
        <f t="shared" si="4"/>
        <v>0</v>
      </c>
      <c r="N48" s="10">
        <v>0</v>
      </c>
      <c r="O48" s="21">
        <f t="shared" si="5"/>
        <v>0</v>
      </c>
      <c r="P48" s="21">
        <f t="shared" si="5"/>
        <v>0</v>
      </c>
    </row>
    <row r="49" spans="1:16">
      <c r="A49" s="1" t="s">
        <v>3</v>
      </c>
      <c r="B49" s="50" t="s">
        <v>96</v>
      </c>
      <c r="C49" s="52">
        <v>20200</v>
      </c>
      <c r="D49" s="52">
        <v>14600</v>
      </c>
      <c r="E49" s="68">
        <v>7800</v>
      </c>
      <c r="F49" s="79">
        <f t="shared" si="3"/>
        <v>42600</v>
      </c>
      <c r="G49" s="52">
        <v>0</v>
      </c>
      <c r="H49" s="52">
        <v>500</v>
      </c>
      <c r="I49" s="52">
        <v>2300</v>
      </c>
      <c r="J49" s="52">
        <v>0</v>
      </c>
      <c r="K49" s="52">
        <v>2600</v>
      </c>
      <c r="L49" s="68">
        <v>7100</v>
      </c>
      <c r="M49" s="79">
        <f t="shared" si="4"/>
        <v>12500</v>
      </c>
      <c r="N49" s="53">
        <v>21800</v>
      </c>
      <c r="O49" s="54">
        <f t="shared" si="5"/>
        <v>21800</v>
      </c>
      <c r="P49" s="54">
        <f t="shared" si="5"/>
        <v>21800</v>
      </c>
    </row>
    <row r="50" spans="1:16">
      <c r="A50" s="1" t="s">
        <v>3</v>
      </c>
      <c r="B50" s="55" t="s">
        <v>97</v>
      </c>
      <c r="C50" s="57">
        <v>87866</v>
      </c>
      <c r="D50" s="57">
        <v>96941</v>
      </c>
      <c r="E50" s="69">
        <v>55433</v>
      </c>
      <c r="F50" s="80">
        <f t="shared" si="3"/>
        <v>240240</v>
      </c>
      <c r="G50" s="57">
        <v>0</v>
      </c>
      <c r="H50" s="57">
        <v>966</v>
      </c>
      <c r="I50" s="57">
        <v>3773</v>
      </c>
      <c r="J50" s="57">
        <v>0</v>
      </c>
      <c r="K50" s="57">
        <v>2925</v>
      </c>
      <c r="L50" s="69">
        <v>36911</v>
      </c>
      <c r="M50" s="80">
        <f t="shared" si="4"/>
        <v>44575</v>
      </c>
      <c r="N50" s="58">
        <v>96999</v>
      </c>
      <c r="O50" s="59">
        <f t="shared" si="5"/>
        <v>96999</v>
      </c>
      <c r="P50" s="59">
        <f t="shared" si="5"/>
        <v>96999</v>
      </c>
    </row>
    <row r="51" spans="1:16">
      <c r="A51" s="1" t="s">
        <v>3</v>
      </c>
      <c r="B51" s="55" t="s">
        <v>98</v>
      </c>
      <c r="C51" s="57">
        <v>319864</v>
      </c>
      <c r="D51" s="57">
        <v>282481</v>
      </c>
      <c r="E51" s="69">
        <v>238803</v>
      </c>
      <c r="F51" s="80">
        <f t="shared" si="3"/>
        <v>841148</v>
      </c>
      <c r="G51" s="57">
        <v>88250</v>
      </c>
      <c r="H51" s="57">
        <v>81299</v>
      </c>
      <c r="I51" s="57">
        <v>103207</v>
      </c>
      <c r="J51" s="57">
        <v>49728</v>
      </c>
      <c r="K51" s="57">
        <v>55990</v>
      </c>
      <c r="L51" s="69">
        <v>117682</v>
      </c>
      <c r="M51" s="80">
        <f t="shared" si="4"/>
        <v>496156</v>
      </c>
      <c r="N51" s="58">
        <v>325241</v>
      </c>
      <c r="O51" s="59">
        <f t="shared" si="5"/>
        <v>325241</v>
      </c>
      <c r="P51" s="59">
        <f t="shared" si="5"/>
        <v>325241</v>
      </c>
    </row>
    <row r="52" spans="1:16">
      <c r="A52" s="1" t="s">
        <v>3</v>
      </c>
      <c r="B52" s="55" t="s">
        <v>99</v>
      </c>
      <c r="C52" s="57">
        <v>296086</v>
      </c>
      <c r="D52" s="57">
        <v>267966</v>
      </c>
      <c r="E52" s="69">
        <v>232412</v>
      </c>
      <c r="F52" s="80">
        <f t="shared" si="3"/>
        <v>796464</v>
      </c>
      <c r="G52" s="57">
        <v>92831</v>
      </c>
      <c r="H52" s="57">
        <v>83777</v>
      </c>
      <c r="I52" s="57">
        <v>102165</v>
      </c>
      <c r="J52" s="57">
        <v>51962</v>
      </c>
      <c r="K52" s="57">
        <v>56196</v>
      </c>
      <c r="L52" s="69">
        <v>125060</v>
      </c>
      <c r="M52" s="80">
        <f t="shared" si="4"/>
        <v>511991</v>
      </c>
      <c r="N52" s="58">
        <v>301190</v>
      </c>
      <c r="O52" s="59">
        <f t="shared" si="5"/>
        <v>301190</v>
      </c>
      <c r="P52" s="59">
        <f t="shared" si="5"/>
        <v>301190</v>
      </c>
    </row>
    <row r="53" spans="1:16">
      <c r="A53" s="1" t="s">
        <v>3</v>
      </c>
      <c r="B53" s="55" t="s">
        <v>100</v>
      </c>
      <c r="C53" s="57">
        <v>296086</v>
      </c>
      <c r="D53" s="57">
        <v>267966</v>
      </c>
      <c r="E53" s="69">
        <v>232412</v>
      </c>
      <c r="F53" s="80">
        <f t="shared" si="3"/>
        <v>796464</v>
      </c>
      <c r="G53" s="57">
        <v>92831</v>
      </c>
      <c r="H53" s="57">
        <v>83777</v>
      </c>
      <c r="I53" s="57">
        <v>102165</v>
      </c>
      <c r="J53" s="57">
        <v>51962</v>
      </c>
      <c r="K53" s="57">
        <v>56196</v>
      </c>
      <c r="L53" s="69">
        <v>125060</v>
      </c>
      <c r="M53" s="80">
        <f t="shared" si="4"/>
        <v>511991</v>
      </c>
      <c r="N53" s="58">
        <v>301190</v>
      </c>
      <c r="O53" s="59">
        <f t="shared" si="5"/>
        <v>301190</v>
      </c>
      <c r="P53" s="59">
        <f t="shared" si="5"/>
        <v>301190</v>
      </c>
    </row>
    <row r="54" spans="1:16">
      <c r="A54" s="1" t="s">
        <v>3</v>
      </c>
      <c r="B54" s="31" t="s">
        <v>101</v>
      </c>
      <c r="C54" s="42">
        <v>1</v>
      </c>
      <c r="D54" s="42">
        <v>1</v>
      </c>
      <c r="E54" s="66">
        <v>0</v>
      </c>
      <c r="F54" s="77"/>
      <c r="G54" s="42">
        <v>1</v>
      </c>
      <c r="H54" s="42">
        <v>0</v>
      </c>
      <c r="I54" s="42">
        <v>0</v>
      </c>
      <c r="J54" s="42">
        <v>1</v>
      </c>
      <c r="K54" s="42">
        <v>1</v>
      </c>
      <c r="L54" s="66">
        <v>1</v>
      </c>
      <c r="M54" s="77"/>
      <c r="N54" s="43">
        <v>0</v>
      </c>
      <c r="O54" s="44"/>
      <c r="P54" s="44"/>
    </row>
    <row r="55" spans="1:16">
      <c r="A55" s="1" t="s">
        <v>3</v>
      </c>
      <c r="B55" s="16" t="s">
        <v>102</v>
      </c>
      <c r="C55" s="11" t="s">
        <v>103</v>
      </c>
      <c r="D55" s="11" t="s">
        <v>103</v>
      </c>
      <c r="E55" s="70" t="s">
        <v>103</v>
      </c>
      <c r="F55" s="81"/>
      <c r="G55" s="11" t="s">
        <v>103</v>
      </c>
      <c r="H55" s="11" t="s">
        <v>103</v>
      </c>
      <c r="I55" s="11" t="s">
        <v>103</v>
      </c>
      <c r="J55" s="11" t="s">
        <v>103</v>
      </c>
      <c r="K55" s="11" t="s">
        <v>103</v>
      </c>
      <c r="L55" s="70" t="s">
        <v>103</v>
      </c>
      <c r="M55" s="81"/>
      <c r="N55" s="12" t="s">
        <v>103</v>
      </c>
      <c r="O55" s="22"/>
      <c r="P55" s="22"/>
    </row>
    <row r="56" spans="1:16" ht="19.5" thickBot="1">
      <c r="A56" s="1" t="s">
        <v>3</v>
      </c>
      <c r="B56" s="17" t="s">
        <v>104</v>
      </c>
      <c r="C56" s="13">
        <v>7530</v>
      </c>
      <c r="D56" s="13">
        <v>6100</v>
      </c>
      <c r="E56" s="71">
        <v>6150</v>
      </c>
      <c r="F56" s="82">
        <f>SUM(C56:E56)</f>
        <v>19780</v>
      </c>
      <c r="G56" s="13">
        <v>0</v>
      </c>
      <c r="H56" s="13">
        <v>0</v>
      </c>
      <c r="I56" s="13">
        <v>890</v>
      </c>
      <c r="J56" s="13">
        <v>0</v>
      </c>
      <c r="K56" s="13">
        <v>0</v>
      </c>
      <c r="L56" s="71">
        <v>10</v>
      </c>
      <c r="M56" s="82">
        <f>SUM(G56:L56)</f>
        <v>900</v>
      </c>
      <c r="N56" s="14">
        <v>10440</v>
      </c>
      <c r="O56" s="23">
        <f>N56</f>
        <v>10440</v>
      </c>
      <c r="P56" s="23">
        <f>O56</f>
        <v>10440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937E-27F2-4304-A293-DC5A5CA040C0}">
  <dimension ref="A1:S56"/>
  <sheetViews>
    <sheetView showZeros="0" workbookViewId="0">
      <pane xSplit="2" ySplit="8" topLeftCell="I50" activePane="bottomRight" state="frozen"/>
      <selection pane="bottomRight" activeCell="M49" sqref="M49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14" width="11.125" style="2" bestFit="1" customWidth="1"/>
    <col min="15" max="15" width="9" style="2" bestFit="1" customWidth="1"/>
    <col min="16" max="16" width="11.125" style="2" bestFit="1" customWidth="1"/>
    <col min="17" max="18" width="9" style="2" bestFit="1" customWidth="1"/>
    <col min="19" max="19" width="9.625" style="2" bestFit="1" customWidth="1"/>
    <col min="20" max="246" width="9" style="2"/>
    <col min="247" max="247" width="2.375" style="2" customWidth="1"/>
    <col min="248" max="248" width="13.25" style="2" bestFit="1" customWidth="1"/>
    <col min="249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63" width="11.125" style="2" bestFit="1" customWidth="1"/>
    <col min="264" max="264" width="9" style="2"/>
    <col min="265" max="266" width="11.125" style="2" bestFit="1" customWidth="1"/>
    <col min="267" max="268" width="9" style="2"/>
    <col min="269" max="273" width="11.125" style="2" bestFit="1" customWidth="1"/>
    <col min="274" max="274" width="9" style="2"/>
    <col min="275" max="275" width="9.625" style="2" bestFit="1" customWidth="1"/>
    <col min="276" max="502" width="9" style="2"/>
    <col min="503" max="503" width="2.375" style="2" customWidth="1"/>
    <col min="504" max="504" width="13.25" style="2" bestFit="1" customWidth="1"/>
    <col min="505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19" width="11.125" style="2" bestFit="1" customWidth="1"/>
    <col min="520" max="520" width="9" style="2"/>
    <col min="521" max="522" width="11.125" style="2" bestFit="1" customWidth="1"/>
    <col min="523" max="524" width="9" style="2"/>
    <col min="525" max="529" width="11.125" style="2" bestFit="1" customWidth="1"/>
    <col min="530" max="530" width="9" style="2"/>
    <col min="531" max="531" width="9.625" style="2" bestFit="1" customWidth="1"/>
    <col min="532" max="758" width="9" style="2"/>
    <col min="759" max="759" width="2.375" style="2" customWidth="1"/>
    <col min="760" max="760" width="13.25" style="2" bestFit="1" customWidth="1"/>
    <col min="761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75" width="11.125" style="2" bestFit="1" customWidth="1"/>
    <col min="776" max="776" width="9" style="2"/>
    <col min="777" max="778" width="11.125" style="2" bestFit="1" customWidth="1"/>
    <col min="779" max="780" width="9" style="2"/>
    <col min="781" max="785" width="11.125" style="2" bestFit="1" customWidth="1"/>
    <col min="786" max="786" width="9" style="2"/>
    <col min="787" max="787" width="9.625" style="2" bestFit="1" customWidth="1"/>
    <col min="788" max="1014" width="9" style="2"/>
    <col min="1015" max="1015" width="2.375" style="2" customWidth="1"/>
    <col min="1016" max="1016" width="13.25" style="2" bestFit="1" customWidth="1"/>
    <col min="1017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31" width="11.125" style="2" bestFit="1" customWidth="1"/>
    <col min="1032" max="1032" width="9" style="2"/>
    <col min="1033" max="1034" width="11.125" style="2" bestFit="1" customWidth="1"/>
    <col min="1035" max="1036" width="9" style="2"/>
    <col min="1037" max="1041" width="11.125" style="2" bestFit="1" customWidth="1"/>
    <col min="1042" max="1042" width="9" style="2"/>
    <col min="1043" max="1043" width="9.625" style="2" bestFit="1" customWidth="1"/>
    <col min="1044" max="1270" width="9" style="2"/>
    <col min="1271" max="1271" width="2.375" style="2" customWidth="1"/>
    <col min="1272" max="1272" width="13.25" style="2" bestFit="1" customWidth="1"/>
    <col min="1273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87" width="11.125" style="2" bestFit="1" customWidth="1"/>
    <col min="1288" max="1288" width="9" style="2"/>
    <col min="1289" max="1290" width="11.125" style="2" bestFit="1" customWidth="1"/>
    <col min="1291" max="1292" width="9" style="2"/>
    <col min="1293" max="1297" width="11.125" style="2" bestFit="1" customWidth="1"/>
    <col min="1298" max="1298" width="9" style="2"/>
    <col min="1299" max="1299" width="9.625" style="2" bestFit="1" customWidth="1"/>
    <col min="1300" max="1526" width="9" style="2"/>
    <col min="1527" max="1527" width="2.375" style="2" customWidth="1"/>
    <col min="1528" max="1528" width="13.25" style="2" bestFit="1" customWidth="1"/>
    <col min="1529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43" width="11.125" style="2" bestFit="1" customWidth="1"/>
    <col min="1544" max="1544" width="9" style="2"/>
    <col min="1545" max="1546" width="11.125" style="2" bestFit="1" customWidth="1"/>
    <col min="1547" max="1548" width="9" style="2"/>
    <col min="1549" max="1553" width="11.125" style="2" bestFit="1" customWidth="1"/>
    <col min="1554" max="1554" width="9" style="2"/>
    <col min="1555" max="1555" width="9.625" style="2" bestFit="1" customWidth="1"/>
    <col min="1556" max="1782" width="9" style="2"/>
    <col min="1783" max="1783" width="2.375" style="2" customWidth="1"/>
    <col min="1784" max="1784" width="13.25" style="2" bestFit="1" customWidth="1"/>
    <col min="1785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99" width="11.125" style="2" bestFit="1" customWidth="1"/>
    <col min="1800" max="1800" width="9" style="2"/>
    <col min="1801" max="1802" width="11.125" style="2" bestFit="1" customWidth="1"/>
    <col min="1803" max="1804" width="9" style="2"/>
    <col min="1805" max="1809" width="11.125" style="2" bestFit="1" customWidth="1"/>
    <col min="1810" max="1810" width="9" style="2"/>
    <col min="1811" max="1811" width="9.625" style="2" bestFit="1" customWidth="1"/>
    <col min="1812" max="2038" width="9" style="2"/>
    <col min="2039" max="2039" width="2.375" style="2" customWidth="1"/>
    <col min="2040" max="2040" width="13.25" style="2" bestFit="1" customWidth="1"/>
    <col min="2041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55" width="11.125" style="2" bestFit="1" customWidth="1"/>
    <col min="2056" max="2056" width="9" style="2"/>
    <col min="2057" max="2058" width="11.125" style="2" bestFit="1" customWidth="1"/>
    <col min="2059" max="2060" width="9" style="2"/>
    <col min="2061" max="2065" width="11.125" style="2" bestFit="1" customWidth="1"/>
    <col min="2066" max="2066" width="9" style="2"/>
    <col min="2067" max="2067" width="9.625" style="2" bestFit="1" customWidth="1"/>
    <col min="2068" max="2294" width="9" style="2"/>
    <col min="2295" max="2295" width="2.375" style="2" customWidth="1"/>
    <col min="2296" max="2296" width="13.25" style="2" bestFit="1" customWidth="1"/>
    <col min="2297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11" width="11.125" style="2" bestFit="1" customWidth="1"/>
    <col min="2312" max="2312" width="9" style="2"/>
    <col min="2313" max="2314" width="11.125" style="2" bestFit="1" customWidth="1"/>
    <col min="2315" max="2316" width="9" style="2"/>
    <col min="2317" max="2321" width="11.125" style="2" bestFit="1" customWidth="1"/>
    <col min="2322" max="2322" width="9" style="2"/>
    <col min="2323" max="2323" width="9.625" style="2" bestFit="1" customWidth="1"/>
    <col min="2324" max="2550" width="9" style="2"/>
    <col min="2551" max="2551" width="2.375" style="2" customWidth="1"/>
    <col min="2552" max="2552" width="13.25" style="2" bestFit="1" customWidth="1"/>
    <col min="2553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67" width="11.125" style="2" bestFit="1" customWidth="1"/>
    <col min="2568" max="2568" width="9" style="2"/>
    <col min="2569" max="2570" width="11.125" style="2" bestFit="1" customWidth="1"/>
    <col min="2571" max="2572" width="9" style="2"/>
    <col min="2573" max="2577" width="11.125" style="2" bestFit="1" customWidth="1"/>
    <col min="2578" max="2578" width="9" style="2"/>
    <col min="2579" max="2579" width="9.625" style="2" bestFit="1" customWidth="1"/>
    <col min="2580" max="2806" width="9" style="2"/>
    <col min="2807" max="2807" width="2.375" style="2" customWidth="1"/>
    <col min="2808" max="2808" width="13.25" style="2" bestFit="1" customWidth="1"/>
    <col min="2809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23" width="11.125" style="2" bestFit="1" customWidth="1"/>
    <col min="2824" max="2824" width="9" style="2"/>
    <col min="2825" max="2826" width="11.125" style="2" bestFit="1" customWidth="1"/>
    <col min="2827" max="2828" width="9" style="2"/>
    <col min="2829" max="2833" width="11.125" style="2" bestFit="1" customWidth="1"/>
    <col min="2834" max="2834" width="9" style="2"/>
    <col min="2835" max="2835" width="9.625" style="2" bestFit="1" customWidth="1"/>
    <col min="2836" max="3062" width="9" style="2"/>
    <col min="3063" max="3063" width="2.375" style="2" customWidth="1"/>
    <col min="3064" max="3064" width="13.25" style="2" bestFit="1" customWidth="1"/>
    <col min="3065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79" width="11.125" style="2" bestFit="1" customWidth="1"/>
    <col min="3080" max="3080" width="9" style="2"/>
    <col min="3081" max="3082" width="11.125" style="2" bestFit="1" customWidth="1"/>
    <col min="3083" max="3084" width="9" style="2"/>
    <col min="3085" max="3089" width="11.125" style="2" bestFit="1" customWidth="1"/>
    <col min="3090" max="3090" width="9" style="2"/>
    <col min="3091" max="3091" width="9.625" style="2" bestFit="1" customWidth="1"/>
    <col min="3092" max="3318" width="9" style="2"/>
    <col min="3319" max="3319" width="2.375" style="2" customWidth="1"/>
    <col min="3320" max="3320" width="13.25" style="2" bestFit="1" customWidth="1"/>
    <col min="3321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35" width="11.125" style="2" bestFit="1" customWidth="1"/>
    <col min="3336" max="3336" width="9" style="2"/>
    <col min="3337" max="3338" width="11.125" style="2" bestFit="1" customWidth="1"/>
    <col min="3339" max="3340" width="9" style="2"/>
    <col min="3341" max="3345" width="11.125" style="2" bestFit="1" customWidth="1"/>
    <col min="3346" max="3346" width="9" style="2"/>
    <col min="3347" max="3347" width="9.625" style="2" bestFit="1" customWidth="1"/>
    <col min="3348" max="3574" width="9" style="2"/>
    <col min="3575" max="3575" width="2.375" style="2" customWidth="1"/>
    <col min="3576" max="3576" width="13.25" style="2" bestFit="1" customWidth="1"/>
    <col min="3577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91" width="11.125" style="2" bestFit="1" customWidth="1"/>
    <col min="3592" max="3592" width="9" style="2"/>
    <col min="3593" max="3594" width="11.125" style="2" bestFit="1" customWidth="1"/>
    <col min="3595" max="3596" width="9" style="2"/>
    <col min="3597" max="3601" width="11.125" style="2" bestFit="1" customWidth="1"/>
    <col min="3602" max="3602" width="9" style="2"/>
    <col min="3603" max="3603" width="9.625" style="2" bestFit="1" customWidth="1"/>
    <col min="3604" max="3830" width="9" style="2"/>
    <col min="3831" max="3831" width="2.375" style="2" customWidth="1"/>
    <col min="3832" max="3832" width="13.25" style="2" bestFit="1" customWidth="1"/>
    <col min="3833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47" width="11.125" style="2" bestFit="1" customWidth="1"/>
    <col min="3848" max="3848" width="9" style="2"/>
    <col min="3849" max="3850" width="11.125" style="2" bestFit="1" customWidth="1"/>
    <col min="3851" max="3852" width="9" style="2"/>
    <col min="3853" max="3857" width="11.125" style="2" bestFit="1" customWidth="1"/>
    <col min="3858" max="3858" width="9" style="2"/>
    <col min="3859" max="3859" width="9.625" style="2" bestFit="1" customWidth="1"/>
    <col min="3860" max="4086" width="9" style="2"/>
    <col min="4087" max="4087" width="2.375" style="2" customWidth="1"/>
    <col min="4088" max="4088" width="13.25" style="2" bestFit="1" customWidth="1"/>
    <col min="4089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103" width="11.125" style="2" bestFit="1" customWidth="1"/>
    <col min="4104" max="4104" width="9" style="2"/>
    <col min="4105" max="4106" width="11.125" style="2" bestFit="1" customWidth="1"/>
    <col min="4107" max="4108" width="9" style="2"/>
    <col min="4109" max="4113" width="11.125" style="2" bestFit="1" customWidth="1"/>
    <col min="4114" max="4114" width="9" style="2"/>
    <col min="4115" max="4115" width="9.625" style="2" bestFit="1" customWidth="1"/>
    <col min="4116" max="4342" width="9" style="2"/>
    <col min="4343" max="4343" width="2.375" style="2" customWidth="1"/>
    <col min="4344" max="4344" width="13.25" style="2" bestFit="1" customWidth="1"/>
    <col min="4345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59" width="11.125" style="2" bestFit="1" customWidth="1"/>
    <col min="4360" max="4360" width="9" style="2"/>
    <col min="4361" max="4362" width="11.125" style="2" bestFit="1" customWidth="1"/>
    <col min="4363" max="4364" width="9" style="2"/>
    <col min="4365" max="4369" width="11.125" style="2" bestFit="1" customWidth="1"/>
    <col min="4370" max="4370" width="9" style="2"/>
    <col min="4371" max="4371" width="9.625" style="2" bestFit="1" customWidth="1"/>
    <col min="4372" max="4598" width="9" style="2"/>
    <col min="4599" max="4599" width="2.375" style="2" customWidth="1"/>
    <col min="4600" max="4600" width="13.25" style="2" bestFit="1" customWidth="1"/>
    <col min="4601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15" width="11.125" style="2" bestFit="1" customWidth="1"/>
    <col min="4616" max="4616" width="9" style="2"/>
    <col min="4617" max="4618" width="11.125" style="2" bestFit="1" customWidth="1"/>
    <col min="4619" max="4620" width="9" style="2"/>
    <col min="4621" max="4625" width="11.125" style="2" bestFit="1" customWidth="1"/>
    <col min="4626" max="4626" width="9" style="2"/>
    <col min="4627" max="4627" width="9.625" style="2" bestFit="1" customWidth="1"/>
    <col min="4628" max="4854" width="9" style="2"/>
    <col min="4855" max="4855" width="2.375" style="2" customWidth="1"/>
    <col min="4856" max="4856" width="13.25" style="2" bestFit="1" customWidth="1"/>
    <col min="4857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71" width="11.125" style="2" bestFit="1" customWidth="1"/>
    <col min="4872" max="4872" width="9" style="2"/>
    <col min="4873" max="4874" width="11.125" style="2" bestFit="1" customWidth="1"/>
    <col min="4875" max="4876" width="9" style="2"/>
    <col min="4877" max="4881" width="11.125" style="2" bestFit="1" customWidth="1"/>
    <col min="4882" max="4882" width="9" style="2"/>
    <col min="4883" max="4883" width="9.625" style="2" bestFit="1" customWidth="1"/>
    <col min="4884" max="5110" width="9" style="2"/>
    <col min="5111" max="5111" width="2.375" style="2" customWidth="1"/>
    <col min="5112" max="5112" width="13.25" style="2" bestFit="1" customWidth="1"/>
    <col min="5113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27" width="11.125" style="2" bestFit="1" customWidth="1"/>
    <col min="5128" max="5128" width="9" style="2"/>
    <col min="5129" max="5130" width="11.125" style="2" bestFit="1" customWidth="1"/>
    <col min="5131" max="5132" width="9" style="2"/>
    <col min="5133" max="5137" width="11.125" style="2" bestFit="1" customWidth="1"/>
    <col min="5138" max="5138" width="9" style="2"/>
    <col min="5139" max="5139" width="9.625" style="2" bestFit="1" customWidth="1"/>
    <col min="5140" max="5366" width="9" style="2"/>
    <col min="5367" max="5367" width="2.375" style="2" customWidth="1"/>
    <col min="5368" max="5368" width="13.25" style="2" bestFit="1" customWidth="1"/>
    <col min="5369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83" width="11.125" style="2" bestFit="1" customWidth="1"/>
    <col min="5384" max="5384" width="9" style="2"/>
    <col min="5385" max="5386" width="11.125" style="2" bestFit="1" customWidth="1"/>
    <col min="5387" max="5388" width="9" style="2"/>
    <col min="5389" max="5393" width="11.125" style="2" bestFit="1" customWidth="1"/>
    <col min="5394" max="5394" width="9" style="2"/>
    <col min="5395" max="5395" width="9.625" style="2" bestFit="1" customWidth="1"/>
    <col min="5396" max="5622" width="9" style="2"/>
    <col min="5623" max="5623" width="2.375" style="2" customWidth="1"/>
    <col min="5624" max="5624" width="13.25" style="2" bestFit="1" customWidth="1"/>
    <col min="5625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39" width="11.125" style="2" bestFit="1" customWidth="1"/>
    <col min="5640" max="5640" width="9" style="2"/>
    <col min="5641" max="5642" width="11.125" style="2" bestFit="1" customWidth="1"/>
    <col min="5643" max="5644" width="9" style="2"/>
    <col min="5645" max="5649" width="11.125" style="2" bestFit="1" customWidth="1"/>
    <col min="5650" max="5650" width="9" style="2"/>
    <col min="5651" max="5651" width="9.625" style="2" bestFit="1" customWidth="1"/>
    <col min="5652" max="5878" width="9" style="2"/>
    <col min="5879" max="5879" width="2.375" style="2" customWidth="1"/>
    <col min="5880" max="5880" width="13.25" style="2" bestFit="1" customWidth="1"/>
    <col min="5881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95" width="11.125" style="2" bestFit="1" customWidth="1"/>
    <col min="5896" max="5896" width="9" style="2"/>
    <col min="5897" max="5898" width="11.125" style="2" bestFit="1" customWidth="1"/>
    <col min="5899" max="5900" width="9" style="2"/>
    <col min="5901" max="5905" width="11.125" style="2" bestFit="1" customWidth="1"/>
    <col min="5906" max="5906" width="9" style="2"/>
    <col min="5907" max="5907" width="9.625" style="2" bestFit="1" customWidth="1"/>
    <col min="5908" max="6134" width="9" style="2"/>
    <col min="6135" max="6135" width="2.375" style="2" customWidth="1"/>
    <col min="6136" max="6136" width="13.25" style="2" bestFit="1" customWidth="1"/>
    <col min="6137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51" width="11.125" style="2" bestFit="1" customWidth="1"/>
    <col min="6152" max="6152" width="9" style="2"/>
    <col min="6153" max="6154" width="11.125" style="2" bestFit="1" customWidth="1"/>
    <col min="6155" max="6156" width="9" style="2"/>
    <col min="6157" max="6161" width="11.125" style="2" bestFit="1" customWidth="1"/>
    <col min="6162" max="6162" width="9" style="2"/>
    <col min="6163" max="6163" width="9.625" style="2" bestFit="1" customWidth="1"/>
    <col min="6164" max="6390" width="9" style="2"/>
    <col min="6391" max="6391" width="2.375" style="2" customWidth="1"/>
    <col min="6392" max="6392" width="13.25" style="2" bestFit="1" customWidth="1"/>
    <col min="6393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407" width="11.125" style="2" bestFit="1" customWidth="1"/>
    <col min="6408" max="6408" width="9" style="2"/>
    <col min="6409" max="6410" width="11.125" style="2" bestFit="1" customWidth="1"/>
    <col min="6411" max="6412" width="9" style="2"/>
    <col min="6413" max="6417" width="11.125" style="2" bestFit="1" customWidth="1"/>
    <col min="6418" max="6418" width="9" style="2"/>
    <col min="6419" max="6419" width="9.625" style="2" bestFit="1" customWidth="1"/>
    <col min="6420" max="6646" width="9" style="2"/>
    <col min="6647" max="6647" width="2.375" style="2" customWidth="1"/>
    <col min="6648" max="6648" width="13.25" style="2" bestFit="1" customWidth="1"/>
    <col min="6649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63" width="11.125" style="2" bestFit="1" customWidth="1"/>
    <col min="6664" max="6664" width="9" style="2"/>
    <col min="6665" max="6666" width="11.125" style="2" bestFit="1" customWidth="1"/>
    <col min="6667" max="6668" width="9" style="2"/>
    <col min="6669" max="6673" width="11.125" style="2" bestFit="1" customWidth="1"/>
    <col min="6674" max="6674" width="9" style="2"/>
    <col min="6675" max="6675" width="9.625" style="2" bestFit="1" customWidth="1"/>
    <col min="6676" max="6902" width="9" style="2"/>
    <col min="6903" max="6903" width="2.375" style="2" customWidth="1"/>
    <col min="6904" max="6904" width="13.25" style="2" bestFit="1" customWidth="1"/>
    <col min="6905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19" width="11.125" style="2" bestFit="1" customWidth="1"/>
    <col min="6920" max="6920" width="9" style="2"/>
    <col min="6921" max="6922" width="11.125" style="2" bestFit="1" customWidth="1"/>
    <col min="6923" max="6924" width="9" style="2"/>
    <col min="6925" max="6929" width="11.125" style="2" bestFit="1" customWidth="1"/>
    <col min="6930" max="6930" width="9" style="2"/>
    <col min="6931" max="6931" width="9.625" style="2" bestFit="1" customWidth="1"/>
    <col min="6932" max="7158" width="9" style="2"/>
    <col min="7159" max="7159" width="2.375" style="2" customWidth="1"/>
    <col min="7160" max="7160" width="13.25" style="2" bestFit="1" customWidth="1"/>
    <col min="7161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75" width="11.125" style="2" bestFit="1" customWidth="1"/>
    <col min="7176" max="7176" width="9" style="2"/>
    <col min="7177" max="7178" width="11.125" style="2" bestFit="1" customWidth="1"/>
    <col min="7179" max="7180" width="9" style="2"/>
    <col min="7181" max="7185" width="11.125" style="2" bestFit="1" customWidth="1"/>
    <col min="7186" max="7186" width="9" style="2"/>
    <col min="7187" max="7187" width="9.625" style="2" bestFit="1" customWidth="1"/>
    <col min="7188" max="7414" width="9" style="2"/>
    <col min="7415" max="7415" width="2.375" style="2" customWidth="1"/>
    <col min="7416" max="7416" width="13.25" style="2" bestFit="1" customWidth="1"/>
    <col min="7417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31" width="11.125" style="2" bestFit="1" customWidth="1"/>
    <col min="7432" max="7432" width="9" style="2"/>
    <col min="7433" max="7434" width="11.125" style="2" bestFit="1" customWidth="1"/>
    <col min="7435" max="7436" width="9" style="2"/>
    <col min="7437" max="7441" width="11.125" style="2" bestFit="1" customWidth="1"/>
    <col min="7442" max="7442" width="9" style="2"/>
    <col min="7443" max="7443" width="9.625" style="2" bestFit="1" customWidth="1"/>
    <col min="7444" max="7670" width="9" style="2"/>
    <col min="7671" max="7671" width="2.375" style="2" customWidth="1"/>
    <col min="7672" max="7672" width="13.25" style="2" bestFit="1" customWidth="1"/>
    <col min="7673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87" width="11.125" style="2" bestFit="1" customWidth="1"/>
    <col min="7688" max="7688" width="9" style="2"/>
    <col min="7689" max="7690" width="11.125" style="2" bestFit="1" customWidth="1"/>
    <col min="7691" max="7692" width="9" style="2"/>
    <col min="7693" max="7697" width="11.125" style="2" bestFit="1" customWidth="1"/>
    <col min="7698" max="7698" width="9" style="2"/>
    <col min="7699" max="7699" width="9.625" style="2" bestFit="1" customWidth="1"/>
    <col min="7700" max="7926" width="9" style="2"/>
    <col min="7927" max="7927" width="2.375" style="2" customWidth="1"/>
    <col min="7928" max="7928" width="13.25" style="2" bestFit="1" customWidth="1"/>
    <col min="7929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43" width="11.125" style="2" bestFit="1" customWidth="1"/>
    <col min="7944" max="7944" width="9" style="2"/>
    <col min="7945" max="7946" width="11.125" style="2" bestFit="1" customWidth="1"/>
    <col min="7947" max="7948" width="9" style="2"/>
    <col min="7949" max="7953" width="11.125" style="2" bestFit="1" customWidth="1"/>
    <col min="7954" max="7954" width="9" style="2"/>
    <col min="7955" max="7955" width="9.625" style="2" bestFit="1" customWidth="1"/>
    <col min="7956" max="8182" width="9" style="2"/>
    <col min="8183" max="8183" width="2.375" style="2" customWidth="1"/>
    <col min="8184" max="8184" width="13.25" style="2" bestFit="1" customWidth="1"/>
    <col min="8185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99" width="11.125" style="2" bestFit="1" customWidth="1"/>
    <col min="8200" max="8200" width="9" style="2"/>
    <col min="8201" max="8202" width="11.125" style="2" bestFit="1" customWidth="1"/>
    <col min="8203" max="8204" width="9" style="2"/>
    <col min="8205" max="8209" width="11.125" style="2" bestFit="1" customWidth="1"/>
    <col min="8210" max="8210" width="9" style="2"/>
    <col min="8211" max="8211" width="9.625" style="2" bestFit="1" customWidth="1"/>
    <col min="8212" max="8438" width="9" style="2"/>
    <col min="8439" max="8439" width="2.375" style="2" customWidth="1"/>
    <col min="8440" max="8440" width="13.25" style="2" bestFit="1" customWidth="1"/>
    <col min="8441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55" width="11.125" style="2" bestFit="1" customWidth="1"/>
    <col min="8456" max="8456" width="9" style="2"/>
    <col min="8457" max="8458" width="11.125" style="2" bestFit="1" customWidth="1"/>
    <col min="8459" max="8460" width="9" style="2"/>
    <col min="8461" max="8465" width="11.125" style="2" bestFit="1" customWidth="1"/>
    <col min="8466" max="8466" width="9" style="2"/>
    <col min="8467" max="8467" width="9.625" style="2" bestFit="1" customWidth="1"/>
    <col min="8468" max="8694" width="9" style="2"/>
    <col min="8695" max="8695" width="2.375" style="2" customWidth="1"/>
    <col min="8696" max="8696" width="13.25" style="2" bestFit="1" customWidth="1"/>
    <col min="8697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11" width="11.125" style="2" bestFit="1" customWidth="1"/>
    <col min="8712" max="8712" width="9" style="2"/>
    <col min="8713" max="8714" width="11.125" style="2" bestFit="1" customWidth="1"/>
    <col min="8715" max="8716" width="9" style="2"/>
    <col min="8717" max="8721" width="11.125" style="2" bestFit="1" customWidth="1"/>
    <col min="8722" max="8722" width="9" style="2"/>
    <col min="8723" max="8723" width="9.625" style="2" bestFit="1" customWidth="1"/>
    <col min="8724" max="8950" width="9" style="2"/>
    <col min="8951" max="8951" width="2.375" style="2" customWidth="1"/>
    <col min="8952" max="8952" width="13.25" style="2" bestFit="1" customWidth="1"/>
    <col min="8953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67" width="11.125" style="2" bestFit="1" customWidth="1"/>
    <col min="8968" max="8968" width="9" style="2"/>
    <col min="8969" max="8970" width="11.125" style="2" bestFit="1" customWidth="1"/>
    <col min="8971" max="8972" width="9" style="2"/>
    <col min="8973" max="8977" width="11.125" style="2" bestFit="1" customWidth="1"/>
    <col min="8978" max="8978" width="9" style="2"/>
    <col min="8979" max="8979" width="9.625" style="2" bestFit="1" customWidth="1"/>
    <col min="8980" max="9206" width="9" style="2"/>
    <col min="9207" max="9207" width="2.375" style="2" customWidth="1"/>
    <col min="9208" max="9208" width="13.25" style="2" bestFit="1" customWidth="1"/>
    <col min="9209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23" width="11.125" style="2" bestFit="1" customWidth="1"/>
    <col min="9224" max="9224" width="9" style="2"/>
    <col min="9225" max="9226" width="11.125" style="2" bestFit="1" customWidth="1"/>
    <col min="9227" max="9228" width="9" style="2"/>
    <col min="9229" max="9233" width="11.125" style="2" bestFit="1" customWidth="1"/>
    <col min="9234" max="9234" width="9" style="2"/>
    <col min="9235" max="9235" width="9.625" style="2" bestFit="1" customWidth="1"/>
    <col min="9236" max="9462" width="9" style="2"/>
    <col min="9463" max="9463" width="2.375" style="2" customWidth="1"/>
    <col min="9464" max="9464" width="13.25" style="2" bestFit="1" customWidth="1"/>
    <col min="9465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79" width="11.125" style="2" bestFit="1" customWidth="1"/>
    <col min="9480" max="9480" width="9" style="2"/>
    <col min="9481" max="9482" width="11.125" style="2" bestFit="1" customWidth="1"/>
    <col min="9483" max="9484" width="9" style="2"/>
    <col min="9485" max="9489" width="11.125" style="2" bestFit="1" customWidth="1"/>
    <col min="9490" max="9490" width="9" style="2"/>
    <col min="9491" max="9491" width="9.625" style="2" bestFit="1" customWidth="1"/>
    <col min="9492" max="9718" width="9" style="2"/>
    <col min="9719" max="9719" width="2.375" style="2" customWidth="1"/>
    <col min="9720" max="9720" width="13.25" style="2" bestFit="1" customWidth="1"/>
    <col min="9721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35" width="11.125" style="2" bestFit="1" customWidth="1"/>
    <col min="9736" max="9736" width="9" style="2"/>
    <col min="9737" max="9738" width="11.125" style="2" bestFit="1" customWidth="1"/>
    <col min="9739" max="9740" width="9" style="2"/>
    <col min="9741" max="9745" width="11.125" style="2" bestFit="1" customWidth="1"/>
    <col min="9746" max="9746" width="9" style="2"/>
    <col min="9747" max="9747" width="9.625" style="2" bestFit="1" customWidth="1"/>
    <col min="9748" max="9974" width="9" style="2"/>
    <col min="9975" max="9975" width="2.375" style="2" customWidth="1"/>
    <col min="9976" max="9976" width="13.25" style="2" bestFit="1" customWidth="1"/>
    <col min="9977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91" width="11.125" style="2" bestFit="1" customWidth="1"/>
    <col min="9992" max="9992" width="9" style="2"/>
    <col min="9993" max="9994" width="11.125" style="2" bestFit="1" customWidth="1"/>
    <col min="9995" max="9996" width="9" style="2"/>
    <col min="9997" max="10001" width="11.125" style="2" bestFit="1" customWidth="1"/>
    <col min="10002" max="10002" width="9" style="2"/>
    <col min="10003" max="10003" width="9.625" style="2" bestFit="1" customWidth="1"/>
    <col min="10004" max="10230" width="9" style="2"/>
    <col min="10231" max="10231" width="2.375" style="2" customWidth="1"/>
    <col min="10232" max="10232" width="13.25" style="2" bestFit="1" customWidth="1"/>
    <col min="10233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47" width="11.125" style="2" bestFit="1" customWidth="1"/>
    <col min="10248" max="10248" width="9" style="2"/>
    <col min="10249" max="10250" width="11.125" style="2" bestFit="1" customWidth="1"/>
    <col min="10251" max="10252" width="9" style="2"/>
    <col min="10253" max="10257" width="11.125" style="2" bestFit="1" customWidth="1"/>
    <col min="10258" max="10258" width="9" style="2"/>
    <col min="10259" max="10259" width="9.625" style="2" bestFit="1" customWidth="1"/>
    <col min="10260" max="10486" width="9" style="2"/>
    <col min="10487" max="10487" width="2.375" style="2" customWidth="1"/>
    <col min="10488" max="10488" width="13.25" style="2" bestFit="1" customWidth="1"/>
    <col min="10489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503" width="11.125" style="2" bestFit="1" customWidth="1"/>
    <col min="10504" max="10504" width="9" style="2"/>
    <col min="10505" max="10506" width="11.125" style="2" bestFit="1" customWidth="1"/>
    <col min="10507" max="10508" width="9" style="2"/>
    <col min="10509" max="10513" width="11.125" style="2" bestFit="1" customWidth="1"/>
    <col min="10514" max="10514" width="9" style="2"/>
    <col min="10515" max="10515" width="9.625" style="2" bestFit="1" customWidth="1"/>
    <col min="10516" max="10742" width="9" style="2"/>
    <col min="10743" max="10743" width="2.375" style="2" customWidth="1"/>
    <col min="10744" max="10744" width="13.25" style="2" bestFit="1" customWidth="1"/>
    <col min="10745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59" width="11.125" style="2" bestFit="1" customWidth="1"/>
    <col min="10760" max="10760" width="9" style="2"/>
    <col min="10761" max="10762" width="11.125" style="2" bestFit="1" customWidth="1"/>
    <col min="10763" max="10764" width="9" style="2"/>
    <col min="10765" max="10769" width="11.125" style="2" bestFit="1" customWidth="1"/>
    <col min="10770" max="10770" width="9" style="2"/>
    <col min="10771" max="10771" width="9.625" style="2" bestFit="1" customWidth="1"/>
    <col min="10772" max="10998" width="9" style="2"/>
    <col min="10999" max="10999" width="2.375" style="2" customWidth="1"/>
    <col min="11000" max="11000" width="13.25" style="2" bestFit="1" customWidth="1"/>
    <col min="11001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15" width="11.125" style="2" bestFit="1" customWidth="1"/>
    <col min="11016" max="11016" width="9" style="2"/>
    <col min="11017" max="11018" width="11.125" style="2" bestFit="1" customWidth="1"/>
    <col min="11019" max="11020" width="9" style="2"/>
    <col min="11021" max="11025" width="11.125" style="2" bestFit="1" customWidth="1"/>
    <col min="11026" max="11026" width="9" style="2"/>
    <col min="11027" max="11027" width="9.625" style="2" bestFit="1" customWidth="1"/>
    <col min="11028" max="11254" width="9" style="2"/>
    <col min="11255" max="11255" width="2.375" style="2" customWidth="1"/>
    <col min="11256" max="11256" width="13.25" style="2" bestFit="1" customWidth="1"/>
    <col min="11257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71" width="11.125" style="2" bestFit="1" customWidth="1"/>
    <col min="11272" max="11272" width="9" style="2"/>
    <col min="11273" max="11274" width="11.125" style="2" bestFit="1" customWidth="1"/>
    <col min="11275" max="11276" width="9" style="2"/>
    <col min="11277" max="11281" width="11.125" style="2" bestFit="1" customWidth="1"/>
    <col min="11282" max="11282" width="9" style="2"/>
    <col min="11283" max="11283" width="9.625" style="2" bestFit="1" customWidth="1"/>
    <col min="11284" max="11510" width="9" style="2"/>
    <col min="11511" max="11511" width="2.375" style="2" customWidth="1"/>
    <col min="11512" max="11512" width="13.25" style="2" bestFit="1" customWidth="1"/>
    <col min="11513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27" width="11.125" style="2" bestFit="1" customWidth="1"/>
    <col min="11528" max="11528" width="9" style="2"/>
    <col min="11529" max="11530" width="11.125" style="2" bestFit="1" customWidth="1"/>
    <col min="11531" max="11532" width="9" style="2"/>
    <col min="11533" max="11537" width="11.125" style="2" bestFit="1" customWidth="1"/>
    <col min="11538" max="11538" width="9" style="2"/>
    <col min="11539" max="11539" width="9.625" style="2" bestFit="1" customWidth="1"/>
    <col min="11540" max="11766" width="9" style="2"/>
    <col min="11767" max="11767" width="2.375" style="2" customWidth="1"/>
    <col min="11768" max="11768" width="13.25" style="2" bestFit="1" customWidth="1"/>
    <col min="11769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83" width="11.125" style="2" bestFit="1" customWidth="1"/>
    <col min="11784" max="11784" width="9" style="2"/>
    <col min="11785" max="11786" width="11.125" style="2" bestFit="1" customWidth="1"/>
    <col min="11787" max="11788" width="9" style="2"/>
    <col min="11789" max="11793" width="11.125" style="2" bestFit="1" customWidth="1"/>
    <col min="11794" max="11794" width="9" style="2"/>
    <col min="11795" max="11795" width="9.625" style="2" bestFit="1" customWidth="1"/>
    <col min="11796" max="12022" width="9" style="2"/>
    <col min="12023" max="12023" width="2.375" style="2" customWidth="1"/>
    <col min="12024" max="12024" width="13.25" style="2" bestFit="1" customWidth="1"/>
    <col min="12025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39" width="11.125" style="2" bestFit="1" customWidth="1"/>
    <col min="12040" max="12040" width="9" style="2"/>
    <col min="12041" max="12042" width="11.125" style="2" bestFit="1" customWidth="1"/>
    <col min="12043" max="12044" width="9" style="2"/>
    <col min="12045" max="12049" width="11.125" style="2" bestFit="1" customWidth="1"/>
    <col min="12050" max="12050" width="9" style="2"/>
    <col min="12051" max="12051" width="9.625" style="2" bestFit="1" customWidth="1"/>
    <col min="12052" max="12278" width="9" style="2"/>
    <col min="12279" max="12279" width="2.375" style="2" customWidth="1"/>
    <col min="12280" max="12280" width="13.25" style="2" bestFit="1" customWidth="1"/>
    <col min="12281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95" width="11.125" style="2" bestFit="1" customWidth="1"/>
    <col min="12296" max="12296" width="9" style="2"/>
    <col min="12297" max="12298" width="11.125" style="2" bestFit="1" customWidth="1"/>
    <col min="12299" max="12300" width="9" style="2"/>
    <col min="12301" max="12305" width="11.125" style="2" bestFit="1" customWidth="1"/>
    <col min="12306" max="12306" width="9" style="2"/>
    <col min="12307" max="12307" width="9.625" style="2" bestFit="1" customWidth="1"/>
    <col min="12308" max="12534" width="9" style="2"/>
    <col min="12535" max="12535" width="2.375" style="2" customWidth="1"/>
    <col min="12536" max="12536" width="13.25" style="2" bestFit="1" customWidth="1"/>
    <col min="12537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51" width="11.125" style="2" bestFit="1" customWidth="1"/>
    <col min="12552" max="12552" width="9" style="2"/>
    <col min="12553" max="12554" width="11.125" style="2" bestFit="1" customWidth="1"/>
    <col min="12555" max="12556" width="9" style="2"/>
    <col min="12557" max="12561" width="11.125" style="2" bestFit="1" customWidth="1"/>
    <col min="12562" max="12562" width="9" style="2"/>
    <col min="12563" max="12563" width="9.625" style="2" bestFit="1" customWidth="1"/>
    <col min="12564" max="12790" width="9" style="2"/>
    <col min="12791" max="12791" width="2.375" style="2" customWidth="1"/>
    <col min="12792" max="12792" width="13.25" style="2" bestFit="1" customWidth="1"/>
    <col min="12793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807" width="11.125" style="2" bestFit="1" customWidth="1"/>
    <col min="12808" max="12808" width="9" style="2"/>
    <col min="12809" max="12810" width="11.125" style="2" bestFit="1" customWidth="1"/>
    <col min="12811" max="12812" width="9" style="2"/>
    <col min="12813" max="12817" width="11.125" style="2" bestFit="1" customWidth="1"/>
    <col min="12818" max="12818" width="9" style="2"/>
    <col min="12819" max="12819" width="9.625" style="2" bestFit="1" customWidth="1"/>
    <col min="12820" max="13046" width="9" style="2"/>
    <col min="13047" max="13047" width="2.375" style="2" customWidth="1"/>
    <col min="13048" max="13048" width="13.25" style="2" bestFit="1" customWidth="1"/>
    <col min="13049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63" width="11.125" style="2" bestFit="1" customWidth="1"/>
    <col min="13064" max="13064" width="9" style="2"/>
    <col min="13065" max="13066" width="11.125" style="2" bestFit="1" customWidth="1"/>
    <col min="13067" max="13068" width="9" style="2"/>
    <col min="13069" max="13073" width="11.125" style="2" bestFit="1" customWidth="1"/>
    <col min="13074" max="13074" width="9" style="2"/>
    <col min="13075" max="13075" width="9.625" style="2" bestFit="1" customWidth="1"/>
    <col min="13076" max="13302" width="9" style="2"/>
    <col min="13303" max="13303" width="2.375" style="2" customWidth="1"/>
    <col min="13304" max="13304" width="13.25" style="2" bestFit="1" customWidth="1"/>
    <col min="13305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19" width="11.125" style="2" bestFit="1" customWidth="1"/>
    <col min="13320" max="13320" width="9" style="2"/>
    <col min="13321" max="13322" width="11.125" style="2" bestFit="1" customWidth="1"/>
    <col min="13323" max="13324" width="9" style="2"/>
    <col min="13325" max="13329" width="11.125" style="2" bestFit="1" customWidth="1"/>
    <col min="13330" max="13330" width="9" style="2"/>
    <col min="13331" max="13331" width="9.625" style="2" bestFit="1" customWidth="1"/>
    <col min="13332" max="13558" width="9" style="2"/>
    <col min="13559" max="13559" width="2.375" style="2" customWidth="1"/>
    <col min="13560" max="13560" width="13.25" style="2" bestFit="1" customWidth="1"/>
    <col min="13561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75" width="11.125" style="2" bestFit="1" customWidth="1"/>
    <col min="13576" max="13576" width="9" style="2"/>
    <col min="13577" max="13578" width="11.125" style="2" bestFit="1" customWidth="1"/>
    <col min="13579" max="13580" width="9" style="2"/>
    <col min="13581" max="13585" width="11.125" style="2" bestFit="1" customWidth="1"/>
    <col min="13586" max="13586" width="9" style="2"/>
    <col min="13587" max="13587" width="9.625" style="2" bestFit="1" customWidth="1"/>
    <col min="13588" max="13814" width="9" style="2"/>
    <col min="13815" max="13815" width="2.375" style="2" customWidth="1"/>
    <col min="13816" max="13816" width="13.25" style="2" bestFit="1" customWidth="1"/>
    <col min="13817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31" width="11.125" style="2" bestFit="1" customWidth="1"/>
    <col min="13832" max="13832" width="9" style="2"/>
    <col min="13833" max="13834" width="11.125" style="2" bestFit="1" customWidth="1"/>
    <col min="13835" max="13836" width="9" style="2"/>
    <col min="13837" max="13841" width="11.125" style="2" bestFit="1" customWidth="1"/>
    <col min="13842" max="13842" width="9" style="2"/>
    <col min="13843" max="13843" width="9.625" style="2" bestFit="1" customWidth="1"/>
    <col min="13844" max="14070" width="9" style="2"/>
    <col min="14071" max="14071" width="2.375" style="2" customWidth="1"/>
    <col min="14072" max="14072" width="13.25" style="2" bestFit="1" customWidth="1"/>
    <col min="14073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87" width="11.125" style="2" bestFit="1" customWidth="1"/>
    <col min="14088" max="14088" width="9" style="2"/>
    <col min="14089" max="14090" width="11.125" style="2" bestFit="1" customWidth="1"/>
    <col min="14091" max="14092" width="9" style="2"/>
    <col min="14093" max="14097" width="11.125" style="2" bestFit="1" customWidth="1"/>
    <col min="14098" max="14098" width="9" style="2"/>
    <col min="14099" max="14099" width="9.625" style="2" bestFit="1" customWidth="1"/>
    <col min="14100" max="14326" width="9" style="2"/>
    <col min="14327" max="14327" width="2.375" style="2" customWidth="1"/>
    <col min="14328" max="14328" width="13.25" style="2" bestFit="1" customWidth="1"/>
    <col min="14329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43" width="11.125" style="2" bestFit="1" customWidth="1"/>
    <col min="14344" max="14344" width="9" style="2"/>
    <col min="14345" max="14346" width="11.125" style="2" bestFit="1" customWidth="1"/>
    <col min="14347" max="14348" width="9" style="2"/>
    <col min="14349" max="14353" width="11.125" style="2" bestFit="1" customWidth="1"/>
    <col min="14354" max="14354" width="9" style="2"/>
    <col min="14355" max="14355" width="9.625" style="2" bestFit="1" customWidth="1"/>
    <col min="14356" max="14582" width="9" style="2"/>
    <col min="14583" max="14583" width="2.375" style="2" customWidth="1"/>
    <col min="14584" max="14584" width="13.25" style="2" bestFit="1" customWidth="1"/>
    <col min="14585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99" width="11.125" style="2" bestFit="1" customWidth="1"/>
    <col min="14600" max="14600" width="9" style="2"/>
    <col min="14601" max="14602" width="11.125" style="2" bestFit="1" customWidth="1"/>
    <col min="14603" max="14604" width="9" style="2"/>
    <col min="14605" max="14609" width="11.125" style="2" bestFit="1" customWidth="1"/>
    <col min="14610" max="14610" width="9" style="2"/>
    <col min="14611" max="14611" width="9.625" style="2" bestFit="1" customWidth="1"/>
    <col min="14612" max="14838" width="9" style="2"/>
    <col min="14839" max="14839" width="2.375" style="2" customWidth="1"/>
    <col min="14840" max="14840" width="13.25" style="2" bestFit="1" customWidth="1"/>
    <col min="14841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55" width="11.125" style="2" bestFit="1" customWidth="1"/>
    <col min="14856" max="14856" width="9" style="2"/>
    <col min="14857" max="14858" width="11.125" style="2" bestFit="1" customWidth="1"/>
    <col min="14859" max="14860" width="9" style="2"/>
    <col min="14861" max="14865" width="11.125" style="2" bestFit="1" customWidth="1"/>
    <col min="14866" max="14866" width="9" style="2"/>
    <col min="14867" max="14867" width="9.625" style="2" bestFit="1" customWidth="1"/>
    <col min="14868" max="15094" width="9" style="2"/>
    <col min="15095" max="15095" width="2.375" style="2" customWidth="1"/>
    <col min="15096" max="15096" width="13.25" style="2" bestFit="1" customWidth="1"/>
    <col min="15097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11" width="11.125" style="2" bestFit="1" customWidth="1"/>
    <col min="15112" max="15112" width="9" style="2"/>
    <col min="15113" max="15114" width="11.125" style="2" bestFit="1" customWidth="1"/>
    <col min="15115" max="15116" width="9" style="2"/>
    <col min="15117" max="15121" width="11.125" style="2" bestFit="1" customWidth="1"/>
    <col min="15122" max="15122" width="9" style="2"/>
    <col min="15123" max="15123" width="9.625" style="2" bestFit="1" customWidth="1"/>
    <col min="15124" max="15350" width="9" style="2"/>
    <col min="15351" max="15351" width="2.375" style="2" customWidth="1"/>
    <col min="15352" max="15352" width="13.25" style="2" bestFit="1" customWidth="1"/>
    <col min="15353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67" width="11.125" style="2" bestFit="1" customWidth="1"/>
    <col min="15368" max="15368" width="9" style="2"/>
    <col min="15369" max="15370" width="11.125" style="2" bestFit="1" customWidth="1"/>
    <col min="15371" max="15372" width="9" style="2"/>
    <col min="15373" max="15377" width="11.125" style="2" bestFit="1" customWidth="1"/>
    <col min="15378" max="15378" width="9" style="2"/>
    <col min="15379" max="15379" width="9.625" style="2" bestFit="1" customWidth="1"/>
    <col min="15380" max="15606" width="9" style="2"/>
    <col min="15607" max="15607" width="2.375" style="2" customWidth="1"/>
    <col min="15608" max="15608" width="13.25" style="2" bestFit="1" customWidth="1"/>
    <col min="15609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23" width="11.125" style="2" bestFit="1" customWidth="1"/>
    <col min="15624" max="15624" width="9" style="2"/>
    <col min="15625" max="15626" width="11.125" style="2" bestFit="1" customWidth="1"/>
    <col min="15627" max="15628" width="9" style="2"/>
    <col min="15629" max="15633" width="11.125" style="2" bestFit="1" customWidth="1"/>
    <col min="15634" max="15634" width="9" style="2"/>
    <col min="15635" max="15635" width="9.625" style="2" bestFit="1" customWidth="1"/>
    <col min="15636" max="15862" width="9" style="2"/>
    <col min="15863" max="15863" width="2.375" style="2" customWidth="1"/>
    <col min="15864" max="15864" width="13.25" style="2" bestFit="1" customWidth="1"/>
    <col min="15865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79" width="11.125" style="2" bestFit="1" customWidth="1"/>
    <col min="15880" max="15880" width="9" style="2"/>
    <col min="15881" max="15882" width="11.125" style="2" bestFit="1" customWidth="1"/>
    <col min="15883" max="15884" width="9" style="2"/>
    <col min="15885" max="15889" width="11.125" style="2" bestFit="1" customWidth="1"/>
    <col min="15890" max="15890" width="9" style="2"/>
    <col min="15891" max="15891" width="9.625" style="2" bestFit="1" customWidth="1"/>
    <col min="15892" max="16118" width="9" style="2"/>
    <col min="16119" max="16119" width="2.375" style="2" customWidth="1"/>
    <col min="16120" max="16120" width="13.25" style="2" bestFit="1" customWidth="1"/>
    <col min="16121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35" width="11.125" style="2" bestFit="1" customWidth="1"/>
    <col min="16136" max="16136" width="9" style="2"/>
    <col min="16137" max="16138" width="11.125" style="2" bestFit="1" customWidth="1"/>
    <col min="16139" max="16140" width="9" style="2"/>
    <col min="16141" max="16145" width="11.125" style="2" bestFit="1" customWidth="1"/>
    <col min="16146" max="16146" width="9" style="2"/>
    <col min="16147" max="16147" width="9.625" style="2" bestFit="1" customWidth="1"/>
    <col min="16148" max="16384" width="9" style="2"/>
  </cols>
  <sheetData>
    <row r="1" spans="1:19">
      <c r="A1" s="1" t="s">
        <v>0</v>
      </c>
    </row>
    <row r="2" spans="1:19">
      <c r="A2" s="1"/>
    </row>
    <row r="3" spans="1:19">
      <c r="A3" s="1" t="s">
        <v>1</v>
      </c>
    </row>
    <row r="4" spans="1:19">
      <c r="A4" s="1" t="s">
        <v>2</v>
      </c>
    </row>
    <row r="5" spans="1:19">
      <c r="A5" s="1" t="s">
        <v>3</v>
      </c>
    </row>
    <row r="6" spans="1:19" ht="19.5" thickBot="1">
      <c r="A6" s="1" t="s">
        <v>4</v>
      </c>
    </row>
    <row r="7" spans="1:19">
      <c r="B7" s="15"/>
      <c r="C7" s="2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22</v>
      </c>
      <c r="R7" s="4" t="s">
        <v>23</v>
      </c>
      <c r="S7" s="83" t="s">
        <v>105</v>
      </c>
    </row>
    <row r="8" spans="1:19" ht="19.5" thickBot="1">
      <c r="A8" s="3"/>
      <c r="B8" s="36" t="s">
        <v>31</v>
      </c>
      <c r="C8" s="37" t="s">
        <v>32</v>
      </c>
      <c r="D8" s="38" t="s">
        <v>33</v>
      </c>
      <c r="E8" s="38" t="s">
        <v>34</v>
      </c>
      <c r="F8" s="38" t="s">
        <v>35</v>
      </c>
      <c r="G8" s="38" t="s">
        <v>36</v>
      </c>
      <c r="H8" s="38" t="s">
        <v>37</v>
      </c>
      <c r="I8" s="38" t="s">
        <v>38</v>
      </c>
      <c r="J8" s="38" t="s">
        <v>39</v>
      </c>
      <c r="K8" s="38" t="s">
        <v>40</v>
      </c>
      <c r="L8" s="38" t="s">
        <v>41</v>
      </c>
      <c r="M8" s="38" t="s">
        <v>42</v>
      </c>
      <c r="N8" s="38" t="s">
        <v>43</v>
      </c>
      <c r="O8" s="38" t="s">
        <v>44</v>
      </c>
      <c r="P8" s="38" t="s">
        <v>45</v>
      </c>
      <c r="Q8" s="38" t="s">
        <v>49</v>
      </c>
      <c r="R8" s="38" t="s">
        <v>50</v>
      </c>
      <c r="S8" s="40" t="s">
        <v>110</v>
      </c>
    </row>
    <row r="9" spans="1:19">
      <c r="A9" s="1" t="s">
        <v>3</v>
      </c>
      <c r="B9" s="31" t="s">
        <v>59</v>
      </c>
      <c r="C9" s="32">
        <v>21</v>
      </c>
      <c r="D9" s="33">
        <v>20</v>
      </c>
      <c r="E9" s="33">
        <v>20</v>
      </c>
      <c r="F9" s="33">
        <v>20</v>
      </c>
      <c r="G9" s="33">
        <v>13</v>
      </c>
      <c r="H9" s="33">
        <v>22</v>
      </c>
      <c r="I9" s="33">
        <v>19</v>
      </c>
      <c r="J9" s="33">
        <v>20</v>
      </c>
      <c r="K9" s="33">
        <v>20</v>
      </c>
      <c r="L9" s="33">
        <v>21</v>
      </c>
      <c r="M9" s="33">
        <v>19</v>
      </c>
      <c r="N9" s="33">
        <v>22</v>
      </c>
      <c r="O9" s="33">
        <v>21</v>
      </c>
      <c r="P9" s="33">
        <v>22</v>
      </c>
      <c r="Q9" s="33">
        <v>20</v>
      </c>
      <c r="R9" s="33">
        <v>16</v>
      </c>
      <c r="S9" s="35">
        <f>SUM(C9:R9)</f>
        <v>316</v>
      </c>
    </row>
    <row r="10" spans="1:19">
      <c r="A10" s="1" t="s">
        <v>3</v>
      </c>
      <c r="B10" s="16" t="s">
        <v>60</v>
      </c>
      <c r="C10" s="26">
        <v>3</v>
      </c>
      <c r="D10" s="5">
        <v>3</v>
      </c>
      <c r="E10" s="5">
        <v>1</v>
      </c>
      <c r="F10" s="5">
        <v>2</v>
      </c>
      <c r="G10" s="5">
        <v>3</v>
      </c>
      <c r="H10" s="5">
        <v>2</v>
      </c>
      <c r="I10" s="5">
        <v>3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3</v>
      </c>
      <c r="P10" s="5">
        <v>0</v>
      </c>
      <c r="Q10" s="5">
        <v>2</v>
      </c>
      <c r="R10" s="5">
        <v>1</v>
      </c>
      <c r="S10" s="19">
        <f t="shared" ref="S10:S21" si="0">SUM(C10:R10)</f>
        <v>28</v>
      </c>
    </row>
    <row r="11" spans="1:19">
      <c r="A11" s="1" t="s">
        <v>3</v>
      </c>
      <c r="B11" s="16" t="s">
        <v>61</v>
      </c>
      <c r="C11" s="26">
        <v>3</v>
      </c>
      <c r="D11" s="5">
        <v>3</v>
      </c>
      <c r="E11" s="5">
        <v>2</v>
      </c>
      <c r="F11" s="5">
        <v>4</v>
      </c>
      <c r="G11" s="5">
        <v>1</v>
      </c>
      <c r="H11" s="5">
        <v>2</v>
      </c>
      <c r="I11" s="5">
        <v>3</v>
      </c>
      <c r="J11" s="5">
        <v>3</v>
      </c>
      <c r="K11" s="5">
        <v>3</v>
      </c>
      <c r="L11" s="5">
        <v>0</v>
      </c>
      <c r="M11" s="5">
        <v>3</v>
      </c>
      <c r="N11" s="5">
        <v>2</v>
      </c>
      <c r="O11" s="5">
        <v>1</v>
      </c>
      <c r="P11" s="5">
        <v>3</v>
      </c>
      <c r="Q11" s="5">
        <v>4</v>
      </c>
      <c r="R11" s="5">
        <v>1</v>
      </c>
      <c r="S11" s="19">
        <f t="shared" si="0"/>
        <v>38</v>
      </c>
    </row>
    <row r="12" spans="1:19">
      <c r="A12" s="1" t="s">
        <v>3</v>
      </c>
      <c r="B12" s="16" t="s">
        <v>62</v>
      </c>
      <c r="C12" s="26">
        <v>1</v>
      </c>
      <c r="D12" s="5">
        <v>2</v>
      </c>
      <c r="E12" s="5">
        <v>2</v>
      </c>
      <c r="F12" s="5">
        <v>2</v>
      </c>
      <c r="G12" s="5">
        <v>3</v>
      </c>
      <c r="H12" s="5">
        <v>0</v>
      </c>
      <c r="I12" s="5">
        <v>3</v>
      </c>
      <c r="J12" s="5">
        <v>2</v>
      </c>
      <c r="K12" s="5">
        <v>2</v>
      </c>
      <c r="L12" s="5">
        <v>2</v>
      </c>
      <c r="M12" s="5">
        <v>3.5</v>
      </c>
      <c r="N12" s="5">
        <v>0</v>
      </c>
      <c r="O12" s="5">
        <v>1</v>
      </c>
      <c r="P12" s="5">
        <v>0</v>
      </c>
      <c r="Q12" s="5">
        <v>2</v>
      </c>
      <c r="R12" s="5">
        <v>0</v>
      </c>
      <c r="S12" s="19">
        <f t="shared" si="0"/>
        <v>25.5</v>
      </c>
    </row>
    <row r="13" spans="1:19">
      <c r="A13" s="1" t="s">
        <v>3</v>
      </c>
      <c r="B13" s="16" t="s">
        <v>63</v>
      </c>
      <c r="C13" s="26">
        <v>0</v>
      </c>
      <c r="D13" s="5">
        <v>0</v>
      </c>
      <c r="E13" s="5">
        <v>0</v>
      </c>
      <c r="F13" s="5">
        <v>0</v>
      </c>
      <c r="G13" s="5">
        <v>6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19">
        <f t="shared" si="0"/>
        <v>6</v>
      </c>
    </row>
    <row r="14" spans="1:19">
      <c r="A14" s="1" t="s">
        <v>3</v>
      </c>
      <c r="B14" s="16" t="s">
        <v>64</v>
      </c>
      <c r="C14" s="26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5</v>
      </c>
      <c r="S14" s="19">
        <f t="shared" si="0"/>
        <v>5</v>
      </c>
    </row>
    <row r="15" spans="1:19">
      <c r="A15" s="1" t="s">
        <v>3</v>
      </c>
      <c r="B15" s="16" t="s">
        <v>65</v>
      </c>
      <c r="C15" s="2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20">
        <f t="shared" si="0"/>
        <v>0</v>
      </c>
    </row>
    <row r="16" spans="1:19">
      <c r="A16" s="1" t="s">
        <v>3</v>
      </c>
      <c r="B16" s="16" t="s">
        <v>66</v>
      </c>
      <c r="C16" s="27">
        <v>0.79166666666666663</v>
      </c>
      <c r="D16" s="7">
        <v>2</v>
      </c>
      <c r="E16" s="7">
        <v>1.7083333333333335</v>
      </c>
      <c r="F16" s="7">
        <v>1.625</v>
      </c>
      <c r="G16" s="7">
        <v>0.875</v>
      </c>
      <c r="H16" s="7">
        <v>1.4583333333333333</v>
      </c>
      <c r="I16" s="7">
        <v>1.4583333333333333</v>
      </c>
      <c r="J16" s="7">
        <v>1.6666666666666665</v>
      </c>
      <c r="K16" s="7">
        <v>1.0416666666666667</v>
      </c>
      <c r="L16" s="7">
        <v>1.1666666666666667</v>
      </c>
      <c r="M16" s="7">
        <v>1.625</v>
      </c>
      <c r="N16" s="7">
        <v>2.875</v>
      </c>
      <c r="O16" s="7">
        <v>2.5833333333333335</v>
      </c>
      <c r="P16" s="7">
        <v>1.5</v>
      </c>
      <c r="Q16" s="7">
        <v>0.91666666666666663</v>
      </c>
      <c r="R16" s="7">
        <v>0.83333333333333337</v>
      </c>
      <c r="S16" s="20">
        <f t="shared" si="0"/>
        <v>24.124999999999996</v>
      </c>
    </row>
    <row r="17" spans="1:19">
      <c r="A17" s="1" t="s">
        <v>3</v>
      </c>
      <c r="B17" s="16" t="s">
        <v>67</v>
      </c>
      <c r="C17" s="27">
        <v>0.79166666666666663</v>
      </c>
      <c r="D17" s="7">
        <v>1</v>
      </c>
      <c r="E17" s="7">
        <v>0.16666666666666666</v>
      </c>
      <c r="F17" s="7">
        <v>0.83333333333333337</v>
      </c>
      <c r="G17" s="7">
        <v>1</v>
      </c>
      <c r="H17" s="7">
        <v>0.70833333333333337</v>
      </c>
      <c r="I17" s="7">
        <v>1.0833333333333333</v>
      </c>
      <c r="J17" s="7">
        <v>0.29166666666666669</v>
      </c>
      <c r="K17" s="7">
        <v>0.41666666666666669</v>
      </c>
      <c r="L17" s="7">
        <v>0.41666666666666669</v>
      </c>
      <c r="M17" s="7">
        <v>0.5</v>
      </c>
      <c r="N17" s="7">
        <v>0.33333333333333331</v>
      </c>
      <c r="O17" s="7">
        <v>0.95833333333333337</v>
      </c>
      <c r="P17" s="7">
        <v>0</v>
      </c>
      <c r="Q17" s="7">
        <v>0.45833333333333331</v>
      </c>
      <c r="R17" s="7">
        <v>0.375</v>
      </c>
      <c r="S17" s="20">
        <f t="shared" si="0"/>
        <v>9.3333333333333339</v>
      </c>
    </row>
    <row r="18" spans="1:19">
      <c r="A18" s="1" t="s">
        <v>3</v>
      </c>
      <c r="B18" s="16" t="s">
        <v>68</v>
      </c>
      <c r="C18" s="27">
        <v>0.75</v>
      </c>
      <c r="D18" s="7">
        <v>1.0416666666666667</v>
      </c>
      <c r="E18" s="7">
        <v>0.83333333333333337</v>
      </c>
      <c r="F18" s="7">
        <v>1.6666666666666665</v>
      </c>
      <c r="G18" s="7">
        <v>0.41666666666666669</v>
      </c>
      <c r="H18" s="7">
        <v>0.58333333333333337</v>
      </c>
      <c r="I18" s="7">
        <v>1.1666666666666667</v>
      </c>
      <c r="J18" s="7">
        <v>1.0833333333333333</v>
      </c>
      <c r="K18" s="7">
        <v>1.2916666666666667</v>
      </c>
      <c r="L18" s="7">
        <v>0</v>
      </c>
      <c r="M18" s="7">
        <v>1.25</v>
      </c>
      <c r="N18" s="7">
        <v>0.54166666666666663</v>
      </c>
      <c r="O18" s="7">
        <v>0.5</v>
      </c>
      <c r="P18" s="7">
        <v>0.91666666666666663</v>
      </c>
      <c r="Q18" s="7">
        <v>1.125</v>
      </c>
      <c r="R18" s="7">
        <v>0.33333333333333331</v>
      </c>
      <c r="S18" s="20">
        <f t="shared" si="0"/>
        <v>13.499999999999998</v>
      </c>
    </row>
    <row r="19" spans="1:19">
      <c r="A19" s="1" t="s">
        <v>3</v>
      </c>
      <c r="B19" s="16" t="s">
        <v>69</v>
      </c>
      <c r="C19" s="2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0.375</v>
      </c>
      <c r="O19" s="7">
        <v>0.25</v>
      </c>
      <c r="P19" s="7">
        <v>0</v>
      </c>
      <c r="Q19" s="7">
        <v>0</v>
      </c>
      <c r="R19" s="7">
        <v>0</v>
      </c>
      <c r="S19" s="20">
        <f t="shared" si="0"/>
        <v>0.625</v>
      </c>
    </row>
    <row r="20" spans="1:19">
      <c r="A20" s="1" t="s">
        <v>3</v>
      </c>
      <c r="B20" s="16" t="s">
        <v>70</v>
      </c>
      <c r="C20" s="2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20">
        <f t="shared" si="0"/>
        <v>0</v>
      </c>
    </row>
    <row r="21" spans="1:19">
      <c r="A21" s="1" t="s">
        <v>3</v>
      </c>
      <c r="B21" s="16" t="s">
        <v>71</v>
      </c>
      <c r="C21" s="27">
        <v>0.20833333333333334</v>
      </c>
      <c r="D21" s="7">
        <v>0.70833333333333337</v>
      </c>
      <c r="E21" s="7">
        <v>0.79166666666666663</v>
      </c>
      <c r="F21" s="7">
        <v>3.2083333333333335</v>
      </c>
      <c r="G21" s="7">
        <v>8.3333333333333329E-2</v>
      </c>
      <c r="H21" s="7">
        <v>0.16666666666666666</v>
      </c>
      <c r="I21" s="7">
        <v>0.16666666666666666</v>
      </c>
      <c r="J21" s="7">
        <v>0.66666666666666663</v>
      </c>
      <c r="K21" s="7">
        <v>0.54166666666666663</v>
      </c>
      <c r="L21" s="7">
        <v>0.29166666666666669</v>
      </c>
      <c r="M21" s="7">
        <v>0.45833333333333331</v>
      </c>
      <c r="N21" s="7">
        <v>1.125</v>
      </c>
      <c r="O21" s="7">
        <v>1.4166666666666667</v>
      </c>
      <c r="P21" s="7">
        <v>0.45833333333333331</v>
      </c>
      <c r="Q21" s="7">
        <v>0</v>
      </c>
      <c r="R21" s="7">
        <v>4.1666666666666664E-2</v>
      </c>
      <c r="S21" s="20">
        <f t="shared" si="0"/>
        <v>10.333333333333334</v>
      </c>
    </row>
    <row r="22" spans="1:19">
      <c r="A22" s="1" t="s">
        <v>3</v>
      </c>
      <c r="B22" s="45" t="s">
        <v>72</v>
      </c>
      <c r="C22" s="46">
        <v>8.5</v>
      </c>
      <c r="D22" s="47">
        <v>24</v>
      </c>
      <c r="E22" s="47">
        <v>31</v>
      </c>
      <c r="F22" s="47">
        <v>22</v>
      </c>
      <c r="G22" s="47">
        <v>16</v>
      </c>
      <c r="H22" s="47">
        <v>30</v>
      </c>
      <c r="I22" s="47">
        <v>24.5</v>
      </c>
      <c r="J22" s="47">
        <v>27.5</v>
      </c>
      <c r="K22" s="47">
        <v>27</v>
      </c>
      <c r="L22" s="47">
        <v>23.5</v>
      </c>
      <c r="M22" s="47">
        <v>26</v>
      </c>
      <c r="N22" s="47">
        <v>12</v>
      </c>
      <c r="O22" s="47">
        <v>12</v>
      </c>
      <c r="P22" s="47">
        <v>23</v>
      </c>
      <c r="Q22" s="47">
        <v>8</v>
      </c>
      <c r="R22" s="47">
        <v>0</v>
      </c>
      <c r="S22" s="49"/>
    </row>
    <row r="23" spans="1:19">
      <c r="A23" s="1" t="s">
        <v>3</v>
      </c>
      <c r="B23" s="31" t="s">
        <v>73</v>
      </c>
      <c r="C23" s="41">
        <v>182000</v>
      </c>
      <c r="D23" s="42">
        <v>197000</v>
      </c>
      <c r="E23" s="42">
        <v>197000</v>
      </c>
      <c r="F23" s="42">
        <v>175000</v>
      </c>
      <c r="G23" s="42">
        <v>182000</v>
      </c>
      <c r="H23" s="42">
        <v>187000</v>
      </c>
      <c r="I23" s="42">
        <v>182000</v>
      </c>
      <c r="J23" s="42">
        <v>197000</v>
      </c>
      <c r="K23" s="42">
        <v>197000</v>
      </c>
      <c r="L23" s="42">
        <v>192000</v>
      </c>
      <c r="M23" s="42">
        <v>187000</v>
      </c>
      <c r="N23" s="42">
        <v>180000</v>
      </c>
      <c r="O23" s="42">
        <v>175000</v>
      </c>
      <c r="P23" s="42">
        <v>180000</v>
      </c>
      <c r="Q23" s="42">
        <v>175000</v>
      </c>
      <c r="R23" s="42">
        <v>175000</v>
      </c>
      <c r="S23" s="44">
        <f t="shared" ref="S23:S53" si="1">SUM(C23:R23)</f>
        <v>2960000</v>
      </c>
    </row>
    <row r="24" spans="1:19">
      <c r="A24" s="1" t="s">
        <v>3</v>
      </c>
      <c r="B24" s="16" t="s">
        <v>74</v>
      </c>
      <c r="C24" s="28">
        <v>0</v>
      </c>
      <c r="D24" s="9">
        <v>20000</v>
      </c>
      <c r="E24" s="9">
        <v>20000</v>
      </c>
      <c r="F24" s="9">
        <v>0</v>
      </c>
      <c r="G24" s="9">
        <v>0</v>
      </c>
      <c r="H24" s="9">
        <v>5000</v>
      </c>
      <c r="I24" s="9">
        <v>0</v>
      </c>
      <c r="J24" s="9">
        <v>0</v>
      </c>
      <c r="K24" s="9">
        <v>0</v>
      </c>
      <c r="L24" s="9">
        <v>5000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21">
        <f t="shared" si="1"/>
        <v>50000</v>
      </c>
    </row>
    <row r="25" spans="1:19">
      <c r="A25" s="1" t="s">
        <v>3</v>
      </c>
      <c r="B25" s="16" t="s">
        <v>75</v>
      </c>
      <c r="C25" s="28">
        <v>0</v>
      </c>
      <c r="D25" s="9">
        <v>3000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21">
        <f t="shared" si="1"/>
        <v>3000</v>
      </c>
    </row>
    <row r="26" spans="1:19">
      <c r="A26" s="1" t="s">
        <v>3</v>
      </c>
      <c r="B26" s="16" t="s">
        <v>76</v>
      </c>
      <c r="C26" s="28">
        <v>0</v>
      </c>
      <c r="D26" s="9">
        <v>0</v>
      </c>
      <c r="E26" s="9">
        <v>3047</v>
      </c>
      <c r="F26" s="9">
        <v>2510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103460</v>
      </c>
      <c r="M26" s="9">
        <v>9480</v>
      </c>
      <c r="N26" s="9">
        <v>0</v>
      </c>
      <c r="O26" s="9">
        <v>0</v>
      </c>
      <c r="P26" s="9">
        <v>30614</v>
      </c>
      <c r="Q26" s="9">
        <v>0</v>
      </c>
      <c r="R26" s="9">
        <v>0</v>
      </c>
      <c r="S26" s="21">
        <f t="shared" si="1"/>
        <v>149111</v>
      </c>
    </row>
    <row r="27" spans="1:19">
      <c r="A27" s="1" t="s">
        <v>3</v>
      </c>
      <c r="B27" s="16" t="s">
        <v>77</v>
      </c>
      <c r="C27" s="28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21">
        <f t="shared" si="1"/>
        <v>0</v>
      </c>
    </row>
    <row r="28" spans="1:19">
      <c r="A28" s="1" t="s">
        <v>3</v>
      </c>
      <c r="B28" s="16" t="s">
        <v>78</v>
      </c>
      <c r="C28" s="28">
        <v>6000</v>
      </c>
      <c r="D28" s="9">
        <v>6000</v>
      </c>
      <c r="E28" s="9">
        <v>6000</v>
      </c>
      <c r="F28" s="9">
        <v>6000</v>
      </c>
      <c r="G28" s="9">
        <v>6000</v>
      </c>
      <c r="H28" s="9">
        <v>6000</v>
      </c>
      <c r="I28" s="9">
        <v>6000</v>
      </c>
      <c r="J28" s="9">
        <v>3500</v>
      </c>
      <c r="K28" s="9">
        <v>6000</v>
      </c>
      <c r="L28" s="9">
        <v>2000</v>
      </c>
      <c r="M28" s="9">
        <v>6000</v>
      </c>
      <c r="N28" s="9">
        <v>2000</v>
      </c>
      <c r="O28" s="9">
        <v>3500</v>
      </c>
      <c r="P28" s="9">
        <v>3500</v>
      </c>
      <c r="Q28" s="9">
        <v>0</v>
      </c>
      <c r="R28" s="9">
        <v>0</v>
      </c>
      <c r="S28" s="21">
        <f t="shared" si="1"/>
        <v>68500</v>
      </c>
    </row>
    <row r="29" spans="1:19">
      <c r="A29" s="1" t="s">
        <v>3</v>
      </c>
      <c r="B29" s="16" t="s">
        <v>79</v>
      </c>
      <c r="C29" s="28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21">
        <f t="shared" si="1"/>
        <v>0</v>
      </c>
    </row>
    <row r="30" spans="1:19">
      <c r="A30" s="1" t="s">
        <v>3</v>
      </c>
      <c r="B30" s="16" t="s">
        <v>80</v>
      </c>
      <c r="C30" s="28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15000</v>
      </c>
      <c r="K30" s="9">
        <v>15000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21">
        <f t="shared" si="1"/>
        <v>30000</v>
      </c>
    </row>
    <row r="31" spans="1:19">
      <c r="A31" s="1" t="s">
        <v>3</v>
      </c>
      <c r="B31" s="16" t="s">
        <v>81</v>
      </c>
      <c r="C31" s="28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41865</v>
      </c>
      <c r="S31" s="21">
        <f t="shared" si="1"/>
        <v>41865</v>
      </c>
    </row>
    <row r="32" spans="1:19">
      <c r="A32" s="1" t="s">
        <v>3</v>
      </c>
      <c r="B32" s="16" t="s">
        <v>66</v>
      </c>
      <c r="C32" s="28">
        <v>26752</v>
      </c>
      <c r="D32" s="9">
        <v>81168</v>
      </c>
      <c r="E32" s="9">
        <v>68429</v>
      </c>
      <c r="F32" s="9">
        <v>52845</v>
      </c>
      <c r="G32" s="9">
        <v>29568</v>
      </c>
      <c r="H32" s="9">
        <v>51905</v>
      </c>
      <c r="I32" s="9">
        <v>49280</v>
      </c>
      <c r="J32" s="9">
        <v>64520</v>
      </c>
      <c r="K32" s="9">
        <v>40775</v>
      </c>
      <c r="L32" s="9">
        <v>41720</v>
      </c>
      <c r="M32" s="9">
        <v>56355</v>
      </c>
      <c r="N32" s="9">
        <v>94047</v>
      </c>
      <c r="O32" s="9">
        <v>82832</v>
      </c>
      <c r="P32" s="9">
        <v>49464</v>
      </c>
      <c r="Q32" s="9">
        <v>28820</v>
      </c>
      <c r="R32" s="9">
        <v>26200</v>
      </c>
      <c r="S32" s="21">
        <f t="shared" si="1"/>
        <v>844680</v>
      </c>
    </row>
    <row r="33" spans="1:19">
      <c r="A33" s="1" t="s">
        <v>3</v>
      </c>
      <c r="B33" s="16" t="s">
        <v>82</v>
      </c>
      <c r="C33" s="28">
        <v>28880</v>
      </c>
      <c r="D33" s="9">
        <v>43848</v>
      </c>
      <c r="E33" s="9">
        <v>7208</v>
      </c>
      <c r="F33" s="9">
        <v>29260</v>
      </c>
      <c r="G33" s="9">
        <v>36480</v>
      </c>
      <c r="H33" s="9">
        <v>27217</v>
      </c>
      <c r="I33" s="9">
        <v>39520</v>
      </c>
      <c r="J33" s="9">
        <v>12194</v>
      </c>
      <c r="K33" s="9">
        <v>17620</v>
      </c>
      <c r="L33" s="9">
        <v>16090</v>
      </c>
      <c r="M33" s="9">
        <v>18732</v>
      </c>
      <c r="N33" s="9">
        <v>11776</v>
      </c>
      <c r="O33" s="9">
        <v>33189</v>
      </c>
      <c r="P33" s="9">
        <v>0</v>
      </c>
      <c r="Q33" s="9">
        <v>15565</v>
      </c>
      <c r="R33" s="9">
        <v>12735</v>
      </c>
      <c r="S33" s="21">
        <f t="shared" si="1"/>
        <v>350314</v>
      </c>
    </row>
    <row r="34" spans="1:19">
      <c r="A34" s="1" t="s">
        <v>3</v>
      </c>
      <c r="B34" s="16" t="s">
        <v>83</v>
      </c>
      <c r="C34" s="28">
        <v>27360</v>
      </c>
      <c r="D34" s="9">
        <v>45675</v>
      </c>
      <c r="E34" s="9">
        <v>36040</v>
      </c>
      <c r="F34" s="9">
        <v>58520</v>
      </c>
      <c r="G34" s="9">
        <v>15200</v>
      </c>
      <c r="H34" s="9">
        <v>22414</v>
      </c>
      <c r="I34" s="9">
        <v>42560</v>
      </c>
      <c r="J34" s="9">
        <v>45292</v>
      </c>
      <c r="K34" s="9">
        <v>54622</v>
      </c>
      <c r="L34" s="9">
        <v>0</v>
      </c>
      <c r="M34" s="9">
        <v>46830</v>
      </c>
      <c r="N34" s="9">
        <v>19136</v>
      </c>
      <c r="O34" s="9">
        <v>17316</v>
      </c>
      <c r="P34" s="9">
        <v>32648</v>
      </c>
      <c r="Q34" s="9">
        <v>38205</v>
      </c>
      <c r="R34" s="9">
        <v>11320</v>
      </c>
      <c r="S34" s="21">
        <f t="shared" si="1"/>
        <v>513138</v>
      </c>
    </row>
    <row r="35" spans="1:19">
      <c r="A35" s="1" t="s">
        <v>3</v>
      </c>
      <c r="B35" s="16" t="s">
        <v>69</v>
      </c>
      <c r="C35" s="28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2457</v>
      </c>
      <c r="O35" s="9">
        <v>1602</v>
      </c>
      <c r="P35" s="9">
        <v>0</v>
      </c>
      <c r="Q35" s="9">
        <v>0</v>
      </c>
      <c r="R35" s="9">
        <v>0</v>
      </c>
      <c r="S35" s="21">
        <f t="shared" si="1"/>
        <v>4059</v>
      </c>
    </row>
    <row r="36" spans="1:19">
      <c r="A36" s="1" t="s">
        <v>3</v>
      </c>
      <c r="B36" s="50" t="s">
        <v>71</v>
      </c>
      <c r="C36" s="51">
        <v>1410</v>
      </c>
      <c r="D36" s="52">
        <v>5746</v>
      </c>
      <c r="E36" s="52">
        <v>6346</v>
      </c>
      <c r="F36" s="52">
        <v>20867</v>
      </c>
      <c r="G36" s="52">
        <v>564</v>
      </c>
      <c r="H36" s="52">
        <v>1188</v>
      </c>
      <c r="I36" s="52">
        <v>1128</v>
      </c>
      <c r="J36" s="52">
        <v>5168</v>
      </c>
      <c r="K36" s="52">
        <v>4238</v>
      </c>
      <c r="L36" s="52">
        <v>2086</v>
      </c>
      <c r="M36" s="52">
        <v>3179</v>
      </c>
      <c r="N36" s="52">
        <v>7371</v>
      </c>
      <c r="O36" s="52">
        <v>9078</v>
      </c>
      <c r="P36" s="52">
        <v>3025</v>
      </c>
      <c r="Q36" s="52">
        <v>0</v>
      </c>
      <c r="R36" s="52">
        <v>262</v>
      </c>
      <c r="S36" s="54">
        <f t="shared" si="1"/>
        <v>71656</v>
      </c>
    </row>
    <row r="37" spans="1:19">
      <c r="A37" s="1" t="s">
        <v>3</v>
      </c>
      <c r="B37" s="55" t="s">
        <v>84</v>
      </c>
      <c r="C37" s="56">
        <v>272402</v>
      </c>
      <c r="D37" s="57">
        <v>402437</v>
      </c>
      <c r="E37" s="57">
        <v>344070</v>
      </c>
      <c r="F37" s="57">
        <v>345002</v>
      </c>
      <c r="G37" s="57">
        <v>269812</v>
      </c>
      <c r="H37" s="57">
        <v>300724</v>
      </c>
      <c r="I37" s="57">
        <v>320488</v>
      </c>
      <c r="J37" s="57">
        <v>342674</v>
      </c>
      <c r="K37" s="57">
        <v>335255</v>
      </c>
      <c r="L37" s="57">
        <v>362356</v>
      </c>
      <c r="M37" s="57">
        <v>327576</v>
      </c>
      <c r="N37" s="57">
        <v>316787</v>
      </c>
      <c r="O37" s="57">
        <v>322517</v>
      </c>
      <c r="P37" s="57">
        <v>299251</v>
      </c>
      <c r="Q37" s="57">
        <v>257590</v>
      </c>
      <c r="R37" s="57">
        <v>183652</v>
      </c>
      <c r="S37" s="59">
        <f t="shared" si="1"/>
        <v>5002593</v>
      </c>
    </row>
    <row r="38" spans="1:19">
      <c r="A38" s="1" t="s">
        <v>3</v>
      </c>
      <c r="B38" s="55" t="s">
        <v>85</v>
      </c>
      <c r="C38" s="56">
        <v>15461</v>
      </c>
      <c r="D38" s="57">
        <v>6700</v>
      </c>
      <c r="E38" s="57">
        <v>3293</v>
      </c>
      <c r="F38" s="57">
        <v>2978</v>
      </c>
      <c r="G38" s="57">
        <v>1947</v>
      </c>
      <c r="H38" s="57">
        <v>1489</v>
      </c>
      <c r="I38" s="57">
        <v>3579</v>
      </c>
      <c r="J38" s="57">
        <v>5498</v>
      </c>
      <c r="K38" s="57">
        <v>8246</v>
      </c>
      <c r="L38" s="57">
        <v>6299</v>
      </c>
      <c r="M38" s="57">
        <v>11195</v>
      </c>
      <c r="N38" s="57">
        <v>9305</v>
      </c>
      <c r="O38" s="57">
        <v>9305</v>
      </c>
      <c r="P38" s="57">
        <v>2864</v>
      </c>
      <c r="Q38" s="57">
        <v>11911</v>
      </c>
      <c r="R38" s="57">
        <v>6700</v>
      </c>
      <c r="S38" s="59">
        <f t="shared" si="1"/>
        <v>106770</v>
      </c>
    </row>
    <row r="39" spans="1:19">
      <c r="A39" s="1" t="s">
        <v>3</v>
      </c>
      <c r="B39" s="55" t="s">
        <v>86</v>
      </c>
      <c r="C39" s="56">
        <v>15461</v>
      </c>
      <c r="D39" s="57">
        <v>6700</v>
      </c>
      <c r="E39" s="57">
        <v>3293</v>
      </c>
      <c r="F39" s="57">
        <v>2978</v>
      </c>
      <c r="G39" s="57">
        <v>1947</v>
      </c>
      <c r="H39" s="57">
        <v>1489</v>
      </c>
      <c r="I39" s="57">
        <v>3579</v>
      </c>
      <c r="J39" s="57">
        <v>5498</v>
      </c>
      <c r="K39" s="57">
        <v>8246</v>
      </c>
      <c r="L39" s="57">
        <v>6299</v>
      </c>
      <c r="M39" s="57">
        <v>11195</v>
      </c>
      <c r="N39" s="57">
        <v>9305</v>
      </c>
      <c r="O39" s="57">
        <v>9305</v>
      </c>
      <c r="P39" s="57">
        <v>2864</v>
      </c>
      <c r="Q39" s="57">
        <v>11911</v>
      </c>
      <c r="R39" s="57">
        <v>6700</v>
      </c>
      <c r="S39" s="59">
        <f t="shared" si="1"/>
        <v>106770</v>
      </c>
    </row>
    <row r="40" spans="1:19">
      <c r="A40" s="1" t="s">
        <v>3</v>
      </c>
      <c r="B40" s="55" t="s">
        <v>87</v>
      </c>
      <c r="C40" s="56">
        <v>287863</v>
      </c>
      <c r="D40" s="57">
        <v>409137</v>
      </c>
      <c r="E40" s="57">
        <v>347363</v>
      </c>
      <c r="F40" s="57">
        <v>347980</v>
      </c>
      <c r="G40" s="57">
        <v>271759</v>
      </c>
      <c r="H40" s="57">
        <v>302213</v>
      </c>
      <c r="I40" s="57">
        <v>324067</v>
      </c>
      <c r="J40" s="57">
        <v>348172</v>
      </c>
      <c r="K40" s="57">
        <v>343501</v>
      </c>
      <c r="L40" s="57">
        <v>368655</v>
      </c>
      <c r="M40" s="57">
        <v>338771</v>
      </c>
      <c r="N40" s="57">
        <v>326092</v>
      </c>
      <c r="O40" s="57">
        <v>331822</v>
      </c>
      <c r="P40" s="57">
        <v>302115</v>
      </c>
      <c r="Q40" s="57">
        <v>269501</v>
      </c>
      <c r="R40" s="57">
        <v>190352</v>
      </c>
      <c r="S40" s="59">
        <f t="shared" si="1"/>
        <v>5109363</v>
      </c>
    </row>
    <row r="41" spans="1:19">
      <c r="A41" s="1" t="s">
        <v>3</v>
      </c>
      <c r="B41" s="31" t="s">
        <v>88</v>
      </c>
      <c r="C41" s="41">
        <v>15300</v>
      </c>
      <c r="D41" s="42">
        <v>16320</v>
      </c>
      <c r="E41" s="42">
        <v>18360</v>
      </c>
      <c r="F41" s="42">
        <v>17340</v>
      </c>
      <c r="G41" s="42">
        <v>16320</v>
      </c>
      <c r="H41" s="42">
        <v>15300</v>
      </c>
      <c r="I41" s="42">
        <v>15300</v>
      </c>
      <c r="J41" s="42">
        <v>16320</v>
      </c>
      <c r="K41" s="42">
        <v>15300</v>
      </c>
      <c r="L41" s="42">
        <v>18360</v>
      </c>
      <c r="M41" s="42">
        <v>15300</v>
      </c>
      <c r="N41" s="42">
        <v>16320</v>
      </c>
      <c r="O41" s="42">
        <v>15300</v>
      </c>
      <c r="P41" s="42">
        <v>17340</v>
      </c>
      <c r="Q41" s="42">
        <v>13260</v>
      </c>
      <c r="R41" s="42">
        <v>0</v>
      </c>
      <c r="S41" s="44">
        <f t="shared" si="1"/>
        <v>241740</v>
      </c>
    </row>
    <row r="42" spans="1:19">
      <c r="A42" s="1" t="s">
        <v>3</v>
      </c>
      <c r="B42" s="16" t="s">
        <v>89</v>
      </c>
      <c r="C42" s="28">
        <v>2700</v>
      </c>
      <c r="D42" s="9">
        <v>2880</v>
      </c>
      <c r="E42" s="9">
        <v>3240</v>
      </c>
      <c r="F42" s="9">
        <v>0</v>
      </c>
      <c r="G42" s="9">
        <v>2880</v>
      </c>
      <c r="H42" s="9">
        <v>2700</v>
      </c>
      <c r="I42" s="9">
        <v>2700</v>
      </c>
      <c r="J42" s="9">
        <v>2880</v>
      </c>
      <c r="K42" s="9">
        <v>2700</v>
      </c>
      <c r="L42" s="9">
        <v>3240</v>
      </c>
      <c r="M42" s="9">
        <v>2700</v>
      </c>
      <c r="N42" s="9">
        <v>2880</v>
      </c>
      <c r="O42" s="9">
        <v>2700</v>
      </c>
      <c r="P42" s="9">
        <v>3060</v>
      </c>
      <c r="Q42" s="9">
        <v>2340</v>
      </c>
      <c r="R42" s="9">
        <v>0</v>
      </c>
      <c r="S42" s="21">
        <f t="shared" si="1"/>
        <v>39600</v>
      </c>
    </row>
    <row r="43" spans="1:19">
      <c r="A43" s="1" t="s">
        <v>3</v>
      </c>
      <c r="B43" s="16" t="s">
        <v>90</v>
      </c>
      <c r="C43" s="28">
        <v>27450</v>
      </c>
      <c r="D43" s="9">
        <v>29280</v>
      </c>
      <c r="E43" s="9">
        <v>32940</v>
      </c>
      <c r="F43" s="9">
        <v>31110</v>
      </c>
      <c r="G43" s="9">
        <v>29280</v>
      </c>
      <c r="H43" s="9">
        <v>27450</v>
      </c>
      <c r="I43" s="9">
        <v>27450</v>
      </c>
      <c r="J43" s="9">
        <v>29280</v>
      </c>
      <c r="K43" s="9">
        <v>27450</v>
      </c>
      <c r="L43" s="9">
        <v>32940</v>
      </c>
      <c r="M43" s="9">
        <v>27450</v>
      </c>
      <c r="N43" s="9">
        <v>29280</v>
      </c>
      <c r="O43" s="9">
        <v>27450</v>
      </c>
      <c r="P43" s="9">
        <v>31110</v>
      </c>
      <c r="Q43" s="9">
        <v>23790</v>
      </c>
      <c r="R43" s="9">
        <v>0</v>
      </c>
      <c r="S43" s="21">
        <f t="shared" si="1"/>
        <v>433710</v>
      </c>
    </row>
    <row r="44" spans="1:19">
      <c r="A44" s="1" t="s">
        <v>3</v>
      </c>
      <c r="B44" s="16" t="s">
        <v>91</v>
      </c>
      <c r="C44" s="28">
        <v>1583</v>
      </c>
      <c r="D44" s="9">
        <v>2250</v>
      </c>
      <c r="E44" s="9">
        <v>1910</v>
      </c>
      <c r="F44" s="9">
        <v>1914</v>
      </c>
      <c r="G44" s="9">
        <v>1495</v>
      </c>
      <c r="H44" s="9">
        <v>1662</v>
      </c>
      <c r="I44" s="9">
        <v>1782</v>
      </c>
      <c r="J44" s="9">
        <v>1915</v>
      </c>
      <c r="K44" s="9">
        <v>1889</v>
      </c>
      <c r="L44" s="9">
        <v>2028</v>
      </c>
      <c r="M44" s="9">
        <v>1863</v>
      </c>
      <c r="N44" s="9">
        <v>1794</v>
      </c>
      <c r="O44" s="9">
        <v>1825</v>
      </c>
      <c r="P44" s="9">
        <v>1662</v>
      </c>
      <c r="Q44" s="9">
        <v>1482</v>
      </c>
      <c r="R44" s="9">
        <v>1047</v>
      </c>
      <c r="S44" s="21">
        <f t="shared" si="1"/>
        <v>28101</v>
      </c>
    </row>
    <row r="45" spans="1:19">
      <c r="A45" s="1" t="s">
        <v>3</v>
      </c>
      <c r="B45" s="50" t="s">
        <v>92</v>
      </c>
      <c r="C45" s="51">
        <v>17573</v>
      </c>
      <c r="D45" s="52">
        <v>15452</v>
      </c>
      <c r="E45" s="52">
        <v>16362</v>
      </c>
      <c r="F45" s="52">
        <v>13268</v>
      </c>
      <c r="G45" s="52">
        <v>10756</v>
      </c>
      <c r="H45" s="52">
        <v>17119</v>
      </c>
      <c r="I45" s="52">
        <v>10756</v>
      </c>
      <c r="J45" s="52">
        <v>-19393</v>
      </c>
      <c r="K45" s="52">
        <v>-15606</v>
      </c>
      <c r="L45" s="52">
        <v>11513</v>
      </c>
      <c r="M45" s="52">
        <v>-15909</v>
      </c>
      <c r="N45" s="52">
        <v>4696</v>
      </c>
      <c r="O45" s="52">
        <v>15905</v>
      </c>
      <c r="P45" s="52">
        <v>-31513</v>
      </c>
      <c r="Q45" s="52">
        <v>0</v>
      </c>
      <c r="R45" s="52">
        <v>0</v>
      </c>
      <c r="S45" s="54">
        <f t="shared" si="1"/>
        <v>50979</v>
      </c>
    </row>
    <row r="46" spans="1:19">
      <c r="A46" s="1" t="s">
        <v>3</v>
      </c>
      <c r="B46" s="55" t="s">
        <v>93</v>
      </c>
      <c r="C46" s="56">
        <v>64606</v>
      </c>
      <c r="D46" s="57">
        <v>66182</v>
      </c>
      <c r="E46" s="57">
        <v>72812</v>
      </c>
      <c r="F46" s="57">
        <v>63632</v>
      </c>
      <c r="G46" s="57">
        <v>60731</v>
      </c>
      <c r="H46" s="57">
        <v>64231</v>
      </c>
      <c r="I46" s="57">
        <v>57988</v>
      </c>
      <c r="J46" s="57">
        <v>31002</v>
      </c>
      <c r="K46" s="57">
        <v>31733</v>
      </c>
      <c r="L46" s="57">
        <v>68081</v>
      </c>
      <c r="M46" s="57">
        <v>31404</v>
      </c>
      <c r="N46" s="57">
        <v>54970</v>
      </c>
      <c r="O46" s="57">
        <v>63180</v>
      </c>
      <c r="P46" s="57">
        <v>21659</v>
      </c>
      <c r="Q46" s="57">
        <v>40872</v>
      </c>
      <c r="R46" s="57">
        <v>1047</v>
      </c>
      <c r="S46" s="59">
        <f t="shared" si="1"/>
        <v>794130</v>
      </c>
    </row>
    <row r="47" spans="1:19">
      <c r="A47" s="1" t="s">
        <v>3</v>
      </c>
      <c r="B47" s="31" t="s">
        <v>94</v>
      </c>
      <c r="C47" s="41">
        <v>3430</v>
      </c>
      <c r="D47" s="42">
        <v>8200</v>
      </c>
      <c r="E47" s="42">
        <v>7310</v>
      </c>
      <c r="F47" s="42">
        <v>7670</v>
      </c>
      <c r="G47" s="42">
        <v>5090</v>
      </c>
      <c r="H47" s="42">
        <v>4450</v>
      </c>
      <c r="I47" s="42">
        <v>7000</v>
      </c>
      <c r="J47" s="42">
        <v>9330</v>
      </c>
      <c r="K47" s="42">
        <v>8670</v>
      </c>
      <c r="L47" s="42">
        <v>1670</v>
      </c>
      <c r="M47" s="42">
        <v>8200</v>
      </c>
      <c r="N47" s="42">
        <v>6970</v>
      </c>
      <c r="O47" s="42">
        <v>6890</v>
      </c>
      <c r="P47" s="42">
        <v>7540</v>
      </c>
      <c r="Q47" s="42">
        <v>5360</v>
      </c>
      <c r="R47" s="42">
        <v>2530</v>
      </c>
      <c r="S47" s="44">
        <f t="shared" si="1"/>
        <v>100310</v>
      </c>
    </row>
    <row r="48" spans="1:19">
      <c r="A48" s="1" t="s">
        <v>3</v>
      </c>
      <c r="B48" s="16" t="s">
        <v>95</v>
      </c>
      <c r="C48" s="28">
        <v>1300</v>
      </c>
      <c r="D48" s="9">
        <v>0</v>
      </c>
      <c r="E48" s="9">
        <v>0</v>
      </c>
      <c r="F48" s="9">
        <v>1300</v>
      </c>
      <c r="G48" s="9">
        <v>1300</v>
      </c>
      <c r="H48" s="9">
        <v>1300</v>
      </c>
      <c r="I48" s="9">
        <v>1300</v>
      </c>
      <c r="J48" s="9">
        <v>1300</v>
      </c>
      <c r="K48" s="9">
        <v>1300</v>
      </c>
      <c r="L48" s="9">
        <v>1300</v>
      </c>
      <c r="M48" s="9">
        <v>1300</v>
      </c>
      <c r="N48" s="9">
        <v>1300</v>
      </c>
      <c r="O48" s="9">
        <v>1300</v>
      </c>
      <c r="P48" s="9">
        <v>0</v>
      </c>
      <c r="Q48" s="9">
        <v>0</v>
      </c>
      <c r="R48" s="9">
        <v>0</v>
      </c>
      <c r="S48" s="21">
        <f t="shared" si="1"/>
        <v>14300</v>
      </c>
    </row>
    <row r="49" spans="1:19">
      <c r="A49" s="1" t="s">
        <v>3</v>
      </c>
      <c r="B49" s="50" t="s">
        <v>96</v>
      </c>
      <c r="C49" s="51">
        <v>8100</v>
      </c>
      <c r="D49" s="52">
        <v>20000</v>
      </c>
      <c r="E49" s="52">
        <v>17800</v>
      </c>
      <c r="F49" s="52">
        <v>14100</v>
      </c>
      <c r="G49" s="52">
        <v>12800</v>
      </c>
      <c r="H49" s="52">
        <v>10300</v>
      </c>
      <c r="I49" s="52">
        <v>13200</v>
      </c>
      <c r="J49" s="52">
        <v>15400</v>
      </c>
      <c r="K49" s="52">
        <v>14900</v>
      </c>
      <c r="L49" s="52">
        <v>1100</v>
      </c>
      <c r="M49" s="52">
        <v>0</v>
      </c>
      <c r="N49" s="52">
        <v>7800</v>
      </c>
      <c r="O49" s="52">
        <v>11700</v>
      </c>
      <c r="P49" s="52">
        <v>11800</v>
      </c>
      <c r="Q49" s="52">
        <v>0</v>
      </c>
      <c r="R49" s="52">
        <v>0</v>
      </c>
      <c r="S49" s="54">
        <f t="shared" si="1"/>
        <v>159000</v>
      </c>
    </row>
    <row r="50" spans="1:19">
      <c r="A50" s="1" t="s">
        <v>3</v>
      </c>
      <c r="B50" s="55" t="s">
        <v>97</v>
      </c>
      <c r="C50" s="56">
        <v>77436</v>
      </c>
      <c r="D50" s="57">
        <v>94382</v>
      </c>
      <c r="E50" s="57">
        <v>97922</v>
      </c>
      <c r="F50" s="57">
        <v>86702</v>
      </c>
      <c r="G50" s="57">
        <v>79921</v>
      </c>
      <c r="H50" s="57">
        <v>80281</v>
      </c>
      <c r="I50" s="57">
        <v>79488</v>
      </c>
      <c r="J50" s="57">
        <v>57032</v>
      </c>
      <c r="K50" s="57">
        <v>56603</v>
      </c>
      <c r="L50" s="57">
        <v>72151</v>
      </c>
      <c r="M50" s="57">
        <v>40904</v>
      </c>
      <c r="N50" s="57">
        <v>71040</v>
      </c>
      <c r="O50" s="57">
        <v>83070</v>
      </c>
      <c r="P50" s="57">
        <v>40999</v>
      </c>
      <c r="Q50" s="57">
        <v>46232</v>
      </c>
      <c r="R50" s="57">
        <v>3577</v>
      </c>
      <c r="S50" s="59">
        <f t="shared" si="1"/>
        <v>1067740</v>
      </c>
    </row>
    <row r="51" spans="1:19">
      <c r="A51" s="1" t="s">
        <v>3</v>
      </c>
      <c r="B51" s="55" t="s">
        <v>98</v>
      </c>
      <c r="C51" s="56">
        <v>207796</v>
      </c>
      <c r="D51" s="57">
        <v>336255</v>
      </c>
      <c r="E51" s="57">
        <v>271258</v>
      </c>
      <c r="F51" s="57">
        <v>281370</v>
      </c>
      <c r="G51" s="57">
        <v>209081</v>
      </c>
      <c r="H51" s="57">
        <v>236493</v>
      </c>
      <c r="I51" s="57">
        <v>262500</v>
      </c>
      <c r="J51" s="57">
        <v>311672</v>
      </c>
      <c r="K51" s="57">
        <v>303522</v>
      </c>
      <c r="L51" s="57">
        <v>294275</v>
      </c>
      <c r="M51" s="57">
        <v>296172</v>
      </c>
      <c r="N51" s="57">
        <v>261817</v>
      </c>
      <c r="O51" s="57">
        <v>259337</v>
      </c>
      <c r="P51" s="57">
        <v>277592</v>
      </c>
      <c r="Q51" s="57">
        <v>216718</v>
      </c>
      <c r="R51" s="57">
        <v>182605</v>
      </c>
      <c r="S51" s="59">
        <f t="shared" si="1"/>
        <v>4208463</v>
      </c>
    </row>
    <row r="52" spans="1:19">
      <c r="A52" s="1" t="s">
        <v>3</v>
      </c>
      <c r="B52" s="55" t="s">
        <v>99</v>
      </c>
      <c r="C52" s="56">
        <v>210427</v>
      </c>
      <c r="D52" s="57">
        <v>314755</v>
      </c>
      <c r="E52" s="57">
        <v>249441</v>
      </c>
      <c r="F52" s="57">
        <v>261278</v>
      </c>
      <c r="G52" s="57">
        <v>191838</v>
      </c>
      <c r="H52" s="57">
        <v>221932</v>
      </c>
      <c r="I52" s="57">
        <v>244579</v>
      </c>
      <c r="J52" s="57">
        <v>291140</v>
      </c>
      <c r="K52" s="57">
        <v>286898</v>
      </c>
      <c r="L52" s="57">
        <v>296504</v>
      </c>
      <c r="M52" s="57">
        <v>297867</v>
      </c>
      <c r="N52" s="57">
        <v>255052</v>
      </c>
      <c r="O52" s="57">
        <v>248752</v>
      </c>
      <c r="P52" s="57">
        <v>261116</v>
      </c>
      <c r="Q52" s="57">
        <v>223269</v>
      </c>
      <c r="R52" s="57">
        <v>186775</v>
      </c>
      <c r="S52" s="59">
        <f t="shared" si="1"/>
        <v>4041623</v>
      </c>
    </row>
    <row r="53" spans="1:19">
      <c r="A53" s="1" t="s">
        <v>3</v>
      </c>
      <c r="B53" s="55" t="s">
        <v>100</v>
      </c>
      <c r="C53" s="56">
        <v>210427</v>
      </c>
      <c r="D53" s="57">
        <v>314755</v>
      </c>
      <c r="E53" s="57">
        <v>249441</v>
      </c>
      <c r="F53" s="57">
        <v>261278</v>
      </c>
      <c r="G53" s="57">
        <v>191838</v>
      </c>
      <c r="H53" s="57">
        <v>221932</v>
      </c>
      <c r="I53" s="57">
        <v>244579</v>
      </c>
      <c r="J53" s="57">
        <v>291140</v>
      </c>
      <c r="K53" s="57">
        <v>286898</v>
      </c>
      <c r="L53" s="57">
        <v>296504</v>
      </c>
      <c r="M53" s="57">
        <v>297867</v>
      </c>
      <c r="N53" s="57">
        <v>255052</v>
      </c>
      <c r="O53" s="57">
        <v>248752</v>
      </c>
      <c r="P53" s="57">
        <v>261116</v>
      </c>
      <c r="Q53" s="57">
        <v>223269</v>
      </c>
      <c r="R53" s="57">
        <v>186775</v>
      </c>
      <c r="S53" s="59">
        <f t="shared" si="1"/>
        <v>4041623</v>
      </c>
    </row>
    <row r="54" spans="1:19">
      <c r="A54" s="1" t="s">
        <v>3</v>
      </c>
      <c r="B54" s="31" t="s">
        <v>101</v>
      </c>
      <c r="C54" s="41">
        <v>1</v>
      </c>
      <c r="D54" s="42">
        <v>1</v>
      </c>
      <c r="E54" s="42">
        <v>0</v>
      </c>
      <c r="F54" s="42">
        <v>0</v>
      </c>
      <c r="G54" s="42">
        <v>0</v>
      </c>
      <c r="H54" s="42">
        <v>1</v>
      </c>
      <c r="I54" s="42">
        <v>0</v>
      </c>
      <c r="J54" s="42">
        <v>0</v>
      </c>
      <c r="K54" s="42">
        <v>0</v>
      </c>
      <c r="L54" s="42">
        <v>4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1</v>
      </c>
      <c r="S54" s="44"/>
    </row>
    <row r="55" spans="1:19">
      <c r="A55" s="1" t="s">
        <v>3</v>
      </c>
      <c r="B55" s="16" t="s">
        <v>102</v>
      </c>
      <c r="C55" s="29" t="s">
        <v>103</v>
      </c>
      <c r="D55" s="11" t="s">
        <v>103</v>
      </c>
      <c r="E55" s="11" t="s">
        <v>103</v>
      </c>
      <c r="F55" s="11" t="s">
        <v>103</v>
      </c>
      <c r="G55" s="11" t="s">
        <v>103</v>
      </c>
      <c r="H55" s="11" t="s">
        <v>103</v>
      </c>
      <c r="I55" s="11" t="s">
        <v>103</v>
      </c>
      <c r="J55" s="11" t="s">
        <v>103</v>
      </c>
      <c r="K55" s="11" t="s">
        <v>103</v>
      </c>
      <c r="L55" s="11" t="s">
        <v>103</v>
      </c>
      <c r="M55" s="11" t="s">
        <v>103</v>
      </c>
      <c r="N55" s="11" t="s">
        <v>103</v>
      </c>
      <c r="O55" s="11" t="s">
        <v>103</v>
      </c>
      <c r="P55" s="11" t="s">
        <v>103</v>
      </c>
      <c r="Q55" s="11" t="s">
        <v>103</v>
      </c>
      <c r="R55" s="11" t="s">
        <v>103</v>
      </c>
      <c r="S55" s="22"/>
    </row>
    <row r="56" spans="1:19" ht="19.5" thickBot="1">
      <c r="A56" s="1" t="s">
        <v>3</v>
      </c>
      <c r="B56" s="17" t="s">
        <v>104</v>
      </c>
      <c r="C56" s="30">
        <v>3430</v>
      </c>
      <c r="D56" s="13">
        <v>8200</v>
      </c>
      <c r="E56" s="13">
        <v>7310</v>
      </c>
      <c r="F56" s="13">
        <v>7670</v>
      </c>
      <c r="G56" s="13">
        <v>5090</v>
      </c>
      <c r="H56" s="13">
        <v>4450</v>
      </c>
      <c r="I56" s="13">
        <v>7000</v>
      </c>
      <c r="J56" s="13">
        <v>9330</v>
      </c>
      <c r="K56" s="13">
        <v>8670</v>
      </c>
      <c r="L56" s="13">
        <v>1670</v>
      </c>
      <c r="M56" s="13">
        <v>8200</v>
      </c>
      <c r="N56" s="13">
        <v>6970</v>
      </c>
      <c r="O56" s="13">
        <v>6890</v>
      </c>
      <c r="P56" s="13">
        <v>7540</v>
      </c>
      <c r="Q56" s="13">
        <v>5360</v>
      </c>
      <c r="R56" s="13">
        <v>2530</v>
      </c>
      <c r="S56" s="23">
        <f>SUM(C56:R56)</f>
        <v>100310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2025-10-08T02:40:55Z</dcterms:created>
  <dcterms:modified xsi:type="dcterms:W3CDTF">2025-10-16T02:31:19Z</dcterms:modified>
  <cp:category/>
  <cp:contentStatus/>
</cp:coreProperties>
</file>