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09月分\"/>
    </mc:Choice>
  </mc:AlternateContent>
  <xr:revisionPtr revIDLastSave="0" documentId="13_ncr:1_{EE219E24-44C4-4CE3-98E1-C9260AE8164A}" xr6:coauthVersionLast="47" xr6:coauthVersionMax="47" xr10:uidLastSave="{00000000-0000-0000-0000-000000000000}"/>
  <bookViews>
    <workbookView xWindow="-120" yWindow="-120" windowWidth="20730" windowHeight="11160" xr2:uid="{9454DB51-6C20-4E77-8C90-8D812A114E8D}"/>
  </bookViews>
  <sheets>
    <sheet name="2025年9月度給与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2" l="1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G38" i="2"/>
  <c r="K38" i="2" s="1"/>
  <c r="G35" i="2"/>
  <c r="K35" i="2" s="1"/>
  <c r="G34" i="2"/>
  <c r="K34" i="2" s="1"/>
  <c r="G33" i="2"/>
  <c r="K33" i="2" s="1"/>
  <c r="G32" i="2"/>
  <c r="K32" i="2" s="1"/>
  <c r="G31" i="2"/>
  <c r="K31" i="2" s="1"/>
  <c r="G30" i="2"/>
  <c r="K30" i="2" s="1"/>
  <c r="G29" i="2"/>
  <c r="K29" i="2" s="1"/>
  <c r="G28" i="2"/>
  <c r="K28" i="2" s="1"/>
  <c r="G27" i="2"/>
  <c r="K27" i="2" s="1"/>
  <c r="G26" i="2"/>
  <c r="K26" i="2" s="1"/>
  <c r="G25" i="2"/>
  <c r="K25" i="2" s="1"/>
  <c r="G24" i="2"/>
  <c r="K24" i="2" s="1"/>
  <c r="G23" i="2"/>
  <c r="K23" i="2" s="1"/>
  <c r="G22" i="2"/>
  <c r="K22" i="2" s="1"/>
  <c r="G21" i="2"/>
  <c r="K21" i="2" s="1"/>
  <c r="G20" i="2"/>
  <c r="K20" i="2" s="1"/>
  <c r="G19" i="2"/>
  <c r="K19" i="2" s="1"/>
  <c r="G18" i="2"/>
  <c r="K18" i="2" s="1"/>
  <c r="G17" i="2"/>
  <c r="K17" i="2" s="1"/>
  <c r="G16" i="2"/>
  <c r="K16" i="2" s="1"/>
  <c r="G15" i="2"/>
  <c r="K15" i="2" s="1"/>
  <c r="G14" i="2"/>
  <c r="K14" i="2" s="1"/>
  <c r="G13" i="2"/>
  <c r="K13" i="2" s="1"/>
  <c r="G12" i="2"/>
  <c r="K12" i="2" s="1"/>
  <c r="G11" i="2"/>
  <c r="K11" i="2" s="1"/>
  <c r="G10" i="2"/>
  <c r="K10" i="2" s="1"/>
  <c r="G9" i="2"/>
  <c r="K9" i="2" s="1"/>
</calcChain>
</file>

<file path=xl/sharedStrings.xml><?xml version="1.0" encoding="utf-8"?>
<sst xmlns="http://schemas.openxmlformats.org/spreadsheetml/2006/main" count="90" uniqueCount="55">
  <si>
    <t>支給控除一覧表</t>
    <phoneticPr fontId="4"/>
  </si>
  <si>
    <t>若林運送株式会社</t>
    <phoneticPr fontId="4"/>
  </si>
  <si>
    <t>2025年10月 8日 作成</t>
    <phoneticPr fontId="4"/>
  </si>
  <si>
    <t/>
  </si>
  <si>
    <t>2025年9月度給与</t>
    <phoneticPr fontId="4"/>
  </si>
  <si>
    <t>1019</t>
    <phoneticPr fontId="4"/>
  </si>
  <si>
    <t>1024</t>
    <phoneticPr fontId="4"/>
  </si>
  <si>
    <t>1111</t>
    <phoneticPr fontId="4"/>
  </si>
  <si>
    <t>1200</t>
    <phoneticPr fontId="4"/>
  </si>
  <si>
    <t>小計</t>
    <rPh sb="0" eb="2">
      <t>ショウケイ</t>
    </rPh>
    <phoneticPr fontId="3"/>
  </si>
  <si>
    <t>1041</t>
    <phoneticPr fontId="4"/>
  </si>
  <si>
    <t>1036</t>
    <phoneticPr fontId="4"/>
  </si>
  <si>
    <t>合計</t>
    <phoneticPr fontId="4"/>
  </si>
  <si>
    <t>項目名</t>
    <phoneticPr fontId="4"/>
  </si>
  <si>
    <t>若林　孝次郎</t>
    <phoneticPr fontId="4"/>
  </si>
  <si>
    <t>若林　裕子</t>
    <phoneticPr fontId="4"/>
  </si>
  <si>
    <t>若林　英司</t>
    <phoneticPr fontId="4"/>
  </si>
  <si>
    <t>若林　作太郎</t>
    <phoneticPr fontId="4"/>
  </si>
  <si>
    <t>4名</t>
    <rPh sb="1" eb="2">
      <t>メイ</t>
    </rPh>
    <phoneticPr fontId="4"/>
  </si>
  <si>
    <t>浅田　恵美子</t>
    <phoneticPr fontId="4"/>
  </si>
  <si>
    <t>渋谷　晶子</t>
    <phoneticPr fontId="4"/>
  </si>
  <si>
    <t>2名</t>
    <rPh sb="1" eb="2">
      <t>メイ</t>
    </rPh>
    <phoneticPr fontId="4"/>
  </si>
  <si>
    <t>6名</t>
    <rPh sb="1" eb="2">
      <t>メイ</t>
    </rPh>
    <phoneticPr fontId="4"/>
  </si>
  <si>
    <t>平日出勤日数</t>
    <phoneticPr fontId="4"/>
  </si>
  <si>
    <t>有休日数</t>
    <phoneticPr fontId="4"/>
  </si>
  <si>
    <t>就労時間</t>
    <phoneticPr fontId="4"/>
  </si>
  <si>
    <t>有給休暇時間</t>
    <phoneticPr fontId="4"/>
  </si>
  <si>
    <t>有休残日数</t>
    <phoneticPr fontId="4"/>
  </si>
  <si>
    <t>基本給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</si>
  <si>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</si>
  <si>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</si>
  <si>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</si>
  <si>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</si>
  <si>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</si>
  <si>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</si>
  <si>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</si>
  <si>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</si>
  <si>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</si>
  <si>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</si>
  <si>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</si>
  <si>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</si>
  <si>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社保料調整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</si>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</sst>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0" fontId="2" fillId="0" borderId="14" xfId="1" applyFont="1" applyBorder="1"/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0" xfId="1" applyNumberFormat="1" applyFont="1" applyBorder="1"/>
    <xf numFmtId="3" fontId="2" fillId="0" borderId="38" xfId="1" applyNumberFormat="1" applyFont="1" applyBorder="1"/>
    <xf numFmtId="0" fontId="2" fillId="0" borderId="44" xfId="1" applyFont="1" applyBorder="1"/>
    <xf numFmtId="0" fontId="2" fillId="0" borderId="45" xfId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7" xfId="1" applyNumberFormat="1" applyFont="1" applyBorder="1"/>
    <xf numFmtId="3" fontId="2" fillId="0" borderId="45" xfId="1" applyNumberFormat="1" applyFont="1" applyBorder="1"/>
  </cellXfs>
  <cellStyles count="2">
    <cellStyle name="標準" xfId="0" builtinId="0"/>
    <cellStyle name="標準 2" xfId="1" xr:uid="{281FB1C8-65C2-46FB-85A6-765EF91DDB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75CBD-4702-486C-B175-FDD1779FB32B}">
  <dimension ref="A1:K38"/>
  <sheetViews>
    <sheetView showZeros="0" tabSelected="1" workbookViewId="0">
      <pane xSplit="2" ySplit="8" topLeftCell="C9" activePane="bottomRight" state="frozen"/>
      <selection pane="bottomRight" activeCell="I29" sqref="I29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3" width="13.25" style="2" bestFit="1" customWidth="1"/>
    <col min="4" max="5" width="11.125" style="2" bestFit="1" customWidth="1"/>
    <col min="6" max="6" width="13.25" style="2" bestFit="1" customWidth="1"/>
    <col min="7" max="7" width="9.625" style="2" bestFit="1" customWidth="1"/>
    <col min="8" max="8" width="13.25" style="2" bestFit="1" customWidth="1"/>
    <col min="9" max="9" width="11.125" style="2" bestFit="1" customWidth="1"/>
    <col min="10" max="11" width="9.625" style="2" bestFit="1" customWidth="1"/>
    <col min="12" max="257" width="9" style="2"/>
    <col min="258" max="258" width="2.375" style="2" customWidth="1"/>
    <col min="259" max="260" width="13.25" style="2" bestFit="1" customWidth="1"/>
    <col min="261" max="262" width="11.125" style="2" bestFit="1" customWidth="1"/>
    <col min="263" max="264" width="13.25" style="2" bestFit="1" customWidth="1"/>
    <col min="265" max="265" width="11.125" style="2" bestFit="1" customWidth="1"/>
    <col min="266" max="266" width="9.625" style="2" bestFit="1" customWidth="1"/>
    <col min="267" max="513" width="9" style="2"/>
    <col min="514" max="514" width="2.375" style="2" customWidth="1"/>
    <col min="515" max="516" width="13.25" style="2" bestFit="1" customWidth="1"/>
    <col min="517" max="518" width="11.125" style="2" bestFit="1" customWidth="1"/>
    <col min="519" max="520" width="13.25" style="2" bestFit="1" customWidth="1"/>
    <col min="521" max="521" width="11.125" style="2" bestFit="1" customWidth="1"/>
    <col min="522" max="522" width="9.625" style="2" bestFit="1" customWidth="1"/>
    <col min="523" max="769" width="9" style="2"/>
    <col min="770" max="770" width="2.375" style="2" customWidth="1"/>
    <col min="771" max="772" width="13.25" style="2" bestFit="1" customWidth="1"/>
    <col min="773" max="774" width="11.125" style="2" bestFit="1" customWidth="1"/>
    <col min="775" max="776" width="13.25" style="2" bestFit="1" customWidth="1"/>
    <col min="777" max="777" width="11.125" style="2" bestFit="1" customWidth="1"/>
    <col min="778" max="778" width="9.625" style="2" bestFit="1" customWidth="1"/>
    <col min="779" max="1025" width="9" style="2"/>
    <col min="1026" max="1026" width="2.375" style="2" customWidth="1"/>
    <col min="1027" max="1028" width="13.25" style="2" bestFit="1" customWidth="1"/>
    <col min="1029" max="1030" width="11.125" style="2" bestFit="1" customWidth="1"/>
    <col min="1031" max="1032" width="13.25" style="2" bestFit="1" customWidth="1"/>
    <col min="1033" max="1033" width="11.125" style="2" bestFit="1" customWidth="1"/>
    <col min="1034" max="1034" width="9.625" style="2" bestFit="1" customWidth="1"/>
    <col min="1035" max="1281" width="9" style="2"/>
    <col min="1282" max="1282" width="2.375" style="2" customWidth="1"/>
    <col min="1283" max="1284" width="13.25" style="2" bestFit="1" customWidth="1"/>
    <col min="1285" max="1286" width="11.125" style="2" bestFit="1" customWidth="1"/>
    <col min="1287" max="1288" width="13.25" style="2" bestFit="1" customWidth="1"/>
    <col min="1289" max="1289" width="11.125" style="2" bestFit="1" customWidth="1"/>
    <col min="1290" max="1290" width="9.625" style="2" bestFit="1" customWidth="1"/>
    <col min="1291" max="1537" width="9" style="2"/>
    <col min="1538" max="1538" width="2.375" style="2" customWidth="1"/>
    <col min="1539" max="1540" width="13.25" style="2" bestFit="1" customWidth="1"/>
    <col min="1541" max="1542" width="11.125" style="2" bestFit="1" customWidth="1"/>
    <col min="1543" max="1544" width="13.25" style="2" bestFit="1" customWidth="1"/>
    <col min="1545" max="1545" width="11.125" style="2" bestFit="1" customWidth="1"/>
    <col min="1546" max="1546" width="9.625" style="2" bestFit="1" customWidth="1"/>
    <col min="1547" max="1793" width="9" style="2"/>
    <col min="1794" max="1794" width="2.375" style="2" customWidth="1"/>
    <col min="1795" max="1796" width="13.25" style="2" bestFit="1" customWidth="1"/>
    <col min="1797" max="1798" width="11.125" style="2" bestFit="1" customWidth="1"/>
    <col min="1799" max="1800" width="13.25" style="2" bestFit="1" customWidth="1"/>
    <col min="1801" max="1801" width="11.125" style="2" bestFit="1" customWidth="1"/>
    <col min="1802" max="1802" width="9.625" style="2" bestFit="1" customWidth="1"/>
    <col min="1803" max="2049" width="9" style="2"/>
    <col min="2050" max="2050" width="2.375" style="2" customWidth="1"/>
    <col min="2051" max="2052" width="13.25" style="2" bestFit="1" customWidth="1"/>
    <col min="2053" max="2054" width="11.125" style="2" bestFit="1" customWidth="1"/>
    <col min="2055" max="2056" width="13.25" style="2" bestFit="1" customWidth="1"/>
    <col min="2057" max="2057" width="11.125" style="2" bestFit="1" customWidth="1"/>
    <col min="2058" max="2058" width="9.625" style="2" bestFit="1" customWidth="1"/>
    <col min="2059" max="2305" width="9" style="2"/>
    <col min="2306" max="2306" width="2.375" style="2" customWidth="1"/>
    <col min="2307" max="2308" width="13.25" style="2" bestFit="1" customWidth="1"/>
    <col min="2309" max="2310" width="11.125" style="2" bestFit="1" customWidth="1"/>
    <col min="2311" max="2312" width="13.25" style="2" bestFit="1" customWidth="1"/>
    <col min="2313" max="2313" width="11.125" style="2" bestFit="1" customWidth="1"/>
    <col min="2314" max="2314" width="9.625" style="2" bestFit="1" customWidth="1"/>
    <col min="2315" max="2561" width="9" style="2"/>
    <col min="2562" max="2562" width="2.375" style="2" customWidth="1"/>
    <col min="2563" max="2564" width="13.25" style="2" bestFit="1" customWidth="1"/>
    <col min="2565" max="2566" width="11.125" style="2" bestFit="1" customWidth="1"/>
    <col min="2567" max="2568" width="13.25" style="2" bestFit="1" customWidth="1"/>
    <col min="2569" max="2569" width="11.125" style="2" bestFit="1" customWidth="1"/>
    <col min="2570" max="2570" width="9.625" style="2" bestFit="1" customWidth="1"/>
    <col min="2571" max="2817" width="9" style="2"/>
    <col min="2818" max="2818" width="2.375" style="2" customWidth="1"/>
    <col min="2819" max="2820" width="13.25" style="2" bestFit="1" customWidth="1"/>
    <col min="2821" max="2822" width="11.125" style="2" bestFit="1" customWidth="1"/>
    <col min="2823" max="2824" width="13.25" style="2" bestFit="1" customWidth="1"/>
    <col min="2825" max="2825" width="11.125" style="2" bestFit="1" customWidth="1"/>
    <col min="2826" max="2826" width="9.625" style="2" bestFit="1" customWidth="1"/>
    <col min="2827" max="3073" width="9" style="2"/>
    <col min="3074" max="3074" width="2.375" style="2" customWidth="1"/>
    <col min="3075" max="3076" width="13.25" style="2" bestFit="1" customWidth="1"/>
    <col min="3077" max="3078" width="11.125" style="2" bestFit="1" customWidth="1"/>
    <col min="3079" max="3080" width="13.25" style="2" bestFit="1" customWidth="1"/>
    <col min="3081" max="3081" width="11.125" style="2" bestFit="1" customWidth="1"/>
    <col min="3082" max="3082" width="9.625" style="2" bestFit="1" customWidth="1"/>
    <col min="3083" max="3329" width="9" style="2"/>
    <col min="3330" max="3330" width="2.375" style="2" customWidth="1"/>
    <col min="3331" max="3332" width="13.25" style="2" bestFit="1" customWidth="1"/>
    <col min="3333" max="3334" width="11.125" style="2" bestFit="1" customWidth="1"/>
    <col min="3335" max="3336" width="13.25" style="2" bestFit="1" customWidth="1"/>
    <col min="3337" max="3337" width="11.125" style="2" bestFit="1" customWidth="1"/>
    <col min="3338" max="3338" width="9.625" style="2" bestFit="1" customWidth="1"/>
    <col min="3339" max="3585" width="9" style="2"/>
    <col min="3586" max="3586" width="2.375" style="2" customWidth="1"/>
    <col min="3587" max="3588" width="13.25" style="2" bestFit="1" customWidth="1"/>
    <col min="3589" max="3590" width="11.125" style="2" bestFit="1" customWidth="1"/>
    <col min="3591" max="3592" width="13.25" style="2" bestFit="1" customWidth="1"/>
    <col min="3593" max="3593" width="11.125" style="2" bestFit="1" customWidth="1"/>
    <col min="3594" max="3594" width="9.625" style="2" bestFit="1" customWidth="1"/>
    <col min="3595" max="3841" width="9" style="2"/>
    <col min="3842" max="3842" width="2.375" style="2" customWidth="1"/>
    <col min="3843" max="3844" width="13.25" style="2" bestFit="1" customWidth="1"/>
    <col min="3845" max="3846" width="11.125" style="2" bestFit="1" customWidth="1"/>
    <col min="3847" max="3848" width="13.25" style="2" bestFit="1" customWidth="1"/>
    <col min="3849" max="3849" width="11.125" style="2" bestFit="1" customWidth="1"/>
    <col min="3850" max="3850" width="9.625" style="2" bestFit="1" customWidth="1"/>
    <col min="3851" max="4097" width="9" style="2"/>
    <col min="4098" max="4098" width="2.375" style="2" customWidth="1"/>
    <col min="4099" max="4100" width="13.25" style="2" bestFit="1" customWidth="1"/>
    <col min="4101" max="4102" width="11.125" style="2" bestFit="1" customWidth="1"/>
    <col min="4103" max="4104" width="13.25" style="2" bestFit="1" customWidth="1"/>
    <col min="4105" max="4105" width="11.125" style="2" bestFit="1" customWidth="1"/>
    <col min="4106" max="4106" width="9.625" style="2" bestFit="1" customWidth="1"/>
    <col min="4107" max="4353" width="9" style="2"/>
    <col min="4354" max="4354" width="2.375" style="2" customWidth="1"/>
    <col min="4355" max="4356" width="13.25" style="2" bestFit="1" customWidth="1"/>
    <col min="4357" max="4358" width="11.125" style="2" bestFit="1" customWidth="1"/>
    <col min="4359" max="4360" width="13.25" style="2" bestFit="1" customWidth="1"/>
    <col min="4361" max="4361" width="11.125" style="2" bestFit="1" customWidth="1"/>
    <col min="4362" max="4362" width="9.625" style="2" bestFit="1" customWidth="1"/>
    <col min="4363" max="4609" width="9" style="2"/>
    <col min="4610" max="4610" width="2.375" style="2" customWidth="1"/>
    <col min="4611" max="4612" width="13.25" style="2" bestFit="1" customWidth="1"/>
    <col min="4613" max="4614" width="11.125" style="2" bestFit="1" customWidth="1"/>
    <col min="4615" max="4616" width="13.25" style="2" bestFit="1" customWidth="1"/>
    <col min="4617" max="4617" width="11.125" style="2" bestFit="1" customWidth="1"/>
    <col min="4618" max="4618" width="9.625" style="2" bestFit="1" customWidth="1"/>
    <col min="4619" max="4865" width="9" style="2"/>
    <col min="4866" max="4866" width="2.375" style="2" customWidth="1"/>
    <col min="4867" max="4868" width="13.25" style="2" bestFit="1" customWidth="1"/>
    <col min="4869" max="4870" width="11.125" style="2" bestFit="1" customWidth="1"/>
    <col min="4871" max="4872" width="13.25" style="2" bestFit="1" customWidth="1"/>
    <col min="4873" max="4873" width="11.125" style="2" bestFit="1" customWidth="1"/>
    <col min="4874" max="4874" width="9.625" style="2" bestFit="1" customWidth="1"/>
    <col min="4875" max="5121" width="9" style="2"/>
    <col min="5122" max="5122" width="2.375" style="2" customWidth="1"/>
    <col min="5123" max="5124" width="13.25" style="2" bestFit="1" customWidth="1"/>
    <col min="5125" max="5126" width="11.125" style="2" bestFit="1" customWidth="1"/>
    <col min="5127" max="5128" width="13.25" style="2" bestFit="1" customWidth="1"/>
    <col min="5129" max="5129" width="11.125" style="2" bestFit="1" customWidth="1"/>
    <col min="5130" max="5130" width="9.625" style="2" bestFit="1" customWidth="1"/>
    <col min="5131" max="5377" width="9" style="2"/>
    <col min="5378" max="5378" width="2.375" style="2" customWidth="1"/>
    <col min="5379" max="5380" width="13.25" style="2" bestFit="1" customWidth="1"/>
    <col min="5381" max="5382" width="11.125" style="2" bestFit="1" customWidth="1"/>
    <col min="5383" max="5384" width="13.25" style="2" bestFit="1" customWidth="1"/>
    <col min="5385" max="5385" width="11.125" style="2" bestFit="1" customWidth="1"/>
    <col min="5386" max="5386" width="9.625" style="2" bestFit="1" customWidth="1"/>
    <col min="5387" max="5633" width="9" style="2"/>
    <col min="5634" max="5634" width="2.375" style="2" customWidth="1"/>
    <col min="5635" max="5636" width="13.25" style="2" bestFit="1" customWidth="1"/>
    <col min="5637" max="5638" width="11.125" style="2" bestFit="1" customWidth="1"/>
    <col min="5639" max="5640" width="13.25" style="2" bestFit="1" customWidth="1"/>
    <col min="5641" max="5641" width="11.125" style="2" bestFit="1" customWidth="1"/>
    <col min="5642" max="5642" width="9.625" style="2" bestFit="1" customWidth="1"/>
    <col min="5643" max="5889" width="9" style="2"/>
    <col min="5890" max="5890" width="2.375" style="2" customWidth="1"/>
    <col min="5891" max="5892" width="13.25" style="2" bestFit="1" customWidth="1"/>
    <col min="5893" max="5894" width="11.125" style="2" bestFit="1" customWidth="1"/>
    <col min="5895" max="5896" width="13.25" style="2" bestFit="1" customWidth="1"/>
    <col min="5897" max="5897" width="11.125" style="2" bestFit="1" customWidth="1"/>
    <col min="5898" max="5898" width="9.625" style="2" bestFit="1" customWidth="1"/>
    <col min="5899" max="6145" width="9" style="2"/>
    <col min="6146" max="6146" width="2.375" style="2" customWidth="1"/>
    <col min="6147" max="6148" width="13.25" style="2" bestFit="1" customWidth="1"/>
    <col min="6149" max="6150" width="11.125" style="2" bestFit="1" customWidth="1"/>
    <col min="6151" max="6152" width="13.25" style="2" bestFit="1" customWidth="1"/>
    <col min="6153" max="6153" width="11.125" style="2" bestFit="1" customWidth="1"/>
    <col min="6154" max="6154" width="9.625" style="2" bestFit="1" customWidth="1"/>
    <col min="6155" max="6401" width="9" style="2"/>
    <col min="6402" max="6402" width="2.375" style="2" customWidth="1"/>
    <col min="6403" max="6404" width="13.25" style="2" bestFit="1" customWidth="1"/>
    <col min="6405" max="6406" width="11.125" style="2" bestFit="1" customWidth="1"/>
    <col min="6407" max="6408" width="13.25" style="2" bestFit="1" customWidth="1"/>
    <col min="6409" max="6409" width="11.125" style="2" bestFit="1" customWidth="1"/>
    <col min="6410" max="6410" width="9.625" style="2" bestFit="1" customWidth="1"/>
    <col min="6411" max="6657" width="9" style="2"/>
    <col min="6658" max="6658" width="2.375" style="2" customWidth="1"/>
    <col min="6659" max="6660" width="13.25" style="2" bestFit="1" customWidth="1"/>
    <col min="6661" max="6662" width="11.125" style="2" bestFit="1" customWidth="1"/>
    <col min="6663" max="6664" width="13.25" style="2" bestFit="1" customWidth="1"/>
    <col min="6665" max="6665" width="11.125" style="2" bestFit="1" customWidth="1"/>
    <col min="6666" max="6666" width="9.625" style="2" bestFit="1" customWidth="1"/>
    <col min="6667" max="6913" width="9" style="2"/>
    <col min="6914" max="6914" width="2.375" style="2" customWidth="1"/>
    <col min="6915" max="6916" width="13.25" style="2" bestFit="1" customWidth="1"/>
    <col min="6917" max="6918" width="11.125" style="2" bestFit="1" customWidth="1"/>
    <col min="6919" max="6920" width="13.25" style="2" bestFit="1" customWidth="1"/>
    <col min="6921" max="6921" width="11.125" style="2" bestFit="1" customWidth="1"/>
    <col min="6922" max="6922" width="9.625" style="2" bestFit="1" customWidth="1"/>
    <col min="6923" max="7169" width="9" style="2"/>
    <col min="7170" max="7170" width="2.375" style="2" customWidth="1"/>
    <col min="7171" max="7172" width="13.25" style="2" bestFit="1" customWidth="1"/>
    <col min="7173" max="7174" width="11.125" style="2" bestFit="1" customWidth="1"/>
    <col min="7175" max="7176" width="13.25" style="2" bestFit="1" customWidth="1"/>
    <col min="7177" max="7177" width="11.125" style="2" bestFit="1" customWidth="1"/>
    <col min="7178" max="7178" width="9.625" style="2" bestFit="1" customWidth="1"/>
    <col min="7179" max="7425" width="9" style="2"/>
    <col min="7426" max="7426" width="2.375" style="2" customWidth="1"/>
    <col min="7427" max="7428" width="13.25" style="2" bestFit="1" customWidth="1"/>
    <col min="7429" max="7430" width="11.125" style="2" bestFit="1" customWidth="1"/>
    <col min="7431" max="7432" width="13.25" style="2" bestFit="1" customWidth="1"/>
    <col min="7433" max="7433" width="11.125" style="2" bestFit="1" customWidth="1"/>
    <col min="7434" max="7434" width="9.625" style="2" bestFit="1" customWidth="1"/>
    <col min="7435" max="7681" width="9" style="2"/>
    <col min="7682" max="7682" width="2.375" style="2" customWidth="1"/>
    <col min="7683" max="7684" width="13.25" style="2" bestFit="1" customWidth="1"/>
    <col min="7685" max="7686" width="11.125" style="2" bestFit="1" customWidth="1"/>
    <col min="7687" max="7688" width="13.25" style="2" bestFit="1" customWidth="1"/>
    <col min="7689" max="7689" width="11.125" style="2" bestFit="1" customWidth="1"/>
    <col min="7690" max="7690" width="9.625" style="2" bestFit="1" customWidth="1"/>
    <col min="7691" max="7937" width="9" style="2"/>
    <col min="7938" max="7938" width="2.375" style="2" customWidth="1"/>
    <col min="7939" max="7940" width="13.25" style="2" bestFit="1" customWidth="1"/>
    <col min="7941" max="7942" width="11.125" style="2" bestFit="1" customWidth="1"/>
    <col min="7943" max="7944" width="13.25" style="2" bestFit="1" customWidth="1"/>
    <col min="7945" max="7945" width="11.125" style="2" bestFit="1" customWidth="1"/>
    <col min="7946" max="7946" width="9.625" style="2" bestFit="1" customWidth="1"/>
    <col min="7947" max="8193" width="9" style="2"/>
    <col min="8194" max="8194" width="2.375" style="2" customWidth="1"/>
    <col min="8195" max="8196" width="13.25" style="2" bestFit="1" customWidth="1"/>
    <col min="8197" max="8198" width="11.125" style="2" bestFit="1" customWidth="1"/>
    <col min="8199" max="8200" width="13.25" style="2" bestFit="1" customWidth="1"/>
    <col min="8201" max="8201" width="11.125" style="2" bestFit="1" customWidth="1"/>
    <col min="8202" max="8202" width="9.625" style="2" bestFit="1" customWidth="1"/>
    <col min="8203" max="8449" width="9" style="2"/>
    <col min="8450" max="8450" width="2.375" style="2" customWidth="1"/>
    <col min="8451" max="8452" width="13.25" style="2" bestFit="1" customWidth="1"/>
    <col min="8453" max="8454" width="11.125" style="2" bestFit="1" customWidth="1"/>
    <col min="8455" max="8456" width="13.25" style="2" bestFit="1" customWidth="1"/>
    <col min="8457" max="8457" width="11.125" style="2" bestFit="1" customWidth="1"/>
    <col min="8458" max="8458" width="9.625" style="2" bestFit="1" customWidth="1"/>
    <col min="8459" max="8705" width="9" style="2"/>
    <col min="8706" max="8706" width="2.375" style="2" customWidth="1"/>
    <col min="8707" max="8708" width="13.25" style="2" bestFit="1" customWidth="1"/>
    <col min="8709" max="8710" width="11.125" style="2" bestFit="1" customWidth="1"/>
    <col min="8711" max="8712" width="13.25" style="2" bestFit="1" customWidth="1"/>
    <col min="8713" max="8713" width="11.125" style="2" bestFit="1" customWidth="1"/>
    <col min="8714" max="8714" width="9.625" style="2" bestFit="1" customWidth="1"/>
    <col min="8715" max="8961" width="9" style="2"/>
    <col min="8962" max="8962" width="2.375" style="2" customWidth="1"/>
    <col min="8963" max="8964" width="13.25" style="2" bestFit="1" customWidth="1"/>
    <col min="8965" max="8966" width="11.125" style="2" bestFit="1" customWidth="1"/>
    <col min="8967" max="8968" width="13.25" style="2" bestFit="1" customWidth="1"/>
    <col min="8969" max="8969" width="11.125" style="2" bestFit="1" customWidth="1"/>
    <col min="8970" max="8970" width="9.625" style="2" bestFit="1" customWidth="1"/>
    <col min="8971" max="9217" width="9" style="2"/>
    <col min="9218" max="9218" width="2.375" style="2" customWidth="1"/>
    <col min="9219" max="9220" width="13.25" style="2" bestFit="1" customWidth="1"/>
    <col min="9221" max="9222" width="11.125" style="2" bestFit="1" customWidth="1"/>
    <col min="9223" max="9224" width="13.25" style="2" bestFit="1" customWidth="1"/>
    <col min="9225" max="9225" width="11.125" style="2" bestFit="1" customWidth="1"/>
    <col min="9226" max="9226" width="9.625" style="2" bestFit="1" customWidth="1"/>
    <col min="9227" max="9473" width="9" style="2"/>
    <col min="9474" max="9474" width="2.375" style="2" customWidth="1"/>
    <col min="9475" max="9476" width="13.25" style="2" bestFit="1" customWidth="1"/>
    <col min="9477" max="9478" width="11.125" style="2" bestFit="1" customWidth="1"/>
    <col min="9479" max="9480" width="13.25" style="2" bestFit="1" customWidth="1"/>
    <col min="9481" max="9481" width="11.125" style="2" bestFit="1" customWidth="1"/>
    <col min="9482" max="9482" width="9.625" style="2" bestFit="1" customWidth="1"/>
    <col min="9483" max="9729" width="9" style="2"/>
    <col min="9730" max="9730" width="2.375" style="2" customWidth="1"/>
    <col min="9731" max="9732" width="13.25" style="2" bestFit="1" customWidth="1"/>
    <col min="9733" max="9734" width="11.125" style="2" bestFit="1" customWidth="1"/>
    <col min="9735" max="9736" width="13.25" style="2" bestFit="1" customWidth="1"/>
    <col min="9737" max="9737" width="11.125" style="2" bestFit="1" customWidth="1"/>
    <col min="9738" max="9738" width="9.625" style="2" bestFit="1" customWidth="1"/>
    <col min="9739" max="9985" width="9" style="2"/>
    <col min="9986" max="9986" width="2.375" style="2" customWidth="1"/>
    <col min="9987" max="9988" width="13.25" style="2" bestFit="1" customWidth="1"/>
    <col min="9989" max="9990" width="11.125" style="2" bestFit="1" customWidth="1"/>
    <col min="9991" max="9992" width="13.25" style="2" bestFit="1" customWidth="1"/>
    <col min="9993" max="9993" width="11.125" style="2" bestFit="1" customWidth="1"/>
    <col min="9994" max="9994" width="9.625" style="2" bestFit="1" customWidth="1"/>
    <col min="9995" max="10241" width="9" style="2"/>
    <col min="10242" max="10242" width="2.375" style="2" customWidth="1"/>
    <col min="10243" max="10244" width="13.25" style="2" bestFit="1" customWidth="1"/>
    <col min="10245" max="10246" width="11.125" style="2" bestFit="1" customWidth="1"/>
    <col min="10247" max="10248" width="13.25" style="2" bestFit="1" customWidth="1"/>
    <col min="10249" max="10249" width="11.125" style="2" bestFit="1" customWidth="1"/>
    <col min="10250" max="10250" width="9.625" style="2" bestFit="1" customWidth="1"/>
    <col min="10251" max="10497" width="9" style="2"/>
    <col min="10498" max="10498" width="2.375" style="2" customWidth="1"/>
    <col min="10499" max="10500" width="13.25" style="2" bestFit="1" customWidth="1"/>
    <col min="10501" max="10502" width="11.125" style="2" bestFit="1" customWidth="1"/>
    <col min="10503" max="10504" width="13.25" style="2" bestFit="1" customWidth="1"/>
    <col min="10505" max="10505" width="11.125" style="2" bestFit="1" customWidth="1"/>
    <col min="10506" max="10506" width="9.625" style="2" bestFit="1" customWidth="1"/>
    <col min="10507" max="10753" width="9" style="2"/>
    <col min="10754" max="10754" width="2.375" style="2" customWidth="1"/>
    <col min="10755" max="10756" width="13.25" style="2" bestFit="1" customWidth="1"/>
    <col min="10757" max="10758" width="11.125" style="2" bestFit="1" customWidth="1"/>
    <col min="10759" max="10760" width="13.25" style="2" bestFit="1" customWidth="1"/>
    <col min="10761" max="10761" width="11.125" style="2" bestFit="1" customWidth="1"/>
    <col min="10762" max="10762" width="9.625" style="2" bestFit="1" customWidth="1"/>
    <col min="10763" max="11009" width="9" style="2"/>
    <col min="11010" max="11010" width="2.375" style="2" customWidth="1"/>
    <col min="11011" max="11012" width="13.25" style="2" bestFit="1" customWidth="1"/>
    <col min="11013" max="11014" width="11.125" style="2" bestFit="1" customWidth="1"/>
    <col min="11015" max="11016" width="13.25" style="2" bestFit="1" customWidth="1"/>
    <col min="11017" max="11017" width="11.125" style="2" bestFit="1" customWidth="1"/>
    <col min="11018" max="11018" width="9.625" style="2" bestFit="1" customWidth="1"/>
    <col min="11019" max="11265" width="9" style="2"/>
    <col min="11266" max="11266" width="2.375" style="2" customWidth="1"/>
    <col min="11267" max="11268" width="13.25" style="2" bestFit="1" customWidth="1"/>
    <col min="11269" max="11270" width="11.125" style="2" bestFit="1" customWidth="1"/>
    <col min="11271" max="11272" width="13.25" style="2" bestFit="1" customWidth="1"/>
    <col min="11273" max="11273" width="11.125" style="2" bestFit="1" customWidth="1"/>
    <col min="11274" max="11274" width="9.625" style="2" bestFit="1" customWidth="1"/>
    <col min="11275" max="11521" width="9" style="2"/>
    <col min="11522" max="11522" width="2.375" style="2" customWidth="1"/>
    <col min="11523" max="11524" width="13.25" style="2" bestFit="1" customWidth="1"/>
    <col min="11525" max="11526" width="11.125" style="2" bestFit="1" customWidth="1"/>
    <col min="11527" max="11528" width="13.25" style="2" bestFit="1" customWidth="1"/>
    <col min="11529" max="11529" width="11.125" style="2" bestFit="1" customWidth="1"/>
    <col min="11530" max="11530" width="9.625" style="2" bestFit="1" customWidth="1"/>
    <col min="11531" max="11777" width="9" style="2"/>
    <col min="11778" max="11778" width="2.375" style="2" customWidth="1"/>
    <col min="11779" max="11780" width="13.25" style="2" bestFit="1" customWidth="1"/>
    <col min="11781" max="11782" width="11.125" style="2" bestFit="1" customWidth="1"/>
    <col min="11783" max="11784" width="13.25" style="2" bestFit="1" customWidth="1"/>
    <col min="11785" max="11785" width="11.125" style="2" bestFit="1" customWidth="1"/>
    <col min="11786" max="11786" width="9.625" style="2" bestFit="1" customWidth="1"/>
    <col min="11787" max="12033" width="9" style="2"/>
    <col min="12034" max="12034" width="2.375" style="2" customWidth="1"/>
    <col min="12035" max="12036" width="13.25" style="2" bestFit="1" customWidth="1"/>
    <col min="12037" max="12038" width="11.125" style="2" bestFit="1" customWidth="1"/>
    <col min="12039" max="12040" width="13.25" style="2" bestFit="1" customWidth="1"/>
    <col min="12041" max="12041" width="11.125" style="2" bestFit="1" customWidth="1"/>
    <col min="12042" max="12042" width="9.625" style="2" bestFit="1" customWidth="1"/>
    <col min="12043" max="12289" width="9" style="2"/>
    <col min="12290" max="12290" width="2.375" style="2" customWidth="1"/>
    <col min="12291" max="12292" width="13.25" style="2" bestFit="1" customWidth="1"/>
    <col min="12293" max="12294" width="11.125" style="2" bestFit="1" customWidth="1"/>
    <col min="12295" max="12296" width="13.25" style="2" bestFit="1" customWidth="1"/>
    <col min="12297" max="12297" width="11.125" style="2" bestFit="1" customWidth="1"/>
    <col min="12298" max="12298" width="9.625" style="2" bestFit="1" customWidth="1"/>
    <col min="12299" max="12545" width="9" style="2"/>
    <col min="12546" max="12546" width="2.375" style="2" customWidth="1"/>
    <col min="12547" max="12548" width="13.25" style="2" bestFit="1" customWidth="1"/>
    <col min="12549" max="12550" width="11.125" style="2" bestFit="1" customWidth="1"/>
    <col min="12551" max="12552" width="13.25" style="2" bestFit="1" customWidth="1"/>
    <col min="12553" max="12553" width="11.125" style="2" bestFit="1" customWidth="1"/>
    <col min="12554" max="12554" width="9.625" style="2" bestFit="1" customWidth="1"/>
    <col min="12555" max="12801" width="9" style="2"/>
    <col min="12802" max="12802" width="2.375" style="2" customWidth="1"/>
    <col min="12803" max="12804" width="13.25" style="2" bestFit="1" customWidth="1"/>
    <col min="12805" max="12806" width="11.125" style="2" bestFit="1" customWidth="1"/>
    <col min="12807" max="12808" width="13.25" style="2" bestFit="1" customWidth="1"/>
    <col min="12809" max="12809" width="11.125" style="2" bestFit="1" customWidth="1"/>
    <col min="12810" max="12810" width="9.625" style="2" bestFit="1" customWidth="1"/>
    <col min="12811" max="13057" width="9" style="2"/>
    <col min="13058" max="13058" width="2.375" style="2" customWidth="1"/>
    <col min="13059" max="13060" width="13.25" style="2" bestFit="1" customWidth="1"/>
    <col min="13061" max="13062" width="11.125" style="2" bestFit="1" customWidth="1"/>
    <col min="13063" max="13064" width="13.25" style="2" bestFit="1" customWidth="1"/>
    <col min="13065" max="13065" width="11.125" style="2" bestFit="1" customWidth="1"/>
    <col min="13066" max="13066" width="9.625" style="2" bestFit="1" customWidth="1"/>
    <col min="13067" max="13313" width="9" style="2"/>
    <col min="13314" max="13314" width="2.375" style="2" customWidth="1"/>
    <col min="13315" max="13316" width="13.25" style="2" bestFit="1" customWidth="1"/>
    <col min="13317" max="13318" width="11.125" style="2" bestFit="1" customWidth="1"/>
    <col min="13319" max="13320" width="13.25" style="2" bestFit="1" customWidth="1"/>
    <col min="13321" max="13321" width="11.125" style="2" bestFit="1" customWidth="1"/>
    <col min="13322" max="13322" width="9.625" style="2" bestFit="1" customWidth="1"/>
    <col min="13323" max="13569" width="9" style="2"/>
    <col min="13570" max="13570" width="2.375" style="2" customWidth="1"/>
    <col min="13571" max="13572" width="13.25" style="2" bestFit="1" customWidth="1"/>
    <col min="13573" max="13574" width="11.125" style="2" bestFit="1" customWidth="1"/>
    <col min="13575" max="13576" width="13.25" style="2" bestFit="1" customWidth="1"/>
    <col min="13577" max="13577" width="11.125" style="2" bestFit="1" customWidth="1"/>
    <col min="13578" max="13578" width="9.625" style="2" bestFit="1" customWidth="1"/>
    <col min="13579" max="13825" width="9" style="2"/>
    <col min="13826" max="13826" width="2.375" style="2" customWidth="1"/>
    <col min="13827" max="13828" width="13.25" style="2" bestFit="1" customWidth="1"/>
    <col min="13829" max="13830" width="11.125" style="2" bestFit="1" customWidth="1"/>
    <col min="13831" max="13832" width="13.25" style="2" bestFit="1" customWidth="1"/>
    <col min="13833" max="13833" width="11.125" style="2" bestFit="1" customWidth="1"/>
    <col min="13834" max="13834" width="9.625" style="2" bestFit="1" customWidth="1"/>
    <col min="13835" max="14081" width="9" style="2"/>
    <col min="14082" max="14082" width="2.375" style="2" customWidth="1"/>
    <col min="14083" max="14084" width="13.25" style="2" bestFit="1" customWidth="1"/>
    <col min="14085" max="14086" width="11.125" style="2" bestFit="1" customWidth="1"/>
    <col min="14087" max="14088" width="13.25" style="2" bestFit="1" customWidth="1"/>
    <col min="14089" max="14089" width="11.125" style="2" bestFit="1" customWidth="1"/>
    <col min="14090" max="14090" width="9.625" style="2" bestFit="1" customWidth="1"/>
    <col min="14091" max="14337" width="9" style="2"/>
    <col min="14338" max="14338" width="2.375" style="2" customWidth="1"/>
    <col min="14339" max="14340" width="13.25" style="2" bestFit="1" customWidth="1"/>
    <col min="14341" max="14342" width="11.125" style="2" bestFit="1" customWidth="1"/>
    <col min="14343" max="14344" width="13.25" style="2" bestFit="1" customWidth="1"/>
    <col min="14345" max="14345" width="11.125" style="2" bestFit="1" customWidth="1"/>
    <col min="14346" max="14346" width="9.625" style="2" bestFit="1" customWidth="1"/>
    <col min="14347" max="14593" width="9" style="2"/>
    <col min="14594" max="14594" width="2.375" style="2" customWidth="1"/>
    <col min="14595" max="14596" width="13.25" style="2" bestFit="1" customWidth="1"/>
    <col min="14597" max="14598" width="11.125" style="2" bestFit="1" customWidth="1"/>
    <col min="14599" max="14600" width="13.25" style="2" bestFit="1" customWidth="1"/>
    <col min="14601" max="14601" width="11.125" style="2" bestFit="1" customWidth="1"/>
    <col min="14602" max="14602" width="9.625" style="2" bestFit="1" customWidth="1"/>
    <col min="14603" max="14849" width="9" style="2"/>
    <col min="14850" max="14850" width="2.375" style="2" customWidth="1"/>
    <col min="14851" max="14852" width="13.25" style="2" bestFit="1" customWidth="1"/>
    <col min="14853" max="14854" width="11.125" style="2" bestFit="1" customWidth="1"/>
    <col min="14855" max="14856" width="13.25" style="2" bestFit="1" customWidth="1"/>
    <col min="14857" max="14857" width="11.125" style="2" bestFit="1" customWidth="1"/>
    <col min="14858" max="14858" width="9.625" style="2" bestFit="1" customWidth="1"/>
    <col min="14859" max="15105" width="9" style="2"/>
    <col min="15106" max="15106" width="2.375" style="2" customWidth="1"/>
    <col min="15107" max="15108" width="13.25" style="2" bestFit="1" customWidth="1"/>
    <col min="15109" max="15110" width="11.125" style="2" bestFit="1" customWidth="1"/>
    <col min="15111" max="15112" width="13.25" style="2" bestFit="1" customWidth="1"/>
    <col min="15113" max="15113" width="11.125" style="2" bestFit="1" customWidth="1"/>
    <col min="15114" max="15114" width="9.625" style="2" bestFit="1" customWidth="1"/>
    <col min="15115" max="15361" width="9" style="2"/>
    <col min="15362" max="15362" width="2.375" style="2" customWidth="1"/>
    <col min="15363" max="15364" width="13.25" style="2" bestFit="1" customWidth="1"/>
    <col min="15365" max="15366" width="11.125" style="2" bestFit="1" customWidth="1"/>
    <col min="15367" max="15368" width="13.25" style="2" bestFit="1" customWidth="1"/>
    <col min="15369" max="15369" width="11.125" style="2" bestFit="1" customWidth="1"/>
    <col min="15370" max="15370" width="9.625" style="2" bestFit="1" customWidth="1"/>
    <col min="15371" max="15617" width="9" style="2"/>
    <col min="15618" max="15618" width="2.375" style="2" customWidth="1"/>
    <col min="15619" max="15620" width="13.25" style="2" bestFit="1" customWidth="1"/>
    <col min="15621" max="15622" width="11.125" style="2" bestFit="1" customWidth="1"/>
    <col min="15623" max="15624" width="13.25" style="2" bestFit="1" customWidth="1"/>
    <col min="15625" max="15625" width="11.125" style="2" bestFit="1" customWidth="1"/>
    <col min="15626" max="15626" width="9.625" style="2" bestFit="1" customWidth="1"/>
    <col min="15627" max="15873" width="9" style="2"/>
    <col min="15874" max="15874" width="2.375" style="2" customWidth="1"/>
    <col min="15875" max="15876" width="13.25" style="2" bestFit="1" customWidth="1"/>
    <col min="15877" max="15878" width="11.125" style="2" bestFit="1" customWidth="1"/>
    <col min="15879" max="15880" width="13.25" style="2" bestFit="1" customWidth="1"/>
    <col min="15881" max="15881" width="11.125" style="2" bestFit="1" customWidth="1"/>
    <col min="15882" max="15882" width="9.625" style="2" bestFit="1" customWidth="1"/>
    <col min="15883" max="16129" width="9" style="2"/>
    <col min="16130" max="16130" width="2.375" style="2" customWidth="1"/>
    <col min="16131" max="16132" width="13.25" style="2" bestFit="1" customWidth="1"/>
    <col min="16133" max="16134" width="11.125" style="2" bestFit="1" customWidth="1"/>
    <col min="16135" max="16136" width="13.25" style="2" bestFit="1" customWidth="1"/>
    <col min="16137" max="16137" width="11.125" style="2" bestFit="1" customWidth="1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>
      <c r="A2" s="1"/>
    </row>
    <row r="3" spans="1:11">
      <c r="A3" s="1" t="s">
        <v>1</v>
      </c>
    </row>
    <row r="4" spans="1:11">
      <c r="A4" s="1" t="s">
        <v>2</v>
      </c>
    </row>
    <row r="5" spans="1:11">
      <c r="A5" s="1" t="s">
        <v>3</v>
      </c>
    </row>
    <row r="6" spans="1:11" ht="19.5" thickBot="1">
      <c r="A6" s="1" t="s">
        <v>4</v>
      </c>
    </row>
    <row r="7" spans="1:11">
      <c r="B7" s="15"/>
      <c r="C7" s="24" t="s">
        <v>5</v>
      </c>
      <c r="D7" s="4" t="s">
        <v>6</v>
      </c>
      <c r="E7" s="4" t="s">
        <v>7</v>
      </c>
      <c r="F7" s="60" t="s">
        <v>8</v>
      </c>
      <c r="G7" s="72" t="s">
        <v>9</v>
      </c>
      <c r="H7" s="4" t="s">
        <v>10</v>
      </c>
      <c r="I7" s="25" t="s">
        <v>11</v>
      </c>
      <c r="J7" s="18" t="s">
        <v>9</v>
      </c>
      <c r="K7" s="18" t="s">
        <v>12</v>
      </c>
    </row>
    <row r="8" spans="1:11" ht="19.5" thickBot="1">
      <c r="A8" s="3"/>
      <c r="B8" s="36" t="s">
        <v>13</v>
      </c>
      <c r="C8" s="37" t="s">
        <v>14</v>
      </c>
      <c r="D8" s="38" t="s">
        <v>15</v>
      </c>
      <c r="E8" s="38" t="s">
        <v>16</v>
      </c>
      <c r="F8" s="61" t="s">
        <v>17</v>
      </c>
      <c r="G8" s="73" t="s">
        <v>18</v>
      </c>
      <c r="H8" s="38" t="s">
        <v>19</v>
      </c>
      <c r="I8" s="39" t="s">
        <v>20</v>
      </c>
      <c r="J8" s="40" t="s">
        <v>21</v>
      </c>
      <c r="K8" s="40" t="s">
        <v>22</v>
      </c>
    </row>
    <row r="9" spans="1:11">
      <c r="A9" s="1" t="s">
        <v>3</v>
      </c>
      <c r="B9" s="31" t="s">
        <v>23</v>
      </c>
      <c r="C9" s="32">
        <v>0</v>
      </c>
      <c r="D9" s="33">
        <v>0</v>
      </c>
      <c r="E9" s="33">
        <v>0</v>
      </c>
      <c r="F9" s="62">
        <v>0</v>
      </c>
      <c r="G9" s="74">
        <f>SUM(C9:F9)</f>
        <v>0</v>
      </c>
      <c r="H9" s="33">
        <v>19</v>
      </c>
      <c r="I9" s="34">
        <v>15</v>
      </c>
      <c r="J9" s="35">
        <f>SUM(H9:I9)</f>
        <v>34</v>
      </c>
      <c r="K9" s="35">
        <f>G9+J9</f>
        <v>34</v>
      </c>
    </row>
    <row r="10" spans="1:11">
      <c r="A10" s="1" t="s">
        <v>3</v>
      </c>
      <c r="B10" s="16" t="s">
        <v>24</v>
      </c>
      <c r="C10" s="26">
        <v>0</v>
      </c>
      <c r="D10" s="5">
        <v>0</v>
      </c>
      <c r="E10" s="5">
        <v>0</v>
      </c>
      <c r="F10" s="63">
        <v>0</v>
      </c>
      <c r="G10" s="75">
        <f t="shared" ref="G10:G35" si="0">SUM(C10:F10)</f>
        <v>0</v>
      </c>
      <c r="H10" s="5">
        <v>1</v>
      </c>
      <c r="I10" s="6">
        <v>1</v>
      </c>
      <c r="J10" s="19">
        <f t="shared" ref="J10:J35" si="1">SUM(H10:I10)</f>
        <v>2</v>
      </c>
      <c r="K10" s="19">
        <f t="shared" ref="K10:K35" si="2">G10+J10</f>
        <v>2</v>
      </c>
    </row>
    <row r="11" spans="1:11">
      <c r="A11" s="1" t="s">
        <v>3</v>
      </c>
      <c r="B11" s="16" t="s">
        <v>25</v>
      </c>
      <c r="C11" s="27">
        <v>0</v>
      </c>
      <c r="D11" s="7">
        <v>0</v>
      </c>
      <c r="E11" s="7">
        <v>0</v>
      </c>
      <c r="F11" s="64">
        <v>0</v>
      </c>
      <c r="G11" s="76">
        <f t="shared" si="0"/>
        <v>0</v>
      </c>
      <c r="H11" s="7">
        <v>0</v>
      </c>
      <c r="I11" s="8">
        <v>3.1666666666666665</v>
      </c>
      <c r="J11" s="20">
        <f t="shared" si="1"/>
        <v>3.1666666666666665</v>
      </c>
      <c r="K11" s="20">
        <f t="shared" si="2"/>
        <v>3.1666666666666665</v>
      </c>
    </row>
    <row r="12" spans="1:11">
      <c r="A12" s="1" t="s">
        <v>3</v>
      </c>
      <c r="B12" s="16" t="s">
        <v>26</v>
      </c>
      <c r="C12" s="27">
        <v>0</v>
      </c>
      <c r="D12" s="7">
        <v>0</v>
      </c>
      <c r="E12" s="7">
        <v>0</v>
      </c>
      <c r="F12" s="64">
        <v>0</v>
      </c>
      <c r="G12" s="76">
        <f t="shared" si="0"/>
        <v>0</v>
      </c>
      <c r="H12" s="7">
        <v>0</v>
      </c>
      <c r="I12" s="8">
        <v>0.20833333333333334</v>
      </c>
      <c r="J12" s="20">
        <f t="shared" si="1"/>
        <v>0.20833333333333334</v>
      </c>
      <c r="K12" s="20">
        <f t="shared" si="2"/>
        <v>0.20833333333333334</v>
      </c>
    </row>
    <row r="13" spans="1:11">
      <c r="A13" s="1" t="s">
        <v>3</v>
      </c>
      <c r="B13" s="45" t="s">
        <v>27</v>
      </c>
      <c r="C13" s="46">
        <v>0</v>
      </c>
      <c r="D13" s="47">
        <v>0</v>
      </c>
      <c r="E13" s="47">
        <v>0</v>
      </c>
      <c r="F13" s="65">
        <v>0</v>
      </c>
      <c r="G13" s="77">
        <f t="shared" si="0"/>
        <v>0</v>
      </c>
      <c r="H13" s="47">
        <v>37</v>
      </c>
      <c r="I13" s="48">
        <v>35</v>
      </c>
      <c r="J13" s="49">
        <f t="shared" si="1"/>
        <v>72</v>
      </c>
      <c r="K13" s="49">
        <f t="shared" si="2"/>
        <v>72</v>
      </c>
    </row>
    <row r="14" spans="1:11">
      <c r="A14" s="1" t="s">
        <v>3</v>
      </c>
      <c r="B14" s="31" t="s">
        <v>28</v>
      </c>
      <c r="C14" s="41">
        <v>0</v>
      </c>
      <c r="D14" s="42">
        <v>0</v>
      </c>
      <c r="E14" s="42">
        <v>0</v>
      </c>
      <c r="F14" s="66">
        <v>0</v>
      </c>
      <c r="G14" s="78">
        <f t="shared" si="0"/>
        <v>0</v>
      </c>
      <c r="H14" s="42">
        <v>390000</v>
      </c>
      <c r="I14" s="43">
        <v>0</v>
      </c>
      <c r="J14" s="44">
        <f t="shared" si="1"/>
        <v>390000</v>
      </c>
      <c r="K14" s="44">
        <f t="shared" si="2"/>
        <v>390000</v>
      </c>
    </row>
    <row r="15" spans="1:11">
      <c r="A15" s="1" t="s">
        <v>3</v>
      </c>
      <c r="B15" s="16" t="s">
        <v>29</v>
      </c>
      <c r="C15" s="28">
        <v>0</v>
      </c>
      <c r="D15" s="9">
        <v>0</v>
      </c>
      <c r="E15" s="9">
        <v>0</v>
      </c>
      <c r="F15" s="67">
        <v>0</v>
      </c>
      <c r="G15" s="79">
        <f t="shared" si="0"/>
        <v>0</v>
      </c>
      <c r="H15" s="9">
        <v>50000</v>
      </c>
      <c r="I15" s="10">
        <v>0</v>
      </c>
      <c r="J15" s="21">
        <f t="shared" si="1"/>
        <v>50000</v>
      </c>
      <c r="K15" s="21">
        <f t="shared" si="2"/>
        <v>50000</v>
      </c>
    </row>
    <row r="16" spans="1:11">
      <c r="A16" s="1" t="s">
        <v>3</v>
      </c>
      <c r="B16" s="16" t="s">
        <v>30</v>
      </c>
      <c r="C16" s="28">
        <v>0</v>
      </c>
      <c r="D16" s="9">
        <v>0</v>
      </c>
      <c r="E16" s="9">
        <v>0</v>
      </c>
      <c r="F16" s="67">
        <v>0</v>
      </c>
      <c r="G16" s="79">
        <f t="shared" si="0"/>
        <v>0</v>
      </c>
      <c r="H16" s="9">
        <v>0</v>
      </c>
      <c r="I16" s="10">
        <v>97660</v>
      </c>
      <c r="J16" s="21">
        <f t="shared" si="1"/>
        <v>97660</v>
      </c>
      <c r="K16" s="21">
        <f t="shared" si="2"/>
        <v>97660</v>
      </c>
    </row>
    <row r="17" spans="1:11">
      <c r="A17" s="1" t="s">
        <v>3</v>
      </c>
      <c r="B17" s="16" t="s">
        <v>31</v>
      </c>
      <c r="C17" s="28">
        <v>1000000</v>
      </c>
      <c r="D17" s="9">
        <v>200000</v>
      </c>
      <c r="E17" s="9">
        <v>300000</v>
      </c>
      <c r="F17" s="67">
        <v>100000</v>
      </c>
      <c r="G17" s="79">
        <f t="shared" si="0"/>
        <v>1600000</v>
      </c>
      <c r="H17" s="9">
        <v>0</v>
      </c>
      <c r="I17" s="10">
        <v>0</v>
      </c>
      <c r="J17" s="21">
        <f t="shared" si="1"/>
        <v>0</v>
      </c>
      <c r="K17" s="21">
        <f t="shared" si="2"/>
        <v>1600000</v>
      </c>
    </row>
    <row r="18" spans="1:11">
      <c r="A18" s="1" t="s">
        <v>3</v>
      </c>
      <c r="B18" s="50" t="s">
        <v>32</v>
      </c>
      <c r="C18" s="51">
        <v>0</v>
      </c>
      <c r="D18" s="52">
        <v>0</v>
      </c>
      <c r="E18" s="52">
        <v>0</v>
      </c>
      <c r="F18" s="68">
        <v>0</v>
      </c>
      <c r="G18" s="80">
        <f t="shared" si="0"/>
        <v>0</v>
      </c>
      <c r="H18" s="52">
        <v>0</v>
      </c>
      <c r="I18" s="53">
        <v>6425</v>
      </c>
      <c r="J18" s="54">
        <f t="shared" si="1"/>
        <v>6425</v>
      </c>
      <c r="K18" s="54">
        <f t="shared" si="2"/>
        <v>6425</v>
      </c>
    </row>
    <row r="19" spans="1:11">
      <c r="A19" s="1" t="s">
        <v>3</v>
      </c>
      <c r="B19" s="55" t="s">
        <v>33</v>
      </c>
      <c r="C19" s="56">
        <v>1000000</v>
      </c>
      <c r="D19" s="57">
        <v>200000</v>
      </c>
      <c r="E19" s="57">
        <v>300000</v>
      </c>
      <c r="F19" s="69">
        <v>100000</v>
      </c>
      <c r="G19" s="81">
        <f t="shared" si="0"/>
        <v>1600000</v>
      </c>
      <c r="H19" s="57">
        <v>440000</v>
      </c>
      <c r="I19" s="58">
        <v>104085</v>
      </c>
      <c r="J19" s="59">
        <f t="shared" si="1"/>
        <v>544085</v>
      </c>
      <c r="K19" s="59">
        <f t="shared" si="2"/>
        <v>2144085</v>
      </c>
    </row>
    <row r="20" spans="1:11">
      <c r="A20" s="1" t="s">
        <v>3</v>
      </c>
      <c r="B20" s="55" t="s">
        <v>34</v>
      </c>
      <c r="C20" s="56">
        <v>0</v>
      </c>
      <c r="D20" s="57">
        <v>0</v>
      </c>
      <c r="E20" s="57">
        <v>0</v>
      </c>
      <c r="F20" s="69">
        <v>0</v>
      </c>
      <c r="G20" s="81">
        <f t="shared" si="0"/>
        <v>0</v>
      </c>
      <c r="H20" s="57">
        <v>8200</v>
      </c>
      <c r="I20" s="58">
        <v>2640</v>
      </c>
      <c r="J20" s="59">
        <f t="shared" si="1"/>
        <v>10840</v>
      </c>
      <c r="K20" s="59">
        <f t="shared" si="2"/>
        <v>10840</v>
      </c>
    </row>
    <row r="21" spans="1:11">
      <c r="A21" s="1" t="s">
        <v>3</v>
      </c>
      <c r="B21" s="55" t="s">
        <v>35</v>
      </c>
      <c r="C21" s="56">
        <v>0</v>
      </c>
      <c r="D21" s="57">
        <v>0</v>
      </c>
      <c r="E21" s="57">
        <v>0</v>
      </c>
      <c r="F21" s="69">
        <v>0</v>
      </c>
      <c r="G21" s="81">
        <f t="shared" si="0"/>
        <v>0</v>
      </c>
      <c r="H21" s="57">
        <v>8200</v>
      </c>
      <c r="I21" s="58">
        <v>2640</v>
      </c>
      <c r="J21" s="59">
        <f t="shared" si="1"/>
        <v>10840</v>
      </c>
      <c r="K21" s="59">
        <f t="shared" si="2"/>
        <v>10840</v>
      </c>
    </row>
    <row r="22" spans="1:11">
      <c r="A22" s="1" t="s">
        <v>3</v>
      </c>
      <c r="B22" s="55" t="s">
        <v>36</v>
      </c>
      <c r="C22" s="56">
        <v>1000000</v>
      </c>
      <c r="D22" s="57">
        <v>200000</v>
      </c>
      <c r="E22" s="57">
        <v>300000</v>
      </c>
      <c r="F22" s="69">
        <v>100000</v>
      </c>
      <c r="G22" s="81">
        <f t="shared" si="0"/>
        <v>1600000</v>
      </c>
      <c r="H22" s="57">
        <v>448200</v>
      </c>
      <c r="I22" s="58">
        <v>106725</v>
      </c>
      <c r="J22" s="59">
        <f t="shared" si="1"/>
        <v>554925</v>
      </c>
      <c r="K22" s="59">
        <f t="shared" si="2"/>
        <v>2154925</v>
      </c>
    </row>
    <row r="23" spans="1:11">
      <c r="A23" s="1" t="s">
        <v>3</v>
      </c>
      <c r="B23" s="31" t="s">
        <v>37</v>
      </c>
      <c r="C23" s="41">
        <v>49980</v>
      </c>
      <c r="D23" s="42">
        <v>0</v>
      </c>
      <c r="E23" s="42">
        <v>0</v>
      </c>
      <c r="F23" s="66">
        <v>0</v>
      </c>
      <c r="G23" s="78">
        <f t="shared" si="0"/>
        <v>49980</v>
      </c>
      <c r="H23" s="42">
        <v>22440</v>
      </c>
      <c r="I23" s="43">
        <v>0</v>
      </c>
      <c r="J23" s="44">
        <f t="shared" si="1"/>
        <v>22440</v>
      </c>
      <c r="K23" s="44">
        <f t="shared" si="2"/>
        <v>72420</v>
      </c>
    </row>
    <row r="24" spans="1:11">
      <c r="A24" s="1" t="s">
        <v>3</v>
      </c>
      <c r="B24" s="16" t="s">
        <v>38</v>
      </c>
      <c r="C24" s="28">
        <v>8820</v>
      </c>
      <c r="D24" s="9">
        <v>0</v>
      </c>
      <c r="E24" s="9">
        <v>0</v>
      </c>
      <c r="F24" s="67">
        <v>0</v>
      </c>
      <c r="G24" s="79">
        <f t="shared" si="0"/>
        <v>8820</v>
      </c>
      <c r="H24" s="9">
        <v>3960</v>
      </c>
      <c r="I24" s="10">
        <v>0</v>
      </c>
      <c r="J24" s="21">
        <f t="shared" si="1"/>
        <v>3960</v>
      </c>
      <c r="K24" s="21">
        <f t="shared" si="2"/>
        <v>12780</v>
      </c>
    </row>
    <row r="25" spans="1:11">
      <c r="A25" s="1" t="s">
        <v>3</v>
      </c>
      <c r="B25" s="16" t="s">
        <v>39</v>
      </c>
      <c r="C25" s="28">
        <v>59475</v>
      </c>
      <c r="D25" s="9">
        <v>0</v>
      </c>
      <c r="E25" s="9">
        <v>0</v>
      </c>
      <c r="F25" s="67">
        <v>0</v>
      </c>
      <c r="G25" s="79">
        <f t="shared" si="0"/>
        <v>59475</v>
      </c>
      <c r="H25" s="9">
        <v>40260</v>
      </c>
      <c r="I25" s="10">
        <v>0</v>
      </c>
      <c r="J25" s="21">
        <f t="shared" si="1"/>
        <v>40260</v>
      </c>
      <c r="K25" s="21">
        <f t="shared" si="2"/>
        <v>99735</v>
      </c>
    </row>
    <row r="26" spans="1:11">
      <c r="A26" s="1" t="s">
        <v>3</v>
      </c>
      <c r="B26" s="16" t="s">
        <v>40</v>
      </c>
      <c r="C26" s="28">
        <v>0</v>
      </c>
      <c r="D26" s="9">
        <v>0</v>
      </c>
      <c r="E26" s="9">
        <v>0</v>
      </c>
      <c r="F26" s="67">
        <v>0</v>
      </c>
      <c r="G26" s="79">
        <f t="shared" si="0"/>
        <v>0</v>
      </c>
      <c r="H26" s="9">
        <v>2465</v>
      </c>
      <c r="I26" s="10">
        <v>587</v>
      </c>
      <c r="J26" s="21">
        <f t="shared" si="1"/>
        <v>3052</v>
      </c>
      <c r="K26" s="21">
        <f t="shared" si="2"/>
        <v>3052</v>
      </c>
    </row>
    <row r="27" spans="1:11">
      <c r="A27" s="1" t="s">
        <v>3</v>
      </c>
      <c r="B27" s="50" t="s">
        <v>41</v>
      </c>
      <c r="C27" s="51">
        <v>150000</v>
      </c>
      <c r="D27" s="52">
        <v>0</v>
      </c>
      <c r="E27" s="52">
        <v>0</v>
      </c>
      <c r="F27" s="68">
        <v>0</v>
      </c>
      <c r="G27" s="80">
        <f t="shared" si="0"/>
        <v>150000</v>
      </c>
      <c r="H27" s="52">
        <v>0</v>
      </c>
      <c r="I27" s="53">
        <v>0</v>
      </c>
      <c r="J27" s="54">
        <f t="shared" si="1"/>
        <v>0</v>
      </c>
      <c r="K27" s="54">
        <f t="shared" si="2"/>
        <v>150000</v>
      </c>
    </row>
    <row r="28" spans="1:11">
      <c r="A28" s="1" t="s">
        <v>3</v>
      </c>
      <c r="B28" s="55" t="s">
        <v>42</v>
      </c>
      <c r="C28" s="56">
        <v>268275</v>
      </c>
      <c r="D28" s="57">
        <v>0</v>
      </c>
      <c r="E28" s="57">
        <v>0</v>
      </c>
      <c r="F28" s="69">
        <v>0</v>
      </c>
      <c r="G28" s="81">
        <f t="shared" si="0"/>
        <v>268275</v>
      </c>
      <c r="H28" s="57">
        <v>69125</v>
      </c>
      <c r="I28" s="58">
        <v>587</v>
      </c>
      <c r="J28" s="59">
        <f t="shared" si="1"/>
        <v>69712</v>
      </c>
      <c r="K28" s="59">
        <f t="shared" si="2"/>
        <v>337987</v>
      </c>
    </row>
    <row r="29" spans="1:11">
      <c r="A29" s="1" t="s">
        <v>3</v>
      </c>
      <c r="B29" s="31" t="s">
        <v>43</v>
      </c>
      <c r="C29" s="41">
        <v>65230</v>
      </c>
      <c r="D29" s="42">
        <v>4760</v>
      </c>
      <c r="E29" s="42">
        <v>53700</v>
      </c>
      <c r="F29" s="66">
        <v>3600</v>
      </c>
      <c r="G29" s="78">
        <f t="shared" si="0"/>
        <v>127290</v>
      </c>
      <c r="H29" s="42">
        <v>14170</v>
      </c>
      <c r="I29" s="43">
        <v>900</v>
      </c>
      <c r="J29" s="44">
        <f t="shared" si="1"/>
        <v>15070</v>
      </c>
      <c r="K29" s="44">
        <f t="shared" si="2"/>
        <v>142360</v>
      </c>
    </row>
    <row r="30" spans="1:11">
      <c r="A30" s="1" t="s">
        <v>3</v>
      </c>
      <c r="B30" s="50" t="s">
        <v>44</v>
      </c>
      <c r="C30" s="51">
        <v>0</v>
      </c>
      <c r="D30" s="52">
        <v>1700</v>
      </c>
      <c r="E30" s="52">
        <v>0</v>
      </c>
      <c r="F30" s="68">
        <v>0</v>
      </c>
      <c r="G30" s="80">
        <f t="shared" si="0"/>
        <v>1700</v>
      </c>
      <c r="H30" s="52">
        <v>18300</v>
      </c>
      <c r="I30" s="53">
        <v>2200</v>
      </c>
      <c r="J30" s="54">
        <f t="shared" si="1"/>
        <v>20500</v>
      </c>
      <c r="K30" s="54">
        <f t="shared" si="2"/>
        <v>22200</v>
      </c>
    </row>
    <row r="31" spans="1:11">
      <c r="A31" s="1" t="s">
        <v>3</v>
      </c>
      <c r="B31" s="55" t="s">
        <v>45</v>
      </c>
      <c r="C31" s="56">
        <v>333505</v>
      </c>
      <c r="D31" s="57">
        <v>6460</v>
      </c>
      <c r="E31" s="57">
        <v>53700</v>
      </c>
      <c r="F31" s="69">
        <v>3600</v>
      </c>
      <c r="G31" s="81">
        <f t="shared" si="0"/>
        <v>397265</v>
      </c>
      <c r="H31" s="57">
        <v>101595</v>
      </c>
      <c r="I31" s="58">
        <v>3687</v>
      </c>
      <c r="J31" s="59">
        <f t="shared" si="1"/>
        <v>105282</v>
      </c>
      <c r="K31" s="59">
        <f t="shared" si="2"/>
        <v>502547</v>
      </c>
    </row>
    <row r="32" spans="1:11">
      <c r="A32" s="1" t="s">
        <v>3</v>
      </c>
      <c r="B32" s="55" t="s">
        <v>46</v>
      </c>
      <c r="C32" s="56">
        <v>731725</v>
      </c>
      <c r="D32" s="57">
        <v>200000</v>
      </c>
      <c r="E32" s="57">
        <v>300000</v>
      </c>
      <c r="F32" s="69">
        <v>100000</v>
      </c>
      <c r="G32" s="81">
        <f t="shared" si="0"/>
        <v>1331725</v>
      </c>
      <c r="H32" s="57">
        <v>370875</v>
      </c>
      <c r="I32" s="58">
        <v>103498</v>
      </c>
      <c r="J32" s="59">
        <f t="shared" si="1"/>
        <v>474373</v>
      </c>
      <c r="K32" s="59">
        <f t="shared" si="2"/>
        <v>1806098</v>
      </c>
    </row>
    <row r="33" spans="1:11">
      <c r="A33" s="1" t="s">
        <v>3</v>
      </c>
      <c r="B33" s="55" t="s">
        <v>47</v>
      </c>
      <c r="C33" s="56">
        <v>666495</v>
      </c>
      <c r="D33" s="57">
        <v>193540</v>
      </c>
      <c r="E33" s="57">
        <v>246300</v>
      </c>
      <c r="F33" s="69">
        <v>96400</v>
      </c>
      <c r="G33" s="81">
        <f t="shared" si="0"/>
        <v>1202735</v>
      </c>
      <c r="H33" s="57">
        <v>346605</v>
      </c>
      <c r="I33" s="58">
        <v>103038</v>
      </c>
      <c r="J33" s="59">
        <f t="shared" si="1"/>
        <v>449643</v>
      </c>
      <c r="K33" s="59">
        <f t="shared" si="2"/>
        <v>1652378</v>
      </c>
    </row>
    <row r="34" spans="1:11">
      <c r="A34" s="1" t="s">
        <v>3</v>
      </c>
      <c r="B34" s="55" t="s">
        <v>48</v>
      </c>
      <c r="C34" s="56">
        <v>0</v>
      </c>
      <c r="D34" s="57">
        <v>193540</v>
      </c>
      <c r="E34" s="57">
        <v>0</v>
      </c>
      <c r="F34" s="69">
        <v>0</v>
      </c>
      <c r="G34" s="81">
        <f t="shared" si="0"/>
        <v>193540</v>
      </c>
      <c r="H34" s="57">
        <v>0</v>
      </c>
      <c r="I34" s="58">
        <v>0</v>
      </c>
      <c r="J34" s="59">
        <f t="shared" si="1"/>
        <v>0</v>
      </c>
      <c r="K34" s="59">
        <f t="shared" si="2"/>
        <v>193540</v>
      </c>
    </row>
    <row r="35" spans="1:11">
      <c r="A35" s="1" t="s">
        <v>3</v>
      </c>
      <c r="B35" s="55" t="s">
        <v>49</v>
      </c>
      <c r="C35" s="56">
        <v>666495</v>
      </c>
      <c r="D35" s="57">
        <v>0</v>
      </c>
      <c r="E35" s="57">
        <v>246300</v>
      </c>
      <c r="F35" s="69">
        <v>96400</v>
      </c>
      <c r="G35" s="81">
        <f t="shared" si="0"/>
        <v>1009195</v>
      </c>
      <c r="H35" s="57">
        <v>346605</v>
      </c>
      <c r="I35" s="58">
        <v>103038</v>
      </c>
      <c r="J35" s="59">
        <f t="shared" si="1"/>
        <v>449643</v>
      </c>
      <c r="K35" s="59">
        <f t="shared" si="2"/>
        <v>1458838</v>
      </c>
    </row>
    <row r="36" spans="1:11">
      <c r="A36" s="1" t="s">
        <v>3</v>
      </c>
      <c r="B36" s="31" t="s">
        <v>50</v>
      </c>
      <c r="C36" s="41">
        <v>1</v>
      </c>
      <c r="D36" s="42">
        <v>0</v>
      </c>
      <c r="E36" s="42">
        <v>0</v>
      </c>
      <c r="F36" s="66">
        <v>0</v>
      </c>
      <c r="G36" s="78"/>
      <c r="H36" s="42">
        <v>0</v>
      </c>
      <c r="I36" s="43">
        <v>0</v>
      </c>
      <c r="J36" s="44"/>
      <c r="K36" s="44"/>
    </row>
    <row r="37" spans="1:11">
      <c r="A37" s="1" t="s">
        <v>3</v>
      </c>
      <c r="B37" s="16" t="s">
        <v>51</v>
      </c>
      <c r="C37" s="29" t="s">
        <v>52</v>
      </c>
      <c r="D37" s="11" t="s">
        <v>52</v>
      </c>
      <c r="E37" s="11" t="s">
        <v>53</v>
      </c>
      <c r="F37" s="70" t="s">
        <v>53</v>
      </c>
      <c r="G37" s="82"/>
      <c r="H37" s="11" t="s">
        <v>52</v>
      </c>
      <c r="I37" s="12" t="s">
        <v>52</v>
      </c>
      <c r="J37" s="22"/>
      <c r="K37" s="22"/>
    </row>
    <row r="38" spans="1:11" ht="19.5" thickBot="1">
      <c r="A38" s="1" t="s">
        <v>3</v>
      </c>
      <c r="B38" s="17" t="s">
        <v>54</v>
      </c>
      <c r="C38" s="30">
        <v>65230</v>
      </c>
      <c r="D38" s="13">
        <v>4760</v>
      </c>
      <c r="E38" s="13">
        <v>53700</v>
      </c>
      <c r="F38" s="71">
        <v>3600</v>
      </c>
      <c r="G38" s="83">
        <f>SUM(C38:F38)</f>
        <v>127290</v>
      </c>
      <c r="H38" s="13">
        <v>14170</v>
      </c>
      <c r="I38" s="14">
        <v>900</v>
      </c>
      <c r="J38" s="23">
        <f>SUM(H38:I38)</f>
        <v>15070</v>
      </c>
      <c r="K38" s="23">
        <f>G38+J38</f>
        <v>142360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</dc:creator>
  <cp:keywords/>
  <dc:description/>
  <cp:lastModifiedBy>若林孝次郎</cp:lastModifiedBy>
  <cp:revision/>
  <dcterms:created xsi:type="dcterms:W3CDTF">2025-10-08T02:37:10Z</dcterms:created>
  <dcterms:modified xsi:type="dcterms:W3CDTF">2025-10-16T02:16:58Z</dcterms:modified>
  <cp:category/>
  <cp:contentStatus/>
</cp:coreProperties>
</file>