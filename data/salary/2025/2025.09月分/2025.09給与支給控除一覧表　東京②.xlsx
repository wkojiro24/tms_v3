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9月分\"/>
    </mc:Choice>
  </mc:AlternateContent>
  <xr:revisionPtr revIDLastSave="0" documentId="13_ncr:1_{1E5E922C-FEFB-46D7-9E0A-7CE6FE2DF040}" xr6:coauthVersionLast="47" xr6:coauthVersionMax="47" xr10:uidLastSave="{00000000-0000-0000-0000-000000000000}"/>
  <bookViews>
    <workbookView xWindow="-120" yWindow="-120" windowWidth="20730" windowHeight="11160" xr2:uid="{0A20EFD8-F218-4372-89AA-3A3DB5E6D1AB}"/>
  </bookViews>
  <sheets>
    <sheet name="2025年9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2" l="1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6" i="2"/>
  <c r="M15" i="2"/>
  <c r="M14" i="2"/>
  <c r="M13" i="2"/>
  <c r="M12" i="2"/>
  <c r="M11" i="2"/>
  <c r="M10" i="2"/>
  <c r="M9" i="2"/>
  <c r="J48" i="2"/>
  <c r="N48" i="2" s="1"/>
  <c r="J45" i="2"/>
  <c r="N45" i="2" s="1"/>
  <c r="J44" i="2"/>
  <c r="N44" i="2" s="1"/>
  <c r="J43" i="2"/>
  <c r="N43" i="2" s="1"/>
  <c r="J42" i="2"/>
  <c r="N42" i="2" s="1"/>
  <c r="J41" i="2"/>
  <c r="N41" i="2" s="1"/>
  <c r="J40" i="2"/>
  <c r="N40" i="2" s="1"/>
  <c r="J39" i="2"/>
  <c r="N39" i="2" s="1"/>
  <c r="J38" i="2"/>
  <c r="N38" i="2" s="1"/>
  <c r="J37" i="2"/>
  <c r="N37" i="2" s="1"/>
  <c r="J36" i="2"/>
  <c r="N36" i="2" s="1"/>
  <c r="J35" i="2"/>
  <c r="N35" i="2" s="1"/>
  <c r="J34" i="2"/>
  <c r="N34" i="2" s="1"/>
  <c r="J33" i="2"/>
  <c r="N33" i="2" s="1"/>
  <c r="J32" i="2"/>
  <c r="N32" i="2" s="1"/>
  <c r="J31" i="2"/>
  <c r="N31" i="2" s="1"/>
  <c r="J30" i="2"/>
  <c r="N30" i="2" s="1"/>
  <c r="J29" i="2"/>
  <c r="N29" i="2" s="1"/>
  <c r="J28" i="2"/>
  <c r="N28" i="2" s="1"/>
  <c r="J27" i="2"/>
  <c r="N27" i="2" s="1"/>
  <c r="J26" i="2"/>
  <c r="N26" i="2" s="1"/>
  <c r="J25" i="2"/>
  <c r="N25" i="2" s="1"/>
  <c r="J24" i="2"/>
  <c r="N24" i="2" s="1"/>
  <c r="J23" i="2"/>
  <c r="N23" i="2" s="1"/>
  <c r="J22" i="2"/>
  <c r="N22" i="2" s="1"/>
  <c r="J21" i="2"/>
  <c r="N21" i="2" s="1"/>
  <c r="J20" i="2"/>
  <c r="N20" i="2" s="1"/>
  <c r="J19" i="2"/>
  <c r="N19" i="2" s="1"/>
  <c r="J18" i="2"/>
  <c r="N18" i="2" s="1"/>
  <c r="J16" i="2"/>
  <c r="N16" i="2" s="1"/>
  <c r="J15" i="2"/>
  <c r="N15" i="2" s="1"/>
  <c r="J14" i="2"/>
  <c r="N14" i="2" s="1"/>
  <c r="J13" i="2"/>
  <c r="N13" i="2" s="1"/>
  <c r="J12" i="2"/>
  <c r="N12" i="2" s="1"/>
  <c r="J11" i="2"/>
  <c r="N11" i="2" s="1"/>
  <c r="J10" i="2"/>
  <c r="N10" i="2" s="1"/>
  <c r="J9" i="2"/>
  <c r="N9" i="2" s="1"/>
</calcChain>
</file>

<file path=xl/sharedStrings.xml><?xml version="1.0" encoding="utf-8"?>
<sst xmlns="http://schemas.openxmlformats.org/spreadsheetml/2006/main" count="119" uniqueCount="68">
  <si>
    <t>支給控除一覧表</t>
    <phoneticPr fontId="4"/>
  </si>
  <si>
    <t>若林運送株式会社</t>
    <phoneticPr fontId="4"/>
  </si>
  <si>
    <t>2025年10月 8日 作成</t>
    <phoneticPr fontId="4"/>
  </si>
  <si>
    <t/>
  </si>
  <si>
    <t>2025年9月度給与</t>
    <phoneticPr fontId="4"/>
  </si>
  <si>
    <t>1025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</si>
  <si>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</si>
  <si>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</si>
  <si>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</si>
  <si>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</si>
  <si>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1204</t>
    <phoneticPr fontId="4"/>
  </si>
  <si>
    <t>1208</t>
    <phoneticPr fontId="4"/>
  </si>
  <si>
    <t>小計</t>
    <rPh sb="0" eb="2">
      <t>ショウケイ</t>
    </rPh>
    <phoneticPr fontId="3"/>
  </si>
  <si>
    <t>1029</t>
    <phoneticPr fontId="4"/>
  </si>
  <si>
    <t>1033</t>
    <phoneticPr fontId="4"/>
  </si>
  <si>
    <t>合計</t>
    <phoneticPr fontId="4"/>
  </si>
  <si>
    <t>項目名</t>
    <phoneticPr fontId="4"/>
  </si>
  <si>
    <t>金子　勝彦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</si>
  <si>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</si>
  <si>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</si>
  <si>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</si>
  <si>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</si>
  <si>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伊藤　博一</t>
    <phoneticPr fontId="4"/>
  </si>
  <si>
    <t>石川雄二</t>
    <phoneticPr fontId="4"/>
  </si>
  <si>
    <t>7名</t>
    <rPh sb="1" eb="2">
      <t>メイ</t>
    </rPh>
    <phoneticPr fontId="4"/>
  </si>
  <si>
    <t>上原　勉</t>
    <phoneticPr fontId="4"/>
  </si>
  <si>
    <t>新治　泰子</t>
    <phoneticPr fontId="4"/>
  </si>
  <si>
    <t>2名</t>
    <rPh sb="1" eb="2">
      <t>メイ</t>
    </rPh>
    <phoneticPr fontId="4"/>
  </si>
  <si>
    <t>9名</t>
    <rPh sb="1" eb="2">
      <t>メイ</t>
    </rPh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</si>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</sst>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8186F617-F7FF-4DC7-B4CF-E321759C6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E28F-5572-4D0F-A242-5D5CCD3AE402}">
  <dimension ref="A1:N48"/>
  <sheetViews>
    <sheetView showZeros="0" tabSelected="1" workbookViewId="0">
      <pane xSplit="2" ySplit="8" topLeftCell="C9" activePane="bottomRight" state="frozen"/>
      <selection pane="bottomRight" activeCell="M40" sqref="M40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8" width="11.125" style="2" bestFit="1" customWidth="1"/>
    <col min="9" max="9" width="9" style="2" bestFit="1" customWidth="1"/>
    <col min="10" max="10" width="9.625" style="2" bestFit="1" customWidth="1"/>
    <col min="11" max="11" width="9" style="2" bestFit="1" customWidth="1"/>
    <col min="12" max="12" width="11.125" style="2" bestFit="1" customWidth="1"/>
    <col min="13" max="14" width="9.625" style="2" bestFit="1" customWidth="1"/>
    <col min="15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2" width="9" style="2" bestFit="1"/>
    <col min="263" max="266" width="11.125" style="2" bestFit="1" customWidth="1"/>
    <col min="267" max="267" width="9" style="2" bestFit="1"/>
    <col min="268" max="268" width="11.1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8" width="9" style="2" bestFit="1"/>
    <col min="519" max="522" width="11.125" style="2" bestFit="1" customWidth="1"/>
    <col min="523" max="523" width="9" style="2" bestFit="1"/>
    <col min="524" max="524" width="11.1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4" width="9" style="2" bestFit="1"/>
    <col min="775" max="778" width="11.125" style="2" bestFit="1" customWidth="1"/>
    <col min="779" max="779" width="9" style="2" bestFit="1"/>
    <col min="780" max="780" width="11.1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30" width="9" style="2" bestFit="1"/>
    <col min="1031" max="1034" width="11.125" style="2" bestFit="1" customWidth="1"/>
    <col min="1035" max="1035" width="9" style="2" bestFit="1"/>
    <col min="1036" max="1036" width="11.1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6" width="9" style="2" bestFit="1"/>
    <col min="1287" max="1290" width="11.125" style="2" bestFit="1" customWidth="1"/>
    <col min="1291" max="1291" width="9" style="2" bestFit="1"/>
    <col min="1292" max="1292" width="11.1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2" width="9" style="2" bestFit="1"/>
    <col min="1543" max="1546" width="11.125" style="2" bestFit="1" customWidth="1"/>
    <col min="1547" max="1547" width="9" style="2" bestFit="1"/>
    <col min="1548" max="1548" width="11.1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8" width="9" style="2" bestFit="1"/>
    <col min="1799" max="1802" width="11.125" style="2" bestFit="1" customWidth="1"/>
    <col min="1803" max="1803" width="9" style="2" bestFit="1"/>
    <col min="1804" max="1804" width="11.1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4" width="9" style="2" bestFit="1"/>
    <col min="2055" max="2058" width="11.125" style="2" bestFit="1" customWidth="1"/>
    <col min="2059" max="2059" width="9" style="2" bestFit="1"/>
    <col min="2060" max="2060" width="11.1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10" width="9" style="2" bestFit="1"/>
    <col min="2311" max="2314" width="11.125" style="2" bestFit="1" customWidth="1"/>
    <col min="2315" max="2315" width="9" style="2" bestFit="1"/>
    <col min="2316" max="2316" width="11.1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6" width="9" style="2" bestFit="1"/>
    <col min="2567" max="2570" width="11.125" style="2" bestFit="1" customWidth="1"/>
    <col min="2571" max="2571" width="9" style="2" bestFit="1"/>
    <col min="2572" max="2572" width="11.1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2" width="9" style="2" bestFit="1"/>
    <col min="2823" max="2826" width="11.125" style="2" bestFit="1" customWidth="1"/>
    <col min="2827" max="2827" width="9" style="2" bestFit="1"/>
    <col min="2828" max="2828" width="11.1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8" width="9" style="2" bestFit="1"/>
    <col min="3079" max="3082" width="11.125" style="2" bestFit="1" customWidth="1"/>
    <col min="3083" max="3083" width="9" style="2" bestFit="1"/>
    <col min="3084" max="3084" width="11.1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4" width="9" style="2" bestFit="1"/>
    <col min="3335" max="3338" width="11.125" style="2" bestFit="1" customWidth="1"/>
    <col min="3339" max="3339" width="9" style="2" bestFit="1"/>
    <col min="3340" max="3340" width="11.1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90" width="9" style="2" bestFit="1"/>
    <col min="3591" max="3594" width="11.125" style="2" bestFit="1" customWidth="1"/>
    <col min="3595" max="3595" width="9" style="2" bestFit="1"/>
    <col min="3596" max="3596" width="11.1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6" width="9" style="2" bestFit="1"/>
    <col min="3847" max="3850" width="11.125" style="2" bestFit="1" customWidth="1"/>
    <col min="3851" max="3851" width="9" style="2" bestFit="1"/>
    <col min="3852" max="3852" width="11.1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2" width="9" style="2" bestFit="1"/>
    <col min="4103" max="4106" width="11.125" style="2" bestFit="1" customWidth="1"/>
    <col min="4107" max="4107" width="9" style="2" bestFit="1"/>
    <col min="4108" max="4108" width="11.1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8" width="9" style="2" bestFit="1"/>
    <col min="4359" max="4362" width="11.125" style="2" bestFit="1" customWidth="1"/>
    <col min="4363" max="4363" width="9" style="2" bestFit="1"/>
    <col min="4364" max="4364" width="11.1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4" width="9" style="2" bestFit="1"/>
    <col min="4615" max="4618" width="11.125" style="2" bestFit="1" customWidth="1"/>
    <col min="4619" max="4619" width="9" style="2" bestFit="1"/>
    <col min="4620" max="4620" width="11.1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70" width="9" style="2" bestFit="1"/>
    <col min="4871" max="4874" width="11.125" style="2" bestFit="1" customWidth="1"/>
    <col min="4875" max="4875" width="9" style="2" bestFit="1"/>
    <col min="4876" max="4876" width="11.1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6" width="9" style="2" bestFit="1"/>
    <col min="5127" max="5130" width="11.125" style="2" bestFit="1" customWidth="1"/>
    <col min="5131" max="5131" width="9" style="2" bestFit="1"/>
    <col min="5132" max="5132" width="11.1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2" width="9" style="2" bestFit="1"/>
    <col min="5383" max="5386" width="11.125" style="2" bestFit="1" customWidth="1"/>
    <col min="5387" max="5387" width="9" style="2" bestFit="1"/>
    <col min="5388" max="5388" width="11.1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8" width="9" style="2" bestFit="1"/>
    <col min="5639" max="5642" width="11.125" style="2" bestFit="1" customWidth="1"/>
    <col min="5643" max="5643" width="9" style="2" bestFit="1"/>
    <col min="5644" max="5644" width="11.1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4" width="9" style="2" bestFit="1"/>
    <col min="5895" max="5898" width="11.125" style="2" bestFit="1" customWidth="1"/>
    <col min="5899" max="5899" width="9" style="2" bestFit="1"/>
    <col min="5900" max="5900" width="11.1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50" width="9" style="2" bestFit="1"/>
    <col min="6151" max="6154" width="11.125" style="2" bestFit="1" customWidth="1"/>
    <col min="6155" max="6155" width="9" style="2" bestFit="1"/>
    <col min="6156" max="6156" width="11.1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6" width="9" style="2" bestFit="1"/>
    <col min="6407" max="6410" width="11.125" style="2" bestFit="1" customWidth="1"/>
    <col min="6411" max="6411" width="9" style="2" bestFit="1"/>
    <col min="6412" max="6412" width="11.1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2" width="9" style="2" bestFit="1"/>
    <col min="6663" max="6666" width="11.125" style="2" bestFit="1" customWidth="1"/>
    <col min="6667" max="6667" width="9" style="2" bestFit="1"/>
    <col min="6668" max="6668" width="11.1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8" width="9" style="2" bestFit="1"/>
    <col min="6919" max="6922" width="11.125" style="2" bestFit="1" customWidth="1"/>
    <col min="6923" max="6923" width="9" style="2" bestFit="1"/>
    <col min="6924" max="6924" width="11.1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4" width="9" style="2" bestFit="1"/>
    <col min="7175" max="7178" width="11.125" style="2" bestFit="1" customWidth="1"/>
    <col min="7179" max="7179" width="9" style="2" bestFit="1"/>
    <col min="7180" max="7180" width="11.1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30" width="9" style="2" bestFit="1"/>
    <col min="7431" max="7434" width="11.125" style="2" bestFit="1" customWidth="1"/>
    <col min="7435" max="7435" width="9" style="2" bestFit="1"/>
    <col min="7436" max="7436" width="11.1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6" width="9" style="2" bestFit="1"/>
    <col min="7687" max="7690" width="11.125" style="2" bestFit="1" customWidth="1"/>
    <col min="7691" max="7691" width="9" style="2" bestFit="1"/>
    <col min="7692" max="7692" width="11.1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2" width="9" style="2" bestFit="1"/>
    <col min="7943" max="7946" width="11.125" style="2" bestFit="1" customWidth="1"/>
    <col min="7947" max="7947" width="9" style="2" bestFit="1"/>
    <col min="7948" max="7948" width="11.1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8" width="9" style="2" bestFit="1"/>
    <col min="8199" max="8202" width="11.125" style="2" bestFit="1" customWidth="1"/>
    <col min="8203" max="8203" width="9" style="2" bestFit="1"/>
    <col min="8204" max="8204" width="11.1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4" width="9" style="2" bestFit="1"/>
    <col min="8455" max="8458" width="11.125" style="2" bestFit="1" customWidth="1"/>
    <col min="8459" max="8459" width="9" style="2" bestFit="1"/>
    <col min="8460" max="8460" width="11.1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10" width="9" style="2" bestFit="1"/>
    <col min="8711" max="8714" width="11.125" style="2" bestFit="1" customWidth="1"/>
    <col min="8715" max="8715" width="9" style="2" bestFit="1"/>
    <col min="8716" max="8716" width="11.1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6" width="9" style="2" bestFit="1"/>
    <col min="8967" max="8970" width="11.125" style="2" bestFit="1" customWidth="1"/>
    <col min="8971" max="8971" width="9" style="2" bestFit="1"/>
    <col min="8972" max="8972" width="11.1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2" width="9" style="2" bestFit="1"/>
    <col min="9223" max="9226" width="11.125" style="2" bestFit="1" customWidth="1"/>
    <col min="9227" max="9227" width="9" style="2" bestFit="1"/>
    <col min="9228" max="9228" width="11.1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8" width="9" style="2" bestFit="1"/>
    <col min="9479" max="9482" width="11.125" style="2" bestFit="1" customWidth="1"/>
    <col min="9483" max="9483" width="9" style="2" bestFit="1"/>
    <col min="9484" max="9484" width="11.1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4" width="9" style="2" bestFit="1"/>
    <col min="9735" max="9738" width="11.125" style="2" bestFit="1" customWidth="1"/>
    <col min="9739" max="9739" width="9" style="2" bestFit="1"/>
    <col min="9740" max="9740" width="11.1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90" width="9" style="2" bestFit="1"/>
    <col min="9991" max="9994" width="11.125" style="2" bestFit="1" customWidth="1"/>
    <col min="9995" max="9995" width="9" style="2" bestFit="1"/>
    <col min="9996" max="9996" width="11.1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6" width="9" style="2" bestFit="1"/>
    <col min="10247" max="10250" width="11.125" style="2" bestFit="1" customWidth="1"/>
    <col min="10251" max="10251" width="9" style="2" bestFit="1"/>
    <col min="10252" max="10252" width="11.1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2" width="9" style="2" bestFit="1"/>
    <col min="10503" max="10506" width="11.125" style="2" bestFit="1" customWidth="1"/>
    <col min="10507" max="10507" width="9" style="2" bestFit="1"/>
    <col min="10508" max="10508" width="11.1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8" width="9" style="2" bestFit="1"/>
    <col min="10759" max="10762" width="11.125" style="2" bestFit="1" customWidth="1"/>
    <col min="10763" max="10763" width="9" style="2" bestFit="1"/>
    <col min="10764" max="10764" width="11.1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4" width="9" style="2" bestFit="1"/>
    <col min="11015" max="11018" width="11.125" style="2" bestFit="1" customWidth="1"/>
    <col min="11019" max="11019" width="9" style="2" bestFit="1"/>
    <col min="11020" max="11020" width="11.1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70" width="9" style="2" bestFit="1"/>
    <col min="11271" max="11274" width="11.125" style="2" bestFit="1" customWidth="1"/>
    <col min="11275" max="11275" width="9" style="2" bestFit="1"/>
    <col min="11276" max="11276" width="11.1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6" width="9" style="2" bestFit="1"/>
    <col min="11527" max="11530" width="11.125" style="2" bestFit="1" customWidth="1"/>
    <col min="11531" max="11531" width="9" style="2" bestFit="1"/>
    <col min="11532" max="11532" width="11.1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2" width="9" style="2" bestFit="1"/>
    <col min="11783" max="11786" width="11.125" style="2" bestFit="1" customWidth="1"/>
    <col min="11787" max="11787" width="9" style="2" bestFit="1"/>
    <col min="11788" max="11788" width="11.1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8" width="9" style="2" bestFit="1"/>
    <col min="12039" max="12042" width="11.125" style="2" bestFit="1" customWidth="1"/>
    <col min="12043" max="12043" width="9" style="2" bestFit="1"/>
    <col min="12044" max="12044" width="11.1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4" width="9" style="2" bestFit="1"/>
    <col min="12295" max="12298" width="11.125" style="2" bestFit="1" customWidth="1"/>
    <col min="12299" max="12299" width="9" style="2" bestFit="1"/>
    <col min="12300" max="12300" width="11.1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50" width="9" style="2" bestFit="1"/>
    <col min="12551" max="12554" width="11.125" style="2" bestFit="1" customWidth="1"/>
    <col min="12555" max="12555" width="9" style="2" bestFit="1"/>
    <col min="12556" max="12556" width="11.1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6" width="9" style="2" bestFit="1"/>
    <col min="12807" max="12810" width="11.125" style="2" bestFit="1" customWidth="1"/>
    <col min="12811" max="12811" width="9" style="2" bestFit="1"/>
    <col min="12812" max="12812" width="11.1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2" width="9" style="2" bestFit="1"/>
    <col min="13063" max="13066" width="11.125" style="2" bestFit="1" customWidth="1"/>
    <col min="13067" max="13067" width="9" style="2" bestFit="1"/>
    <col min="13068" max="13068" width="11.1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8" width="9" style="2" bestFit="1"/>
    <col min="13319" max="13322" width="11.125" style="2" bestFit="1" customWidth="1"/>
    <col min="13323" max="13323" width="9" style="2" bestFit="1"/>
    <col min="13324" max="13324" width="11.1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4" width="9" style="2" bestFit="1"/>
    <col min="13575" max="13578" width="11.125" style="2" bestFit="1" customWidth="1"/>
    <col min="13579" max="13579" width="9" style="2" bestFit="1"/>
    <col min="13580" max="13580" width="11.1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30" width="9" style="2" bestFit="1"/>
    <col min="13831" max="13834" width="11.125" style="2" bestFit="1" customWidth="1"/>
    <col min="13835" max="13835" width="9" style="2" bestFit="1"/>
    <col min="13836" max="13836" width="11.1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6" width="9" style="2" bestFit="1"/>
    <col min="14087" max="14090" width="11.125" style="2" bestFit="1" customWidth="1"/>
    <col min="14091" max="14091" width="9" style="2" bestFit="1"/>
    <col min="14092" max="14092" width="11.1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2" width="9" style="2" bestFit="1"/>
    <col min="14343" max="14346" width="11.125" style="2" bestFit="1" customWidth="1"/>
    <col min="14347" max="14347" width="9" style="2" bestFit="1"/>
    <col min="14348" max="14348" width="11.1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8" width="9" style="2" bestFit="1"/>
    <col min="14599" max="14602" width="11.125" style="2" bestFit="1" customWidth="1"/>
    <col min="14603" max="14603" width="9" style="2" bestFit="1"/>
    <col min="14604" max="14604" width="11.1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4" width="9" style="2" bestFit="1"/>
    <col min="14855" max="14858" width="11.125" style="2" bestFit="1" customWidth="1"/>
    <col min="14859" max="14859" width="9" style="2" bestFit="1"/>
    <col min="14860" max="14860" width="11.1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10" width="9" style="2" bestFit="1"/>
    <col min="15111" max="15114" width="11.125" style="2" bestFit="1" customWidth="1"/>
    <col min="15115" max="15115" width="9" style="2" bestFit="1"/>
    <col min="15116" max="15116" width="11.1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6" width="9" style="2" bestFit="1"/>
    <col min="15367" max="15370" width="11.125" style="2" bestFit="1" customWidth="1"/>
    <col min="15371" max="15371" width="9" style="2" bestFit="1"/>
    <col min="15372" max="15372" width="11.1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2" width="9" style="2" bestFit="1"/>
    <col min="15623" max="15626" width="11.125" style="2" bestFit="1" customWidth="1"/>
    <col min="15627" max="15627" width="9" style="2" bestFit="1"/>
    <col min="15628" max="15628" width="11.1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8" width="9" style="2" bestFit="1"/>
    <col min="15879" max="15882" width="11.125" style="2" bestFit="1" customWidth="1"/>
    <col min="15883" max="15883" width="9" style="2" bestFit="1"/>
    <col min="15884" max="15884" width="11.1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4" width="9" style="2" bestFit="1"/>
    <col min="16135" max="16138" width="11.125" style="2" bestFit="1" customWidth="1"/>
    <col min="16139" max="16139" width="9" style="2" bestFit="1"/>
    <col min="16140" max="16140" width="11.1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4</v>
      </c>
    </row>
    <row r="7" spans="1:14">
      <c r="B7" s="15"/>
      <c r="C7" s="2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60" t="s">
        <v>11</v>
      </c>
      <c r="J7" s="72" t="s">
        <v>12</v>
      </c>
      <c r="K7" s="4" t="s">
        <v>13</v>
      </c>
      <c r="L7" s="24" t="s">
        <v>14</v>
      </c>
      <c r="M7" s="59" t="s">
        <v>12</v>
      </c>
      <c r="N7" s="59" t="s">
        <v>15</v>
      </c>
    </row>
    <row r="8" spans="1:14" ht="19.5" thickBot="1">
      <c r="A8" s="3"/>
      <c r="B8" s="35" t="s">
        <v>16</v>
      </c>
      <c r="C8" s="36" t="s">
        <v>17</v>
      </c>
      <c r="D8" s="37" t="s">
        <v>18</v>
      </c>
      <c r="E8" s="37" t="s">
        <v>19</v>
      </c>
      <c r="F8" s="37" t="s">
        <v>20</v>
      </c>
      <c r="G8" s="37" t="s">
        <v>21</v>
      </c>
      <c r="H8" s="37" t="s">
        <v>22</v>
      </c>
      <c r="I8" s="61" t="s">
        <v>23</v>
      </c>
      <c r="J8" s="73" t="s">
        <v>24</v>
      </c>
      <c r="K8" s="37" t="s">
        <v>25</v>
      </c>
      <c r="L8" s="38" t="s">
        <v>26</v>
      </c>
      <c r="M8" s="39" t="s">
        <v>27</v>
      </c>
      <c r="N8" s="39" t="s">
        <v>28</v>
      </c>
    </row>
    <row r="9" spans="1:14">
      <c r="A9" s="1" t="s">
        <v>3</v>
      </c>
      <c r="B9" s="30" t="s">
        <v>29</v>
      </c>
      <c r="C9" s="31">
        <v>20</v>
      </c>
      <c r="D9" s="32">
        <v>21</v>
      </c>
      <c r="E9" s="32">
        <v>20</v>
      </c>
      <c r="F9" s="32">
        <v>20</v>
      </c>
      <c r="G9" s="32">
        <v>20</v>
      </c>
      <c r="H9" s="32">
        <v>20</v>
      </c>
      <c r="I9" s="62">
        <v>22</v>
      </c>
      <c r="J9" s="74">
        <f>SUM(C9:I9)</f>
        <v>143</v>
      </c>
      <c r="K9" s="32">
        <v>21</v>
      </c>
      <c r="L9" s="33">
        <v>10</v>
      </c>
      <c r="M9" s="34">
        <f>SUM(K9:L9)</f>
        <v>31</v>
      </c>
      <c r="N9" s="34">
        <f>J9+M9</f>
        <v>174</v>
      </c>
    </row>
    <row r="10" spans="1:14">
      <c r="A10" s="1" t="s">
        <v>3</v>
      </c>
      <c r="B10" s="16" t="s">
        <v>30</v>
      </c>
      <c r="C10" s="25">
        <v>1</v>
      </c>
      <c r="D10" s="5">
        <v>3</v>
      </c>
      <c r="E10" s="5">
        <v>1</v>
      </c>
      <c r="F10" s="5">
        <v>2</v>
      </c>
      <c r="G10" s="5">
        <v>2</v>
      </c>
      <c r="H10" s="5">
        <v>2</v>
      </c>
      <c r="I10" s="63">
        <v>0</v>
      </c>
      <c r="J10" s="75">
        <f t="shared" ref="J10:J16" si="0">SUM(C10:I10)</f>
        <v>11</v>
      </c>
      <c r="K10" s="5">
        <v>0</v>
      </c>
      <c r="L10" s="6">
        <v>0</v>
      </c>
      <c r="M10" s="18">
        <f t="shared" ref="M10:M16" si="1">SUM(K10:L10)</f>
        <v>0</v>
      </c>
      <c r="N10" s="18">
        <f t="shared" ref="N10:N16" si="2">J10+M10</f>
        <v>11</v>
      </c>
    </row>
    <row r="11" spans="1:14">
      <c r="A11" s="1" t="s">
        <v>3</v>
      </c>
      <c r="B11" s="16" t="s">
        <v>31</v>
      </c>
      <c r="C11" s="25">
        <v>2</v>
      </c>
      <c r="D11" s="5">
        <v>1</v>
      </c>
      <c r="E11" s="5">
        <v>2</v>
      </c>
      <c r="F11" s="5">
        <v>2</v>
      </c>
      <c r="G11" s="5">
        <v>2</v>
      </c>
      <c r="H11" s="5">
        <v>2</v>
      </c>
      <c r="I11" s="63">
        <v>0</v>
      </c>
      <c r="J11" s="75">
        <f t="shared" si="0"/>
        <v>11</v>
      </c>
      <c r="K11" s="5">
        <v>1</v>
      </c>
      <c r="L11" s="6">
        <v>1</v>
      </c>
      <c r="M11" s="18">
        <f t="shared" si="1"/>
        <v>2</v>
      </c>
      <c r="N11" s="18">
        <f t="shared" si="2"/>
        <v>13</v>
      </c>
    </row>
    <row r="12" spans="1:14">
      <c r="A12" s="1" t="s">
        <v>3</v>
      </c>
      <c r="B12" s="16" t="s">
        <v>32</v>
      </c>
      <c r="C12" s="26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64">
        <v>0</v>
      </c>
      <c r="J12" s="76">
        <f t="shared" si="0"/>
        <v>0</v>
      </c>
      <c r="K12" s="7">
        <v>0</v>
      </c>
      <c r="L12" s="8">
        <v>2.4166666666666665</v>
      </c>
      <c r="M12" s="19">
        <f t="shared" si="1"/>
        <v>2.4166666666666665</v>
      </c>
      <c r="N12" s="19">
        <f t="shared" si="2"/>
        <v>2.4166666666666665</v>
      </c>
    </row>
    <row r="13" spans="1:14">
      <c r="A13" s="1" t="s">
        <v>3</v>
      </c>
      <c r="B13" s="16" t="s">
        <v>33</v>
      </c>
      <c r="C13" s="26">
        <v>1.5</v>
      </c>
      <c r="D13" s="7">
        <v>1.3333333333333333</v>
      </c>
      <c r="E13" s="7">
        <v>1.0416666666666667</v>
      </c>
      <c r="F13" s="7">
        <v>1.4583333333333333</v>
      </c>
      <c r="G13" s="7">
        <v>1.5</v>
      </c>
      <c r="H13" s="7">
        <v>1.5</v>
      </c>
      <c r="I13" s="64">
        <v>1.0416666666666667</v>
      </c>
      <c r="J13" s="76">
        <f t="shared" si="0"/>
        <v>9.3749999999999982</v>
      </c>
      <c r="K13" s="7">
        <v>0</v>
      </c>
      <c r="L13" s="8">
        <v>0</v>
      </c>
      <c r="M13" s="19">
        <f t="shared" si="1"/>
        <v>0</v>
      </c>
      <c r="N13" s="19">
        <f t="shared" si="2"/>
        <v>9.3749999999999982</v>
      </c>
    </row>
    <row r="14" spans="1:14">
      <c r="A14" s="1" t="s">
        <v>3</v>
      </c>
      <c r="B14" s="16" t="s">
        <v>34</v>
      </c>
      <c r="C14" s="26">
        <v>0.16666666666666666</v>
      </c>
      <c r="D14" s="7">
        <v>0.75</v>
      </c>
      <c r="E14" s="7">
        <v>0.20833333333333334</v>
      </c>
      <c r="F14" s="7">
        <v>0.375</v>
      </c>
      <c r="G14" s="7">
        <v>0.45833333333333331</v>
      </c>
      <c r="H14" s="7">
        <v>0.33333333333333331</v>
      </c>
      <c r="I14" s="64">
        <v>0</v>
      </c>
      <c r="J14" s="76">
        <f t="shared" si="0"/>
        <v>2.2916666666666665</v>
      </c>
      <c r="K14" s="7">
        <v>0</v>
      </c>
      <c r="L14" s="8">
        <v>0</v>
      </c>
      <c r="M14" s="19">
        <f t="shared" si="1"/>
        <v>0</v>
      </c>
      <c r="N14" s="19">
        <f t="shared" si="2"/>
        <v>2.2916666666666665</v>
      </c>
    </row>
    <row r="15" spans="1:14">
      <c r="A15" s="1" t="s">
        <v>3</v>
      </c>
      <c r="B15" s="16" t="s">
        <v>35</v>
      </c>
      <c r="C15" s="26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64">
        <v>0</v>
      </c>
      <c r="J15" s="76">
        <f t="shared" si="0"/>
        <v>0</v>
      </c>
      <c r="K15" s="7">
        <v>0</v>
      </c>
      <c r="L15" s="8">
        <v>0.25</v>
      </c>
      <c r="M15" s="19">
        <f t="shared" si="1"/>
        <v>0.25</v>
      </c>
      <c r="N15" s="19">
        <f t="shared" si="2"/>
        <v>0.25</v>
      </c>
    </row>
    <row r="16" spans="1:14">
      <c r="A16" s="1" t="s">
        <v>3</v>
      </c>
      <c r="B16" s="16" t="s">
        <v>36</v>
      </c>
      <c r="C16" s="26">
        <v>0.29166666666666669</v>
      </c>
      <c r="D16" s="7">
        <v>0.20833333333333334</v>
      </c>
      <c r="E16" s="7">
        <v>0.125</v>
      </c>
      <c r="F16" s="7">
        <v>0.25</v>
      </c>
      <c r="G16" s="7">
        <v>0.25</v>
      </c>
      <c r="H16" s="7">
        <v>0.45833333333333331</v>
      </c>
      <c r="I16" s="64">
        <v>0.125</v>
      </c>
      <c r="J16" s="76">
        <f t="shared" si="0"/>
        <v>1.7083333333333333</v>
      </c>
      <c r="K16" s="7">
        <v>4.1666666666666664E-2</v>
      </c>
      <c r="L16" s="8">
        <v>0</v>
      </c>
      <c r="M16" s="19">
        <f t="shared" si="1"/>
        <v>4.1666666666666664E-2</v>
      </c>
      <c r="N16" s="19">
        <f t="shared" si="2"/>
        <v>1.75</v>
      </c>
    </row>
    <row r="17" spans="1:14">
      <c r="A17" s="1" t="s">
        <v>3</v>
      </c>
      <c r="B17" s="44" t="s">
        <v>37</v>
      </c>
      <c r="C17" s="45">
        <v>21</v>
      </c>
      <c r="D17" s="46">
        <v>19</v>
      </c>
      <c r="E17" s="46">
        <v>17</v>
      </c>
      <c r="F17" s="46">
        <v>27</v>
      </c>
      <c r="G17" s="46">
        <v>27</v>
      </c>
      <c r="H17" s="46">
        <v>8</v>
      </c>
      <c r="I17" s="65">
        <v>0</v>
      </c>
      <c r="J17" s="77"/>
      <c r="K17" s="46">
        <v>37</v>
      </c>
      <c r="L17" s="47">
        <v>6</v>
      </c>
      <c r="M17" s="48"/>
      <c r="N17" s="48"/>
    </row>
    <row r="18" spans="1:14">
      <c r="A18" s="1" t="s">
        <v>3</v>
      </c>
      <c r="B18" s="30" t="s">
        <v>38</v>
      </c>
      <c r="C18" s="40">
        <v>197000</v>
      </c>
      <c r="D18" s="41">
        <v>182000</v>
      </c>
      <c r="E18" s="41">
        <v>182000</v>
      </c>
      <c r="F18" s="41">
        <v>182000</v>
      </c>
      <c r="G18" s="41">
        <v>182000</v>
      </c>
      <c r="H18" s="41">
        <v>175000</v>
      </c>
      <c r="I18" s="66">
        <v>175000</v>
      </c>
      <c r="J18" s="78">
        <f t="shared" ref="J18:J45" si="3">SUM(C18:I18)</f>
        <v>1275000</v>
      </c>
      <c r="K18" s="41">
        <v>370000</v>
      </c>
      <c r="L18" s="42">
        <v>0</v>
      </c>
      <c r="M18" s="43">
        <f t="shared" ref="M18:M45" si="4">SUM(K18:L18)</f>
        <v>370000</v>
      </c>
      <c r="N18" s="43">
        <f t="shared" ref="N18:N45" si="5">J18+M18</f>
        <v>1645000</v>
      </c>
    </row>
    <row r="19" spans="1:14">
      <c r="A19" s="1" t="s">
        <v>3</v>
      </c>
      <c r="B19" s="16" t="s">
        <v>39</v>
      </c>
      <c r="C19" s="27">
        <v>5000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67">
        <v>0</v>
      </c>
      <c r="J19" s="79">
        <f t="shared" si="3"/>
        <v>5000</v>
      </c>
      <c r="K19" s="9">
        <v>0</v>
      </c>
      <c r="L19" s="10">
        <v>0</v>
      </c>
      <c r="M19" s="20">
        <f t="shared" si="4"/>
        <v>0</v>
      </c>
      <c r="N19" s="20">
        <f t="shared" si="5"/>
        <v>5000</v>
      </c>
    </row>
    <row r="20" spans="1:14">
      <c r="A20" s="1" t="s">
        <v>3</v>
      </c>
      <c r="B20" s="16" t="s">
        <v>40</v>
      </c>
      <c r="C20" s="27">
        <v>0</v>
      </c>
      <c r="D20" s="9">
        <v>15000</v>
      </c>
      <c r="E20" s="9">
        <v>0</v>
      </c>
      <c r="F20" s="9">
        <v>0</v>
      </c>
      <c r="G20" s="9">
        <v>3000</v>
      </c>
      <c r="H20" s="9">
        <v>0</v>
      </c>
      <c r="I20" s="67">
        <v>0</v>
      </c>
      <c r="J20" s="79">
        <f t="shared" si="3"/>
        <v>18000</v>
      </c>
      <c r="K20" s="9">
        <v>0</v>
      </c>
      <c r="L20" s="10">
        <v>0</v>
      </c>
      <c r="M20" s="20">
        <f t="shared" si="4"/>
        <v>0</v>
      </c>
      <c r="N20" s="20">
        <f t="shared" si="5"/>
        <v>18000</v>
      </c>
    </row>
    <row r="21" spans="1:14">
      <c r="A21" s="1" t="s">
        <v>3</v>
      </c>
      <c r="B21" s="16" t="s">
        <v>41</v>
      </c>
      <c r="C21" s="27">
        <v>50000</v>
      </c>
      <c r="D21" s="9">
        <v>50000</v>
      </c>
      <c r="E21" s="9">
        <v>50000</v>
      </c>
      <c r="F21" s="9">
        <v>50000</v>
      </c>
      <c r="G21" s="9">
        <v>50000</v>
      </c>
      <c r="H21" s="9">
        <v>50000</v>
      </c>
      <c r="I21" s="67">
        <v>50000</v>
      </c>
      <c r="J21" s="79">
        <f t="shared" si="3"/>
        <v>350000</v>
      </c>
      <c r="K21" s="9">
        <v>50000</v>
      </c>
      <c r="L21" s="10">
        <v>0</v>
      </c>
      <c r="M21" s="20">
        <f t="shared" si="4"/>
        <v>50000</v>
      </c>
      <c r="N21" s="20">
        <f t="shared" si="5"/>
        <v>400000</v>
      </c>
    </row>
    <row r="22" spans="1:14">
      <c r="A22" s="1" t="s">
        <v>3</v>
      </c>
      <c r="B22" s="16" t="s">
        <v>42</v>
      </c>
      <c r="C22" s="27">
        <v>15000</v>
      </c>
      <c r="D22" s="9">
        <v>0</v>
      </c>
      <c r="E22" s="9">
        <v>15000</v>
      </c>
      <c r="F22" s="9">
        <v>0</v>
      </c>
      <c r="G22" s="9">
        <v>0</v>
      </c>
      <c r="H22" s="9">
        <v>0</v>
      </c>
      <c r="I22" s="67">
        <v>0</v>
      </c>
      <c r="J22" s="79">
        <f t="shared" si="3"/>
        <v>30000</v>
      </c>
      <c r="K22" s="9">
        <v>0</v>
      </c>
      <c r="L22" s="10">
        <v>0</v>
      </c>
      <c r="M22" s="20">
        <f t="shared" si="4"/>
        <v>0</v>
      </c>
      <c r="N22" s="20">
        <f t="shared" si="5"/>
        <v>30000</v>
      </c>
    </row>
    <row r="23" spans="1:14">
      <c r="A23" s="1" t="s">
        <v>3</v>
      </c>
      <c r="B23" s="16" t="s">
        <v>43</v>
      </c>
      <c r="C23" s="27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67">
        <v>0</v>
      </c>
      <c r="J23" s="79">
        <f t="shared" si="3"/>
        <v>0</v>
      </c>
      <c r="K23" s="9">
        <v>0</v>
      </c>
      <c r="L23" s="10">
        <v>72210</v>
      </c>
      <c r="M23" s="20">
        <f t="shared" si="4"/>
        <v>72210</v>
      </c>
      <c r="N23" s="20">
        <f t="shared" si="5"/>
        <v>72210</v>
      </c>
    </row>
    <row r="24" spans="1:14">
      <c r="A24" s="1" t="s">
        <v>3</v>
      </c>
      <c r="B24" s="16" t="s">
        <v>44</v>
      </c>
      <c r="C24" s="27">
        <v>6000</v>
      </c>
      <c r="D24" s="9">
        <v>3500</v>
      </c>
      <c r="E24" s="9">
        <v>6000</v>
      </c>
      <c r="F24" s="9">
        <v>6000</v>
      </c>
      <c r="G24" s="9">
        <v>6000</v>
      </c>
      <c r="H24" s="9">
        <v>0</v>
      </c>
      <c r="I24" s="67">
        <v>0</v>
      </c>
      <c r="J24" s="79">
        <f t="shared" si="3"/>
        <v>27500</v>
      </c>
      <c r="K24" s="9">
        <v>0</v>
      </c>
      <c r="L24" s="10">
        <v>0</v>
      </c>
      <c r="M24" s="20">
        <f t="shared" si="4"/>
        <v>0</v>
      </c>
      <c r="N24" s="20">
        <f t="shared" si="5"/>
        <v>27500</v>
      </c>
    </row>
    <row r="25" spans="1:14">
      <c r="A25" s="1" t="s">
        <v>3</v>
      </c>
      <c r="B25" s="16" t="s">
        <v>45</v>
      </c>
      <c r="C25" s="27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67">
        <v>0</v>
      </c>
      <c r="J25" s="79">
        <f t="shared" si="3"/>
        <v>0</v>
      </c>
      <c r="K25" s="9">
        <v>0</v>
      </c>
      <c r="L25" s="10">
        <v>7470</v>
      </c>
      <c r="M25" s="20">
        <f t="shared" si="4"/>
        <v>7470</v>
      </c>
      <c r="N25" s="20">
        <f t="shared" si="5"/>
        <v>7470</v>
      </c>
    </row>
    <row r="26" spans="1:14">
      <c r="A26" s="1" t="s">
        <v>3</v>
      </c>
      <c r="B26" s="16" t="s">
        <v>46</v>
      </c>
      <c r="C26" s="27">
        <v>10500</v>
      </c>
      <c r="D26" s="9">
        <v>13500</v>
      </c>
      <c r="E26" s="9">
        <v>13000</v>
      </c>
      <c r="F26" s="9">
        <v>13000</v>
      </c>
      <c r="G26" s="9">
        <v>13000</v>
      </c>
      <c r="H26" s="9">
        <v>8000</v>
      </c>
      <c r="I26" s="67">
        <v>8000</v>
      </c>
      <c r="J26" s="79">
        <f t="shared" si="3"/>
        <v>79000</v>
      </c>
      <c r="K26" s="9">
        <v>0</v>
      </c>
      <c r="L26" s="10">
        <v>0</v>
      </c>
      <c r="M26" s="20">
        <f t="shared" si="4"/>
        <v>0</v>
      </c>
      <c r="N26" s="20">
        <f t="shared" si="5"/>
        <v>79000</v>
      </c>
    </row>
    <row r="27" spans="1:14">
      <c r="A27" s="1" t="s">
        <v>3</v>
      </c>
      <c r="B27" s="16" t="s">
        <v>33</v>
      </c>
      <c r="C27" s="27">
        <v>72360</v>
      </c>
      <c r="D27" s="9">
        <v>63232</v>
      </c>
      <c r="E27" s="9">
        <v>46975</v>
      </c>
      <c r="F27" s="9">
        <v>65765</v>
      </c>
      <c r="G27" s="9">
        <v>68436</v>
      </c>
      <c r="H27" s="9">
        <v>62784</v>
      </c>
      <c r="I27" s="67">
        <v>43600</v>
      </c>
      <c r="J27" s="79">
        <f t="shared" si="3"/>
        <v>423152</v>
      </c>
      <c r="K27" s="9">
        <v>0</v>
      </c>
      <c r="L27" s="10">
        <v>0</v>
      </c>
      <c r="M27" s="20">
        <f t="shared" si="4"/>
        <v>0</v>
      </c>
      <c r="N27" s="20">
        <f t="shared" si="5"/>
        <v>423152</v>
      </c>
    </row>
    <row r="28" spans="1:14">
      <c r="A28" s="1" t="s">
        <v>3</v>
      </c>
      <c r="B28" s="16" t="s">
        <v>47</v>
      </c>
      <c r="C28" s="27">
        <v>8684</v>
      </c>
      <c r="D28" s="9">
        <v>38412</v>
      </c>
      <c r="E28" s="9">
        <v>10145</v>
      </c>
      <c r="F28" s="9">
        <v>18261</v>
      </c>
      <c r="G28" s="9">
        <v>22583</v>
      </c>
      <c r="H28" s="9">
        <v>15064</v>
      </c>
      <c r="I28" s="67">
        <v>0</v>
      </c>
      <c r="J28" s="79">
        <f t="shared" si="3"/>
        <v>113149</v>
      </c>
      <c r="K28" s="9">
        <v>0</v>
      </c>
      <c r="L28" s="10">
        <v>0</v>
      </c>
      <c r="M28" s="20">
        <f t="shared" si="4"/>
        <v>0</v>
      </c>
      <c r="N28" s="20">
        <f t="shared" si="5"/>
        <v>113149</v>
      </c>
    </row>
    <row r="29" spans="1:14">
      <c r="A29" s="1" t="s">
        <v>3</v>
      </c>
      <c r="B29" s="49" t="s">
        <v>36</v>
      </c>
      <c r="C29" s="50">
        <v>2814</v>
      </c>
      <c r="D29" s="51">
        <v>1975</v>
      </c>
      <c r="E29" s="51">
        <v>1128</v>
      </c>
      <c r="F29" s="51">
        <v>2256</v>
      </c>
      <c r="G29" s="51">
        <v>2280</v>
      </c>
      <c r="H29" s="51">
        <v>3839</v>
      </c>
      <c r="I29" s="68">
        <v>1047</v>
      </c>
      <c r="J29" s="80">
        <f t="shared" si="3"/>
        <v>15339</v>
      </c>
      <c r="K29" s="51">
        <v>629</v>
      </c>
      <c r="L29" s="52">
        <v>0</v>
      </c>
      <c r="M29" s="53">
        <f t="shared" si="4"/>
        <v>629</v>
      </c>
      <c r="N29" s="53">
        <f t="shared" si="5"/>
        <v>15968</v>
      </c>
    </row>
    <row r="30" spans="1:14">
      <c r="A30" s="1" t="s">
        <v>3</v>
      </c>
      <c r="B30" s="54" t="s">
        <v>48</v>
      </c>
      <c r="C30" s="55">
        <v>367358</v>
      </c>
      <c r="D30" s="56">
        <v>367619</v>
      </c>
      <c r="E30" s="56">
        <v>324248</v>
      </c>
      <c r="F30" s="56">
        <v>337282</v>
      </c>
      <c r="G30" s="56">
        <v>347299</v>
      </c>
      <c r="H30" s="56">
        <v>314687</v>
      </c>
      <c r="I30" s="69">
        <v>277647</v>
      </c>
      <c r="J30" s="81">
        <f t="shared" si="3"/>
        <v>2336140</v>
      </c>
      <c r="K30" s="56">
        <v>420629</v>
      </c>
      <c r="L30" s="57">
        <v>79680</v>
      </c>
      <c r="M30" s="58">
        <f t="shared" si="4"/>
        <v>500309</v>
      </c>
      <c r="N30" s="58">
        <f t="shared" si="5"/>
        <v>2836449</v>
      </c>
    </row>
    <row r="31" spans="1:14">
      <c r="A31" s="1" t="s">
        <v>3</v>
      </c>
      <c r="B31" s="54" t="s">
        <v>49</v>
      </c>
      <c r="C31" s="55">
        <v>5696</v>
      </c>
      <c r="D31" s="56">
        <v>10545</v>
      </c>
      <c r="E31" s="56">
        <v>5191</v>
      </c>
      <c r="F31" s="56">
        <v>4177</v>
      </c>
      <c r="G31" s="56">
        <v>5968</v>
      </c>
      <c r="H31" s="56">
        <v>7250</v>
      </c>
      <c r="I31" s="69">
        <v>4177</v>
      </c>
      <c r="J31" s="81">
        <f t="shared" si="3"/>
        <v>43004</v>
      </c>
      <c r="K31" s="56">
        <v>13671</v>
      </c>
      <c r="L31" s="57">
        <v>5600</v>
      </c>
      <c r="M31" s="58">
        <f t="shared" si="4"/>
        <v>19271</v>
      </c>
      <c r="N31" s="58">
        <f t="shared" si="5"/>
        <v>62275</v>
      </c>
    </row>
    <row r="32" spans="1:14">
      <c r="A32" s="1" t="s">
        <v>3</v>
      </c>
      <c r="B32" s="54" t="s">
        <v>50</v>
      </c>
      <c r="C32" s="55">
        <v>5696</v>
      </c>
      <c r="D32" s="56">
        <v>10545</v>
      </c>
      <c r="E32" s="56">
        <v>5191</v>
      </c>
      <c r="F32" s="56">
        <v>4177</v>
      </c>
      <c r="G32" s="56">
        <v>5968</v>
      </c>
      <c r="H32" s="56">
        <v>7250</v>
      </c>
      <c r="I32" s="69">
        <v>4177</v>
      </c>
      <c r="J32" s="81">
        <f t="shared" si="3"/>
        <v>43004</v>
      </c>
      <c r="K32" s="56">
        <v>13671</v>
      </c>
      <c r="L32" s="57">
        <v>5600</v>
      </c>
      <c r="M32" s="58">
        <f t="shared" si="4"/>
        <v>19271</v>
      </c>
      <c r="N32" s="58">
        <f t="shared" si="5"/>
        <v>62275</v>
      </c>
    </row>
    <row r="33" spans="1:14">
      <c r="A33" s="1" t="s">
        <v>3</v>
      </c>
      <c r="B33" s="54" t="s">
        <v>51</v>
      </c>
      <c r="C33" s="55">
        <v>373054</v>
      </c>
      <c r="D33" s="56">
        <v>378164</v>
      </c>
      <c r="E33" s="56">
        <v>329439</v>
      </c>
      <c r="F33" s="56">
        <v>341459</v>
      </c>
      <c r="G33" s="56">
        <v>353267</v>
      </c>
      <c r="H33" s="56">
        <v>321937</v>
      </c>
      <c r="I33" s="69">
        <v>281824</v>
      </c>
      <c r="J33" s="81">
        <f t="shared" si="3"/>
        <v>2379144</v>
      </c>
      <c r="K33" s="56">
        <v>434300</v>
      </c>
      <c r="L33" s="57">
        <v>85280</v>
      </c>
      <c r="M33" s="58">
        <f t="shared" si="4"/>
        <v>519580</v>
      </c>
      <c r="N33" s="58">
        <f t="shared" si="5"/>
        <v>2898724</v>
      </c>
    </row>
    <row r="34" spans="1:14">
      <c r="A34" s="1" t="s">
        <v>3</v>
      </c>
      <c r="B34" s="30" t="s">
        <v>52</v>
      </c>
      <c r="C34" s="40">
        <v>19380</v>
      </c>
      <c r="D34" s="41">
        <v>18360</v>
      </c>
      <c r="E34" s="41">
        <v>17340</v>
      </c>
      <c r="F34" s="41">
        <v>18360</v>
      </c>
      <c r="G34" s="41">
        <v>18360</v>
      </c>
      <c r="H34" s="41">
        <v>16320</v>
      </c>
      <c r="I34" s="66">
        <v>15300</v>
      </c>
      <c r="J34" s="78">
        <f t="shared" si="3"/>
        <v>123420</v>
      </c>
      <c r="K34" s="41">
        <v>22440</v>
      </c>
      <c r="L34" s="42">
        <v>0</v>
      </c>
      <c r="M34" s="43">
        <f t="shared" si="4"/>
        <v>22440</v>
      </c>
      <c r="N34" s="43">
        <f t="shared" si="5"/>
        <v>145860</v>
      </c>
    </row>
    <row r="35" spans="1:14">
      <c r="A35" s="1" t="s">
        <v>3</v>
      </c>
      <c r="B35" s="16" t="s">
        <v>53</v>
      </c>
      <c r="C35" s="27">
        <v>3420</v>
      </c>
      <c r="D35" s="9">
        <v>3240</v>
      </c>
      <c r="E35" s="9">
        <v>3060</v>
      </c>
      <c r="F35" s="9">
        <v>3240</v>
      </c>
      <c r="G35" s="9">
        <v>3240</v>
      </c>
      <c r="H35" s="9">
        <v>2880</v>
      </c>
      <c r="I35" s="67">
        <v>2700</v>
      </c>
      <c r="J35" s="79">
        <f t="shared" si="3"/>
        <v>21780</v>
      </c>
      <c r="K35" s="9">
        <v>3960</v>
      </c>
      <c r="L35" s="10">
        <v>0</v>
      </c>
      <c r="M35" s="20">
        <f t="shared" si="4"/>
        <v>3960</v>
      </c>
      <c r="N35" s="20">
        <f t="shared" si="5"/>
        <v>25740</v>
      </c>
    </row>
    <row r="36" spans="1:14">
      <c r="A36" s="1" t="s">
        <v>3</v>
      </c>
      <c r="B36" s="16" t="s">
        <v>54</v>
      </c>
      <c r="C36" s="27">
        <v>34770</v>
      </c>
      <c r="D36" s="9">
        <v>32940</v>
      </c>
      <c r="E36" s="9">
        <v>31110</v>
      </c>
      <c r="F36" s="9">
        <v>32940</v>
      </c>
      <c r="G36" s="9">
        <v>32940</v>
      </c>
      <c r="H36" s="9">
        <v>29280</v>
      </c>
      <c r="I36" s="67">
        <v>27450</v>
      </c>
      <c r="J36" s="79">
        <f t="shared" si="3"/>
        <v>221430</v>
      </c>
      <c r="K36" s="9">
        <v>40260</v>
      </c>
      <c r="L36" s="10">
        <v>0</v>
      </c>
      <c r="M36" s="20">
        <f t="shared" si="4"/>
        <v>40260</v>
      </c>
      <c r="N36" s="20">
        <f t="shared" si="5"/>
        <v>261690</v>
      </c>
    </row>
    <row r="37" spans="1:14">
      <c r="A37" s="1" t="s">
        <v>3</v>
      </c>
      <c r="B37" s="16" t="s">
        <v>55</v>
      </c>
      <c r="C37" s="27">
        <v>2052</v>
      </c>
      <c r="D37" s="9">
        <v>2080</v>
      </c>
      <c r="E37" s="9">
        <v>1812</v>
      </c>
      <c r="F37" s="9">
        <v>1878</v>
      </c>
      <c r="G37" s="9">
        <v>1943</v>
      </c>
      <c r="H37" s="9">
        <v>1771</v>
      </c>
      <c r="I37" s="67">
        <v>1550</v>
      </c>
      <c r="J37" s="79">
        <f t="shared" si="3"/>
        <v>13086</v>
      </c>
      <c r="K37" s="9">
        <v>2389</v>
      </c>
      <c r="L37" s="10">
        <v>469</v>
      </c>
      <c r="M37" s="20">
        <f t="shared" si="4"/>
        <v>2858</v>
      </c>
      <c r="N37" s="20">
        <f t="shared" si="5"/>
        <v>15944</v>
      </c>
    </row>
    <row r="38" spans="1:14">
      <c r="A38" s="1" t="s">
        <v>3</v>
      </c>
      <c r="B38" s="49" t="s">
        <v>56</v>
      </c>
      <c r="C38" s="50">
        <v>13937</v>
      </c>
      <c r="D38" s="51">
        <v>-19392</v>
      </c>
      <c r="E38" s="51">
        <v>10000</v>
      </c>
      <c r="F38" s="51">
        <v>-16515</v>
      </c>
      <c r="G38" s="51">
        <v>-18333</v>
      </c>
      <c r="H38" s="51">
        <v>0</v>
      </c>
      <c r="I38" s="68">
        <v>0</v>
      </c>
      <c r="J38" s="80">
        <f t="shared" si="3"/>
        <v>-30303</v>
      </c>
      <c r="K38" s="51">
        <v>151</v>
      </c>
      <c r="L38" s="52">
        <v>0</v>
      </c>
      <c r="M38" s="53">
        <f t="shared" si="4"/>
        <v>151</v>
      </c>
      <c r="N38" s="53">
        <f t="shared" si="5"/>
        <v>-30152</v>
      </c>
    </row>
    <row r="39" spans="1:14">
      <c r="A39" s="1" t="s">
        <v>3</v>
      </c>
      <c r="B39" s="54" t="s">
        <v>57</v>
      </c>
      <c r="C39" s="55">
        <v>73559</v>
      </c>
      <c r="D39" s="56">
        <v>37228</v>
      </c>
      <c r="E39" s="56">
        <v>63322</v>
      </c>
      <c r="F39" s="56">
        <v>39903</v>
      </c>
      <c r="G39" s="56">
        <v>38150</v>
      </c>
      <c r="H39" s="56">
        <v>50251</v>
      </c>
      <c r="I39" s="69">
        <v>47000</v>
      </c>
      <c r="J39" s="81">
        <f t="shared" si="3"/>
        <v>349413</v>
      </c>
      <c r="K39" s="56">
        <v>69200</v>
      </c>
      <c r="L39" s="57">
        <v>469</v>
      </c>
      <c r="M39" s="58">
        <f t="shared" si="4"/>
        <v>69669</v>
      </c>
      <c r="N39" s="58">
        <f t="shared" si="5"/>
        <v>419082</v>
      </c>
    </row>
    <row r="40" spans="1:14">
      <c r="A40" s="1" t="s">
        <v>3</v>
      </c>
      <c r="B40" s="30" t="s">
        <v>58</v>
      </c>
      <c r="C40" s="40">
        <v>8120</v>
      </c>
      <c r="D40" s="41">
        <v>7960</v>
      </c>
      <c r="E40" s="41">
        <v>3710</v>
      </c>
      <c r="F40" s="41">
        <v>8240</v>
      </c>
      <c r="G40" s="41">
        <v>5480</v>
      </c>
      <c r="H40" s="41">
        <v>7070</v>
      </c>
      <c r="I40" s="66">
        <v>5860</v>
      </c>
      <c r="J40" s="78">
        <f t="shared" si="3"/>
        <v>46440</v>
      </c>
      <c r="K40" s="41">
        <v>7210</v>
      </c>
      <c r="L40" s="42">
        <v>0</v>
      </c>
      <c r="M40" s="43">
        <f t="shared" si="4"/>
        <v>7210</v>
      </c>
      <c r="N40" s="43">
        <f t="shared" si="5"/>
        <v>53650</v>
      </c>
    </row>
    <row r="41" spans="1:14">
      <c r="A41" s="1" t="s">
        <v>3</v>
      </c>
      <c r="B41" s="49" t="s">
        <v>59</v>
      </c>
      <c r="C41" s="50">
        <v>17400</v>
      </c>
      <c r="D41" s="51">
        <v>15200</v>
      </c>
      <c r="E41" s="51">
        <v>9700</v>
      </c>
      <c r="F41" s="51">
        <v>16400</v>
      </c>
      <c r="G41" s="51">
        <v>2700</v>
      </c>
      <c r="H41" s="51">
        <v>0</v>
      </c>
      <c r="I41" s="68">
        <v>0</v>
      </c>
      <c r="J41" s="80">
        <f t="shared" si="3"/>
        <v>61400</v>
      </c>
      <c r="K41" s="51">
        <v>23100</v>
      </c>
      <c r="L41" s="52">
        <v>1200</v>
      </c>
      <c r="M41" s="53">
        <f t="shared" si="4"/>
        <v>24300</v>
      </c>
      <c r="N41" s="53">
        <f t="shared" si="5"/>
        <v>85700</v>
      </c>
    </row>
    <row r="42" spans="1:14">
      <c r="A42" s="1" t="s">
        <v>3</v>
      </c>
      <c r="B42" s="54" t="s">
        <v>60</v>
      </c>
      <c r="C42" s="55">
        <v>99079</v>
      </c>
      <c r="D42" s="56">
        <v>60388</v>
      </c>
      <c r="E42" s="56">
        <v>76732</v>
      </c>
      <c r="F42" s="56">
        <v>64543</v>
      </c>
      <c r="G42" s="56">
        <v>46330</v>
      </c>
      <c r="H42" s="56">
        <v>57321</v>
      </c>
      <c r="I42" s="69">
        <v>52860</v>
      </c>
      <c r="J42" s="81">
        <f t="shared" si="3"/>
        <v>457253</v>
      </c>
      <c r="K42" s="56">
        <v>99510</v>
      </c>
      <c r="L42" s="57">
        <v>1669</v>
      </c>
      <c r="M42" s="58">
        <f t="shared" si="4"/>
        <v>101179</v>
      </c>
      <c r="N42" s="58">
        <f t="shared" si="5"/>
        <v>558432</v>
      </c>
    </row>
    <row r="43" spans="1:14">
      <c r="A43" s="1" t="s">
        <v>3</v>
      </c>
      <c r="B43" s="54" t="s">
        <v>61</v>
      </c>
      <c r="C43" s="55">
        <v>293799</v>
      </c>
      <c r="D43" s="56">
        <v>330391</v>
      </c>
      <c r="E43" s="56">
        <v>260926</v>
      </c>
      <c r="F43" s="56">
        <v>297379</v>
      </c>
      <c r="G43" s="56">
        <v>309149</v>
      </c>
      <c r="H43" s="56">
        <v>264436</v>
      </c>
      <c r="I43" s="69">
        <v>230647</v>
      </c>
      <c r="J43" s="81">
        <f t="shared" si="3"/>
        <v>1986727</v>
      </c>
      <c r="K43" s="56">
        <v>351429</v>
      </c>
      <c r="L43" s="57">
        <v>79211</v>
      </c>
      <c r="M43" s="58">
        <f t="shared" si="4"/>
        <v>430640</v>
      </c>
      <c r="N43" s="58">
        <f t="shared" si="5"/>
        <v>2417367</v>
      </c>
    </row>
    <row r="44" spans="1:14">
      <c r="A44" s="1" t="s">
        <v>3</v>
      </c>
      <c r="B44" s="54" t="s">
        <v>62</v>
      </c>
      <c r="C44" s="55">
        <v>273975</v>
      </c>
      <c r="D44" s="56">
        <v>317776</v>
      </c>
      <c r="E44" s="56">
        <v>252707</v>
      </c>
      <c r="F44" s="56">
        <v>276916</v>
      </c>
      <c r="G44" s="56">
        <v>306937</v>
      </c>
      <c r="H44" s="56">
        <v>264616</v>
      </c>
      <c r="I44" s="69">
        <v>228964</v>
      </c>
      <c r="J44" s="81">
        <f t="shared" si="3"/>
        <v>1921891</v>
      </c>
      <c r="K44" s="56">
        <v>334790</v>
      </c>
      <c r="L44" s="57">
        <v>83611</v>
      </c>
      <c r="M44" s="58">
        <f t="shared" si="4"/>
        <v>418401</v>
      </c>
      <c r="N44" s="58">
        <f t="shared" si="5"/>
        <v>2340292</v>
      </c>
    </row>
    <row r="45" spans="1:14">
      <c r="A45" s="1" t="s">
        <v>3</v>
      </c>
      <c r="B45" s="54" t="s">
        <v>63</v>
      </c>
      <c r="C45" s="55">
        <v>273975</v>
      </c>
      <c r="D45" s="56">
        <v>317776</v>
      </c>
      <c r="E45" s="56">
        <v>252707</v>
      </c>
      <c r="F45" s="56">
        <v>276916</v>
      </c>
      <c r="G45" s="56">
        <v>306937</v>
      </c>
      <c r="H45" s="56">
        <v>264616</v>
      </c>
      <c r="I45" s="69">
        <v>228964</v>
      </c>
      <c r="J45" s="81">
        <f t="shared" si="3"/>
        <v>1921891</v>
      </c>
      <c r="K45" s="56">
        <v>334790</v>
      </c>
      <c r="L45" s="57">
        <v>83611</v>
      </c>
      <c r="M45" s="58">
        <f t="shared" si="4"/>
        <v>418401</v>
      </c>
      <c r="N45" s="58">
        <f t="shared" si="5"/>
        <v>2340292</v>
      </c>
    </row>
    <row r="46" spans="1:14">
      <c r="A46" s="1" t="s">
        <v>3</v>
      </c>
      <c r="B46" s="30" t="s">
        <v>64</v>
      </c>
      <c r="C46" s="40">
        <v>0</v>
      </c>
      <c r="D46" s="41">
        <v>1</v>
      </c>
      <c r="E46" s="41">
        <v>2</v>
      </c>
      <c r="F46" s="41">
        <v>0</v>
      </c>
      <c r="G46" s="41">
        <v>2</v>
      </c>
      <c r="H46" s="41">
        <v>0</v>
      </c>
      <c r="I46" s="66">
        <v>0</v>
      </c>
      <c r="J46" s="78"/>
      <c r="K46" s="41">
        <v>2</v>
      </c>
      <c r="L46" s="42">
        <v>0</v>
      </c>
      <c r="M46" s="43"/>
      <c r="N46" s="43"/>
    </row>
    <row r="47" spans="1:14">
      <c r="A47" s="1" t="s">
        <v>3</v>
      </c>
      <c r="B47" s="16" t="s">
        <v>65</v>
      </c>
      <c r="C47" s="28" t="s">
        <v>66</v>
      </c>
      <c r="D47" s="11" t="s">
        <v>66</v>
      </c>
      <c r="E47" s="11" t="s">
        <v>66</v>
      </c>
      <c r="F47" s="11" t="s">
        <v>66</v>
      </c>
      <c r="G47" s="11" t="s">
        <v>66</v>
      </c>
      <c r="H47" s="11" t="s">
        <v>66</v>
      </c>
      <c r="I47" s="70" t="s">
        <v>66</v>
      </c>
      <c r="J47" s="82"/>
      <c r="K47" s="11" t="s">
        <v>66</v>
      </c>
      <c r="L47" s="12" t="s">
        <v>66</v>
      </c>
      <c r="M47" s="21"/>
      <c r="N47" s="21"/>
    </row>
    <row r="48" spans="1:14" ht="19.5" thickBot="1">
      <c r="A48" s="1" t="s">
        <v>3</v>
      </c>
      <c r="B48" s="17" t="s">
        <v>67</v>
      </c>
      <c r="C48" s="29">
        <v>8120</v>
      </c>
      <c r="D48" s="13">
        <v>7960</v>
      </c>
      <c r="E48" s="13">
        <v>3710</v>
      </c>
      <c r="F48" s="13">
        <v>8240</v>
      </c>
      <c r="G48" s="13">
        <v>5480</v>
      </c>
      <c r="H48" s="13">
        <v>7070</v>
      </c>
      <c r="I48" s="71">
        <v>5860</v>
      </c>
      <c r="J48" s="83">
        <f>SUM(C48:I48)</f>
        <v>46440</v>
      </c>
      <c r="K48" s="13">
        <v>7210</v>
      </c>
      <c r="L48" s="14">
        <v>0</v>
      </c>
      <c r="M48" s="22">
        <f>SUM(K48:L48)</f>
        <v>7210</v>
      </c>
      <c r="N48" s="22">
        <f>J48+M48</f>
        <v>53650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2025-10-08T02:50:19Z</dcterms:created>
  <dcterms:modified xsi:type="dcterms:W3CDTF">2025-10-16T01:43:02Z</dcterms:modified>
  <cp:category/>
  <cp:contentStatus/>
</cp:coreProperties>
</file>