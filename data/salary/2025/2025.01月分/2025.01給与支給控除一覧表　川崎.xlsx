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給与集計内訳\2025\2025.01月分\"/>
    </mc:Choice>
  </mc:AlternateContent>
  <xr:revisionPtr revIDLastSave="0" documentId="13_ncr:1_{64920EAC-ABCB-4B0A-B86D-7CCD13A855DD}" xr6:coauthVersionLast="47" xr6:coauthVersionMax="47" xr10:uidLastSave="{00000000-0000-0000-0000-000000000000}"/>
  <bookViews>
    <workbookView xWindow="-120" yWindow="-120" windowWidth="20730" windowHeight="11040" xr2:uid="{C9AD5C7B-8354-4226-AD2A-E3F26834D266}"/>
  </bookViews>
  <sheets>
    <sheet name="2025年 1月度給与 (2)" sheetId="3" r:id="rId1"/>
  </sheets>
  <definedNames>
    <definedName name="_xlnm.Print_Area" localSheetId="0">'2025年 1月度給与 (2)'!$A$1:$I$39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3" l="1"/>
  <c r="I22" i="3"/>
  <c r="I23" i="3"/>
  <c r="I24" i="3"/>
  <c r="I33" i="3"/>
  <c r="I34" i="3"/>
  <c r="I35" i="3"/>
  <c r="I36" i="3"/>
  <c r="H6" i="3"/>
  <c r="I6" i="3" s="1"/>
  <c r="H7" i="3"/>
  <c r="I7" i="3" s="1"/>
  <c r="H8" i="3"/>
  <c r="I8" i="3" s="1"/>
  <c r="H9" i="3"/>
  <c r="I9" i="3" s="1"/>
  <c r="H10" i="3"/>
  <c r="I10" i="3" s="1"/>
  <c r="H12" i="3"/>
  <c r="I12" i="3" s="1"/>
  <c r="H13" i="3"/>
  <c r="I13" i="3" s="1"/>
  <c r="H14" i="3"/>
  <c r="I14" i="3" s="1"/>
  <c r="H15" i="3"/>
  <c r="I15" i="3" s="1"/>
  <c r="H16" i="3"/>
  <c r="I16" i="3" s="1"/>
  <c r="H17" i="3"/>
  <c r="I17" i="3" s="1"/>
  <c r="H18" i="3"/>
  <c r="I18" i="3" s="1"/>
  <c r="H19" i="3"/>
  <c r="H20" i="3"/>
  <c r="H21" i="3"/>
  <c r="H22" i="3"/>
  <c r="H23" i="3"/>
  <c r="H24" i="3"/>
  <c r="H25" i="3"/>
  <c r="I25" i="3" s="1"/>
  <c r="H26" i="3"/>
  <c r="I26" i="3" s="1"/>
  <c r="H27" i="3"/>
  <c r="I27" i="3" s="1"/>
  <c r="H28" i="3"/>
  <c r="I28" i="3" s="1"/>
  <c r="H29" i="3"/>
  <c r="I29" i="3" s="1"/>
  <c r="H30" i="3"/>
  <c r="I30" i="3" s="1"/>
  <c r="H31" i="3"/>
  <c r="H32" i="3"/>
  <c r="H33" i="3"/>
  <c r="H34" i="3"/>
  <c r="H35" i="3"/>
  <c r="H36" i="3"/>
  <c r="H39" i="3"/>
  <c r="I39" i="3" s="1"/>
  <c r="H5" i="3"/>
  <c r="I5" i="3" s="1"/>
  <c r="D6" i="3"/>
  <c r="D7" i="3"/>
  <c r="D8" i="3"/>
  <c r="D9" i="3"/>
  <c r="D10" i="3"/>
  <c r="D12" i="3"/>
  <c r="D13" i="3"/>
  <c r="D14" i="3"/>
  <c r="D15" i="3"/>
  <c r="D16" i="3"/>
  <c r="D17" i="3"/>
  <c r="D18" i="3"/>
  <c r="D19" i="3"/>
  <c r="I19" i="3" s="1"/>
  <c r="D20" i="3"/>
  <c r="I20" i="3" s="1"/>
  <c r="D21" i="3"/>
  <c r="D22" i="3"/>
  <c r="D23" i="3"/>
  <c r="D24" i="3"/>
  <c r="D25" i="3"/>
  <c r="D26" i="3"/>
  <c r="D27" i="3"/>
  <c r="D28" i="3"/>
  <c r="D29" i="3"/>
  <c r="D30" i="3"/>
  <c r="D31" i="3"/>
  <c r="I31" i="3" s="1"/>
  <c r="D32" i="3"/>
  <c r="I32" i="3" s="1"/>
  <c r="D33" i="3"/>
  <c r="D34" i="3"/>
  <c r="D35" i="3"/>
  <c r="D36" i="3"/>
  <c r="D39" i="3"/>
  <c r="D5" i="3"/>
</calcChain>
</file>

<file path=xl/sharedStrings.xml><?xml version="1.0" encoding="utf-8"?>
<sst xmlns="http://schemas.openxmlformats.org/spreadsheetml/2006/main" count="91" uniqueCount="51">
  <si>
    <t>支給控除一覧表</t>
    <phoneticPr fontId="3"/>
  </si>
  <si>
    <t>2025年 1月度給与</t>
    <phoneticPr fontId="3"/>
  </si>
  <si>
    <t>1078</t>
    <phoneticPr fontId="3"/>
  </si>
  <si>
    <t>小計</t>
    <rPh sb="0" eb="2">
      <t>ショウケイ</t>
    </rPh>
    <phoneticPr fontId="3"/>
  </si>
  <si>
    <t>1049</t>
    <phoneticPr fontId="3"/>
  </si>
  <si>
    <t>1050</t>
    <phoneticPr fontId="3"/>
  </si>
  <si>
    <t>1114</t>
    <phoneticPr fontId="3"/>
  </si>
  <si>
    <t>合計</t>
    <phoneticPr fontId="3"/>
  </si>
  <si>
    <t>項目名</t>
    <phoneticPr fontId="3"/>
  </si>
  <si>
    <t>伊藤　尚</t>
    <phoneticPr fontId="3"/>
  </si>
  <si>
    <t>１名</t>
    <rPh sb="1" eb="2">
      <t>メイ</t>
    </rPh>
    <phoneticPr fontId="3"/>
  </si>
  <si>
    <t>菅原　幸志</t>
    <phoneticPr fontId="3"/>
  </si>
  <si>
    <t>伊藤　正典</t>
    <phoneticPr fontId="3"/>
  </si>
  <si>
    <t>吉田　亨</t>
    <phoneticPr fontId="3"/>
  </si>
  <si>
    <t>３名</t>
    <rPh sb="1" eb="2">
      <t>メイ</t>
    </rPh>
    <phoneticPr fontId="3"/>
  </si>
  <si>
    <t>４名</t>
    <rPh sb="1" eb="2">
      <t>メイ</t>
    </rPh>
    <phoneticPr fontId="3"/>
  </si>
  <si>
    <t/>
  </si>
  <si>
    <t>平日出勤日数</t>
    <phoneticPr fontId="3"/>
  </si>
  <si>
    <t>法定休日</t>
    <phoneticPr fontId="3"/>
  </si>
  <si>
    <t>有休日数</t>
    <phoneticPr fontId="3"/>
  </si>
  <si>
    <t>平日残業</t>
    <phoneticPr fontId="3"/>
  </si>
  <si>
    <t>法定休日時間</t>
    <phoneticPr fontId="3"/>
  </si>
  <si>
    <t>深夜残業</t>
    <phoneticPr fontId="3"/>
  </si>
  <si>
    <t>有休残日数</t>
    <phoneticPr fontId="3"/>
  </si>
  <si>
    <t>基本給</t>
    <phoneticPr fontId="3"/>
  </si>
  <si>
    <t>職位加算</t>
    <phoneticPr fontId="3"/>
  </si>
  <si>
    <t>職責加算</t>
    <phoneticPr fontId="3"/>
  </si>
  <si>
    <t>大都市加算</t>
    <phoneticPr fontId="3"/>
  </si>
  <si>
    <t>調整給</t>
    <phoneticPr fontId="3"/>
  </si>
  <si>
    <t>無事故加算</t>
    <phoneticPr fontId="3"/>
  </si>
  <si>
    <t>調整加算</t>
    <phoneticPr fontId="3"/>
  </si>
  <si>
    <t>法定休日残業</t>
    <phoneticPr fontId="3"/>
  </si>
  <si>
    <t>課税支給合計</t>
    <phoneticPr fontId="3"/>
  </si>
  <si>
    <t>非課税通勤費</t>
    <phoneticPr fontId="3"/>
  </si>
  <si>
    <t>非税支給合計</t>
    <phoneticPr fontId="3"/>
  </si>
  <si>
    <t>支給合計</t>
    <phoneticPr fontId="3"/>
  </si>
  <si>
    <t>健康保険料</t>
    <phoneticPr fontId="3"/>
  </si>
  <si>
    <t>介護保険料</t>
    <phoneticPr fontId="3"/>
  </si>
  <si>
    <t>厚生年金保険</t>
    <phoneticPr fontId="3"/>
  </si>
  <si>
    <t>雇用保険料</t>
    <phoneticPr fontId="3"/>
  </si>
  <si>
    <t>社会保険料計</t>
    <phoneticPr fontId="3"/>
  </si>
  <si>
    <t>所得税</t>
    <phoneticPr fontId="3"/>
  </si>
  <si>
    <t>住民税</t>
    <phoneticPr fontId="3"/>
  </si>
  <si>
    <t>控除合計</t>
    <phoneticPr fontId="3"/>
  </si>
  <si>
    <t>課税対象額</t>
    <phoneticPr fontId="3"/>
  </si>
  <si>
    <t>差引支給合計</t>
    <phoneticPr fontId="3"/>
  </si>
  <si>
    <t>振込支給額</t>
    <phoneticPr fontId="3"/>
  </si>
  <si>
    <t>扶養人数</t>
    <phoneticPr fontId="3"/>
  </si>
  <si>
    <t>税額表</t>
    <phoneticPr fontId="3"/>
  </si>
  <si>
    <t>甲欄</t>
    <phoneticPr fontId="3"/>
  </si>
  <si>
    <t>(減税前税額)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</si>
</sst>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4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hair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80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2" fillId="0" borderId="5" xfId="1" applyFont="1" applyBorder="1"/>
    <xf numFmtId="176" fontId="2" fillId="0" borderId="7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3" xfId="1" applyNumberFormat="1" applyFont="1" applyBorder="1" applyAlignment="1">
      <alignment horizontal="left"/>
    </xf>
    <xf numFmtId="49" fontId="2" fillId="0" borderId="2" xfId="1" applyNumberFormat="1" applyFont="1" applyBorder="1" applyAlignment="1">
      <alignment horizontal="left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176" fontId="2" fillId="0" borderId="14" xfId="1" applyNumberFormat="1" applyFont="1" applyBorder="1"/>
    <xf numFmtId="176" fontId="2" fillId="0" borderId="15" xfId="1" applyNumberFormat="1" applyFont="1" applyBorder="1"/>
    <xf numFmtId="176" fontId="2" fillId="0" borderId="16" xfId="1" applyNumberFormat="1" applyFont="1" applyBorder="1"/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49" fontId="2" fillId="0" borderId="18" xfId="1" applyNumberFormat="1" applyFont="1" applyBorder="1" applyAlignment="1">
      <alignment horizontal="left"/>
    </xf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49" fontId="2" fillId="0" borderId="23" xfId="1" applyNumberFormat="1" applyFont="1" applyBorder="1" applyAlignment="1">
      <alignment horizontal="left"/>
    </xf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49" fontId="2" fillId="0" borderId="28" xfId="1" applyNumberFormat="1" applyFont="1" applyBorder="1" applyAlignment="1">
      <alignment horizontal="left"/>
    </xf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49" fontId="2" fillId="0" borderId="24" xfId="1" applyNumberFormat="1" applyFont="1" applyBorder="1"/>
    <xf numFmtId="49" fontId="2" fillId="0" borderId="25" xfId="1" applyNumberFormat="1" applyFont="1" applyBorder="1"/>
    <xf numFmtId="49" fontId="2" fillId="0" borderId="26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2" fontId="2" fillId="0" borderId="26" xfId="1" applyNumberFormat="1" applyFont="1" applyBorder="1"/>
    <xf numFmtId="49" fontId="2" fillId="0" borderId="33" xfId="1" applyNumberFormat="1" applyFont="1" applyBorder="1" applyAlignment="1">
      <alignment horizontal="left"/>
    </xf>
    <xf numFmtId="2" fontId="2" fillId="0" borderId="34" xfId="1" applyNumberFormat="1" applyFont="1" applyBorder="1"/>
    <xf numFmtId="2" fontId="2" fillId="0" borderId="35" xfId="1" applyNumberFormat="1" applyFont="1" applyBorder="1"/>
    <xf numFmtId="2" fontId="2" fillId="0" borderId="36" xfId="1" applyNumberFormat="1" applyFont="1" applyBorder="1"/>
    <xf numFmtId="176" fontId="2" fillId="0" borderId="19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49" fontId="2" fillId="0" borderId="5" xfId="1" applyNumberFormat="1" applyFont="1" applyBorder="1" applyAlignment="1">
      <alignment horizontal="center"/>
    </xf>
    <xf numFmtId="49" fontId="2" fillId="0" borderId="1" xfId="1" applyNumberFormat="1" applyFont="1" applyBorder="1" applyAlignment="1">
      <alignment horizontal="center"/>
    </xf>
    <xf numFmtId="49" fontId="2" fillId="0" borderId="37" xfId="1" applyNumberFormat="1" applyFont="1" applyBorder="1" applyAlignment="1">
      <alignment horizontal="center"/>
    </xf>
    <xf numFmtId="49" fontId="2" fillId="0" borderId="38" xfId="1" applyNumberFormat="1" applyFont="1" applyBorder="1" applyAlignment="1">
      <alignment horizontal="center"/>
    </xf>
    <xf numFmtId="2" fontId="2" fillId="0" borderId="39" xfId="1" applyNumberFormat="1" applyFont="1" applyBorder="1"/>
    <xf numFmtId="2" fontId="2" fillId="0" borderId="40" xfId="1" applyNumberFormat="1" applyFont="1" applyBorder="1"/>
    <xf numFmtId="176" fontId="2" fillId="0" borderId="40" xfId="1" applyNumberFormat="1" applyFont="1" applyBorder="1"/>
    <xf numFmtId="176" fontId="2" fillId="0" borderId="41" xfId="1" applyNumberFormat="1" applyFont="1" applyBorder="1"/>
    <xf numFmtId="2" fontId="2" fillId="0" borderId="42" xfId="1" applyNumberFormat="1" applyFont="1" applyBorder="1"/>
    <xf numFmtId="3" fontId="2" fillId="0" borderId="43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49" fontId="2" fillId="0" borderId="42" xfId="1" applyNumberFormat="1" applyFont="1" applyBorder="1"/>
    <xf numFmtId="3" fontId="2" fillId="0" borderId="38" xfId="1" applyNumberFormat="1" applyFont="1" applyBorder="1"/>
    <xf numFmtId="49" fontId="2" fillId="0" borderId="44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32" xfId="1" applyNumberFormat="1" applyFont="1" applyBorder="1"/>
    <xf numFmtId="2" fontId="2" fillId="0" borderId="17" xfId="1" applyNumberFormat="1" applyFont="1" applyBorder="1"/>
    <xf numFmtId="176" fontId="2" fillId="0" borderId="17" xfId="1" applyNumberFormat="1" applyFont="1" applyBorder="1"/>
    <xf numFmtId="2" fontId="2" fillId="0" borderId="22" xfId="1" applyNumberFormat="1" applyFont="1" applyBorder="1"/>
    <xf numFmtId="3" fontId="2" fillId="0" borderId="27" xfId="1" applyNumberFormat="1" applyFont="1" applyBorder="1"/>
    <xf numFmtId="3" fontId="2" fillId="0" borderId="17" xfId="1" applyNumberFormat="1" applyFont="1" applyBorder="1"/>
    <xf numFmtId="3" fontId="2" fillId="0" borderId="22" xfId="1" applyNumberFormat="1" applyFont="1" applyBorder="1"/>
    <xf numFmtId="49" fontId="2" fillId="0" borderId="22" xfId="1" applyNumberFormat="1" applyFont="1" applyBorder="1"/>
  </cellXfs>
  <cellStyles count="2">
    <cellStyle name="標準" xfId="0" builtinId="0"/>
    <cellStyle name="標準 2" xfId="1" xr:uid="{E57BD4CD-ED5A-41F6-A123-3D7BB3286E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E89DF-0069-4611-8771-F9762F2568FD}">
  <sheetPr>
    <pageSetUpPr fitToPage="1"/>
  </sheetPr>
  <dimension ref="A1:I39"/>
  <sheetViews>
    <sheetView tabSelected="1" workbookViewId="0">
      <pane xSplit="2" ySplit="4" topLeftCell="C5" activePane="bottomRight" state="frozen"/>
      <selection pane="bottomRight" activeCell="B3" sqref="B3"/>
      <selection pane="bottomLeft" activeCell="A9" sqref="A9"/>
      <selection pane="topRight" activeCell="C1" sqref="C1"/>
    </sheetView>
  </sheetViews>
  <sheetFormatPr defaultRowHeight="18.75"/>
  <cols>
    <col min="1" max="1" width="2.375" style="2" customWidth="1"/>
    <col min="2" max="2" width="13.25" style="2" bestFit="1" customWidth="1"/>
    <col min="3" max="9" width="12.5" style="2" customWidth="1"/>
    <col min="10" max="257" width="9" style="2"/>
    <col min="258" max="258" width="2.375" style="2" customWidth="1"/>
    <col min="259" max="259" width="13.25" style="2" bestFit="1" customWidth="1"/>
    <col min="260" max="261" width="11.125" style="2" bestFit="1" customWidth="1"/>
    <col min="262" max="263" width="9" style="2"/>
    <col min="264" max="264" width="9.625" style="2" bestFit="1" customWidth="1"/>
    <col min="265" max="513" width="9" style="2"/>
    <col min="514" max="514" width="2.375" style="2" customWidth="1"/>
    <col min="515" max="515" width="13.25" style="2" bestFit="1" customWidth="1"/>
    <col min="516" max="517" width="11.125" style="2" bestFit="1" customWidth="1"/>
    <col min="518" max="519" width="9" style="2"/>
    <col min="520" max="520" width="9.625" style="2" bestFit="1" customWidth="1"/>
    <col min="521" max="769" width="9" style="2"/>
    <col min="770" max="770" width="2.375" style="2" customWidth="1"/>
    <col min="771" max="771" width="13.25" style="2" bestFit="1" customWidth="1"/>
    <col min="772" max="773" width="11.125" style="2" bestFit="1" customWidth="1"/>
    <col min="774" max="775" width="9" style="2"/>
    <col min="776" max="776" width="9.625" style="2" bestFit="1" customWidth="1"/>
    <col min="777" max="1025" width="9" style="2"/>
    <col min="1026" max="1026" width="2.375" style="2" customWidth="1"/>
    <col min="1027" max="1027" width="13.25" style="2" bestFit="1" customWidth="1"/>
    <col min="1028" max="1029" width="11.125" style="2" bestFit="1" customWidth="1"/>
    <col min="1030" max="1031" width="9" style="2"/>
    <col min="1032" max="1032" width="9.625" style="2" bestFit="1" customWidth="1"/>
    <col min="1033" max="1281" width="9" style="2"/>
    <col min="1282" max="1282" width="2.375" style="2" customWidth="1"/>
    <col min="1283" max="1283" width="13.25" style="2" bestFit="1" customWidth="1"/>
    <col min="1284" max="1285" width="11.125" style="2" bestFit="1" customWidth="1"/>
    <col min="1286" max="1287" width="9" style="2"/>
    <col min="1288" max="1288" width="9.625" style="2" bestFit="1" customWidth="1"/>
    <col min="1289" max="1537" width="9" style="2"/>
    <col min="1538" max="1538" width="2.375" style="2" customWidth="1"/>
    <col min="1539" max="1539" width="13.25" style="2" bestFit="1" customWidth="1"/>
    <col min="1540" max="1541" width="11.125" style="2" bestFit="1" customWidth="1"/>
    <col min="1542" max="1543" width="9" style="2"/>
    <col min="1544" max="1544" width="9.625" style="2" bestFit="1" customWidth="1"/>
    <col min="1545" max="1793" width="9" style="2"/>
    <col min="1794" max="1794" width="2.375" style="2" customWidth="1"/>
    <col min="1795" max="1795" width="13.25" style="2" bestFit="1" customWidth="1"/>
    <col min="1796" max="1797" width="11.125" style="2" bestFit="1" customWidth="1"/>
    <col min="1798" max="1799" width="9" style="2"/>
    <col min="1800" max="1800" width="9.625" style="2" bestFit="1" customWidth="1"/>
    <col min="1801" max="2049" width="9" style="2"/>
    <col min="2050" max="2050" width="2.375" style="2" customWidth="1"/>
    <col min="2051" max="2051" width="13.25" style="2" bestFit="1" customWidth="1"/>
    <col min="2052" max="2053" width="11.125" style="2" bestFit="1" customWidth="1"/>
    <col min="2054" max="2055" width="9" style="2"/>
    <col min="2056" max="2056" width="9.625" style="2" bestFit="1" customWidth="1"/>
    <col min="2057" max="2305" width="9" style="2"/>
    <col min="2306" max="2306" width="2.375" style="2" customWidth="1"/>
    <col min="2307" max="2307" width="13.25" style="2" bestFit="1" customWidth="1"/>
    <col min="2308" max="2309" width="11.125" style="2" bestFit="1" customWidth="1"/>
    <col min="2310" max="2311" width="9" style="2"/>
    <col min="2312" max="2312" width="9.625" style="2" bestFit="1" customWidth="1"/>
    <col min="2313" max="2561" width="9" style="2"/>
    <col min="2562" max="2562" width="2.375" style="2" customWidth="1"/>
    <col min="2563" max="2563" width="13.25" style="2" bestFit="1" customWidth="1"/>
    <col min="2564" max="2565" width="11.125" style="2" bestFit="1" customWidth="1"/>
    <col min="2566" max="2567" width="9" style="2"/>
    <col min="2568" max="2568" width="9.625" style="2" bestFit="1" customWidth="1"/>
    <col min="2569" max="2817" width="9" style="2"/>
    <col min="2818" max="2818" width="2.375" style="2" customWidth="1"/>
    <col min="2819" max="2819" width="13.25" style="2" bestFit="1" customWidth="1"/>
    <col min="2820" max="2821" width="11.125" style="2" bestFit="1" customWidth="1"/>
    <col min="2822" max="2823" width="9" style="2"/>
    <col min="2824" max="2824" width="9.625" style="2" bestFit="1" customWidth="1"/>
    <col min="2825" max="3073" width="9" style="2"/>
    <col min="3074" max="3074" width="2.375" style="2" customWidth="1"/>
    <col min="3075" max="3075" width="13.25" style="2" bestFit="1" customWidth="1"/>
    <col min="3076" max="3077" width="11.125" style="2" bestFit="1" customWidth="1"/>
    <col min="3078" max="3079" width="9" style="2"/>
    <col min="3080" max="3080" width="9.625" style="2" bestFit="1" customWidth="1"/>
    <col min="3081" max="3329" width="9" style="2"/>
    <col min="3330" max="3330" width="2.375" style="2" customWidth="1"/>
    <col min="3331" max="3331" width="13.25" style="2" bestFit="1" customWidth="1"/>
    <col min="3332" max="3333" width="11.125" style="2" bestFit="1" customWidth="1"/>
    <col min="3334" max="3335" width="9" style="2"/>
    <col min="3336" max="3336" width="9.625" style="2" bestFit="1" customWidth="1"/>
    <col min="3337" max="3585" width="9" style="2"/>
    <col min="3586" max="3586" width="2.375" style="2" customWidth="1"/>
    <col min="3587" max="3587" width="13.25" style="2" bestFit="1" customWidth="1"/>
    <col min="3588" max="3589" width="11.125" style="2" bestFit="1" customWidth="1"/>
    <col min="3590" max="3591" width="9" style="2"/>
    <col min="3592" max="3592" width="9.625" style="2" bestFit="1" customWidth="1"/>
    <col min="3593" max="3841" width="9" style="2"/>
    <col min="3842" max="3842" width="2.375" style="2" customWidth="1"/>
    <col min="3843" max="3843" width="13.25" style="2" bestFit="1" customWidth="1"/>
    <col min="3844" max="3845" width="11.125" style="2" bestFit="1" customWidth="1"/>
    <col min="3846" max="3847" width="9" style="2"/>
    <col min="3848" max="3848" width="9.625" style="2" bestFit="1" customWidth="1"/>
    <col min="3849" max="4097" width="9" style="2"/>
    <col min="4098" max="4098" width="2.375" style="2" customWidth="1"/>
    <col min="4099" max="4099" width="13.25" style="2" bestFit="1" customWidth="1"/>
    <col min="4100" max="4101" width="11.125" style="2" bestFit="1" customWidth="1"/>
    <col min="4102" max="4103" width="9" style="2"/>
    <col min="4104" max="4104" width="9.625" style="2" bestFit="1" customWidth="1"/>
    <col min="4105" max="4353" width="9" style="2"/>
    <col min="4354" max="4354" width="2.375" style="2" customWidth="1"/>
    <col min="4355" max="4355" width="13.25" style="2" bestFit="1" customWidth="1"/>
    <col min="4356" max="4357" width="11.125" style="2" bestFit="1" customWidth="1"/>
    <col min="4358" max="4359" width="9" style="2"/>
    <col min="4360" max="4360" width="9.625" style="2" bestFit="1" customWidth="1"/>
    <col min="4361" max="4609" width="9" style="2"/>
    <col min="4610" max="4610" width="2.375" style="2" customWidth="1"/>
    <col min="4611" max="4611" width="13.25" style="2" bestFit="1" customWidth="1"/>
    <col min="4612" max="4613" width="11.125" style="2" bestFit="1" customWidth="1"/>
    <col min="4614" max="4615" width="9" style="2"/>
    <col min="4616" max="4616" width="9.625" style="2" bestFit="1" customWidth="1"/>
    <col min="4617" max="4865" width="9" style="2"/>
    <col min="4866" max="4866" width="2.375" style="2" customWidth="1"/>
    <col min="4867" max="4867" width="13.25" style="2" bestFit="1" customWidth="1"/>
    <col min="4868" max="4869" width="11.125" style="2" bestFit="1" customWidth="1"/>
    <col min="4870" max="4871" width="9" style="2"/>
    <col min="4872" max="4872" width="9.625" style="2" bestFit="1" customWidth="1"/>
    <col min="4873" max="5121" width="9" style="2"/>
    <col min="5122" max="5122" width="2.375" style="2" customWidth="1"/>
    <col min="5123" max="5123" width="13.25" style="2" bestFit="1" customWidth="1"/>
    <col min="5124" max="5125" width="11.125" style="2" bestFit="1" customWidth="1"/>
    <col min="5126" max="5127" width="9" style="2"/>
    <col min="5128" max="5128" width="9.625" style="2" bestFit="1" customWidth="1"/>
    <col min="5129" max="5377" width="9" style="2"/>
    <col min="5378" max="5378" width="2.375" style="2" customWidth="1"/>
    <col min="5379" max="5379" width="13.25" style="2" bestFit="1" customWidth="1"/>
    <col min="5380" max="5381" width="11.125" style="2" bestFit="1" customWidth="1"/>
    <col min="5382" max="5383" width="9" style="2"/>
    <col min="5384" max="5384" width="9.625" style="2" bestFit="1" customWidth="1"/>
    <col min="5385" max="5633" width="9" style="2"/>
    <col min="5634" max="5634" width="2.375" style="2" customWidth="1"/>
    <col min="5635" max="5635" width="13.25" style="2" bestFit="1" customWidth="1"/>
    <col min="5636" max="5637" width="11.125" style="2" bestFit="1" customWidth="1"/>
    <col min="5638" max="5639" width="9" style="2"/>
    <col min="5640" max="5640" width="9.625" style="2" bestFit="1" customWidth="1"/>
    <col min="5641" max="5889" width="9" style="2"/>
    <col min="5890" max="5890" width="2.375" style="2" customWidth="1"/>
    <col min="5891" max="5891" width="13.25" style="2" bestFit="1" customWidth="1"/>
    <col min="5892" max="5893" width="11.125" style="2" bestFit="1" customWidth="1"/>
    <col min="5894" max="5895" width="9" style="2"/>
    <col min="5896" max="5896" width="9.625" style="2" bestFit="1" customWidth="1"/>
    <col min="5897" max="6145" width="9" style="2"/>
    <col min="6146" max="6146" width="2.375" style="2" customWidth="1"/>
    <col min="6147" max="6147" width="13.25" style="2" bestFit="1" customWidth="1"/>
    <col min="6148" max="6149" width="11.125" style="2" bestFit="1" customWidth="1"/>
    <col min="6150" max="6151" width="9" style="2"/>
    <col min="6152" max="6152" width="9.625" style="2" bestFit="1" customWidth="1"/>
    <col min="6153" max="6401" width="9" style="2"/>
    <col min="6402" max="6402" width="2.375" style="2" customWidth="1"/>
    <col min="6403" max="6403" width="13.25" style="2" bestFit="1" customWidth="1"/>
    <col min="6404" max="6405" width="11.125" style="2" bestFit="1" customWidth="1"/>
    <col min="6406" max="6407" width="9" style="2"/>
    <col min="6408" max="6408" width="9.625" style="2" bestFit="1" customWidth="1"/>
    <col min="6409" max="6657" width="9" style="2"/>
    <col min="6658" max="6658" width="2.375" style="2" customWidth="1"/>
    <col min="6659" max="6659" width="13.25" style="2" bestFit="1" customWidth="1"/>
    <col min="6660" max="6661" width="11.125" style="2" bestFit="1" customWidth="1"/>
    <col min="6662" max="6663" width="9" style="2"/>
    <col min="6664" max="6664" width="9.625" style="2" bestFit="1" customWidth="1"/>
    <col min="6665" max="6913" width="9" style="2"/>
    <col min="6914" max="6914" width="2.375" style="2" customWidth="1"/>
    <col min="6915" max="6915" width="13.25" style="2" bestFit="1" customWidth="1"/>
    <col min="6916" max="6917" width="11.125" style="2" bestFit="1" customWidth="1"/>
    <col min="6918" max="6919" width="9" style="2"/>
    <col min="6920" max="6920" width="9.625" style="2" bestFit="1" customWidth="1"/>
    <col min="6921" max="7169" width="9" style="2"/>
    <col min="7170" max="7170" width="2.375" style="2" customWidth="1"/>
    <col min="7171" max="7171" width="13.25" style="2" bestFit="1" customWidth="1"/>
    <col min="7172" max="7173" width="11.125" style="2" bestFit="1" customWidth="1"/>
    <col min="7174" max="7175" width="9" style="2"/>
    <col min="7176" max="7176" width="9.625" style="2" bestFit="1" customWidth="1"/>
    <col min="7177" max="7425" width="9" style="2"/>
    <col min="7426" max="7426" width="2.375" style="2" customWidth="1"/>
    <col min="7427" max="7427" width="13.25" style="2" bestFit="1" customWidth="1"/>
    <col min="7428" max="7429" width="11.125" style="2" bestFit="1" customWidth="1"/>
    <col min="7430" max="7431" width="9" style="2"/>
    <col min="7432" max="7432" width="9.625" style="2" bestFit="1" customWidth="1"/>
    <col min="7433" max="7681" width="9" style="2"/>
    <col min="7682" max="7682" width="2.375" style="2" customWidth="1"/>
    <col min="7683" max="7683" width="13.25" style="2" bestFit="1" customWidth="1"/>
    <col min="7684" max="7685" width="11.125" style="2" bestFit="1" customWidth="1"/>
    <col min="7686" max="7687" width="9" style="2"/>
    <col min="7688" max="7688" width="9.625" style="2" bestFit="1" customWidth="1"/>
    <col min="7689" max="7937" width="9" style="2"/>
    <col min="7938" max="7938" width="2.375" style="2" customWidth="1"/>
    <col min="7939" max="7939" width="13.25" style="2" bestFit="1" customWidth="1"/>
    <col min="7940" max="7941" width="11.125" style="2" bestFit="1" customWidth="1"/>
    <col min="7942" max="7943" width="9" style="2"/>
    <col min="7944" max="7944" width="9.625" style="2" bestFit="1" customWidth="1"/>
    <col min="7945" max="8193" width="9" style="2"/>
    <col min="8194" max="8194" width="2.375" style="2" customWidth="1"/>
    <col min="8195" max="8195" width="13.25" style="2" bestFit="1" customWidth="1"/>
    <col min="8196" max="8197" width="11.125" style="2" bestFit="1" customWidth="1"/>
    <col min="8198" max="8199" width="9" style="2"/>
    <col min="8200" max="8200" width="9.625" style="2" bestFit="1" customWidth="1"/>
    <col min="8201" max="8449" width="9" style="2"/>
    <col min="8450" max="8450" width="2.375" style="2" customWidth="1"/>
    <col min="8451" max="8451" width="13.25" style="2" bestFit="1" customWidth="1"/>
    <col min="8452" max="8453" width="11.125" style="2" bestFit="1" customWidth="1"/>
    <col min="8454" max="8455" width="9" style="2"/>
    <col min="8456" max="8456" width="9.625" style="2" bestFit="1" customWidth="1"/>
    <col min="8457" max="8705" width="9" style="2"/>
    <col min="8706" max="8706" width="2.375" style="2" customWidth="1"/>
    <col min="8707" max="8707" width="13.25" style="2" bestFit="1" customWidth="1"/>
    <col min="8708" max="8709" width="11.125" style="2" bestFit="1" customWidth="1"/>
    <col min="8710" max="8711" width="9" style="2"/>
    <col min="8712" max="8712" width="9.625" style="2" bestFit="1" customWidth="1"/>
    <col min="8713" max="8961" width="9" style="2"/>
    <col min="8962" max="8962" width="2.375" style="2" customWidth="1"/>
    <col min="8963" max="8963" width="13.25" style="2" bestFit="1" customWidth="1"/>
    <col min="8964" max="8965" width="11.125" style="2" bestFit="1" customWidth="1"/>
    <col min="8966" max="8967" width="9" style="2"/>
    <col min="8968" max="8968" width="9.625" style="2" bestFit="1" customWidth="1"/>
    <col min="8969" max="9217" width="9" style="2"/>
    <col min="9218" max="9218" width="2.375" style="2" customWidth="1"/>
    <col min="9219" max="9219" width="13.25" style="2" bestFit="1" customWidth="1"/>
    <col min="9220" max="9221" width="11.125" style="2" bestFit="1" customWidth="1"/>
    <col min="9222" max="9223" width="9" style="2"/>
    <col min="9224" max="9224" width="9.625" style="2" bestFit="1" customWidth="1"/>
    <col min="9225" max="9473" width="9" style="2"/>
    <col min="9474" max="9474" width="2.375" style="2" customWidth="1"/>
    <col min="9475" max="9475" width="13.25" style="2" bestFit="1" customWidth="1"/>
    <col min="9476" max="9477" width="11.125" style="2" bestFit="1" customWidth="1"/>
    <col min="9478" max="9479" width="9" style="2"/>
    <col min="9480" max="9480" width="9.625" style="2" bestFit="1" customWidth="1"/>
    <col min="9481" max="9729" width="9" style="2"/>
    <col min="9730" max="9730" width="2.375" style="2" customWidth="1"/>
    <col min="9731" max="9731" width="13.25" style="2" bestFit="1" customWidth="1"/>
    <col min="9732" max="9733" width="11.125" style="2" bestFit="1" customWidth="1"/>
    <col min="9734" max="9735" width="9" style="2"/>
    <col min="9736" max="9736" width="9.625" style="2" bestFit="1" customWidth="1"/>
    <col min="9737" max="9985" width="9" style="2"/>
    <col min="9986" max="9986" width="2.375" style="2" customWidth="1"/>
    <col min="9987" max="9987" width="13.25" style="2" bestFit="1" customWidth="1"/>
    <col min="9988" max="9989" width="11.125" style="2" bestFit="1" customWidth="1"/>
    <col min="9990" max="9991" width="9" style="2"/>
    <col min="9992" max="9992" width="9.625" style="2" bestFit="1" customWidth="1"/>
    <col min="9993" max="10241" width="9" style="2"/>
    <col min="10242" max="10242" width="2.375" style="2" customWidth="1"/>
    <col min="10243" max="10243" width="13.25" style="2" bestFit="1" customWidth="1"/>
    <col min="10244" max="10245" width="11.125" style="2" bestFit="1" customWidth="1"/>
    <col min="10246" max="10247" width="9" style="2"/>
    <col min="10248" max="10248" width="9.625" style="2" bestFit="1" customWidth="1"/>
    <col min="10249" max="10497" width="9" style="2"/>
    <col min="10498" max="10498" width="2.375" style="2" customWidth="1"/>
    <col min="10499" max="10499" width="13.25" style="2" bestFit="1" customWidth="1"/>
    <col min="10500" max="10501" width="11.125" style="2" bestFit="1" customWidth="1"/>
    <col min="10502" max="10503" width="9" style="2"/>
    <col min="10504" max="10504" width="9.625" style="2" bestFit="1" customWidth="1"/>
    <col min="10505" max="10753" width="9" style="2"/>
    <col min="10754" max="10754" width="2.375" style="2" customWidth="1"/>
    <col min="10755" max="10755" width="13.25" style="2" bestFit="1" customWidth="1"/>
    <col min="10756" max="10757" width="11.125" style="2" bestFit="1" customWidth="1"/>
    <col min="10758" max="10759" width="9" style="2"/>
    <col min="10760" max="10760" width="9.625" style="2" bestFit="1" customWidth="1"/>
    <col min="10761" max="11009" width="9" style="2"/>
    <col min="11010" max="11010" width="2.375" style="2" customWidth="1"/>
    <col min="11011" max="11011" width="13.25" style="2" bestFit="1" customWidth="1"/>
    <col min="11012" max="11013" width="11.125" style="2" bestFit="1" customWidth="1"/>
    <col min="11014" max="11015" width="9" style="2"/>
    <col min="11016" max="11016" width="9.625" style="2" bestFit="1" customWidth="1"/>
    <col min="11017" max="11265" width="9" style="2"/>
    <col min="11266" max="11266" width="2.375" style="2" customWidth="1"/>
    <col min="11267" max="11267" width="13.25" style="2" bestFit="1" customWidth="1"/>
    <col min="11268" max="11269" width="11.125" style="2" bestFit="1" customWidth="1"/>
    <col min="11270" max="11271" width="9" style="2"/>
    <col min="11272" max="11272" width="9.625" style="2" bestFit="1" customWidth="1"/>
    <col min="11273" max="11521" width="9" style="2"/>
    <col min="11522" max="11522" width="2.375" style="2" customWidth="1"/>
    <col min="11523" max="11523" width="13.25" style="2" bestFit="1" customWidth="1"/>
    <col min="11524" max="11525" width="11.125" style="2" bestFit="1" customWidth="1"/>
    <col min="11526" max="11527" width="9" style="2"/>
    <col min="11528" max="11528" width="9.625" style="2" bestFit="1" customWidth="1"/>
    <col min="11529" max="11777" width="9" style="2"/>
    <col min="11778" max="11778" width="2.375" style="2" customWidth="1"/>
    <col min="11779" max="11779" width="13.25" style="2" bestFit="1" customWidth="1"/>
    <col min="11780" max="11781" width="11.125" style="2" bestFit="1" customWidth="1"/>
    <col min="11782" max="11783" width="9" style="2"/>
    <col min="11784" max="11784" width="9.625" style="2" bestFit="1" customWidth="1"/>
    <col min="11785" max="12033" width="9" style="2"/>
    <col min="12034" max="12034" width="2.375" style="2" customWidth="1"/>
    <col min="12035" max="12035" width="13.25" style="2" bestFit="1" customWidth="1"/>
    <col min="12036" max="12037" width="11.125" style="2" bestFit="1" customWidth="1"/>
    <col min="12038" max="12039" width="9" style="2"/>
    <col min="12040" max="12040" width="9.625" style="2" bestFit="1" customWidth="1"/>
    <col min="12041" max="12289" width="9" style="2"/>
    <col min="12290" max="12290" width="2.375" style="2" customWidth="1"/>
    <col min="12291" max="12291" width="13.25" style="2" bestFit="1" customWidth="1"/>
    <col min="12292" max="12293" width="11.125" style="2" bestFit="1" customWidth="1"/>
    <col min="12294" max="12295" width="9" style="2"/>
    <col min="12296" max="12296" width="9.625" style="2" bestFit="1" customWidth="1"/>
    <col min="12297" max="12545" width="9" style="2"/>
    <col min="12546" max="12546" width="2.375" style="2" customWidth="1"/>
    <col min="12547" max="12547" width="13.25" style="2" bestFit="1" customWidth="1"/>
    <col min="12548" max="12549" width="11.125" style="2" bestFit="1" customWidth="1"/>
    <col min="12550" max="12551" width="9" style="2"/>
    <col min="12552" max="12552" width="9.625" style="2" bestFit="1" customWidth="1"/>
    <col min="12553" max="12801" width="9" style="2"/>
    <col min="12802" max="12802" width="2.375" style="2" customWidth="1"/>
    <col min="12803" max="12803" width="13.25" style="2" bestFit="1" customWidth="1"/>
    <col min="12804" max="12805" width="11.125" style="2" bestFit="1" customWidth="1"/>
    <col min="12806" max="12807" width="9" style="2"/>
    <col min="12808" max="12808" width="9.625" style="2" bestFit="1" customWidth="1"/>
    <col min="12809" max="13057" width="9" style="2"/>
    <col min="13058" max="13058" width="2.375" style="2" customWidth="1"/>
    <col min="13059" max="13059" width="13.25" style="2" bestFit="1" customWidth="1"/>
    <col min="13060" max="13061" width="11.125" style="2" bestFit="1" customWidth="1"/>
    <col min="13062" max="13063" width="9" style="2"/>
    <col min="13064" max="13064" width="9.625" style="2" bestFit="1" customWidth="1"/>
    <col min="13065" max="13313" width="9" style="2"/>
    <col min="13314" max="13314" width="2.375" style="2" customWidth="1"/>
    <col min="13315" max="13315" width="13.25" style="2" bestFit="1" customWidth="1"/>
    <col min="13316" max="13317" width="11.125" style="2" bestFit="1" customWidth="1"/>
    <col min="13318" max="13319" width="9" style="2"/>
    <col min="13320" max="13320" width="9.625" style="2" bestFit="1" customWidth="1"/>
    <col min="13321" max="13569" width="9" style="2"/>
    <col min="13570" max="13570" width="2.375" style="2" customWidth="1"/>
    <col min="13571" max="13571" width="13.25" style="2" bestFit="1" customWidth="1"/>
    <col min="13572" max="13573" width="11.125" style="2" bestFit="1" customWidth="1"/>
    <col min="13574" max="13575" width="9" style="2"/>
    <col min="13576" max="13576" width="9.625" style="2" bestFit="1" customWidth="1"/>
    <col min="13577" max="13825" width="9" style="2"/>
    <col min="13826" max="13826" width="2.375" style="2" customWidth="1"/>
    <col min="13827" max="13827" width="13.25" style="2" bestFit="1" customWidth="1"/>
    <col min="13828" max="13829" width="11.125" style="2" bestFit="1" customWidth="1"/>
    <col min="13830" max="13831" width="9" style="2"/>
    <col min="13832" max="13832" width="9.625" style="2" bestFit="1" customWidth="1"/>
    <col min="13833" max="14081" width="9" style="2"/>
    <col min="14082" max="14082" width="2.375" style="2" customWidth="1"/>
    <col min="14083" max="14083" width="13.25" style="2" bestFit="1" customWidth="1"/>
    <col min="14084" max="14085" width="11.125" style="2" bestFit="1" customWidth="1"/>
    <col min="14086" max="14087" width="9" style="2"/>
    <col min="14088" max="14088" width="9.625" style="2" bestFit="1" customWidth="1"/>
    <col min="14089" max="14337" width="9" style="2"/>
    <col min="14338" max="14338" width="2.375" style="2" customWidth="1"/>
    <col min="14339" max="14339" width="13.25" style="2" bestFit="1" customWidth="1"/>
    <col min="14340" max="14341" width="11.125" style="2" bestFit="1" customWidth="1"/>
    <col min="14342" max="14343" width="9" style="2"/>
    <col min="14344" max="14344" width="9.625" style="2" bestFit="1" customWidth="1"/>
    <col min="14345" max="14593" width="9" style="2"/>
    <col min="14594" max="14594" width="2.375" style="2" customWidth="1"/>
    <col min="14595" max="14595" width="13.25" style="2" bestFit="1" customWidth="1"/>
    <col min="14596" max="14597" width="11.125" style="2" bestFit="1" customWidth="1"/>
    <col min="14598" max="14599" width="9" style="2"/>
    <col min="14600" max="14600" width="9.625" style="2" bestFit="1" customWidth="1"/>
    <col min="14601" max="14849" width="9" style="2"/>
    <col min="14850" max="14850" width="2.375" style="2" customWidth="1"/>
    <col min="14851" max="14851" width="13.25" style="2" bestFit="1" customWidth="1"/>
    <col min="14852" max="14853" width="11.125" style="2" bestFit="1" customWidth="1"/>
    <col min="14854" max="14855" width="9" style="2"/>
    <col min="14856" max="14856" width="9.625" style="2" bestFit="1" customWidth="1"/>
    <col min="14857" max="15105" width="9" style="2"/>
    <col min="15106" max="15106" width="2.375" style="2" customWidth="1"/>
    <col min="15107" max="15107" width="13.25" style="2" bestFit="1" customWidth="1"/>
    <col min="15108" max="15109" width="11.125" style="2" bestFit="1" customWidth="1"/>
    <col min="15110" max="15111" width="9" style="2"/>
    <col min="15112" max="15112" width="9.625" style="2" bestFit="1" customWidth="1"/>
    <col min="15113" max="15361" width="9" style="2"/>
    <col min="15362" max="15362" width="2.375" style="2" customWidth="1"/>
    <col min="15363" max="15363" width="13.25" style="2" bestFit="1" customWidth="1"/>
    <col min="15364" max="15365" width="11.125" style="2" bestFit="1" customWidth="1"/>
    <col min="15366" max="15367" width="9" style="2"/>
    <col min="15368" max="15368" width="9.625" style="2" bestFit="1" customWidth="1"/>
    <col min="15369" max="15617" width="9" style="2"/>
    <col min="15618" max="15618" width="2.375" style="2" customWidth="1"/>
    <col min="15619" max="15619" width="13.25" style="2" bestFit="1" customWidth="1"/>
    <col min="15620" max="15621" width="11.125" style="2" bestFit="1" customWidth="1"/>
    <col min="15622" max="15623" width="9" style="2"/>
    <col min="15624" max="15624" width="9.625" style="2" bestFit="1" customWidth="1"/>
    <col min="15625" max="15873" width="9" style="2"/>
    <col min="15874" max="15874" width="2.375" style="2" customWidth="1"/>
    <col min="15875" max="15875" width="13.25" style="2" bestFit="1" customWidth="1"/>
    <col min="15876" max="15877" width="11.125" style="2" bestFit="1" customWidth="1"/>
    <col min="15878" max="15879" width="9" style="2"/>
    <col min="15880" max="15880" width="9.625" style="2" bestFit="1" customWidth="1"/>
    <col min="15881" max="16129" width="9" style="2"/>
    <col min="16130" max="16130" width="2.375" style="2" customWidth="1"/>
    <col min="16131" max="16131" width="13.25" style="2" bestFit="1" customWidth="1"/>
    <col min="16132" max="16133" width="11.125" style="2" bestFit="1" customWidth="1"/>
    <col min="16134" max="16135" width="9" style="2"/>
    <col min="16136" max="16136" width="9.625" style="2" bestFit="1" customWidth="1"/>
    <col min="16137" max="16384" width="9" style="2"/>
  </cols>
  <sheetData>
    <row r="1" spans="1:9">
      <c r="A1" s="1" t="s">
        <v>0</v>
      </c>
    </row>
    <row r="2" spans="1:9" ht="19.5" thickBot="1">
      <c r="A2" s="1" t="s">
        <v>1</v>
      </c>
    </row>
    <row r="3" spans="1:9">
      <c r="B3" s="5"/>
      <c r="C3" s="57" t="s">
        <v>2</v>
      </c>
      <c r="D3" s="70" t="s">
        <v>3</v>
      </c>
      <c r="E3" s="12" t="s">
        <v>4</v>
      </c>
      <c r="F3" s="13" t="s">
        <v>5</v>
      </c>
      <c r="G3" s="14" t="s">
        <v>6</v>
      </c>
      <c r="H3" s="55" t="s">
        <v>3</v>
      </c>
      <c r="I3" s="6" t="s">
        <v>7</v>
      </c>
    </row>
    <row r="4" spans="1:9" ht="19.5" thickBot="1">
      <c r="B4" s="4" t="s">
        <v>8</v>
      </c>
      <c r="C4" s="58" t="s">
        <v>9</v>
      </c>
      <c r="D4" s="71" t="s">
        <v>10</v>
      </c>
      <c r="E4" s="15" t="s">
        <v>11</v>
      </c>
      <c r="F4" s="16" t="s">
        <v>12</v>
      </c>
      <c r="G4" s="17" t="s">
        <v>13</v>
      </c>
      <c r="H4" s="56" t="s">
        <v>14</v>
      </c>
      <c r="I4" s="3" t="s">
        <v>15</v>
      </c>
    </row>
    <row r="5" spans="1:9">
      <c r="A5" s="1" t="s">
        <v>16</v>
      </c>
      <c r="B5" s="45" t="s">
        <v>17</v>
      </c>
      <c r="C5" s="59">
        <v>20</v>
      </c>
      <c r="D5" s="72">
        <f>SUM(C5)</f>
        <v>20</v>
      </c>
      <c r="E5" s="46">
        <v>19</v>
      </c>
      <c r="F5" s="47">
        <v>19</v>
      </c>
      <c r="G5" s="48">
        <v>19</v>
      </c>
      <c r="H5" s="48">
        <f>SUM(E5:G5)</f>
        <v>57</v>
      </c>
      <c r="I5" s="48">
        <f>SUM(H5,D5)</f>
        <v>77</v>
      </c>
    </row>
    <row r="6" spans="1:9">
      <c r="A6" s="1" t="s">
        <v>16</v>
      </c>
      <c r="B6" s="27" t="s">
        <v>18</v>
      </c>
      <c r="C6" s="60">
        <v>0</v>
      </c>
      <c r="D6" s="73">
        <f t="shared" ref="D6:D39" si="0">SUM(C6)</f>
        <v>0</v>
      </c>
      <c r="E6" s="28">
        <v>1</v>
      </c>
      <c r="F6" s="29">
        <v>0</v>
      </c>
      <c r="G6" s="30">
        <v>0</v>
      </c>
      <c r="H6" s="30">
        <f t="shared" ref="H6:H39" si="1">SUM(E6:G6)</f>
        <v>1</v>
      </c>
      <c r="I6" s="30">
        <f t="shared" ref="I6:I39" si="2">SUM(H6,D6)</f>
        <v>1</v>
      </c>
    </row>
    <row r="7" spans="1:9">
      <c r="A7" s="1" t="s">
        <v>16</v>
      </c>
      <c r="B7" s="27" t="s">
        <v>19</v>
      </c>
      <c r="C7" s="60">
        <v>0</v>
      </c>
      <c r="D7" s="73">
        <f t="shared" si="0"/>
        <v>0</v>
      </c>
      <c r="E7" s="28">
        <v>1</v>
      </c>
      <c r="F7" s="29">
        <v>1</v>
      </c>
      <c r="G7" s="30">
        <v>1</v>
      </c>
      <c r="H7" s="30">
        <f t="shared" si="1"/>
        <v>3</v>
      </c>
      <c r="I7" s="30">
        <f t="shared" si="2"/>
        <v>3</v>
      </c>
    </row>
    <row r="8" spans="1:9">
      <c r="A8" s="1" t="s">
        <v>16</v>
      </c>
      <c r="B8" s="27" t="s">
        <v>20</v>
      </c>
      <c r="C8" s="61">
        <v>0</v>
      </c>
      <c r="D8" s="74">
        <f t="shared" si="0"/>
        <v>0</v>
      </c>
      <c r="E8" s="49">
        <v>1.25</v>
      </c>
      <c r="F8" s="50">
        <v>2.375</v>
      </c>
      <c r="G8" s="51">
        <v>0.95833333333333337</v>
      </c>
      <c r="H8" s="51">
        <f t="shared" si="1"/>
        <v>4.583333333333333</v>
      </c>
      <c r="I8" s="51">
        <f t="shared" si="2"/>
        <v>4.583333333333333</v>
      </c>
    </row>
    <row r="9" spans="1:9">
      <c r="A9" s="1" t="s">
        <v>16</v>
      </c>
      <c r="B9" s="27" t="s">
        <v>21</v>
      </c>
      <c r="C9" s="61">
        <v>0</v>
      </c>
      <c r="D9" s="74">
        <f t="shared" si="0"/>
        <v>0</v>
      </c>
      <c r="E9" s="49">
        <v>0.29166666666666669</v>
      </c>
      <c r="F9" s="50">
        <v>0</v>
      </c>
      <c r="G9" s="51">
        <v>0</v>
      </c>
      <c r="H9" s="51">
        <f t="shared" si="1"/>
        <v>0.29166666666666669</v>
      </c>
      <c r="I9" s="51">
        <f t="shared" si="2"/>
        <v>0.29166666666666669</v>
      </c>
    </row>
    <row r="10" spans="1:9">
      <c r="A10" s="1" t="s">
        <v>16</v>
      </c>
      <c r="B10" s="10" t="s">
        <v>22</v>
      </c>
      <c r="C10" s="62">
        <v>0.16666666666666666</v>
      </c>
      <c r="D10" s="7">
        <f t="shared" si="0"/>
        <v>0.16666666666666666</v>
      </c>
      <c r="E10" s="18">
        <v>0.375</v>
      </c>
      <c r="F10" s="19">
        <v>0.125</v>
      </c>
      <c r="G10" s="20">
        <v>0.125</v>
      </c>
      <c r="H10" s="20">
        <f t="shared" si="1"/>
        <v>0.625</v>
      </c>
      <c r="I10" s="20">
        <f t="shared" si="2"/>
        <v>0.79166666666666663</v>
      </c>
    </row>
    <row r="11" spans="1:9">
      <c r="A11" s="1" t="s">
        <v>16</v>
      </c>
      <c r="B11" s="31" t="s">
        <v>23</v>
      </c>
      <c r="C11" s="63">
        <v>29.5</v>
      </c>
      <c r="D11" s="75"/>
      <c r="E11" s="42">
        <v>21</v>
      </c>
      <c r="F11" s="43">
        <v>29</v>
      </c>
      <c r="G11" s="44">
        <v>1</v>
      </c>
      <c r="H11" s="44"/>
      <c r="I11" s="44"/>
    </row>
    <row r="12" spans="1:9">
      <c r="A12" s="1" t="s">
        <v>16</v>
      </c>
      <c r="B12" s="35" t="s">
        <v>24</v>
      </c>
      <c r="C12" s="64">
        <v>370000</v>
      </c>
      <c r="D12" s="76">
        <f t="shared" si="0"/>
        <v>370000</v>
      </c>
      <c r="E12" s="36">
        <v>187000</v>
      </c>
      <c r="F12" s="37">
        <v>192000</v>
      </c>
      <c r="G12" s="38">
        <v>192000</v>
      </c>
      <c r="H12" s="38">
        <f t="shared" si="1"/>
        <v>571000</v>
      </c>
      <c r="I12" s="38">
        <f t="shared" si="2"/>
        <v>941000</v>
      </c>
    </row>
    <row r="13" spans="1:9">
      <c r="A13" s="1" t="s">
        <v>16</v>
      </c>
      <c r="B13" s="27" t="s">
        <v>25</v>
      </c>
      <c r="C13" s="65">
        <v>0</v>
      </c>
      <c r="D13" s="77">
        <f t="shared" si="0"/>
        <v>0</v>
      </c>
      <c r="E13" s="52">
        <v>5000</v>
      </c>
      <c r="F13" s="53">
        <v>0</v>
      </c>
      <c r="G13" s="54">
        <v>0</v>
      </c>
      <c r="H13" s="54">
        <f t="shared" si="1"/>
        <v>5000</v>
      </c>
      <c r="I13" s="54">
        <f t="shared" si="2"/>
        <v>5000</v>
      </c>
    </row>
    <row r="14" spans="1:9">
      <c r="A14" s="1" t="s">
        <v>16</v>
      </c>
      <c r="B14" s="27" t="s">
        <v>26</v>
      </c>
      <c r="C14" s="65">
        <v>0</v>
      </c>
      <c r="D14" s="77">
        <f t="shared" si="0"/>
        <v>0</v>
      </c>
      <c r="E14" s="52">
        <v>3000</v>
      </c>
      <c r="F14" s="53">
        <v>3000</v>
      </c>
      <c r="G14" s="54">
        <v>15000</v>
      </c>
      <c r="H14" s="54">
        <f t="shared" si="1"/>
        <v>21000</v>
      </c>
      <c r="I14" s="54">
        <f t="shared" si="2"/>
        <v>21000</v>
      </c>
    </row>
    <row r="15" spans="1:9">
      <c r="A15" s="1" t="s">
        <v>16</v>
      </c>
      <c r="B15" s="27" t="s">
        <v>27</v>
      </c>
      <c r="C15" s="65">
        <v>50000</v>
      </c>
      <c r="D15" s="77">
        <f t="shared" si="0"/>
        <v>50000</v>
      </c>
      <c r="E15" s="52">
        <v>50000</v>
      </c>
      <c r="F15" s="53">
        <v>50000</v>
      </c>
      <c r="G15" s="54">
        <v>50000</v>
      </c>
      <c r="H15" s="54">
        <f t="shared" si="1"/>
        <v>150000</v>
      </c>
      <c r="I15" s="54">
        <f t="shared" si="2"/>
        <v>200000</v>
      </c>
    </row>
    <row r="16" spans="1:9">
      <c r="A16" s="1" t="s">
        <v>16</v>
      </c>
      <c r="B16" s="27" t="s">
        <v>28</v>
      </c>
      <c r="C16" s="65">
        <v>0</v>
      </c>
      <c r="D16" s="77">
        <f t="shared" si="0"/>
        <v>0</v>
      </c>
      <c r="E16" s="52">
        <v>0</v>
      </c>
      <c r="F16" s="53">
        <v>0</v>
      </c>
      <c r="G16" s="54">
        <v>94185</v>
      </c>
      <c r="H16" s="54">
        <f t="shared" si="1"/>
        <v>94185</v>
      </c>
      <c r="I16" s="54">
        <f t="shared" si="2"/>
        <v>94185</v>
      </c>
    </row>
    <row r="17" spans="1:9">
      <c r="A17" s="1" t="s">
        <v>16</v>
      </c>
      <c r="B17" s="27" t="s">
        <v>29</v>
      </c>
      <c r="C17" s="65">
        <v>0</v>
      </c>
      <c r="D17" s="77">
        <f t="shared" si="0"/>
        <v>0</v>
      </c>
      <c r="E17" s="52">
        <v>3500</v>
      </c>
      <c r="F17" s="53">
        <v>3500</v>
      </c>
      <c r="G17" s="54">
        <v>0</v>
      </c>
      <c r="H17" s="54">
        <f t="shared" si="1"/>
        <v>7000</v>
      </c>
      <c r="I17" s="54">
        <f t="shared" si="2"/>
        <v>7000</v>
      </c>
    </row>
    <row r="18" spans="1:9">
      <c r="A18" s="1" t="s">
        <v>16</v>
      </c>
      <c r="B18" s="27" t="s">
        <v>30</v>
      </c>
      <c r="C18" s="65">
        <v>0</v>
      </c>
      <c r="D18" s="77">
        <f t="shared" si="0"/>
        <v>0</v>
      </c>
      <c r="E18" s="52">
        <v>0</v>
      </c>
      <c r="F18" s="53">
        <v>13000</v>
      </c>
      <c r="G18" s="54">
        <v>13000</v>
      </c>
      <c r="H18" s="54">
        <f t="shared" si="1"/>
        <v>26000</v>
      </c>
      <c r="I18" s="54">
        <f t="shared" si="2"/>
        <v>26000</v>
      </c>
    </row>
    <row r="19" spans="1:9">
      <c r="A19" s="1" t="s">
        <v>16</v>
      </c>
      <c r="B19" s="27" t="s">
        <v>20</v>
      </c>
      <c r="C19" s="65">
        <v>0</v>
      </c>
      <c r="D19" s="77">
        <f t="shared" si="0"/>
        <v>0</v>
      </c>
      <c r="E19" s="52">
        <v>55800</v>
      </c>
      <c r="F19" s="53">
        <v>111606</v>
      </c>
      <c r="G19" s="54">
        <v>46483</v>
      </c>
      <c r="H19" s="54">
        <f t="shared" si="1"/>
        <v>213889</v>
      </c>
      <c r="I19" s="54">
        <f t="shared" si="2"/>
        <v>213889</v>
      </c>
    </row>
    <row r="20" spans="1:9">
      <c r="A20" s="1" t="s">
        <v>16</v>
      </c>
      <c r="B20" s="27" t="s">
        <v>31</v>
      </c>
      <c r="C20" s="65">
        <v>0</v>
      </c>
      <c r="D20" s="77">
        <f t="shared" si="0"/>
        <v>0</v>
      </c>
      <c r="E20" s="52">
        <v>14063</v>
      </c>
      <c r="F20" s="53">
        <v>0</v>
      </c>
      <c r="G20" s="54">
        <v>0</v>
      </c>
      <c r="H20" s="54">
        <f t="shared" si="1"/>
        <v>14063</v>
      </c>
      <c r="I20" s="54">
        <f t="shared" si="2"/>
        <v>14063</v>
      </c>
    </row>
    <row r="21" spans="1:9">
      <c r="A21" s="1" t="s">
        <v>16</v>
      </c>
      <c r="B21" s="10" t="s">
        <v>22</v>
      </c>
      <c r="C21" s="66">
        <v>2516</v>
      </c>
      <c r="D21" s="8">
        <f t="shared" si="0"/>
        <v>2516</v>
      </c>
      <c r="E21" s="21">
        <v>3348</v>
      </c>
      <c r="F21" s="22">
        <v>1176</v>
      </c>
      <c r="G21" s="23">
        <v>1212</v>
      </c>
      <c r="H21" s="23">
        <f t="shared" si="1"/>
        <v>5736</v>
      </c>
      <c r="I21" s="23">
        <f t="shared" si="2"/>
        <v>8252</v>
      </c>
    </row>
    <row r="22" spans="1:9">
      <c r="A22" s="1" t="s">
        <v>16</v>
      </c>
      <c r="B22" s="31" t="s">
        <v>32</v>
      </c>
      <c r="C22" s="67">
        <v>422516</v>
      </c>
      <c r="D22" s="78">
        <f t="shared" si="0"/>
        <v>422516</v>
      </c>
      <c r="E22" s="32">
        <v>321711</v>
      </c>
      <c r="F22" s="33">
        <v>374282</v>
      </c>
      <c r="G22" s="34">
        <v>411880</v>
      </c>
      <c r="H22" s="34">
        <f t="shared" si="1"/>
        <v>1107873</v>
      </c>
      <c r="I22" s="34">
        <f t="shared" si="2"/>
        <v>1530389</v>
      </c>
    </row>
    <row r="23" spans="1:9">
      <c r="A23" s="1" t="s">
        <v>16</v>
      </c>
      <c r="B23" s="35" t="s">
        <v>33</v>
      </c>
      <c r="C23" s="64">
        <v>9904</v>
      </c>
      <c r="D23" s="76">
        <f t="shared" si="0"/>
        <v>9904</v>
      </c>
      <c r="E23" s="36">
        <v>0</v>
      </c>
      <c r="F23" s="37">
        <v>1486</v>
      </c>
      <c r="G23" s="38">
        <v>7923</v>
      </c>
      <c r="H23" s="38">
        <f t="shared" si="1"/>
        <v>9409</v>
      </c>
      <c r="I23" s="38">
        <f t="shared" si="2"/>
        <v>19313</v>
      </c>
    </row>
    <row r="24" spans="1:9">
      <c r="A24" s="1" t="s">
        <v>16</v>
      </c>
      <c r="B24" s="10" t="s">
        <v>34</v>
      </c>
      <c r="C24" s="66">
        <v>9904</v>
      </c>
      <c r="D24" s="8">
        <f t="shared" si="0"/>
        <v>9904</v>
      </c>
      <c r="E24" s="21">
        <v>0</v>
      </c>
      <c r="F24" s="22">
        <v>1486</v>
      </c>
      <c r="G24" s="23">
        <v>7923</v>
      </c>
      <c r="H24" s="23">
        <f t="shared" si="1"/>
        <v>9409</v>
      </c>
      <c r="I24" s="23">
        <f t="shared" si="2"/>
        <v>19313</v>
      </c>
    </row>
    <row r="25" spans="1:9">
      <c r="A25" s="1" t="s">
        <v>16</v>
      </c>
      <c r="B25" s="31" t="s">
        <v>35</v>
      </c>
      <c r="C25" s="67">
        <v>432420</v>
      </c>
      <c r="D25" s="78">
        <f t="shared" si="0"/>
        <v>432420</v>
      </c>
      <c r="E25" s="32">
        <v>321711</v>
      </c>
      <c r="F25" s="33">
        <v>375768</v>
      </c>
      <c r="G25" s="34">
        <v>419803</v>
      </c>
      <c r="H25" s="34">
        <f t="shared" si="1"/>
        <v>1117282</v>
      </c>
      <c r="I25" s="34">
        <f t="shared" si="2"/>
        <v>1549702</v>
      </c>
    </row>
    <row r="26" spans="1:9">
      <c r="A26" s="1" t="s">
        <v>16</v>
      </c>
      <c r="B26" s="35" t="s">
        <v>36</v>
      </c>
      <c r="C26" s="64">
        <v>22440</v>
      </c>
      <c r="D26" s="76">
        <f t="shared" si="0"/>
        <v>22440</v>
      </c>
      <c r="E26" s="36">
        <v>18360</v>
      </c>
      <c r="F26" s="37">
        <v>18360</v>
      </c>
      <c r="G26" s="38">
        <v>20910</v>
      </c>
      <c r="H26" s="38">
        <f t="shared" si="1"/>
        <v>57630</v>
      </c>
      <c r="I26" s="38">
        <f t="shared" si="2"/>
        <v>80070</v>
      </c>
    </row>
    <row r="27" spans="1:9">
      <c r="A27" s="1" t="s">
        <v>16</v>
      </c>
      <c r="B27" s="27" t="s">
        <v>37</v>
      </c>
      <c r="C27" s="65">
        <v>3960</v>
      </c>
      <c r="D27" s="77">
        <f t="shared" si="0"/>
        <v>3960</v>
      </c>
      <c r="E27" s="52">
        <v>0</v>
      </c>
      <c r="F27" s="53">
        <v>3240</v>
      </c>
      <c r="G27" s="54">
        <v>3690</v>
      </c>
      <c r="H27" s="54">
        <f t="shared" si="1"/>
        <v>6930</v>
      </c>
      <c r="I27" s="54">
        <f t="shared" si="2"/>
        <v>10890</v>
      </c>
    </row>
    <row r="28" spans="1:9">
      <c r="A28" s="1" t="s">
        <v>16</v>
      </c>
      <c r="B28" s="27" t="s">
        <v>38</v>
      </c>
      <c r="C28" s="65">
        <v>40260</v>
      </c>
      <c r="D28" s="77">
        <f t="shared" si="0"/>
        <v>40260</v>
      </c>
      <c r="E28" s="52">
        <v>32940</v>
      </c>
      <c r="F28" s="53">
        <v>32940</v>
      </c>
      <c r="G28" s="54">
        <v>37515</v>
      </c>
      <c r="H28" s="54">
        <f t="shared" si="1"/>
        <v>103395</v>
      </c>
      <c r="I28" s="54">
        <f t="shared" si="2"/>
        <v>143655</v>
      </c>
    </row>
    <row r="29" spans="1:9">
      <c r="A29" s="1" t="s">
        <v>16</v>
      </c>
      <c r="B29" s="10" t="s">
        <v>39</v>
      </c>
      <c r="C29" s="66">
        <v>2595</v>
      </c>
      <c r="D29" s="8">
        <f t="shared" si="0"/>
        <v>2595</v>
      </c>
      <c r="E29" s="21">
        <v>1930</v>
      </c>
      <c r="F29" s="22">
        <v>2255</v>
      </c>
      <c r="G29" s="23">
        <v>2519</v>
      </c>
      <c r="H29" s="23">
        <f t="shared" si="1"/>
        <v>6704</v>
      </c>
      <c r="I29" s="23">
        <f t="shared" si="2"/>
        <v>9299</v>
      </c>
    </row>
    <row r="30" spans="1:9">
      <c r="A30" s="1" t="s">
        <v>16</v>
      </c>
      <c r="B30" s="31" t="s">
        <v>40</v>
      </c>
      <c r="C30" s="67">
        <v>69255</v>
      </c>
      <c r="D30" s="78">
        <f t="shared" si="0"/>
        <v>69255</v>
      </c>
      <c r="E30" s="32">
        <v>53230</v>
      </c>
      <c r="F30" s="33">
        <v>56795</v>
      </c>
      <c r="G30" s="34">
        <v>64634</v>
      </c>
      <c r="H30" s="34">
        <f t="shared" si="1"/>
        <v>174659</v>
      </c>
      <c r="I30" s="34">
        <f t="shared" si="2"/>
        <v>243914</v>
      </c>
    </row>
    <row r="31" spans="1:9">
      <c r="A31" s="1" t="s">
        <v>16</v>
      </c>
      <c r="B31" s="35" t="s">
        <v>41</v>
      </c>
      <c r="C31" s="64">
        <v>12730</v>
      </c>
      <c r="D31" s="76">
        <f t="shared" si="0"/>
        <v>12730</v>
      </c>
      <c r="E31" s="36">
        <v>5600</v>
      </c>
      <c r="F31" s="37">
        <v>9810</v>
      </c>
      <c r="G31" s="38">
        <v>12240</v>
      </c>
      <c r="H31" s="38">
        <f t="shared" si="1"/>
        <v>27650</v>
      </c>
      <c r="I31" s="38">
        <f t="shared" si="2"/>
        <v>40380</v>
      </c>
    </row>
    <row r="32" spans="1:9">
      <c r="A32" s="1" t="s">
        <v>16</v>
      </c>
      <c r="B32" s="10" t="s">
        <v>42</v>
      </c>
      <c r="C32" s="66">
        <v>20300</v>
      </c>
      <c r="D32" s="8">
        <f t="shared" si="0"/>
        <v>20300</v>
      </c>
      <c r="E32" s="21">
        <v>15900</v>
      </c>
      <c r="F32" s="22">
        <v>20500</v>
      </c>
      <c r="G32" s="23">
        <v>16600</v>
      </c>
      <c r="H32" s="23">
        <f t="shared" si="1"/>
        <v>53000</v>
      </c>
      <c r="I32" s="23">
        <f t="shared" si="2"/>
        <v>73300</v>
      </c>
    </row>
    <row r="33" spans="1:9">
      <c r="A33" s="1" t="s">
        <v>16</v>
      </c>
      <c r="B33" s="31" t="s">
        <v>43</v>
      </c>
      <c r="C33" s="67">
        <v>102285</v>
      </c>
      <c r="D33" s="78">
        <f t="shared" si="0"/>
        <v>102285</v>
      </c>
      <c r="E33" s="32">
        <v>74730</v>
      </c>
      <c r="F33" s="33">
        <v>87105</v>
      </c>
      <c r="G33" s="34">
        <v>93474</v>
      </c>
      <c r="H33" s="34">
        <f t="shared" si="1"/>
        <v>255309</v>
      </c>
      <c r="I33" s="34">
        <f t="shared" si="2"/>
        <v>357594</v>
      </c>
    </row>
    <row r="34" spans="1:9">
      <c r="A34" s="1" t="s">
        <v>16</v>
      </c>
      <c r="B34" s="31" t="s">
        <v>44</v>
      </c>
      <c r="C34" s="67">
        <v>353261</v>
      </c>
      <c r="D34" s="78">
        <f t="shared" si="0"/>
        <v>353261</v>
      </c>
      <c r="E34" s="32">
        <v>268481</v>
      </c>
      <c r="F34" s="33">
        <v>317487</v>
      </c>
      <c r="G34" s="34">
        <v>347246</v>
      </c>
      <c r="H34" s="34">
        <f t="shared" si="1"/>
        <v>933214</v>
      </c>
      <c r="I34" s="34">
        <f t="shared" si="2"/>
        <v>1286475</v>
      </c>
    </row>
    <row r="35" spans="1:9">
      <c r="A35" s="1" t="s">
        <v>16</v>
      </c>
      <c r="B35" s="31" t="s">
        <v>45</v>
      </c>
      <c r="C35" s="67">
        <v>330135</v>
      </c>
      <c r="D35" s="78">
        <f t="shared" si="0"/>
        <v>330135</v>
      </c>
      <c r="E35" s="32">
        <v>246981</v>
      </c>
      <c r="F35" s="33">
        <v>288663</v>
      </c>
      <c r="G35" s="34">
        <v>326329</v>
      </c>
      <c r="H35" s="34">
        <f t="shared" si="1"/>
        <v>861973</v>
      </c>
      <c r="I35" s="34">
        <f t="shared" si="2"/>
        <v>1192108</v>
      </c>
    </row>
    <row r="36" spans="1:9">
      <c r="A36" s="1" t="s">
        <v>16</v>
      </c>
      <c r="B36" s="31" t="s">
        <v>46</v>
      </c>
      <c r="C36" s="67">
        <v>330135</v>
      </c>
      <c r="D36" s="78">
        <f t="shared" si="0"/>
        <v>330135</v>
      </c>
      <c r="E36" s="32">
        <v>246981</v>
      </c>
      <c r="F36" s="33">
        <v>288663</v>
      </c>
      <c r="G36" s="34">
        <v>326329</v>
      </c>
      <c r="H36" s="34">
        <f t="shared" si="1"/>
        <v>861973</v>
      </c>
      <c r="I36" s="34">
        <f t="shared" si="2"/>
        <v>1192108</v>
      </c>
    </row>
    <row r="37" spans="1:9">
      <c r="A37" s="1" t="s">
        <v>16</v>
      </c>
      <c r="B37" s="31" t="s">
        <v>47</v>
      </c>
      <c r="C37" s="67">
        <v>0</v>
      </c>
      <c r="D37" s="78"/>
      <c r="E37" s="32">
        <v>1</v>
      </c>
      <c r="F37" s="33">
        <v>0</v>
      </c>
      <c r="G37" s="34">
        <v>0</v>
      </c>
      <c r="H37" s="34"/>
      <c r="I37" s="34"/>
    </row>
    <row r="38" spans="1:9">
      <c r="A38" s="1" t="s">
        <v>16</v>
      </c>
      <c r="B38" s="31" t="s">
        <v>48</v>
      </c>
      <c r="C38" s="68" t="s">
        <v>49</v>
      </c>
      <c r="D38" s="79"/>
      <c r="E38" s="39" t="s">
        <v>49</v>
      </c>
      <c r="F38" s="40" t="s">
        <v>49</v>
      </c>
      <c r="G38" s="41" t="s">
        <v>49</v>
      </c>
      <c r="H38" s="41"/>
      <c r="I38" s="41"/>
    </row>
    <row r="39" spans="1:9" ht="19.5" thickBot="1">
      <c r="A39" s="1" t="s">
        <v>16</v>
      </c>
      <c r="B39" s="11" t="s">
        <v>50</v>
      </c>
      <c r="C39" s="69">
        <v>12730</v>
      </c>
      <c r="D39" s="9">
        <f t="shared" si="0"/>
        <v>12730</v>
      </c>
      <c r="E39" s="24">
        <v>5600</v>
      </c>
      <c r="F39" s="25">
        <v>9810</v>
      </c>
      <c r="G39" s="26">
        <v>12240</v>
      </c>
      <c r="H39" s="26">
        <f t="shared" si="1"/>
        <v>27650</v>
      </c>
      <c r="I39" s="26">
        <f t="shared" si="2"/>
        <v>40380</v>
      </c>
    </row>
  </sheetData>
  <phoneticPr fontId="3"/>
  <pageMargins left="0.31496062992125984" right="0.31496062992125984" top="0.35433070866141736" bottom="0.35433070866141736" header="0.11811023622047245" footer="0.11811023622047245"/>
  <pageSetup paperSize="12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道夫 深沢</dc:creator>
  <cp:keywords/>
  <dc:description/>
  <cp:lastModifiedBy>若林孝次郎</cp:lastModifiedBy>
  <cp:revision/>
  <dcterms:created xsi:type="dcterms:W3CDTF">2025-02-06T01:32:55Z</dcterms:created>
  <dcterms:modified xsi:type="dcterms:W3CDTF">2025-02-27T01:24:40Z</dcterms:modified>
  <cp:category/>
  <cp:contentStatus/>
</cp:coreProperties>
</file>