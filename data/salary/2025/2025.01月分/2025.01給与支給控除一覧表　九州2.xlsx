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392E264C-AC58-408E-9594-1D46FBBD8027}" xr6:coauthVersionLast="47" xr6:coauthVersionMax="47" xr10:uidLastSave="{00000000-0000-0000-0000-000000000000}"/>
  <bookViews>
    <workbookView xWindow="-120" yWindow="-120" windowWidth="20730" windowHeight="11040" xr2:uid="{D34A8C6D-D562-4ED0-A141-A6B362F122AC}"/>
  </bookViews>
  <sheets>
    <sheet name="2025年 1月度給与 (2)" sheetId="3" r:id="rId1"/>
  </sheets>
  <definedNames>
    <definedName name="_xlnm.Print_Area" localSheetId="0">'2025年 1月度給与 (2)'!$A$1:$H$32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H17" i="3"/>
  <c r="H18" i="3"/>
  <c r="H19" i="3"/>
  <c r="H29" i="3"/>
  <c r="H30" i="3"/>
  <c r="H32" i="3"/>
  <c r="G6" i="3"/>
  <c r="G7" i="3"/>
  <c r="H7" i="3" s="1"/>
  <c r="G8" i="3"/>
  <c r="G9" i="3"/>
  <c r="G10" i="3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G18" i="3"/>
  <c r="G19" i="3"/>
  <c r="G20" i="3"/>
  <c r="H20" i="3" s="1"/>
  <c r="G21" i="3"/>
  <c r="H21" i="3" s="1"/>
  <c r="G22" i="3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G30" i="3"/>
  <c r="G31" i="3"/>
  <c r="G32" i="3"/>
  <c r="G5" i="3"/>
  <c r="H5" i="3" s="1"/>
  <c r="E6" i="3"/>
  <c r="E7" i="3"/>
  <c r="E8" i="3"/>
  <c r="H8" i="3" s="1"/>
  <c r="E9" i="3"/>
  <c r="H9" i="3" s="1"/>
  <c r="E11" i="3"/>
  <c r="E12" i="3"/>
  <c r="E13" i="3"/>
  <c r="E14" i="3"/>
  <c r="E15" i="3"/>
  <c r="E16" i="3"/>
  <c r="E17" i="3"/>
  <c r="E18" i="3"/>
  <c r="E19" i="3"/>
  <c r="E20" i="3"/>
  <c r="E21" i="3"/>
  <c r="E22" i="3"/>
  <c r="H22" i="3" s="1"/>
  <c r="E23" i="3"/>
  <c r="E24" i="3"/>
  <c r="E25" i="3"/>
  <c r="E26" i="3"/>
  <c r="E27" i="3"/>
  <c r="E28" i="3"/>
  <c r="E29" i="3"/>
  <c r="E30" i="3"/>
  <c r="E32" i="3"/>
  <c r="E5" i="3"/>
</calcChain>
</file>

<file path=xl/sharedStrings.xml><?xml version="1.0" encoding="utf-8"?>
<sst xmlns="http://schemas.openxmlformats.org/spreadsheetml/2006/main" count="74" uniqueCount="43">
  <si>
    <t>支給控除一覧表</t>
    <phoneticPr fontId="4"/>
  </si>
  <si>
    <t/>
  </si>
  <si>
    <t>1057</t>
    <phoneticPr fontId="4"/>
  </si>
  <si>
    <t>1067</t>
    <phoneticPr fontId="4"/>
  </si>
  <si>
    <t>1063</t>
    <phoneticPr fontId="4"/>
  </si>
  <si>
    <t>項目名</t>
    <phoneticPr fontId="4"/>
  </si>
  <si>
    <t>赤﨑　功幸</t>
    <phoneticPr fontId="4"/>
  </si>
  <si>
    <t>米澤　敬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</si>
  <si>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</si>
  <si>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</si>
  <si>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</si>
  <si>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</si>
  <si>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</si>
  <si>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平日残業</t>
    <phoneticPr fontId="4"/>
  </si>
  <si>
    <t>有給休暇時間</t>
    <phoneticPr fontId="4"/>
  </si>
  <si>
    <t>有休残日数</t>
    <phoneticPr fontId="4"/>
  </si>
  <si>
    <t>基本給</t>
    <phoneticPr fontId="4"/>
  </si>
  <si>
    <t>基本給2</t>
    <phoneticPr fontId="4"/>
  </si>
  <si>
    <t>無事故加算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</si>
  <si>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</si>
  <si>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</si>
  <si>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</si>
  <si>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</si>
  <si>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</si>
  <si>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</si>
  <si>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</si>
  <si>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</si>
  <si>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</si>
  <si>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</si>
  <si>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</si>
  <si>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</si>
  <si>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</si>
  <si>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</si>
  <si>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</si>
  <si>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</si>
  <si>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</si>
  <si>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</si>
  <si>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</si>
  <si>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</si>
  <si>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</si>
  <si>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</si>
  <si>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１名</t>
    <rPh sb="1" eb="2">
      <t>メイ</t>
    </rPh>
    <phoneticPr fontId="3"/>
  </si>
  <si>
    <t>３名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</si>
</sst>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176" fontId="2" fillId="0" borderId="0" xfId="1" applyNumberFormat="1" applyFont="1"/>
    <xf numFmtId="176" fontId="2" fillId="0" borderId="7" xfId="1" applyNumberFormat="1" applyFont="1" applyBorder="1"/>
    <xf numFmtId="3" fontId="2" fillId="0" borderId="0" xfId="1" applyNumberFormat="1" applyFont="1"/>
    <xf numFmtId="3" fontId="2" fillId="0" borderId="7" xfId="1" applyNumberFormat="1" applyFont="1" applyBorder="1"/>
    <xf numFmtId="3" fontId="2" fillId="0" borderId="1" xfId="1" applyNumberFormat="1" applyFont="1" applyBorder="1"/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1" xfId="1" applyNumberFormat="1" applyFont="1" applyBorder="1"/>
    <xf numFmtId="49" fontId="2" fillId="0" borderId="33" xfId="1" applyNumberFormat="1" applyFont="1" applyBorder="1" applyAlignment="1">
      <alignment horizontal="center"/>
    </xf>
    <xf numFmtId="0" fontId="2" fillId="0" borderId="33" xfId="1" applyFont="1" applyBorder="1"/>
    <xf numFmtId="49" fontId="2" fillId="0" borderId="6" xfId="1" applyNumberFormat="1" applyFont="1" applyBorder="1" applyAlignment="1">
      <alignment horizontal="center"/>
    </xf>
    <xf numFmtId="2" fontId="2" fillId="0" borderId="25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14" xfId="1" applyNumberFormat="1" applyFont="1" applyBorder="1"/>
    <xf numFmtId="3" fontId="2" fillId="0" borderId="18" xfId="1" applyNumberFormat="1" applyFont="1" applyBorder="1"/>
    <xf numFmtId="3" fontId="2" fillId="0" borderId="34" xfId="1" applyNumberFormat="1" applyFont="1" applyBorder="1"/>
    <xf numFmtId="3" fontId="2" fillId="0" borderId="14" xfId="1" applyNumberFormat="1" applyFont="1" applyBorder="1"/>
    <xf numFmtId="49" fontId="2" fillId="0" borderId="14" xfId="1" applyNumberFormat="1" applyFont="1" applyBorder="1"/>
  </cellXfs>
  <cellStyles count="2">
    <cellStyle name="標準" xfId="0" builtinId="0"/>
    <cellStyle name="標準 2" xfId="1" xr:uid="{09CA2790-B0CC-4C8B-96A5-008D916A41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5786-25DC-435D-B675-3CBED400D269}">
  <dimension ref="A1:H3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8" width="14.5" style="2" customWidth="1"/>
    <col min="9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1" width="9" style="2"/>
    <col min="262" max="262" width="11.125" style="2" bestFit="1" customWidth="1"/>
    <col min="263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7" width="9" style="2"/>
    <col min="518" max="518" width="11.125" style="2" bestFit="1" customWidth="1"/>
    <col min="519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3" width="9" style="2"/>
    <col min="774" max="774" width="11.125" style="2" bestFit="1" customWidth="1"/>
    <col min="775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29" width="9" style="2"/>
    <col min="1030" max="1030" width="11.125" style="2" bestFit="1" customWidth="1"/>
    <col min="1031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5" width="9" style="2"/>
    <col min="1286" max="1286" width="11.125" style="2" bestFit="1" customWidth="1"/>
    <col min="1287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1" width="9" style="2"/>
    <col min="1542" max="1542" width="11.125" style="2" bestFit="1" customWidth="1"/>
    <col min="1543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7" width="9" style="2"/>
    <col min="1798" max="1798" width="11.125" style="2" bestFit="1" customWidth="1"/>
    <col min="1799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3" width="9" style="2"/>
    <col min="2054" max="2054" width="11.125" style="2" bestFit="1" customWidth="1"/>
    <col min="2055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09" width="9" style="2"/>
    <col min="2310" max="2310" width="11.125" style="2" bestFit="1" customWidth="1"/>
    <col min="2311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5" width="9" style="2"/>
    <col min="2566" max="2566" width="11.125" style="2" bestFit="1" customWidth="1"/>
    <col min="2567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1" width="9" style="2"/>
    <col min="2822" max="2822" width="11.125" style="2" bestFit="1" customWidth="1"/>
    <col min="2823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7" width="9" style="2"/>
    <col min="3078" max="3078" width="11.125" style="2" bestFit="1" customWidth="1"/>
    <col min="3079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3" width="9" style="2"/>
    <col min="3334" max="3334" width="11.125" style="2" bestFit="1" customWidth="1"/>
    <col min="3335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89" width="9" style="2"/>
    <col min="3590" max="3590" width="11.125" style="2" bestFit="1" customWidth="1"/>
    <col min="3591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5" width="9" style="2"/>
    <col min="3846" max="3846" width="11.125" style="2" bestFit="1" customWidth="1"/>
    <col min="3847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1" width="9" style="2"/>
    <col min="4102" max="4102" width="11.125" style="2" bestFit="1" customWidth="1"/>
    <col min="4103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7" width="9" style="2"/>
    <col min="4358" max="4358" width="11.125" style="2" bestFit="1" customWidth="1"/>
    <col min="4359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3" width="9" style="2"/>
    <col min="4614" max="4614" width="11.125" style="2" bestFit="1" customWidth="1"/>
    <col min="4615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69" width="9" style="2"/>
    <col min="4870" max="4870" width="11.125" style="2" bestFit="1" customWidth="1"/>
    <col min="4871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5" width="9" style="2"/>
    <col min="5126" max="5126" width="11.125" style="2" bestFit="1" customWidth="1"/>
    <col min="5127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1" width="9" style="2"/>
    <col min="5382" max="5382" width="11.125" style="2" bestFit="1" customWidth="1"/>
    <col min="5383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7" width="9" style="2"/>
    <col min="5638" max="5638" width="11.125" style="2" bestFit="1" customWidth="1"/>
    <col min="5639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3" width="9" style="2"/>
    <col min="5894" max="5894" width="11.125" style="2" bestFit="1" customWidth="1"/>
    <col min="5895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49" width="9" style="2"/>
    <col min="6150" max="6150" width="11.125" style="2" bestFit="1" customWidth="1"/>
    <col min="6151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5" width="9" style="2"/>
    <col min="6406" max="6406" width="11.125" style="2" bestFit="1" customWidth="1"/>
    <col min="6407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1" width="9" style="2"/>
    <col min="6662" max="6662" width="11.125" style="2" bestFit="1" customWidth="1"/>
    <col min="6663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7" width="9" style="2"/>
    <col min="6918" max="6918" width="11.125" style="2" bestFit="1" customWidth="1"/>
    <col min="6919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3" width="9" style="2"/>
    <col min="7174" max="7174" width="11.125" style="2" bestFit="1" customWidth="1"/>
    <col min="7175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29" width="9" style="2"/>
    <col min="7430" max="7430" width="11.125" style="2" bestFit="1" customWidth="1"/>
    <col min="7431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5" width="9" style="2"/>
    <col min="7686" max="7686" width="11.125" style="2" bestFit="1" customWidth="1"/>
    <col min="7687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1" width="9" style="2"/>
    <col min="7942" max="7942" width="11.125" style="2" bestFit="1" customWidth="1"/>
    <col min="7943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7" width="9" style="2"/>
    <col min="8198" max="8198" width="11.125" style="2" bestFit="1" customWidth="1"/>
    <col min="8199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3" width="9" style="2"/>
    <col min="8454" max="8454" width="11.125" style="2" bestFit="1" customWidth="1"/>
    <col min="8455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09" width="9" style="2"/>
    <col min="8710" max="8710" width="11.125" style="2" bestFit="1" customWidth="1"/>
    <col min="8711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5" width="9" style="2"/>
    <col min="8966" max="8966" width="11.125" style="2" bestFit="1" customWidth="1"/>
    <col min="8967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1" width="9" style="2"/>
    <col min="9222" max="9222" width="11.125" style="2" bestFit="1" customWidth="1"/>
    <col min="9223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7" width="9" style="2"/>
    <col min="9478" max="9478" width="11.125" style="2" bestFit="1" customWidth="1"/>
    <col min="9479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3" width="9" style="2"/>
    <col min="9734" max="9734" width="11.125" style="2" bestFit="1" customWidth="1"/>
    <col min="9735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89" width="9" style="2"/>
    <col min="9990" max="9990" width="11.125" style="2" bestFit="1" customWidth="1"/>
    <col min="9991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5" width="9" style="2"/>
    <col min="10246" max="10246" width="11.125" style="2" bestFit="1" customWidth="1"/>
    <col min="10247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1" width="9" style="2"/>
    <col min="10502" max="10502" width="11.125" style="2" bestFit="1" customWidth="1"/>
    <col min="10503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7" width="9" style="2"/>
    <col min="10758" max="10758" width="11.125" style="2" bestFit="1" customWidth="1"/>
    <col min="10759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3" width="9" style="2"/>
    <col min="11014" max="11014" width="11.125" style="2" bestFit="1" customWidth="1"/>
    <col min="11015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69" width="9" style="2"/>
    <col min="11270" max="11270" width="11.125" style="2" bestFit="1" customWidth="1"/>
    <col min="11271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5" width="9" style="2"/>
    <col min="11526" max="11526" width="11.125" style="2" bestFit="1" customWidth="1"/>
    <col min="11527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1" width="9" style="2"/>
    <col min="11782" max="11782" width="11.125" style="2" bestFit="1" customWidth="1"/>
    <col min="11783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7" width="9" style="2"/>
    <col min="12038" max="12038" width="11.125" style="2" bestFit="1" customWidth="1"/>
    <col min="12039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3" width="9" style="2"/>
    <col min="12294" max="12294" width="11.125" style="2" bestFit="1" customWidth="1"/>
    <col min="12295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49" width="9" style="2"/>
    <col min="12550" max="12550" width="11.125" style="2" bestFit="1" customWidth="1"/>
    <col min="12551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5" width="9" style="2"/>
    <col min="12806" max="12806" width="11.125" style="2" bestFit="1" customWidth="1"/>
    <col min="12807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1" width="9" style="2"/>
    <col min="13062" max="13062" width="11.125" style="2" bestFit="1" customWidth="1"/>
    <col min="13063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7" width="9" style="2"/>
    <col min="13318" max="13318" width="11.125" style="2" bestFit="1" customWidth="1"/>
    <col min="13319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3" width="9" style="2"/>
    <col min="13574" max="13574" width="11.125" style="2" bestFit="1" customWidth="1"/>
    <col min="13575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29" width="9" style="2"/>
    <col min="13830" max="13830" width="11.125" style="2" bestFit="1" customWidth="1"/>
    <col min="13831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5" width="9" style="2"/>
    <col min="14086" max="14086" width="11.125" style="2" bestFit="1" customWidth="1"/>
    <col min="14087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1" width="9" style="2"/>
    <col min="14342" max="14342" width="11.125" style="2" bestFit="1" customWidth="1"/>
    <col min="14343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7" width="9" style="2"/>
    <col min="14598" max="14598" width="11.125" style="2" bestFit="1" customWidth="1"/>
    <col min="14599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3" width="9" style="2"/>
    <col min="14854" max="14854" width="11.125" style="2" bestFit="1" customWidth="1"/>
    <col min="14855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09" width="9" style="2"/>
    <col min="15110" max="15110" width="11.125" style="2" bestFit="1" customWidth="1"/>
    <col min="15111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5" width="9" style="2"/>
    <col min="15366" max="15366" width="11.125" style="2" bestFit="1" customWidth="1"/>
    <col min="15367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1" width="9" style="2"/>
    <col min="15622" max="15622" width="11.125" style="2" bestFit="1" customWidth="1"/>
    <col min="15623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7" width="9" style="2"/>
    <col min="15878" max="15878" width="11.125" style="2" bestFit="1" customWidth="1"/>
    <col min="15879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3" width="9" style="2"/>
    <col min="16134" max="16134" width="11.125" style="2" bestFit="1" customWidth="1"/>
    <col min="16135" max="16384" width="9" style="2"/>
  </cols>
  <sheetData>
    <row r="1" spans="1:8">
      <c r="A1" s="1" t="s">
        <v>0</v>
      </c>
    </row>
    <row r="2" spans="1:8" ht="19.5" thickBot="1">
      <c r="A2" s="1" t="s">
        <v>38</v>
      </c>
    </row>
    <row r="3" spans="1:8">
      <c r="B3" s="5"/>
      <c r="C3" s="16" t="s">
        <v>2</v>
      </c>
      <c r="D3" s="17" t="s">
        <v>4</v>
      </c>
      <c r="E3" s="54" t="s">
        <v>39</v>
      </c>
      <c r="F3" s="6" t="s">
        <v>3</v>
      </c>
      <c r="G3" s="54" t="s">
        <v>39</v>
      </c>
      <c r="H3" s="55" t="s">
        <v>9</v>
      </c>
    </row>
    <row r="4" spans="1:8" ht="19.5" thickBot="1">
      <c r="B4" s="4" t="s">
        <v>5</v>
      </c>
      <c r="C4" s="18" t="s">
        <v>6</v>
      </c>
      <c r="D4" s="19" t="s">
        <v>8</v>
      </c>
      <c r="E4" s="56" t="s">
        <v>40</v>
      </c>
      <c r="F4" s="3" t="s">
        <v>7</v>
      </c>
      <c r="G4" s="56" t="s">
        <v>41</v>
      </c>
      <c r="H4" s="7" t="s">
        <v>42</v>
      </c>
    </row>
    <row r="5" spans="1:8">
      <c r="A5" s="1" t="s">
        <v>1</v>
      </c>
      <c r="B5" s="39" t="s">
        <v>10</v>
      </c>
      <c r="C5" s="40">
        <v>20</v>
      </c>
      <c r="D5" s="41">
        <v>15</v>
      </c>
      <c r="E5" s="57">
        <f>SUM(C5:D5)</f>
        <v>35</v>
      </c>
      <c r="F5" s="46">
        <v>4</v>
      </c>
      <c r="G5" s="57">
        <f>SUM(F5)</f>
        <v>4</v>
      </c>
      <c r="H5" s="57">
        <f>SUM(G5,E5)</f>
        <v>39</v>
      </c>
    </row>
    <row r="6" spans="1:8">
      <c r="A6" s="1" t="s">
        <v>1</v>
      </c>
      <c r="B6" s="36" t="s">
        <v>11</v>
      </c>
      <c r="C6" s="42">
        <v>0.5</v>
      </c>
      <c r="D6" s="43">
        <v>1</v>
      </c>
      <c r="E6" s="58">
        <f t="shared" ref="E6:E32" si="0">SUM(C6:D6)</f>
        <v>1.5</v>
      </c>
      <c r="F6" s="47">
        <v>16</v>
      </c>
      <c r="G6" s="58">
        <f t="shared" ref="G6:G32" si="1">SUM(F6)</f>
        <v>16</v>
      </c>
      <c r="H6" s="58">
        <f t="shared" ref="H6:H32" si="2">SUM(G6,E6)</f>
        <v>17.5</v>
      </c>
    </row>
    <row r="7" spans="1:8">
      <c r="A7" s="1" t="s">
        <v>1</v>
      </c>
      <c r="B7" s="36" t="s">
        <v>12</v>
      </c>
      <c r="C7" s="44">
        <v>0</v>
      </c>
      <c r="D7" s="45">
        <v>3.125</v>
      </c>
      <c r="E7" s="59">
        <f t="shared" si="0"/>
        <v>3.125</v>
      </c>
      <c r="F7" s="48">
        <v>0</v>
      </c>
      <c r="G7" s="59">
        <f t="shared" si="1"/>
        <v>0</v>
      </c>
      <c r="H7" s="59">
        <f t="shared" si="2"/>
        <v>3.125</v>
      </c>
    </row>
    <row r="8" spans="1:8">
      <c r="A8" s="1" t="s">
        <v>1</v>
      </c>
      <c r="B8" s="36" t="s">
        <v>13</v>
      </c>
      <c r="C8" s="44">
        <v>0</v>
      </c>
      <c r="D8" s="45">
        <v>0</v>
      </c>
      <c r="E8" s="59">
        <f t="shared" si="0"/>
        <v>0</v>
      </c>
      <c r="F8" s="48">
        <v>4.1666666666666664E-2</v>
      </c>
      <c r="G8" s="59">
        <f t="shared" si="1"/>
        <v>4.1666666666666664E-2</v>
      </c>
      <c r="H8" s="59">
        <f t="shared" si="2"/>
        <v>4.1666666666666664E-2</v>
      </c>
    </row>
    <row r="9" spans="1:8">
      <c r="A9" s="1" t="s">
        <v>1</v>
      </c>
      <c r="B9" s="14" t="s">
        <v>14</v>
      </c>
      <c r="C9" s="20">
        <v>0</v>
      </c>
      <c r="D9" s="21">
        <v>0.20833333333333334</v>
      </c>
      <c r="E9" s="9">
        <f t="shared" si="0"/>
        <v>0.20833333333333334</v>
      </c>
      <c r="F9" s="8">
        <v>0</v>
      </c>
      <c r="G9" s="9">
        <f t="shared" si="1"/>
        <v>0</v>
      </c>
      <c r="H9" s="9">
        <f t="shared" si="2"/>
        <v>0.20833333333333334</v>
      </c>
    </row>
    <row r="10" spans="1:8">
      <c r="A10" s="1" t="s">
        <v>1</v>
      </c>
      <c r="B10" s="26" t="s">
        <v>15</v>
      </c>
      <c r="C10" s="27">
        <v>36</v>
      </c>
      <c r="D10" s="28">
        <v>31</v>
      </c>
      <c r="E10" s="60"/>
      <c r="F10" s="49">
        <v>13</v>
      </c>
      <c r="G10" s="60">
        <f t="shared" si="1"/>
        <v>13</v>
      </c>
      <c r="H10" s="60"/>
    </row>
    <row r="11" spans="1:8">
      <c r="A11" s="1" t="s">
        <v>1</v>
      </c>
      <c r="B11" s="31" t="s">
        <v>16</v>
      </c>
      <c r="C11" s="32">
        <v>370000</v>
      </c>
      <c r="D11" s="33">
        <v>0</v>
      </c>
      <c r="E11" s="61">
        <f t="shared" si="0"/>
        <v>370000</v>
      </c>
      <c r="F11" s="50">
        <v>187000</v>
      </c>
      <c r="G11" s="61">
        <f t="shared" si="1"/>
        <v>187000</v>
      </c>
      <c r="H11" s="61">
        <f t="shared" si="2"/>
        <v>557000</v>
      </c>
    </row>
    <row r="12" spans="1:8">
      <c r="A12" s="1" t="s">
        <v>1</v>
      </c>
      <c r="B12" s="36" t="s">
        <v>17</v>
      </c>
      <c r="C12" s="37">
        <v>0</v>
      </c>
      <c r="D12" s="38">
        <v>79500</v>
      </c>
      <c r="E12" s="62">
        <f t="shared" si="0"/>
        <v>79500</v>
      </c>
      <c r="F12" s="51">
        <v>0</v>
      </c>
      <c r="G12" s="62">
        <f t="shared" si="1"/>
        <v>0</v>
      </c>
      <c r="H12" s="62">
        <f t="shared" si="2"/>
        <v>79500</v>
      </c>
    </row>
    <row r="13" spans="1:8">
      <c r="A13" s="1" t="s">
        <v>1</v>
      </c>
      <c r="B13" s="36" t="s">
        <v>18</v>
      </c>
      <c r="C13" s="37">
        <v>0</v>
      </c>
      <c r="D13" s="38">
        <v>0</v>
      </c>
      <c r="E13" s="62">
        <f t="shared" si="0"/>
        <v>0</v>
      </c>
      <c r="F13" s="51">
        <v>3500</v>
      </c>
      <c r="G13" s="62">
        <f t="shared" si="1"/>
        <v>3500</v>
      </c>
      <c r="H13" s="62">
        <f t="shared" si="2"/>
        <v>3500</v>
      </c>
    </row>
    <row r="14" spans="1:8">
      <c r="A14" s="1" t="s">
        <v>1</v>
      </c>
      <c r="B14" s="36" t="s">
        <v>19</v>
      </c>
      <c r="C14" s="37">
        <v>0</v>
      </c>
      <c r="D14" s="38">
        <v>5300</v>
      </c>
      <c r="E14" s="62">
        <f t="shared" si="0"/>
        <v>5300</v>
      </c>
      <c r="F14" s="51">
        <v>0</v>
      </c>
      <c r="G14" s="62">
        <f t="shared" si="1"/>
        <v>0</v>
      </c>
      <c r="H14" s="62">
        <f t="shared" si="2"/>
        <v>5300</v>
      </c>
    </row>
    <row r="15" spans="1:8">
      <c r="A15" s="1" t="s">
        <v>1</v>
      </c>
      <c r="B15" s="14" t="s">
        <v>13</v>
      </c>
      <c r="C15" s="22">
        <v>0</v>
      </c>
      <c r="D15" s="23">
        <v>0</v>
      </c>
      <c r="E15" s="11">
        <f t="shared" si="0"/>
        <v>0</v>
      </c>
      <c r="F15" s="10">
        <v>1426</v>
      </c>
      <c r="G15" s="11">
        <f t="shared" si="1"/>
        <v>1426</v>
      </c>
      <c r="H15" s="11">
        <f t="shared" si="2"/>
        <v>1426</v>
      </c>
    </row>
    <row r="16" spans="1:8">
      <c r="A16" s="1" t="s">
        <v>1</v>
      </c>
      <c r="B16" s="26" t="s">
        <v>20</v>
      </c>
      <c r="C16" s="29">
        <v>370000</v>
      </c>
      <c r="D16" s="30">
        <v>84800</v>
      </c>
      <c r="E16" s="63">
        <f t="shared" si="0"/>
        <v>454800</v>
      </c>
      <c r="F16" s="52">
        <v>191926</v>
      </c>
      <c r="G16" s="63">
        <f t="shared" si="1"/>
        <v>191926</v>
      </c>
      <c r="H16" s="63">
        <f t="shared" si="2"/>
        <v>646726</v>
      </c>
    </row>
    <row r="17" spans="1:8">
      <c r="A17" s="1" t="s">
        <v>1</v>
      </c>
      <c r="B17" s="31" t="s">
        <v>21</v>
      </c>
      <c r="C17" s="32">
        <v>4200</v>
      </c>
      <c r="D17" s="33">
        <v>2756</v>
      </c>
      <c r="E17" s="61">
        <f t="shared" si="0"/>
        <v>6956</v>
      </c>
      <c r="F17" s="50">
        <v>1785</v>
      </c>
      <c r="G17" s="61">
        <f t="shared" si="1"/>
        <v>1785</v>
      </c>
      <c r="H17" s="61">
        <f t="shared" si="2"/>
        <v>8741</v>
      </c>
    </row>
    <row r="18" spans="1:8">
      <c r="A18" s="1" t="s">
        <v>1</v>
      </c>
      <c r="B18" s="14" t="s">
        <v>22</v>
      </c>
      <c r="C18" s="22">
        <v>4200</v>
      </c>
      <c r="D18" s="23">
        <v>2756</v>
      </c>
      <c r="E18" s="11">
        <f t="shared" si="0"/>
        <v>6956</v>
      </c>
      <c r="F18" s="10">
        <v>1785</v>
      </c>
      <c r="G18" s="11">
        <f t="shared" si="1"/>
        <v>1785</v>
      </c>
      <c r="H18" s="11">
        <f t="shared" si="2"/>
        <v>8741</v>
      </c>
    </row>
    <row r="19" spans="1:8">
      <c r="A19" s="1" t="s">
        <v>1</v>
      </c>
      <c r="B19" s="26" t="s">
        <v>23</v>
      </c>
      <c r="C19" s="29">
        <v>374200</v>
      </c>
      <c r="D19" s="30">
        <v>87556</v>
      </c>
      <c r="E19" s="63">
        <f t="shared" si="0"/>
        <v>461756</v>
      </c>
      <c r="F19" s="52">
        <v>193711</v>
      </c>
      <c r="G19" s="63">
        <f t="shared" si="1"/>
        <v>193711</v>
      </c>
      <c r="H19" s="63">
        <f t="shared" si="2"/>
        <v>655467</v>
      </c>
    </row>
    <row r="20" spans="1:8">
      <c r="A20" s="1" t="s">
        <v>1</v>
      </c>
      <c r="B20" s="31" t="s">
        <v>24</v>
      </c>
      <c r="C20" s="32">
        <v>19380</v>
      </c>
      <c r="D20" s="33">
        <v>0</v>
      </c>
      <c r="E20" s="61">
        <f t="shared" si="0"/>
        <v>19380</v>
      </c>
      <c r="F20" s="50">
        <v>18360</v>
      </c>
      <c r="G20" s="61">
        <f t="shared" si="1"/>
        <v>18360</v>
      </c>
      <c r="H20" s="61">
        <f t="shared" si="2"/>
        <v>37740</v>
      </c>
    </row>
    <row r="21" spans="1:8">
      <c r="A21" s="1" t="s">
        <v>1</v>
      </c>
      <c r="B21" s="36" t="s">
        <v>25</v>
      </c>
      <c r="C21" s="37">
        <v>3420</v>
      </c>
      <c r="D21" s="38">
        <v>0</v>
      </c>
      <c r="E21" s="62">
        <f t="shared" si="0"/>
        <v>3420</v>
      </c>
      <c r="F21" s="51">
        <v>3240</v>
      </c>
      <c r="G21" s="62">
        <f t="shared" si="1"/>
        <v>3240</v>
      </c>
      <c r="H21" s="62">
        <f t="shared" si="2"/>
        <v>6660</v>
      </c>
    </row>
    <row r="22" spans="1:8">
      <c r="A22" s="1" t="s">
        <v>1</v>
      </c>
      <c r="B22" s="36" t="s">
        <v>26</v>
      </c>
      <c r="C22" s="37">
        <v>34770</v>
      </c>
      <c r="D22" s="38">
        <v>0</v>
      </c>
      <c r="E22" s="62">
        <f t="shared" si="0"/>
        <v>34770</v>
      </c>
      <c r="F22" s="51">
        <v>32940</v>
      </c>
      <c r="G22" s="62">
        <f t="shared" si="1"/>
        <v>32940</v>
      </c>
      <c r="H22" s="62">
        <f t="shared" si="2"/>
        <v>67710</v>
      </c>
    </row>
    <row r="23" spans="1:8">
      <c r="A23" s="1" t="s">
        <v>1</v>
      </c>
      <c r="B23" s="14" t="s">
        <v>27</v>
      </c>
      <c r="C23" s="22">
        <v>2245</v>
      </c>
      <c r="D23" s="23">
        <v>525</v>
      </c>
      <c r="E23" s="11">
        <f t="shared" si="0"/>
        <v>2770</v>
      </c>
      <c r="F23" s="10">
        <v>1162</v>
      </c>
      <c r="G23" s="11">
        <f t="shared" si="1"/>
        <v>1162</v>
      </c>
      <c r="H23" s="11">
        <f t="shared" si="2"/>
        <v>3932</v>
      </c>
    </row>
    <row r="24" spans="1:8">
      <c r="A24" s="1" t="s">
        <v>1</v>
      </c>
      <c r="B24" s="26" t="s">
        <v>28</v>
      </c>
      <c r="C24" s="29">
        <v>59815</v>
      </c>
      <c r="D24" s="30">
        <v>525</v>
      </c>
      <c r="E24" s="63">
        <f t="shared" si="0"/>
        <v>60340</v>
      </c>
      <c r="F24" s="52">
        <v>55702</v>
      </c>
      <c r="G24" s="63">
        <f t="shared" si="1"/>
        <v>55702</v>
      </c>
      <c r="H24" s="63">
        <f t="shared" si="2"/>
        <v>116042</v>
      </c>
    </row>
    <row r="25" spans="1:8">
      <c r="A25" s="1" t="s">
        <v>1</v>
      </c>
      <c r="B25" s="31" t="s">
        <v>29</v>
      </c>
      <c r="C25" s="32">
        <v>9210</v>
      </c>
      <c r="D25" s="33">
        <v>0</v>
      </c>
      <c r="E25" s="61">
        <f t="shared" si="0"/>
        <v>9210</v>
      </c>
      <c r="F25" s="50">
        <v>2560</v>
      </c>
      <c r="G25" s="61">
        <f t="shared" si="1"/>
        <v>2560</v>
      </c>
      <c r="H25" s="61">
        <f t="shared" si="2"/>
        <v>11770</v>
      </c>
    </row>
    <row r="26" spans="1:8">
      <c r="A26" s="1" t="s">
        <v>1</v>
      </c>
      <c r="B26" s="14" t="s">
        <v>30</v>
      </c>
      <c r="C26" s="22">
        <v>21000</v>
      </c>
      <c r="D26" s="23">
        <v>0</v>
      </c>
      <c r="E26" s="11">
        <f t="shared" si="0"/>
        <v>21000</v>
      </c>
      <c r="F26" s="10">
        <v>44000</v>
      </c>
      <c r="G26" s="11">
        <f t="shared" si="1"/>
        <v>44000</v>
      </c>
      <c r="H26" s="11">
        <f t="shared" si="2"/>
        <v>65000</v>
      </c>
    </row>
    <row r="27" spans="1:8">
      <c r="A27" s="1" t="s">
        <v>1</v>
      </c>
      <c r="B27" s="26" t="s">
        <v>31</v>
      </c>
      <c r="C27" s="29">
        <v>90025</v>
      </c>
      <c r="D27" s="30">
        <v>525</v>
      </c>
      <c r="E27" s="63">
        <f t="shared" si="0"/>
        <v>90550</v>
      </c>
      <c r="F27" s="52">
        <v>102262</v>
      </c>
      <c r="G27" s="63">
        <f t="shared" si="1"/>
        <v>102262</v>
      </c>
      <c r="H27" s="63">
        <f t="shared" si="2"/>
        <v>192812</v>
      </c>
    </row>
    <row r="28" spans="1:8">
      <c r="A28" s="1" t="s">
        <v>1</v>
      </c>
      <c r="B28" s="26" t="s">
        <v>32</v>
      </c>
      <c r="C28" s="29">
        <v>310185</v>
      </c>
      <c r="D28" s="30">
        <v>84275</v>
      </c>
      <c r="E28" s="63">
        <f t="shared" si="0"/>
        <v>394460</v>
      </c>
      <c r="F28" s="52">
        <v>136224</v>
      </c>
      <c r="G28" s="63">
        <f t="shared" si="1"/>
        <v>136224</v>
      </c>
      <c r="H28" s="63">
        <f t="shared" si="2"/>
        <v>530684</v>
      </c>
    </row>
    <row r="29" spans="1:8">
      <c r="A29" s="1" t="s">
        <v>1</v>
      </c>
      <c r="B29" s="26" t="s">
        <v>33</v>
      </c>
      <c r="C29" s="29">
        <v>284175</v>
      </c>
      <c r="D29" s="30">
        <v>87031</v>
      </c>
      <c r="E29" s="63">
        <f t="shared" si="0"/>
        <v>371206</v>
      </c>
      <c r="F29" s="52">
        <v>91449</v>
      </c>
      <c r="G29" s="63">
        <f t="shared" si="1"/>
        <v>91449</v>
      </c>
      <c r="H29" s="63">
        <f t="shared" si="2"/>
        <v>462655</v>
      </c>
    </row>
    <row r="30" spans="1:8">
      <c r="A30" s="1" t="s">
        <v>1</v>
      </c>
      <c r="B30" s="26" t="s">
        <v>34</v>
      </c>
      <c r="C30" s="29">
        <v>284175</v>
      </c>
      <c r="D30" s="30">
        <v>87031</v>
      </c>
      <c r="E30" s="63">
        <f t="shared" si="0"/>
        <v>371206</v>
      </c>
      <c r="F30" s="52">
        <v>91449</v>
      </c>
      <c r="G30" s="63">
        <f t="shared" si="1"/>
        <v>91449</v>
      </c>
      <c r="H30" s="63">
        <f t="shared" si="2"/>
        <v>462655</v>
      </c>
    </row>
    <row r="31" spans="1:8">
      <c r="A31" s="1" t="s">
        <v>1</v>
      </c>
      <c r="B31" s="26" t="s">
        <v>35</v>
      </c>
      <c r="C31" s="34" t="s">
        <v>36</v>
      </c>
      <c r="D31" s="35" t="s">
        <v>36</v>
      </c>
      <c r="E31" s="64"/>
      <c r="F31" s="53" t="s">
        <v>36</v>
      </c>
      <c r="G31" s="64">
        <f t="shared" si="1"/>
        <v>0</v>
      </c>
      <c r="H31" s="64"/>
    </row>
    <row r="32" spans="1:8" ht="19.5" thickBot="1">
      <c r="A32" s="1" t="s">
        <v>1</v>
      </c>
      <c r="B32" s="15" t="s">
        <v>37</v>
      </c>
      <c r="C32" s="24">
        <v>9210</v>
      </c>
      <c r="D32" s="25">
        <v>0</v>
      </c>
      <c r="E32" s="13">
        <f t="shared" si="0"/>
        <v>9210</v>
      </c>
      <c r="F32" s="12">
        <v>2560</v>
      </c>
      <c r="G32" s="13">
        <f t="shared" si="1"/>
        <v>2560</v>
      </c>
      <c r="H32" s="13">
        <f t="shared" si="2"/>
        <v>11770</v>
      </c>
    </row>
  </sheetData>
  <phoneticPr fontId="4"/>
  <pageMargins left="0.7" right="0.7" top="0.75" bottom="0.75" header="0.3" footer="0.3"/>
  <pageSetup paperSize="1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1月度給与 (2)</vt:lpstr>
      <vt:lpstr>'2025年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2025-02-06T03:42:02Z</cp:lastPrinted>
  <dcterms:created xsi:type="dcterms:W3CDTF">2025-02-06T02:13:27Z</dcterms:created>
  <dcterms:modified xsi:type="dcterms:W3CDTF">2025-02-06T05:36:46Z</dcterms:modified>
</cp:coreProperties>
</file>