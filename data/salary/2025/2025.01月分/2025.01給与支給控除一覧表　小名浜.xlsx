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1月分\"/>
    </mc:Choice>
  </mc:AlternateContent>
  <xr:revisionPtr revIDLastSave="0" documentId="13_ncr:1_{1CEA197E-2E62-4243-A5C2-178E44FAA891}" xr6:coauthVersionLast="47" xr6:coauthVersionMax="47" xr10:uidLastSave="{00000000-0000-0000-0000-000000000000}"/>
  <bookViews>
    <workbookView xWindow="-120" yWindow="-120" windowWidth="20730" windowHeight="11040" firstSheet="2" activeTab="2" xr2:uid="{36125B1E-03BA-4998-907D-A8CEBDFC7F8C}"/>
  </bookViews>
  <sheets>
    <sheet name="2025年 1月度給与" sheetId="2" r:id="rId1"/>
    <sheet name="2025年 1月度給与 (2)" sheetId="3" r:id="rId2"/>
    <sheet name="2025年 1月度給与 (3)" sheetId="4" r:id="rId3"/>
    <sheet name="2025年 1月度給与 (4)" sheetId="5" r:id="rId4"/>
  </sheets>
  <definedNames>
    <definedName name="_xlnm.Print_Area" localSheetId="2">'2025年 1月度給与 (3)'!$A$1:$N$51</definedName>
    <definedName name="_xlnm.Print_Area" localSheetId="3">'2025年 1月度給与 (4)'!$A$1:$S$51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1" i="5" l="1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6" i="5"/>
  <c r="S15" i="5"/>
  <c r="S14" i="5"/>
  <c r="S13" i="5"/>
  <c r="S12" i="5"/>
  <c r="S11" i="5"/>
  <c r="S10" i="5"/>
  <c r="S9" i="5"/>
  <c r="S8" i="5"/>
  <c r="S7" i="5"/>
  <c r="S6" i="5"/>
  <c r="S5" i="5"/>
  <c r="M51" i="4"/>
  <c r="K51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D6" i="3"/>
  <c r="AD7" i="3"/>
  <c r="AD8" i="3"/>
  <c r="AD9" i="3"/>
  <c r="AE9" i="3" s="1"/>
  <c r="AD10" i="3"/>
  <c r="AD11" i="3"/>
  <c r="AD12" i="3"/>
  <c r="AE12" i="3" s="1"/>
  <c r="AD13" i="3"/>
  <c r="AD14" i="3"/>
  <c r="AD15" i="3"/>
  <c r="AD16" i="3"/>
  <c r="AD18" i="3"/>
  <c r="AD19" i="3"/>
  <c r="AD20" i="3"/>
  <c r="AD21" i="3"/>
  <c r="AD22" i="3"/>
  <c r="AD23" i="3"/>
  <c r="AD24" i="3"/>
  <c r="AD25" i="3"/>
  <c r="AE25" i="3" s="1"/>
  <c r="AD26" i="3"/>
  <c r="AD27" i="3"/>
  <c r="AD28" i="3"/>
  <c r="AD29" i="3"/>
  <c r="AD30" i="3"/>
  <c r="AD31" i="3"/>
  <c r="AD32" i="3"/>
  <c r="AD33" i="3"/>
  <c r="AD34" i="3"/>
  <c r="AD35" i="3"/>
  <c r="AD36" i="3"/>
  <c r="AD37" i="3"/>
  <c r="AE37" i="3" s="1"/>
  <c r="AD38" i="3"/>
  <c r="AD39" i="3"/>
  <c r="AD40" i="3"/>
  <c r="AD41" i="3"/>
  <c r="AD42" i="3"/>
  <c r="AD43" i="3"/>
  <c r="AD44" i="3"/>
  <c r="AE44" i="3" s="1"/>
  <c r="AD45" i="3"/>
  <c r="AD46" i="3"/>
  <c r="AD47" i="3"/>
  <c r="AD48" i="3"/>
  <c r="AD51" i="3"/>
  <c r="AE51" i="3" s="1"/>
  <c r="AD5" i="3"/>
  <c r="AB6" i="3"/>
  <c r="AB7" i="3"/>
  <c r="AB8" i="3"/>
  <c r="AB9" i="3"/>
  <c r="AB10" i="3"/>
  <c r="AB11" i="3"/>
  <c r="AB12" i="3"/>
  <c r="AB13" i="3"/>
  <c r="AB14" i="3"/>
  <c r="AB15" i="3"/>
  <c r="AB16" i="3"/>
  <c r="AE16" i="3" s="1"/>
  <c r="AB18" i="3"/>
  <c r="AB19" i="3"/>
  <c r="AB20" i="3"/>
  <c r="AB21" i="3"/>
  <c r="AB22" i="3"/>
  <c r="AB23" i="3"/>
  <c r="AB24" i="3"/>
  <c r="AB25" i="3"/>
  <c r="AB26" i="3"/>
  <c r="AB27" i="3"/>
  <c r="AB28" i="3"/>
  <c r="AB29" i="3"/>
  <c r="AE29" i="3" s="1"/>
  <c r="AB30" i="3"/>
  <c r="AB31" i="3"/>
  <c r="AB32" i="3"/>
  <c r="AB33" i="3"/>
  <c r="AB34" i="3"/>
  <c r="AB35" i="3"/>
  <c r="AB36" i="3"/>
  <c r="AB37" i="3"/>
  <c r="AB38" i="3"/>
  <c r="AB39" i="3"/>
  <c r="AB40" i="3"/>
  <c r="AB41" i="3"/>
  <c r="AE41" i="3" s="1"/>
  <c r="AB42" i="3"/>
  <c r="AB43" i="3"/>
  <c r="AB44" i="3"/>
  <c r="AB45" i="3"/>
  <c r="AB46" i="3"/>
  <c r="AB47" i="3"/>
  <c r="AB48" i="3"/>
  <c r="AB51" i="3"/>
  <c r="AB5" i="3"/>
  <c r="S6" i="3"/>
  <c r="S7" i="3"/>
  <c r="S8" i="3"/>
  <c r="AE8" i="3" s="1"/>
  <c r="S9" i="3"/>
  <c r="S10" i="3"/>
  <c r="S11" i="3"/>
  <c r="S12" i="3"/>
  <c r="S13" i="3"/>
  <c r="S14" i="3"/>
  <c r="S15" i="3"/>
  <c r="S16" i="3"/>
  <c r="S18" i="3"/>
  <c r="S19" i="3"/>
  <c r="S20" i="3"/>
  <c r="S21" i="3"/>
  <c r="AE21" i="3" s="1"/>
  <c r="S22" i="3"/>
  <c r="S23" i="3"/>
  <c r="S24" i="3"/>
  <c r="S25" i="3"/>
  <c r="S26" i="3"/>
  <c r="S27" i="3"/>
  <c r="S28" i="3"/>
  <c r="S29" i="3"/>
  <c r="S30" i="3"/>
  <c r="S31" i="3"/>
  <c r="S32" i="3"/>
  <c r="S33" i="3"/>
  <c r="AE33" i="3" s="1"/>
  <c r="S34" i="3"/>
  <c r="S35" i="3"/>
  <c r="S36" i="3"/>
  <c r="S37" i="3"/>
  <c r="S38" i="3"/>
  <c r="S39" i="3"/>
  <c r="S40" i="3"/>
  <c r="S41" i="3"/>
  <c r="S42" i="3"/>
  <c r="S43" i="3"/>
  <c r="S44" i="3"/>
  <c r="S45" i="3"/>
  <c r="AE45" i="3" s="1"/>
  <c r="S46" i="3"/>
  <c r="S47" i="3"/>
  <c r="S48" i="3"/>
  <c r="S51" i="3"/>
  <c r="S5" i="3"/>
  <c r="AE32" i="3" l="1"/>
  <c r="AE20" i="3"/>
  <c r="AE7" i="3"/>
  <c r="AE40" i="3"/>
  <c r="AE28" i="3"/>
  <c r="AE15" i="3"/>
  <c r="AE48" i="3"/>
  <c r="AE36" i="3"/>
  <c r="AE24" i="3"/>
  <c r="AE11" i="3"/>
  <c r="AE43" i="3"/>
  <c r="AE31" i="3"/>
  <c r="AE19" i="3"/>
  <c r="AE6" i="3"/>
  <c r="AE39" i="3"/>
  <c r="AE27" i="3"/>
  <c r="AE14" i="3"/>
  <c r="AE47" i="3"/>
  <c r="AE35" i="3"/>
  <c r="AE23" i="3"/>
  <c r="AE10" i="3"/>
  <c r="AE42" i="3"/>
  <c r="AE30" i="3"/>
  <c r="AE18" i="3"/>
  <c r="AE5" i="3"/>
  <c r="AE38" i="3"/>
  <c r="AE26" i="3"/>
  <c r="AE13" i="3"/>
  <c r="AE46" i="3"/>
  <c r="AE34" i="3"/>
  <c r="AE22" i="3"/>
</calcChain>
</file>

<file path=xl/sharedStrings.xml><?xml version="1.0" encoding="utf-8"?>
<sst xmlns="http://schemas.openxmlformats.org/spreadsheetml/2006/main" count="628" uniqueCount="105">
  <si>
    <t>支給控除一覧表</t>
    <phoneticPr fontId="4"/>
  </si>
  <si>
    <t>2025年 1月度給与</t>
    <phoneticPr fontId="4"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</si>
  <si>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</si>
  <si>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</si>
  <si>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</si>
  <si>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</si>
  <si>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</si>
  <si>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</si>
  <si>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</si>
  <si>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</si>
  <si>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</si>
  <si>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</si>
  <si>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</si>
  <si>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</si>
  <si>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</si>
  <si>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</si>
  <si>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</si>
  <si>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</si>
  <si>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</si>
  <si>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</si>
  <si>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1119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</si>
  <si>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</si>
  <si>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</si>
  <si>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</si>
  <si>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</si>
  <si>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</si>
  <si>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</si>
  <si>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項目名</t>
    <phoneticPr fontId="4"/>
  </si>
  <si>
    <t>小林　啓一</t>
    <phoneticPr fontId="4"/>
  </si>
  <si>
    <t>鈴木　富雄</t>
    <phoneticPr fontId="4"/>
  </si>
  <si>
    <t>下山田英治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</si>
  <si>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</si>
  <si>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</si>
  <si>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</si>
  <si>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</si>
  <si>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</si>
  <si>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</si>
  <si>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</si>
  <si>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</si>
  <si>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</si>
  <si>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</si>
  <si>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</si>
  <si>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</si>
  <si>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</si>
  <si>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</si>
  <si>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</si>
  <si>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水町　賢土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</si>
  <si>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</si>
  <si>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</si>
  <si>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</si>
  <si>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</si>
  <si>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</si>
  <si>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</si>
  <si>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合計</t>
    <phoneticPr fontId="4"/>
  </si>
  <si>
    <t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</si>
  <si>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</si>
  <si>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</si>
  <si>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</si>
  <si>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</si>
  <si>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</si>
  <si>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</si>
  <si>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</si>
  <si>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</si>
  <si>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</si>
  <si>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</si>
  <si>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</si>
  <si>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</si>
  <si>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</si>
  <si>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</si>
  <si>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</si>
  <si>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</si>
  <si>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</si>
  <si>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</si>
  <si>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</si>
  <si>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</si>
  <si>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正月出勤手当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</si>
  <si>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</si>
  <si>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</si>
  <si>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</si>
  <si>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</si>
  <si>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</si>
  <si>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</si>
  <si>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</si>
  <si>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</si>
  <si>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</si>
  <si>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</si>
  <si>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</si>
  <si>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</si>
  <si>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</si>
  <si>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</si>
  <si>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</si>
  <si>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</si>
  <si>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</si>
  <si>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</si>
  <si>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</si>
  <si>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</si>
  <si>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</si>
  <si>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</si>
  <si>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</si>
  <si>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</si>
  <si>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小計</t>
    <rPh sb="0" eb="2">
      <t>ショウケイ</t>
    </rPh>
    <phoneticPr fontId="3"/>
  </si>
  <si>
    <t>小計</t>
    <rPh sb="0" eb="2">
      <t>ショウケイ</t>
    </rPh>
    <phoneticPr fontId="4"/>
  </si>
  <si>
    <t>16名</t>
    <rPh sb="2" eb="3">
      <t>メイ</t>
    </rPh>
    <phoneticPr fontId="3"/>
  </si>
  <si>
    <t>8名</t>
    <rPh sb="1" eb="2">
      <t>メイ</t>
    </rPh>
    <phoneticPr fontId="4"/>
  </si>
  <si>
    <t>1名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</si>
</sst>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/>
    <xf numFmtId="176" fontId="2" fillId="0" borderId="8" xfId="1" applyNumberFormat="1" applyFont="1" applyBorder="1"/>
    <xf numFmtId="3" fontId="2" fillId="0" borderId="8" xfId="1" applyNumberFormat="1" applyFont="1" applyBorder="1"/>
    <xf numFmtId="3" fontId="2" fillId="0" borderId="7" xfId="1" applyNumberFormat="1" applyFont="1" applyBorder="1"/>
    <xf numFmtId="177" fontId="2" fillId="0" borderId="8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176" fontId="2" fillId="0" borderId="3" xfId="1" applyNumberFormat="1" applyFont="1" applyBorder="1"/>
    <xf numFmtId="3" fontId="2" fillId="0" borderId="3" xfId="1" applyNumberFormat="1" applyFont="1" applyBorder="1"/>
    <xf numFmtId="177" fontId="2" fillId="0" borderId="3" xfId="1" applyNumberFormat="1" applyFont="1" applyBorder="1"/>
    <xf numFmtId="3" fontId="2" fillId="0" borderId="1" xfId="1" applyNumberFormat="1" applyFont="1" applyBorder="1"/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176" fontId="2" fillId="0" borderId="15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177" fontId="2" fillId="0" borderId="16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19" xfId="1" applyNumberFormat="1" applyFont="1" applyBorder="1" applyAlignment="1">
      <alignment horizontal="left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177" fontId="2" fillId="0" borderId="21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30" xfId="1" applyNumberFormat="1" applyFont="1" applyBorder="1" applyAlignment="1">
      <alignment horizontal="left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5" xfId="1" applyNumberFormat="1" applyFont="1" applyBorder="1" applyAlignment="1">
      <alignment horizontal="left"/>
    </xf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41" xfId="1" applyNumberFormat="1" applyFont="1" applyBorder="1" applyAlignment="1">
      <alignment horizontal="left"/>
    </xf>
    <xf numFmtId="2" fontId="2" fillId="0" borderId="42" xfId="1" applyNumberFormat="1" applyFont="1" applyBorder="1"/>
    <xf numFmtId="2" fontId="2" fillId="0" borderId="43" xfId="1" applyNumberFormat="1" applyFont="1" applyBorder="1"/>
    <xf numFmtId="2" fontId="2" fillId="0" borderId="44" xfId="1" applyNumberFormat="1" applyFont="1" applyBorder="1"/>
    <xf numFmtId="2" fontId="2" fillId="0" borderId="45" xfId="1" applyNumberFormat="1" applyFont="1" applyBorder="1"/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176" fontId="2" fillId="0" borderId="34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46" xfId="1" applyNumberFormat="1" applyFont="1" applyBorder="1" applyAlignment="1">
      <alignment horizontal="center"/>
    </xf>
    <xf numFmtId="49" fontId="2" fillId="0" borderId="47" xfId="1" applyNumberFormat="1" applyFont="1" applyBorder="1" applyAlignment="1">
      <alignment horizontal="center"/>
    </xf>
    <xf numFmtId="2" fontId="2" fillId="0" borderId="48" xfId="1" applyNumberFormat="1" applyFont="1" applyBorder="1"/>
    <xf numFmtId="2" fontId="2" fillId="0" borderId="49" xfId="1" applyNumberFormat="1" applyFont="1" applyBorder="1"/>
    <xf numFmtId="176" fontId="2" fillId="0" borderId="49" xfId="1" applyNumberFormat="1" applyFont="1" applyBorder="1"/>
    <xf numFmtId="176" fontId="2" fillId="0" borderId="50" xfId="1" applyNumberFormat="1" applyFont="1" applyBorder="1"/>
    <xf numFmtId="2" fontId="2" fillId="0" borderId="51" xfId="1" applyNumberFormat="1" applyFont="1" applyBorder="1"/>
    <xf numFmtId="3" fontId="2" fillId="0" borderId="52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3" fontId="2" fillId="0" borderId="51" xfId="1" applyNumberFormat="1" applyFont="1" applyBorder="1"/>
    <xf numFmtId="3" fontId="2" fillId="0" borderId="53" xfId="1" applyNumberFormat="1" applyFont="1" applyBorder="1"/>
    <xf numFmtId="49" fontId="2" fillId="0" borderId="51" xfId="1" applyNumberFormat="1" applyFont="1" applyBorder="1"/>
    <xf numFmtId="3" fontId="2" fillId="0" borderId="47" xfId="1" applyNumberFormat="1" applyFont="1" applyBorder="1"/>
    <xf numFmtId="49" fontId="2" fillId="0" borderId="54" xfId="1" applyNumberFormat="1" applyFont="1" applyBorder="1" applyAlignment="1">
      <alignment horizontal="center"/>
    </xf>
    <xf numFmtId="49" fontId="2" fillId="0" borderId="55" xfId="1" applyNumberFormat="1" applyFont="1" applyBorder="1" applyAlignment="1">
      <alignment horizontal="center"/>
    </xf>
    <xf numFmtId="2" fontId="2" fillId="0" borderId="56" xfId="1" applyNumberFormat="1" applyFont="1" applyBorder="1"/>
    <xf numFmtId="2" fontId="2" fillId="0" borderId="57" xfId="1" applyNumberFormat="1" applyFont="1" applyBorder="1"/>
    <xf numFmtId="176" fontId="2" fillId="0" borderId="57" xfId="1" applyNumberFormat="1" applyFont="1" applyBorder="1"/>
    <xf numFmtId="176" fontId="2" fillId="0" borderId="58" xfId="1" applyNumberFormat="1" applyFont="1" applyBorder="1"/>
    <xf numFmtId="2" fontId="2" fillId="0" borderId="59" xfId="1" applyNumberFormat="1" applyFont="1" applyBorder="1"/>
    <xf numFmtId="3" fontId="2" fillId="0" borderId="60" xfId="1" applyNumberFormat="1" applyFont="1" applyBorder="1"/>
    <xf numFmtId="3" fontId="2" fillId="0" borderId="57" xfId="1" applyNumberFormat="1" applyFont="1" applyBorder="1"/>
    <xf numFmtId="3" fontId="2" fillId="0" borderId="58" xfId="1" applyNumberFormat="1" applyFont="1" applyBorder="1"/>
    <xf numFmtId="3" fontId="2" fillId="0" borderId="59" xfId="1" applyNumberFormat="1" applyFont="1" applyBorder="1"/>
    <xf numFmtId="3" fontId="2" fillId="0" borderId="61" xfId="1" applyNumberFormat="1" applyFont="1" applyBorder="1"/>
    <xf numFmtId="49" fontId="2" fillId="0" borderId="59" xfId="1" applyNumberFormat="1" applyFont="1" applyBorder="1"/>
    <xf numFmtId="3" fontId="2" fillId="0" borderId="55" xfId="1" applyNumberFormat="1" applyFont="1" applyBorder="1"/>
    <xf numFmtId="49" fontId="2" fillId="0" borderId="62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63" xfId="1" applyNumberFormat="1" applyFont="1" applyBorder="1"/>
    <xf numFmtId="176" fontId="2" fillId="0" borderId="63" xfId="1" applyNumberFormat="1" applyFont="1" applyBorder="1"/>
    <xf numFmtId="2" fontId="2" fillId="0" borderId="18" xfId="1" applyNumberFormat="1" applyFont="1" applyBorder="1"/>
    <xf numFmtId="3" fontId="2" fillId="0" borderId="64" xfId="1" applyNumberFormat="1" applyFont="1" applyBorder="1"/>
    <xf numFmtId="3" fontId="2" fillId="0" borderId="63" xfId="1" applyNumberFormat="1" applyFont="1" applyBorder="1"/>
    <xf numFmtId="3" fontId="2" fillId="0" borderId="18" xfId="1" applyNumberFormat="1" applyFont="1" applyBorder="1"/>
    <xf numFmtId="3" fontId="2" fillId="0" borderId="24" xfId="1" applyNumberFormat="1" applyFont="1" applyBorder="1"/>
    <xf numFmtId="49" fontId="2" fillId="0" borderId="18" xfId="1" applyNumberFormat="1" applyFont="1" applyBorder="1"/>
    <xf numFmtId="0" fontId="2" fillId="0" borderId="62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49" fontId="2" fillId="0" borderId="40" xfId="1" applyNumberFormat="1" applyFont="1" applyBorder="1" applyAlignment="1">
      <alignment horizontal="left"/>
    </xf>
    <xf numFmtId="49" fontId="2" fillId="0" borderId="63" xfId="1" applyNumberFormat="1" applyFont="1" applyBorder="1" applyAlignment="1">
      <alignment horizontal="left"/>
    </xf>
    <xf numFmtId="49" fontId="2" fillId="0" borderId="8" xfId="1" applyNumberFormat="1" applyFont="1" applyBorder="1" applyAlignment="1">
      <alignment horizontal="left"/>
    </xf>
    <xf numFmtId="49" fontId="2" fillId="0" borderId="18" xfId="1" applyNumberFormat="1" applyFont="1" applyBorder="1" applyAlignment="1">
      <alignment horizontal="left"/>
    </xf>
    <xf numFmtId="49" fontId="2" fillId="0" borderId="64" xfId="1" applyNumberFormat="1" applyFont="1" applyBorder="1" applyAlignment="1">
      <alignment horizontal="left"/>
    </xf>
    <xf numFmtId="49" fontId="2" fillId="0" borderId="24" xfId="1" applyNumberFormat="1" applyFont="1" applyBorder="1" applyAlignment="1">
      <alignment horizontal="left"/>
    </xf>
    <xf numFmtId="49" fontId="2" fillId="0" borderId="7" xfId="1" applyNumberFormat="1" applyFont="1" applyBorder="1" applyAlignment="1">
      <alignment horizontal="left"/>
    </xf>
  </cellXfs>
  <cellStyles count="2">
    <cellStyle name="標準" xfId="0" builtinId="0"/>
    <cellStyle name="標準 2" xfId="1" xr:uid="{F7BEAB7F-8703-4D58-B6F9-BC7E1C747A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B160-9CA6-49AD-A816-E16A9524B3E1}">
  <dimension ref="A1:AB51"/>
  <sheetViews>
    <sheetView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28" width="10.375" style="2" customWidth="1"/>
    <col min="29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1" width="13.25" style="2" bestFit="1" customWidth="1"/>
    <col min="262" max="262" width="11.125" style="2" bestFit="1" customWidth="1"/>
    <col min="263" max="263" width="9" style="2" bestFit="1"/>
    <col min="264" max="274" width="11.125" style="2" bestFit="1" customWidth="1"/>
    <col min="275" max="275" width="9" style="2" bestFit="1"/>
    <col min="276" max="282" width="11.125" style="2" bestFit="1" customWidth="1"/>
    <col min="283" max="283" width="9" style="2" bestFit="1"/>
    <col min="284" max="284" width="9.625" style="2" bestFit="1" customWidth="1"/>
    <col min="285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7" width="13.25" style="2" bestFit="1" customWidth="1"/>
    <col min="518" max="518" width="11.125" style="2" bestFit="1" customWidth="1"/>
    <col min="519" max="519" width="9" style="2" bestFit="1"/>
    <col min="520" max="530" width="11.125" style="2" bestFit="1" customWidth="1"/>
    <col min="531" max="531" width="9" style="2" bestFit="1"/>
    <col min="532" max="538" width="11.125" style="2" bestFit="1" customWidth="1"/>
    <col min="539" max="539" width="9" style="2" bestFit="1"/>
    <col min="540" max="540" width="9.625" style="2" bestFit="1" customWidth="1"/>
    <col min="541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3" width="13.25" style="2" bestFit="1" customWidth="1"/>
    <col min="774" max="774" width="11.125" style="2" bestFit="1" customWidth="1"/>
    <col min="775" max="775" width="9" style="2" bestFit="1"/>
    <col min="776" max="786" width="11.125" style="2" bestFit="1" customWidth="1"/>
    <col min="787" max="787" width="9" style="2" bestFit="1"/>
    <col min="788" max="794" width="11.125" style="2" bestFit="1" customWidth="1"/>
    <col min="795" max="795" width="9" style="2" bestFit="1"/>
    <col min="796" max="796" width="9.625" style="2" bestFit="1" customWidth="1"/>
    <col min="797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29" width="13.25" style="2" bestFit="1" customWidth="1"/>
    <col min="1030" max="1030" width="11.125" style="2" bestFit="1" customWidth="1"/>
    <col min="1031" max="1031" width="9" style="2" bestFit="1"/>
    <col min="1032" max="1042" width="11.125" style="2" bestFit="1" customWidth="1"/>
    <col min="1043" max="1043" width="9" style="2" bestFit="1"/>
    <col min="1044" max="1050" width="11.125" style="2" bestFit="1" customWidth="1"/>
    <col min="1051" max="1051" width="9" style="2" bestFit="1"/>
    <col min="1052" max="1052" width="9.625" style="2" bestFit="1" customWidth="1"/>
    <col min="1053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5" width="13.25" style="2" bestFit="1" customWidth="1"/>
    <col min="1286" max="1286" width="11.125" style="2" bestFit="1" customWidth="1"/>
    <col min="1287" max="1287" width="9" style="2" bestFit="1"/>
    <col min="1288" max="1298" width="11.125" style="2" bestFit="1" customWidth="1"/>
    <col min="1299" max="1299" width="9" style="2" bestFit="1"/>
    <col min="1300" max="1306" width="11.125" style="2" bestFit="1" customWidth="1"/>
    <col min="1307" max="1307" width="9" style="2" bestFit="1"/>
    <col min="1308" max="1308" width="9.625" style="2" bestFit="1" customWidth="1"/>
    <col min="1309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1" width="13.25" style="2" bestFit="1" customWidth="1"/>
    <col min="1542" max="1542" width="11.125" style="2" bestFit="1" customWidth="1"/>
    <col min="1543" max="1543" width="9" style="2" bestFit="1"/>
    <col min="1544" max="1554" width="11.125" style="2" bestFit="1" customWidth="1"/>
    <col min="1555" max="1555" width="9" style="2" bestFit="1"/>
    <col min="1556" max="1562" width="11.125" style="2" bestFit="1" customWidth="1"/>
    <col min="1563" max="1563" width="9" style="2" bestFit="1"/>
    <col min="1564" max="1564" width="9.625" style="2" bestFit="1" customWidth="1"/>
    <col min="1565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7" width="13.25" style="2" bestFit="1" customWidth="1"/>
    <col min="1798" max="1798" width="11.125" style="2" bestFit="1" customWidth="1"/>
    <col min="1799" max="1799" width="9" style="2" bestFit="1"/>
    <col min="1800" max="1810" width="11.125" style="2" bestFit="1" customWidth="1"/>
    <col min="1811" max="1811" width="9" style="2" bestFit="1"/>
    <col min="1812" max="1818" width="11.125" style="2" bestFit="1" customWidth="1"/>
    <col min="1819" max="1819" width="9" style="2" bestFit="1"/>
    <col min="1820" max="1820" width="9.625" style="2" bestFit="1" customWidth="1"/>
    <col min="1821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3" width="13.25" style="2" bestFit="1" customWidth="1"/>
    <col min="2054" max="2054" width="11.125" style="2" bestFit="1" customWidth="1"/>
    <col min="2055" max="2055" width="9" style="2" bestFit="1"/>
    <col min="2056" max="2066" width="11.125" style="2" bestFit="1" customWidth="1"/>
    <col min="2067" max="2067" width="9" style="2" bestFit="1"/>
    <col min="2068" max="2074" width="11.125" style="2" bestFit="1" customWidth="1"/>
    <col min="2075" max="2075" width="9" style="2" bestFit="1"/>
    <col min="2076" max="2076" width="9.625" style="2" bestFit="1" customWidth="1"/>
    <col min="2077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09" width="13.25" style="2" bestFit="1" customWidth="1"/>
    <col min="2310" max="2310" width="11.125" style="2" bestFit="1" customWidth="1"/>
    <col min="2311" max="2311" width="9" style="2" bestFit="1"/>
    <col min="2312" max="2322" width="11.125" style="2" bestFit="1" customWidth="1"/>
    <col min="2323" max="2323" width="9" style="2" bestFit="1"/>
    <col min="2324" max="2330" width="11.125" style="2" bestFit="1" customWidth="1"/>
    <col min="2331" max="2331" width="9" style="2" bestFit="1"/>
    <col min="2332" max="2332" width="9.625" style="2" bestFit="1" customWidth="1"/>
    <col min="2333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5" width="13.25" style="2" bestFit="1" customWidth="1"/>
    <col min="2566" max="2566" width="11.125" style="2" bestFit="1" customWidth="1"/>
    <col min="2567" max="2567" width="9" style="2" bestFit="1"/>
    <col min="2568" max="2578" width="11.125" style="2" bestFit="1" customWidth="1"/>
    <col min="2579" max="2579" width="9" style="2" bestFit="1"/>
    <col min="2580" max="2586" width="11.125" style="2" bestFit="1" customWidth="1"/>
    <col min="2587" max="2587" width="9" style="2" bestFit="1"/>
    <col min="2588" max="2588" width="9.625" style="2" bestFit="1" customWidth="1"/>
    <col min="2589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1" width="13.25" style="2" bestFit="1" customWidth="1"/>
    <col min="2822" max="2822" width="11.125" style="2" bestFit="1" customWidth="1"/>
    <col min="2823" max="2823" width="9" style="2" bestFit="1"/>
    <col min="2824" max="2834" width="11.125" style="2" bestFit="1" customWidth="1"/>
    <col min="2835" max="2835" width="9" style="2" bestFit="1"/>
    <col min="2836" max="2842" width="11.125" style="2" bestFit="1" customWidth="1"/>
    <col min="2843" max="2843" width="9" style="2" bestFit="1"/>
    <col min="2844" max="2844" width="9.625" style="2" bestFit="1" customWidth="1"/>
    <col min="2845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7" width="13.25" style="2" bestFit="1" customWidth="1"/>
    <col min="3078" max="3078" width="11.125" style="2" bestFit="1" customWidth="1"/>
    <col min="3079" max="3079" width="9" style="2" bestFit="1"/>
    <col min="3080" max="3090" width="11.125" style="2" bestFit="1" customWidth="1"/>
    <col min="3091" max="3091" width="9" style="2" bestFit="1"/>
    <col min="3092" max="3098" width="11.125" style="2" bestFit="1" customWidth="1"/>
    <col min="3099" max="3099" width="9" style="2" bestFit="1"/>
    <col min="3100" max="3100" width="9.625" style="2" bestFit="1" customWidth="1"/>
    <col min="3101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3" width="13.25" style="2" bestFit="1" customWidth="1"/>
    <col min="3334" max="3334" width="11.125" style="2" bestFit="1" customWidth="1"/>
    <col min="3335" max="3335" width="9" style="2" bestFit="1"/>
    <col min="3336" max="3346" width="11.125" style="2" bestFit="1" customWidth="1"/>
    <col min="3347" max="3347" width="9" style="2" bestFit="1"/>
    <col min="3348" max="3354" width="11.125" style="2" bestFit="1" customWidth="1"/>
    <col min="3355" max="3355" width="9" style="2" bestFit="1"/>
    <col min="3356" max="3356" width="9.625" style="2" bestFit="1" customWidth="1"/>
    <col min="3357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89" width="13.25" style="2" bestFit="1" customWidth="1"/>
    <col min="3590" max="3590" width="11.125" style="2" bestFit="1" customWidth="1"/>
    <col min="3591" max="3591" width="9" style="2" bestFit="1"/>
    <col min="3592" max="3602" width="11.125" style="2" bestFit="1" customWidth="1"/>
    <col min="3603" max="3603" width="9" style="2" bestFit="1"/>
    <col min="3604" max="3610" width="11.125" style="2" bestFit="1" customWidth="1"/>
    <col min="3611" max="3611" width="9" style="2" bestFit="1"/>
    <col min="3612" max="3612" width="9.625" style="2" bestFit="1" customWidth="1"/>
    <col min="3613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5" width="13.25" style="2" bestFit="1" customWidth="1"/>
    <col min="3846" max="3846" width="11.125" style="2" bestFit="1" customWidth="1"/>
    <col min="3847" max="3847" width="9" style="2" bestFit="1"/>
    <col min="3848" max="3858" width="11.125" style="2" bestFit="1" customWidth="1"/>
    <col min="3859" max="3859" width="9" style="2" bestFit="1"/>
    <col min="3860" max="3866" width="11.125" style="2" bestFit="1" customWidth="1"/>
    <col min="3867" max="3867" width="9" style="2" bestFit="1"/>
    <col min="3868" max="3868" width="9.625" style="2" bestFit="1" customWidth="1"/>
    <col min="3869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1" width="13.25" style="2" bestFit="1" customWidth="1"/>
    <col min="4102" max="4102" width="11.125" style="2" bestFit="1" customWidth="1"/>
    <col min="4103" max="4103" width="9" style="2" bestFit="1"/>
    <col min="4104" max="4114" width="11.125" style="2" bestFit="1" customWidth="1"/>
    <col min="4115" max="4115" width="9" style="2" bestFit="1"/>
    <col min="4116" max="4122" width="11.125" style="2" bestFit="1" customWidth="1"/>
    <col min="4123" max="4123" width="9" style="2" bestFit="1"/>
    <col min="4124" max="4124" width="9.625" style="2" bestFit="1" customWidth="1"/>
    <col min="4125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7" width="13.25" style="2" bestFit="1" customWidth="1"/>
    <col min="4358" max="4358" width="11.125" style="2" bestFit="1" customWidth="1"/>
    <col min="4359" max="4359" width="9" style="2" bestFit="1"/>
    <col min="4360" max="4370" width="11.125" style="2" bestFit="1" customWidth="1"/>
    <col min="4371" max="4371" width="9" style="2" bestFit="1"/>
    <col min="4372" max="4378" width="11.125" style="2" bestFit="1" customWidth="1"/>
    <col min="4379" max="4379" width="9" style="2" bestFit="1"/>
    <col min="4380" max="4380" width="9.625" style="2" bestFit="1" customWidth="1"/>
    <col min="4381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3" width="13.25" style="2" bestFit="1" customWidth="1"/>
    <col min="4614" max="4614" width="11.125" style="2" bestFit="1" customWidth="1"/>
    <col min="4615" max="4615" width="9" style="2" bestFit="1"/>
    <col min="4616" max="4626" width="11.125" style="2" bestFit="1" customWidth="1"/>
    <col min="4627" max="4627" width="9" style="2" bestFit="1"/>
    <col min="4628" max="4634" width="11.125" style="2" bestFit="1" customWidth="1"/>
    <col min="4635" max="4635" width="9" style="2" bestFit="1"/>
    <col min="4636" max="4636" width="9.625" style="2" bestFit="1" customWidth="1"/>
    <col min="4637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69" width="13.25" style="2" bestFit="1" customWidth="1"/>
    <col min="4870" max="4870" width="11.125" style="2" bestFit="1" customWidth="1"/>
    <col min="4871" max="4871" width="9" style="2" bestFit="1"/>
    <col min="4872" max="4882" width="11.125" style="2" bestFit="1" customWidth="1"/>
    <col min="4883" max="4883" width="9" style="2" bestFit="1"/>
    <col min="4884" max="4890" width="11.125" style="2" bestFit="1" customWidth="1"/>
    <col min="4891" max="4891" width="9" style="2" bestFit="1"/>
    <col min="4892" max="4892" width="9.625" style="2" bestFit="1" customWidth="1"/>
    <col min="4893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5" width="13.25" style="2" bestFit="1" customWidth="1"/>
    <col min="5126" max="5126" width="11.125" style="2" bestFit="1" customWidth="1"/>
    <col min="5127" max="5127" width="9" style="2" bestFit="1"/>
    <col min="5128" max="5138" width="11.125" style="2" bestFit="1" customWidth="1"/>
    <col min="5139" max="5139" width="9" style="2" bestFit="1"/>
    <col min="5140" max="5146" width="11.125" style="2" bestFit="1" customWidth="1"/>
    <col min="5147" max="5147" width="9" style="2" bestFit="1"/>
    <col min="5148" max="5148" width="9.625" style="2" bestFit="1" customWidth="1"/>
    <col min="5149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1" width="13.25" style="2" bestFit="1" customWidth="1"/>
    <col min="5382" max="5382" width="11.125" style="2" bestFit="1" customWidth="1"/>
    <col min="5383" max="5383" width="9" style="2" bestFit="1"/>
    <col min="5384" max="5394" width="11.125" style="2" bestFit="1" customWidth="1"/>
    <col min="5395" max="5395" width="9" style="2" bestFit="1"/>
    <col min="5396" max="5402" width="11.125" style="2" bestFit="1" customWidth="1"/>
    <col min="5403" max="5403" width="9" style="2" bestFit="1"/>
    <col min="5404" max="5404" width="9.625" style="2" bestFit="1" customWidth="1"/>
    <col min="5405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7" width="13.25" style="2" bestFit="1" customWidth="1"/>
    <col min="5638" max="5638" width="11.125" style="2" bestFit="1" customWidth="1"/>
    <col min="5639" max="5639" width="9" style="2" bestFit="1"/>
    <col min="5640" max="5650" width="11.125" style="2" bestFit="1" customWidth="1"/>
    <col min="5651" max="5651" width="9" style="2" bestFit="1"/>
    <col min="5652" max="5658" width="11.125" style="2" bestFit="1" customWidth="1"/>
    <col min="5659" max="5659" width="9" style="2" bestFit="1"/>
    <col min="5660" max="5660" width="9.625" style="2" bestFit="1" customWidth="1"/>
    <col min="5661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3" width="13.25" style="2" bestFit="1" customWidth="1"/>
    <col min="5894" max="5894" width="11.125" style="2" bestFit="1" customWidth="1"/>
    <col min="5895" max="5895" width="9" style="2" bestFit="1"/>
    <col min="5896" max="5906" width="11.125" style="2" bestFit="1" customWidth="1"/>
    <col min="5907" max="5907" width="9" style="2" bestFit="1"/>
    <col min="5908" max="5914" width="11.125" style="2" bestFit="1" customWidth="1"/>
    <col min="5915" max="5915" width="9" style="2" bestFit="1"/>
    <col min="5916" max="5916" width="9.625" style="2" bestFit="1" customWidth="1"/>
    <col min="5917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49" width="13.25" style="2" bestFit="1" customWidth="1"/>
    <col min="6150" max="6150" width="11.125" style="2" bestFit="1" customWidth="1"/>
    <col min="6151" max="6151" width="9" style="2" bestFit="1"/>
    <col min="6152" max="6162" width="11.125" style="2" bestFit="1" customWidth="1"/>
    <col min="6163" max="6163" width="9" style="2" bestFit="1"/>
    <col min="6164" max="6170" width="11.125" style="2" bestFit="1" customWidth="1"/>
    <col min="6171" max="6171" width="9" style="2" bestFit="1"/>
    <col min="6172" max="6172" width="9.625" style="2" bestFit="1" customWidth="1"/>
    <col min="6173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5" width="13.25" style="2" bestFit="1" customWidth="1"/>
    <col min="6406" max="6406" width="11.125" style="2" bestFit="1" customWidth="1"/>
    <col min="6407" max="6407" width="9" style="2" bestFit="1"/>
    <col min="6408" max="6418" width="11.125" style="2" bestFit="1" customWidth="1"/>
    <col min="6419" max="6419" width="9" style="2" bestFit="1"/>
    <col min="6420" max="6426" width="11.125" style="2" bestFit="1" customWidth="1"/>
    <col min="6427" max="6427" width="9" style="2" bestFit="1"/>
    <col min="6428" max="6428" width="9.625" style="2" bestFit="1" customWidth="1"/>
    <col min="6429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1" width="13.25" style="2" bestFit="1" customWidth="1"/>
    <col min="6662" max="6662" width="11.125" style="2" bestFit="1" customWidth="1"/>
    <col min="6663" max="6663" width="9" style="2" bestFit="1"/>
    <col min="6664" max="6674" width="11.125" style="2" bestFit="1" customWidth="1"/>
    <col min="6675" max="6675" width="9" style="2" bestFit="1"/>
    <col min="6676" max="6682" width="11.125" style="2" bestFit="1" customWidth="1"/>
    <col min="6683" max="6683" width="9" style="2" bestFit="1"/>
    <col min="6684" max="6684" width="9.625" style="2" bestFit="1" customWidth="1"/>
    <col min="6685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7" width="13.25" style="2" bestFit="1" customWidth="1"/>
    <col min="6918" max="6918" width="11.125" style="2" bestFit="1" customWidth="1"/>
    <col min="6919" max="6919" width="9" style="2" bestFit="1"/>
    <col min="6920" max="6930" width="11.125" style="2" bestFit="1" customWidth="1"/>
    <col min="6931" max="6931" width="9" style="2" bestFit="1"/>
    <col min="6932" max="6938" width="11.125" style="2" bestFit="1" customWidth="1"/>
    <col min="6939" max="6939" width="9" style="2" bestFit="1"/>
    <col min="6940" max="6940" width="9.625" style="2" bestFit="1" customWidth="1"/>
    <col min="6941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3" width="13.25" style="2" bestFit="1" customWidth="1"/>
    <col min="7174" max="7174" width="11.125" style="2" bestFit="1" customWidth="1"/>
    <col min="7175" max="7175" width="9" style="2" bestFit="1"/>
    <col min="7176" max="7186" width="11.125" style="2" bestFit="1" customWidth="1"/>
    <col min="7187" max="7187" width="9" style="2" bestFit="1"/>
    <col min="7188" max="7194" width="11.125" style="2" bestFit="1" customWidth="1"/>
    <col min="7195" max="7195" width="9" style="2" bestFit="1"/>
    <col min="7196" max="7196" width="9.625" style="2" bestFit="1" customWidth="1"/>
    <col min="7197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29" width="13.25" style="2" bestFit="1" customWidth="1"/>
    <col min="7430" max="7430" width="11.125" style="2" bestFit="1" customWidth="1"/>
    <col min="7431" max="7431" width="9" style="2" bestFit="1"/>
    <col min="7432" max="7442" width="11.125" style="2" bestFit="1" customWidth="1"/>
    <col min="7443" max="7443" width="9" style="2" bestFit="1"/>
    <col min="7444" max="7450" width="11.125" style="2" bestFit="1" customWidth="1"/>
    <col min="7451" max="7451" width="9" style="2" bestFit="1"/>
    <col min="7452" max="7452" width="9.625" style="2" bestFit="1" customWidth="1"/>
    <col min="7453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5" width="13.25" style="2" bestFit="1" customWidth="1"/>
    <col min="7686" max="7686" width="11.125" style="2" bestFit="1" customWidth="1"/>
    <col min="7687" max="7687" width="9" style="2" bestFit="1"/>
    <col min="7688" max="7698" width="11.125" style="2" bestFit="1" customWidth="1"/>
    <col min="7699" max="7699" width="9" style="2" bestFit="1"/>
    <col min="7700" max="7706" width="11.125" style="2" bestFit="1" customWidth="1"/>
    <col min="7707" max="7707" width="9" style="2" bestFit="1"/>
    <col min="7708" max="7708" width="9.625" style="2" bestFit="1" customWidth="1"/>
    <col min="7709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1" width="13.25" style="2" bestFit="1" customWidth="1"/>
    <col min="7942" max="7942" width="11.125" style="2" bestFit="1" customWidth="1"/>
    <col min="7943" max="7943" width="9" style="2" bestFit="1"/>
    <col min="7944" max="7954" width="11.125" style="2" bestFit="1" customWidth="1"/>
    <col min="7955" max="7955" width="9" style="2" bestFit="1"/>
    <col min="7956" max="7962" width="11.125" style="2" bestFit="1" customWidth="1"/>
    <col min="7963" max="7963" width="9" style="2" bestFit="1"/>
    <col min="7964" max="7964" width="9.625" style="2" bestFit="1" customWidth="1"/>
    <col min="7965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7" width="13.25" style="2" bestFit="1" customWidth="1"/>
    <col min="8198" max="8198" width="11.125" style="2" bestFit="1" customWidth="1"/>
    <col min="8199" max="8199" width="9" style="2" bestFit="1"/>
    <col min="8200" max="8210" width="11.125" style="2" bestFit="1" customWidth="1"/>
    <col min="8211" max="8211" width="9" style="2" bestFit="1"/>
    <col min="8212" max="8218" width="11.125" style="2" bestFit="1" customWidth="1"/>
    <col min="8219" max="8219" width="9" style="2" bestFit="1"/>
    <col min="8220" max="8220" width="9.625" style="2" bestFit="1" customWidth="1"/>
    <col min="8221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3" width="13.25" style="2" bestFit="1" customWidth="1"/>
    <col min="8454" max="8454" width="11.125" style="2" bestFit="1" customWidth="1"/>
    <col min="8455" max="8455" width="9" style="2" bestFit="1"/>
    <col min="8456" max="8466" width="11.125" style="2" bestFit="1" customWidth="1"/>
    <col min="8467" max="8467" width="9" style="2" bestFit="1"/>
    <col min="8468" max="8474" width="11.125" style="2" bestFit="1" customWidth="1"/>
    <col min="8475" max="8475" width="9" style="2" bestFit="1"/>
    <col min="8476" max="8476" width="9.625" style="2" bestFit="1" customWidth="1"/>
    <col min="8477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09" width="13.25" style="2" bestFit="1" customWidth="1"/>
    <col min="8710" max="8710" width="11.125" style="2" bestFit="1" customWidth="1"/>
    <col min="8711" max="8711" width="9" style="2" bestFit="1"/>
    <col min="8712" max="8722" width="11.125" style="2" bestFit="1" customWidth="1"/>
    <col min="8723" max="8723" width="9" style="2" bestFit="1"/>
    <col min="8724" max="8730" width="11.125" style="2" bestFit="1" customWidth="1"/>
    <col min="8731" max="8731" width="9" style="2" bestFit="1"/>
    <col min="8732" max="8732" width="9.625" style="2" bestFit="1" customWidth="1"/>
    <col min="8733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5" width="13.25" style="2" bestFit="1" customWidth="1"/>
    <col min="8966" max="8966" width="11.125" style="2" bestFit="1" customWidth="1"/>
    <col min="8967" max="8967" width="9" style="2" bestFit="1"/>
    <col min="8968" max="8978" width="11.125" style="2" bestFit="1" customWidth="1"/>
    <col min="8979" max="8979" width="9" style="2" bestFit="1"/>
    <col min="8980" max="8986" width="11.125" style="2" bestFit="1" customWidth="1"/>
    <col min="8987" max="8987" width="9" style="2" bestFit="1"/>
    <col min="8988" max="8988" width="9.625" style="2" bestFit="1" customWidth="1"/>
    <col min="8989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1" width="13.25" style="2" bestFit="1" customWidth="1"/>
    <col min="9222" max="9222" width="11.125" style="2" bestFit="1" customWidth="1"/>
    <col min="9223" max="9223" width="9" style="2" bestFit="1"/>
    <col min="9224" max="9234" width="11.125" style="2" bestFit="1" customWidth="1"/>
    <col min="9235" max="9235" width="9" style="2" bestFit="1"/>
    <col min="9236" max="9242" width="11.125" style="2" bestFit="1" customWidth="1"/>
    <col min="9243" max="9243" width="9" style="2" bestFit="1"/>
    <col min="9244" max="9244" width="9.625" style="2" bestFit="1" customWidth="1"/>
    <col min="9245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7" width="13.25" style="2" bestFit="1" customWidth="1"/>
    <col min="9478" max="9478" width="11.125" style="2" bestFit="1" customWidth="1"/>
    <col min="9479" max="9479" width="9" style="2" bestFit="1"/>
    <col min="9480" max="9490" width="11.125" style="2" bestFit="1" customWidth="1"/>
    <col min="9491" max="9491" width="9" style="2" bestFit="1"/>
    <col min="9492" max="9498" width="11.125" style="2" bestFit="1" customWidth="1"/>
    <col min="9499" max="9499" width="9" style="2" bestFit="1"/>
    <col min="9500" max="9500" width="9.625" style="2" bestFit="1" customWidth="1"/>
    <col min="9501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3" width="13.25" style="2" bestFit="1" customWidth="1"/>
    <col min="9734" max="9734" width="11.125" style="2" bestFit="1" customWidth="1"/>
    <col min="9735" max="9735" width="9" style="2" bestFit="1"/>
    <col min="9736" max="9746" width="11.125" style="2" bestFit="1" customWidth="1"/>
    <col min="9747" max="9747" width="9" style="2" bestFit="1"/>
    <col min="9748" max="9754" width="11.125" style="2" bestFit="1" customWidth="1"/>
    <col min="9755" max="9755" width="9" style="2" bestFit="1"/>
    <col min="9756" max="9756" width="9.625" style="2" bestFit="1" customWidth="1"/>
    <col min="9757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89" width="13.25" style="2" bestFit="1" customWidth="1"/>
    <col min="9990" max="9990" width="11.125" style="2" bestFit="1" customWidth="1"/>
    <col min="9991" max="9991" width="9" style="2" bestFit="1"/>
    <col min="9992" max="10002" width="11.125" style="2" bestFit="1" customWidth="1"/>
    <col min="10003" max="10003" width="9" style="2" bestFit="1"/>
    <col min="10004" max="10010" width="11.125" style="2" bestFit="1" customWidth="1"/>
    <col min="10011" max="10011" width="9" style="2" bestFit="1"/>
    <col min="10012" max="10012" width="9.625" style="2" bestFit="1" customWidth="1"/>
    <col min="10013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5" width="13.25" style="2" bestFit="1" customWidth="1"/>
    <col min="10246" max="10246" width="11.125" style="2" bestFit="1" customWidth="1"/>
    <col min="10247" max="10247" width="9" style="2" bestFit="1"/>
    <col min="10248" max="10258" width="11.125" style="2" bestFit="1" customWidth="1"/>
    <col min="10259" max="10259" width="9" style="2" bestFit="1"/>
    <col min="10260" max="10266" width="11.125" style="2" bestFit="1" customWidth="1"/>
    <col min="10267" max="10267" width="9" style="2" bestFit="1"/>
    <col min="10268" max="10268" width="9.625" style="2" bestFit="1" customWidth="1"/>
    <col min="10269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1" width="13.25" style="2" bestFit="1" customWidth="1"/>
    <col min="10502" max="10502" width="11.125" style="2" bestFit="1" customWidth="1"/>
    <col min="10503" max="10503" width="9" style="2" bestFit="1"/>
    <col min="10504" max="10514" width="11.125" style="2" bestFit="1" customWidth="1"/>
    <col min="10515" max="10515" width="9" style="2" bestFit="1"/>
    <col min="10516" max="10522" width="11.125" style="2" bestFit="1" customWidth="1"/>
    <col min="10523" max="10523" width="9" style="2" bestFit="1"/>
    <col min="10524" max="10524" width="9.625" style="2" bestFit="1" customWidth="1"/>
    <col min="10525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7" width="13.25" style="2" bestFit="1" customWidth="1"/>
    <col min="10758" max="10758" width="11.125" style="2" bestFit="1" customWidth="1"/>
    <col min="10759" max="10759" width="9" style="2" bestFit="1"/>
    <col min="10760" max="10770" width="11.125" style="2" bestFit="1" customWidth="1"/>
    <col min="10771" max="10771" width="9" style="2" bestFit="1"/>
    <col min="10772" max="10778" width="11.125" style="2" bestFit="1" customWidth="1"/>
    <col min="10779" max="10779" width="9" style="2" bestFit="1"/>
    <col min="10780" max="10780" width="9.625" style="2" bestFit="1" customWidth="1"/>
    <col min="10781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3" width="13.25" style="2" bestFit="1" customWidth="1"/>
    <col min="11014" max="11014" width="11.125" style="2" bestFit="1" customWidth="1"/>
    <col min="11015" max="11015" width="9" style="2" bestFit="1"/>
    <col min="11016" max="11026" width="11.125" style="2" bestFit="1" customWidth="1"/>
    <col min="11027" max="11027" width="9" style="2" bestFit="1"/>
    <col min="11028" max="11034" width="11.125" style="2" bestFit="1" customWidth="1"/>
    <col min="11035" max="11035" width="9" style="2" bestFit="1"/>
    <col min="11036" max="11036" width="9.625" style="2" bestFit="1" customWidth="1"/>
    <col min="11037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69" width="13.25" style="2" bestFit="1" customWidth="1"/>
    <col min="11270" max="11270" width="11.125" style="2" bestFit="1" customWidth="1"/>
    <col min="11271" max="11271" width="9" style="2" bestFit="1"/>
    <col min="11272" max="11282" width="11.125" style="2" bestFit="1" customWidth="1"/>
    <col min="11283" max="11283" width="9" style="2" bestFit="1"/>
    <col min="11284" max="11290" width="11.125" style="2" bestFit="1" customWidth="1"/>
    <col min="11291" max="11291" width="9" style="2" bestFit="1"/>
    <col min="11292" max="11292" width="9.625" style="2" bestFit="1" customWidth="1"/>
    <col min="11293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5" width="13.25" style="2" bestFit="1" customWidth="1"/>
    <col min="11526" max="11526" width="11.125" style="2" bestFit="1" customWidth="1"/>
    <col min="11527" max="11527" width="9" style="2" bestFit="1"/>
    <col min="11528" max="11538" width="11.125" style="2" bestFit="1" customWidth="1"/>
    <col min="11539" max="11539" width="9" style="2" bestFit="1"/>
    <col min="11540" max="11546" width="11.125" style="2" bestFit="1" customWidth="1"/>
    <col min="11547" max="11547" width="9" style="2" bestFit="1"/>
    <col min="11548" max="11548" width="9.625" style="2" bestFit="1" customWidth="1"/>
    <col min="11549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1" width="13.25" style="2" bestFit="1" customWidth="1"/>
    <col min="11782" max="11782" width="11.125" style="2" bestFit="1" customWidth="1"/>
    <col min="11783" max="11783" width="9" style="2" bestFit="1"/>
    <col min="11784" max="11794" width="11.125" style="2" bestFit="1" customWidth="1"/>
    <col min="11795" max="11795" width="9" style="2" bestFit="1"/>
    <col min="11796" max="11802" width="11.125" style="2" bestFit="1" customWidth="1"/>
    <col min="11803" max="11803" width="9" style="2" bestFit="1"/>
    <col min="11804" max="11804" width="9.625" style="2" bestFit="1" customWidth="1"/>
    <col min="11805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7" width="13.25" style="2" bestFit="1" customWidth="1"/>
    <col min="12038" max="12038" width="11.125" style="2" bestFit="1" customWidth="1"/>
    <col min="12039" max="12039" width="9" style="2" bestFit="1"/>
    <col min="12040" max="12050" width="11.125" style="2" bestFit="1" customWidth="1"/>
    <col min="12051" max="12051" width="9" style="2" bestFit="1"/>
    <col min="12052" max="12058" width="11.125" style="2" bestFit="1" customWidth="1"/>
    <col min="12059" max="12059" width="9" style="2" bestFit="1"/>
    <col min="12060" max="12060" width="9.625" style="2" bestFit="1" customWidth="1"/>
    <col min="12061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3" width="13.25" style="2" bestFit="1" customWidth="1"/>
    <col min="12294" max="12294" width="11.125" style="2" bestFit="1" customWidth="1"/>
    <col min="12295" max="12295" width="9" style="2" bestFit="1"/>
    <col min="12296" max="12306" width="11.125" style="2" bestFit="1" customWidth="1"/>
    <col min="12307" max="12307" width="9" style="2" bestFit="1"/>
    <col min="12308" max="12314" width="11.125" style="2" bestFit="1" customWidth="1"/>
    <col min="12315" max="12315" width="9" style="2" bestFit="1"/>
    <col min="12316" max="12316" width="9.625" style="2" bestFit="1" customWidth="1"/>
    <col min="12317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49" width="13.25" style="2" bestFit="1" customWidth="1"/>
    <col min="12550" max="12550" width="11.125" style="2" bestFit="1" customWidth="1"/>
    <col min="12551" max="12551" width="9" style="2" bestFit="1"/>
    <col min="12552" max="12562" width="11.125" style="2" bestFit="1" customWidth="1"/>
    <col min="12563" max="12563" width="9" style="2" bestFit="1"/>
    <col min="12564" max="12570" width="11.125" style="2" bestFit="1" customWidth="1"/>
    <col min="12571" max="12571" width="9" style="2" bestFit="1"/>
    <col min="12572" max="12572" width="9.625" style="2" bestFit="1" customWidth="1"/>
    <col min="12573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5" width="13.25" style="2" bestFit="1" customWidth="1"/>
    <col min="12806" max="12806" width="11.125" style="2" bestFit="1" customWidth="1"/>
    <col min="12807" max="12807" width="9" style="2" bestFit="1"/>
    <col min="12808" max="12818" width="11.125" style="2" bestFit="1" customWidth="1"/>
    <col min="12819" max="12819" width="9" style="2" bestFit="1"/>
    <col min="12820" max="12826" width="11.125" style="2" bestFit="1" customWidth="1"/>
    <col min="12827" max="12827" width="9" style="2" bestFit="1"/>
    <col min="12828" max="12828" width="9.625" style="2" bestFit="1" customWidth="1"/>
    <col min="12829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1" width="13.25" style="2" bestFit="1" customWidth="1"/>
    <col min="13062" max="13062" width="11.125" style="2" bestFit="1" customWidth="1"/>
    <col min="13063" max="13063" width="9" style="2" bestFit="1"/>
    <col min="13064" max="13074" width="11.125" style="2" bestFit="1" customWidth="1"/>
    <col min="13075" max="13075" width="9" style="2" bestFit="1"/>
    <col min="13076" max="13082" width="11.125" style="2" bestFit="1" customWidth="1"/>
    <col min="13083" max="13083" width="9" style="2" bestFit="1"/>
    <col min="13084" max="13084" width="9.625" style="2" bestFit="1" customWidth="1"/>
    <col min="13085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7" width="13.25" style="2" bestFit="1" customWidth="1"/>
    <col min="13318" max="13318" width="11.125" style="2" bestFit="1" customWidth="1"/>
    <col min="13319" max="13319" width="9" style="2" bestFit="1"/>
    <col min="13320" max="13330" width="11.125" style="2" bestFit="1" customWidth="1"/>
    <col min="13331" max="13331" width="9" style="2" bestFit="1"/>
    <col min="13332" max="13338" width="11.125" style="2" bestFit="1" customWidth="1"/>
    <col min="13339" max="13339" width="9" style="2" bestFit="1"/>
    <col min="13340" max="13340" width="9.625" style="2" bestFit="1" customWidth="1"/>
    <col min="13341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3" width="13.25" style="2" bestFit="1" customWidth="1"/>
    <col min="13574" max="13574" width="11.125" style="2" bestFit="1" customWidth="1"/>
    <col min="13575" max="13575" width="9" style="2" bestFit="1"/>
    <col min="13576" max="13586" width="11.125" style="2" bestFit="1" customWidth="1"/>
    <col min="13587" max="13587" width="9" style="2" bestFit="1"/>
    <col min="13588" max="13594" width="11.125" style="2" bestFit="1" customWidth="1"/>
    <col min="13595" max="13595" width="9" style="2" bestFit="1"/>
    <col min="13596" max="13596" width="9.625" style="2" bestFit="1" customWidth="1"/>
    <col min="13597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29" width="13.25" style="2" bestFit="1" customWidth="1"/>
    <col min="13830" max="13830" width="11.125" style="2" bestFit="1" customWidth="1"/>
    <col min="13831" max="13831" width="9" style="2" bestFit="1"/>
    <col min="13832" max="13842" width="11.125" style="2" bestFit="1" customWidth="1"/>
    <col min="13843" max="13843" width="9" style="2" bestFit="1"/>
    <col min="13844" max="13850" width="11.125" style="2" bestFit="1" customWidth="1"/>
    <col min="13851" max="13851" width="9" style="2" bestFit="1"/>
    <col min="13852" max="13852" width="9.625" style="2" bestFit="1" customWidth="1"/>
    <col min="13853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5" width="13.25" style="2" bestFit="1" customWidth="1"/>
    <col min="14086" max="14086" width="11.125" style="2" bestFit="1" customWidth="1"/>
    <col min="14087" max="14087" width="9" style="2" bestFit="1"/>
    <col min="14088" max="14098" width="11.125" style="2" bestFit="1" customWidth="1"/>
    <col min="14099" max="14099" width="9" style="2" bestFit="1"/>
    <col min="14100" max="14106" width="11.125" style="2" bestFit="1" customWidth="1"/>
    <col min="14107" max="14107" width="9" style="2" bestFit="1"/>
    <col min="14108" max="14108" width="9.625" style="2" bestFit="1" customWidth="1"/>
    <col min="14109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1" width="13.25" style="2" bestFit="1" customWidth="1"/>
    <col min="14342" max="14342" width="11.125" style="2" bestFit="1" customWidth="1"/>
    <col min="14343" max="14343" width="9" style="2" bestFit="1"/>
    <col min="14344" max="14354" width="11.125" style="2" bestFit="1" customWidth="1"/>
    <col min="14355" max="14355" width="9" style="2" bestFit="1"/>
    <col min="14356" max="14362" width="11.125" style="2" bestFit="1" customWidth="1"/>
    <col min="14363" max="14363" width="9" style="2" bestFit="1"/>
    <col min="14364" max="14364" width="9.625" style="2" bestFit="1" customWidth="1"/>
    <col min="14365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7" width="13.25" style="2" bestFit="1" customWidth="1"/>
    <col min="14598" max="14598" width="11.125" style="2" bestFit="1" customWidth="1"/>
    <col min="14599" max="14599" width="9" style="2" bestFit="1"/>
    <col min="14600" max="14610" width="11.125" style="2" bestFit="1" customWidth="1"/>
    <col min="14611" max="14611" width="9" style="2" bestFit="1"/>
    <col min="14612" max="14618" width="11.125" style="2" bestFit="1" customWidth="1"/>
    <col min="14619" max="14619" width="9" style="2" bestFit="1"/>
    <col min="14620" max="14620" width="9.625" style="2" bestFit="1" customWidth="1"/>
    <col min="14621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3" width="13.25" style="2" bestFit="1" customWidth="1"/>
    <col min="14854" max="14854" width="11.125" style="2" bestFit="1" customWidth="1"/>
    <col min="14855" max="14855" width="9" style="2" bestFit="1"/>
    <col min="14856" max="14866" width="11.125" style="2" bestFit="1" customWidth="1"/>
    <col min="14867" max="14867" width="9" style="2" bestFit="1"/>
    <col min="14868" max="14874" width="11.125" style="2" bestFit="1" customWidth="1"/>
    <col min="14875" max="14875" width="9" style="2" bestFit="1"/>
    <col min="14876" max="14876" width="9.625" style="2" bestFit="1" customWidth="1"/>
    <col min="14877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09" width="13.25" style="2" bestFit="1" customWidth="1"/>
    <col min="15110" max="15110" width="11.125" style="2" bestFit="1" customWidth="1"/>
    <col min="15111" max="15111" width="9" style="2" bestFit="1"/>
    <col min="15112" max="15122" width="11.125" style="2" bestFit="1" customWidth="1"/>
    <col min="15123" max="15123" width="9" style="2" bestFit="1"/>
    <col min="15124" max="15130" width="11.125" style="2" bestFit="1" customWidth="1"/>
    <col min="15131" max="15131" width="9" style="2" bestFit="1"/>
    <col min="15132" max="15132" width="9.625" style="2" bestFit="1" customWidth="1"/>
    <col min="15133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5" width="13.25" style="2" bestFit="1" customWidth="1"/>
    <col min="15366" max="15366" width="11.125" style="2" bestFit="1" customWidth="1"/>
    <col min="15367" max="15367" width="9" style="2" bestFit="1"/>
    <col min="15368" max="15378" width="11.125" style="2" bestFit="1" customWidth="1"/>
    <col min="15379" max="15379" width="9" style="2" bestFit="1"/>
    <col min="15380" max="15386" width="11.125" style="2" bestFit="1" customWidth="1"/>
    <col min="15387" max="15387" width="9" style="2" bestFit="1"/>
    <col min="15388" max="15388" width="9.625" style="2" bestFit="1" customWidth="1"/>
    <col min="15389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1" width="13.25" style="2" bestFit="1" customWidth="1"/>
    <col min="15622" max="15622" width="11.125" style="2" bestFit="1" customWidth="1"/>
    <col min="15623" max="15623" width="9" style="2" bestFit="1"/>
    <col min="15624" max="15634" width="11.125" style="2" bestFit="1" customWidth="1"/>
    <col min="15635" max="15635" width="9" style="2" bestFit="1"/>
    <col min="15636" max="15642" width="11.125" style="2" bestFit="1" customWidth="1"/>
    <col min="15643" max="15643" width="9" style="2" bestFit="1"/>
    <col min="15644" max="15644" width="9.625" style="2" bestFit="1" customWidth="1"/>
    <col min="15645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7" width="13.25" style="2" bestFit="1" customWidth="1"/>
    <col min="15878" max="15878" width="11.125" style="2" bestFit="1" customWidth="1"/>
    <col min="15879" max="15879" width="9" style="2" bestFit="1"/>
    <col min="15880" max="15890" width="11.125" style="2" bestFit="1" customWidth="1"/>
    <col min="15891" max="15891" width="9" style="2" bestFit="1"/>
    <col min="15892" max="15898" width="11.125" style="2" bestFit="1" customWidth="1"/>
    <col min="15899" max="15899" width="9" style="2" bestFit="1"/>
    <col min="15900" max="15900" width="9.625" style="2" bestFit="1" customWidth="1"/>
    <col min="15901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3" width="13.25" style="2" bestFit="1" customWidth="1"/>
    <col min="16134" max="16134" width="11.125" style="2" bestFit="1" customWidth="1"/>
    <col min="16135" max="16135" width="9" style="2" bestFit="1"/>
    <col min="16136" max="16146" width="11.125" style="2" bestFit="1" customWidth="1"/>
    <col min="16147" max="16147" width="9" style="2" bestFit="1"/>
    <col min="16148" max="16154" width="11.125" style="2" bestFit="1" customWidth="1"/>
    <col min="16155" max="16155" width="9" style="2" bestFit="1"/>
    <col min="16156" max="16156" width="9.625" style="2" bestFit="1" customWidth="1"/>
    <col min="16157" max="16384" width="9" style="2"/>
  </cols>
  <sheetData>
    <row r="1" spans="1:28">
      <c r="A1" s="1" t="s">
        <v>0</v>
      </c>
    </row>
    <row r="2" spans="1:28" ht="19.5" thickBot="1">
      <c r="A2" s="1" t="s">
        <v>1</v>
      </c>
    </row>
    <row r="3" spans="1:28">
      <c r="B3" s="5"/>
      <c r="C3" s="17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  <c r="K3" s="18" t="s">
        <v>10</v>
      </c>
      <c r="L3" s="18" t="s">
        <v>11</v>
      </c>
      <c r="M3" s="18" t="s">
        <v>12</v>
      </c>
      <c r="N3" s="18" t="s">
        <v>13</v>
      </c>
      <c r="O3" s="18" t="s">
        <v>14</v>
      </c>
      <c r="P3" s="18" t="s">
        <v>15</v>
      </c>
      <c r="Q3" s="18" t="s">
        <v>16</v>
      </c>
      <c r="R3" s="18" t="s">
        <v>17</v>
      </c>
      <c r="S3" s="18" t="s">
        <v>18</v>
      </c>
      <c r="T3" s="18" t="s">
        <v>19</v>
      </c>
      <c r="U3" s="18" t="s">
        <v>20</v>
      </c>
      <c r="V3" s="18" t="s">
        <v>21</v>
      </c>
      <c r="W3" s="18" t="s">
        <v>22</v>
      </c>
      <c r="X3" s="18" t="s">
        <v>23</v>
      </c>
      <c r="Y3" s="18" t="s">
        <v>24</v>
      </c>
      <c r="Z3" s="18" t="s">
        <v>25</v>
      </c>
      <c r="AA3" s="19" t="s">
        <v>26</v>
      </c>
      <c r="AB3" s="6"/>
    </row>
    <row r="4" spans="1:28" ht="19.5" thickBot="1">
      <c r="B4" s="4" t="s">
        <v>27</v>
      </c>
      <c r="C4" s="20" t="s">
        <v>28</v>
      </c>
      <c r="D4" s="21" t="s">
        <v>29</v>
      </c>
      <c r="E4" s="21" t="s">
        <v>30</v>
      </c>
      <c r="F4" s="21" t="s">
        <v>31</v>
      </c>
      <c r="G4" s="21" t="s">
        <v>32</v>
      </c>
      <c r="H4" s="21" t="s">
        <v>33</v>
      </c>
      <c r="I4" s="21" t="s">
        <v>34</v>
      </c>
      <c r="J4" s="21" t="s">
        <v>35</v>
      </c>
      <c r="K4" s="21" t="s">
        <v>36</v>
      </c>
      <c r="L4" s="21" t="s">
        <v>37</v>
      </c>
      <c r="M4" s="21" t="s">
        <v>38</v>
      </c>
      <c r="N4" s="21" t="s">
        <v>39</v>
      </c>
      <c r="O4" s="21" t="s">
        <v>40</v>
      </c>
      <c r="P4" s="21" t="s">
        <v>41</v>
      </c>
      <c r="Q4" s="21" t="s">
        <v>42</v>
      </c>
      <c r="R4" s="21" t="s">
        <v>43</v>
      </c>
      <c r="S4" s="21" t="s">
        <v>44</v>
      </c>
      <c r="T4" s="21" t="s">
        <v>45</v>
      </c>
      <c r="U4" s="21" t="s">
        <v>46</v>
      </c>
      <c r="V4" s="21" t="s">
        <v>47</v>
      </c>
      <c r="W4" s="21" t="s">
        <v>48</v>
      </c>
      <c r="X4" s="21" t="s">
        <v>49</v>
      </c>
      <c r="Y4" s="21" t="s">
        <v>50</v>
      </c>
      <c r="Z4" s="21" t="s">
        <v>51</v>
      </c>
      <c r="AA4" s="22" t="s">
        <v>52</v>
      </c>
      <c r="AB4" s="3" t="s">
        <v>53</v>
      </c>
    </row>
    <row r="5" spans="1:28">
      <c r="A5" s="1" t="s">
        <v>54</v>
      </c>
      <c r="B5" s="62" t="s">
        <v>55</v>
      </c>
      <c r="C5" s="63">
        <v>19</v>
      </c>
      <c r="D5" s="64">
        <v>18</v>
      </c>
      <c r="E5" s="64">
        <v>19</v>
      </c>
      <c r="F5" s="64">
        <v>19</v>
      </c>
      <c r="G5" s="64">
        <v>20</v>
      </c>
      <c r="H5" s="64">
        <v>19</v>
      </c>
      <c r="I5" s="64">
        <v>0</v>
      </c>
      <c r="J5" s="64">
        <v>19</v>
      </c>
      <c r="K5" s="64">
        <v>20</v>
      </c>
      <c r="L5" s="64">
        <v>19</v>
      </c>
      <c r="M5" s="64">
        <v>20</v>
      </c>
      <c r="N5" s="64">
        <v>14</v>
      </c>
      <c r="O5" s="64">
        <v>20</v>
      </c>
      <c r="P5" s="64">
        <v>20</v>
      </c>
      <c r="Q5" s="64">
        <v>20</v>
      </c>
      <c r="R5" s="64">
        <v>20</v>
      </c>
      <c r="S5" s="64">
        <v>20</v>
      </c>
      <c r="T5" s="64">
        <v>18</v>
      </c>
      <c r="U5" s="64">
        <v>20</v>
      </c>
      <c r="V5" s="64">
        <v>10</v>
      </c>
      <c r="W5" s="64">
        <v>12</v>
      </c>
      <c r="X5" s="64">
        <v>15</v>
      </c>
      <c r="Y5" s="64">
        <v>7</v>
      </c>
      <c r="Z5" s="64">
        <v>11</v>
      </c>
      <c r="AA5" s="65">
        <v>21</v>
      </c>
      <c r="AB5" s="66">
        <v>420</v>
      </c>
    </row>
    <row r="6" spans="1:28">
      <c r="A6" s="1" t="s">
        <v>54</v>
      </c>
      <c r="B6" s="52" t="s">
        <v>56</v>
      </c>
      <c r="C6" s="67">
        <v>3</v>
      </c>
      <c r="D6" s="68">
        <v>2</v>
      </c>
      <c r="E6" s="68">
        <v>3</v>
      </c>
      <c r="F6" s="68">
        <v>0</v>
      </c>
      <c r="G6" s="68">
        <v>1</v>
      </c>
      <c r="H6" s="68">
        <v>1</v>
      </c>
      <c r="I6" s="68">
        <v>0</v>
      </c>
      <c r="J6" s="68">
        <v>1</v>
      </c>
      <c r="K6" s="68">
        <v>2</v>
      </c>
      <c r="L6" s="68">
        <v>3</v>
      </c>
      <c r="M6" s="68">
        <v>2</v>
      </c>
      <c r="N6" s="68">
        <v>1</v>
      </c>
      <c r="O6" s="68">
        <v>0</v>
      </c>
      <c r="P6" s="68">
        <v>3</v>
      </c>
      <c r="Q6" s="68">
        <v>3</v>
      </c>
      <c r="R6" s="68">
        <v>1</v>
      </c>
      <c r="S6" s="68">
        <v>1</v>
      </c>
      <c r="T6" s="68">
        <v>3</v>
      </c>
      <c r="U6" s="68">
        <v>1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9">
        <v>0</v>
      </c>
      <c r="AB6" s="70">
        <v>31</v>
      </c>
    </row>
    <row r="7" spans="1:28">
      <c r="A7" s="1" t="s">
        <v>54</v>
      </c>
      <c r="B7" s="52" t="s">
        <v>57</v>
      </c>
      <c r="C7" s="67">
        <v>1</v>
      </c>
      <c r="D7" s="68">
        <v>5</v>
      </c>
      <c r="E7" s="68">
        <v>0</v>
      </c>
      <c r="F7" s="68">
        <v>0</v>
      </c>
      <c r="G7" s="68">
        <v>2</v>
      </c>
      <c r="H7" s="68">
        <v>2</v>
      </c>
      <c r="I7" s="68">
        <v>0</v>
      </c>
      <c r="J7" s="68">
        <v>2</v>
      </c>
      <c r="K7" s="68">
        <v>1</v>
      </c>
      <c r="L7" s="68">
        <v>2</v>
      </c>
      <c r="M7" s="68">
        <v>2</v>
      </c>
      <c r="N7" s="68">
        <v>3</v>
      </c>
      <c r="O7" s="68">
        <v>0</v>
      </c>
      <c r="P7" s="68">
        <v>0</v>
      </c>
      <c r="Q7" s="68">
        <v>3</v>
      </c>
      <c r="R7" s="68">
        <v>3</v>
      </c>
      <c r="S7" s="68">
        <v>4</v>
      </c>
      <c r="T7" s="68">
        <v>2</v>
      </c>
      <c r="U7" s="68">
        <v>1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9">
        <v>0</v>
      </c>
      <c r="AB7" s="70">
        <v>33</v>
      </c>
    </row>
    <row r="8" spans="1:28">
      <c r="A8" s="1" t="s">
        <v>54</v>
      </c>
      <c r="B8" s="52" t="s">
        <v>58</v>
      </c>
      <c r="C8" s="67">
        <v>1</v>
      </c>
      <c r="D8" s="68">
        <v>2</v>
      </c>
      <c r="E8" s="68">
        <v>1</v>
      </c>
      <c r="F8" s="68">
        <v>1</v>
      </c>
      <c r="G8" s="68">
        <v>0</v>
      </c>
      <c r="H8" s="68">
        <v>1</v>
      </c>
      <c r="I8" s="68">
        <v>0</v>
      </c>
      <c r="J8" s="68">
        <v>1</v>
      </c>
      <c r="K8" s="68">
        <v>0</v>
      </c>
      <c r="L8" s="68">
        <v>1</v>
      </c>
      <c r="M8" s="68">
        <v>0</v>
      </c>
      <c r="N8" s="68">
        <v>6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2</v>
      </c>
      <c r="U8" s="68">
        <v>0</v>
      </c>
      <c r="V8" s="68">
        <v>0</v>
      </c>
      <c r="W8" s="68">
        <v>0</v>
      </c>
      <c r="X8" s="68">
        <v>0</v>
      </c>
      <c r="Y8" s="68">
        <v>1</v>
      </c>
      <c r="Z8" s="68">
        <v>0</v>
      </c>
      <c r="AA8" s="69">
        <v>0</v>
      </c>
      <c r="AB8" s="70">
        <v>17</v>
      </c>
    </row>
    <row r="9" spans="1:28">
      <c r="A9" s="1" t="s">
        <v>54</v>
      </c>
      <c r="B9" s="52" t="s">
        <v>59</v>
      </c>
      <c r="C9" s="67">
        <v>0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20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9">
        <v>0</v>
      </c>
      <c r="AB9" s="70">
        <v>20</v>
      </c>
    </row>
    <row r="10" spans="1:28">
      <c r="A10" s="1" t="s">
        <v>54</v>
      </c>
      <c r="B10" s="52" t="s">
        <v>60</v>
      </c>
      <c r="C10" s="71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2.9166666666666665</v>
      </c>
      <c r="W10" s="72">
        <v>3.0833333333333335</v>
      </c>
      <c r="X10" s="72">
        <v>3.8333333333333335</v>
      </c>
      <c r="Y10" s="72">
        <v>2.2083333333333335</v>
      </c>
      <c r="Z10" s="72">
        <v>2.8333333333333335</v>
      </c>
      <c r="AA10" s="73">
        <v>5.041666666666667</v>
      </c>
      <c r="AB10" s="74">
        <v>19.916666666666668</v>
      </c>
    </row>
    <row r="11" spans="1:28">
      <c r="A11" s="1" t="s">
        <v>54</v>
      </c>
      <c r="B11" s="52" t="s">
        <v>61</v>
      </c>
      <c r="C11" s="71">
        <v>0.75</v>
      </c>
      <c r="D11" s="72">
        <v>1.0833333333333333</v>
      </c>
      <c r="E11" s="72">
        <v>1.0833333333333333</v>
      </c>
      <c r="F11" s="72">
        <v>0</v>
      </c>
      <c r="G11" s="72">
        <v>2.125</v>
      </c>
      <c r="H11" s="72">
        <v>2.5833333333333335</v>
      </c>
      <c r="I11" s="72">
        <v>0</v>
      </c>
      <c r="J11" s="72">
        <v>1.9583333333333335</v>
      </c>
      <c r="K11" s="72">
        <v>1.9583333333333335</v>
      </c>
      <c r="L11" s="72">
        <v>1.7083333333333335</v>
      </c>
      <c r="M11" s="72">
        <v>1.6666666666666665</v>
      </c>
      <c r="N11" s="72">
        <v>1.1666666666666667</v>
      </c>
      <c r="O11" s="72">
        <v>0</v>
      </c>
      <c r="P11" s="72">
        <v>3.125</v>
      </c>
      <c r="Q11" s="72">
        <v>1.2083333333333333</v>
      </c>
      <c r="R11" s="72">
        <v>3.25</v>
      </c>
      <c r="S11" s="72">
        <v>1.7083333333333335</v>
      </c>
      <c r="T11" s="72">
        <v>1.1666666666666667</v>
      </c>
      <c r="U11" s="72">
        <v>1.8333333333333335</v>
      </c>
      <c r="V11" s="72">
        <v>0</v>
      </c>
      <c r="W11" s="72">
        <v>0</v>
      </c>
      <c r="X11" s="72">
        <v>0</v>
      </c>
      <c r="Y11" s="72">
        <v>8.3333333333333329E-2</v>
      </c>
      <c r="Z11" s="72">
        <v>0</v>
      </c>
      <c r="AA11" s="73">
        <v>0.45833333333333331</v>
      </c>
      <c r="AB11" s="74">
        <v>28.916666666666668</v>
      </c>
    </row>
    <row r="12" spans="1:28">
      <c r="A12" s="1" t="s">
        <v>54</v>
      </c>
      <c r="B12" s="52" t="s">
        <v>62</v>
      </c>
      <c r="C12" s="71">
        <v>1</v>
      </c>
      <c r="D12" s="72">
        <v>0.75</v>
      </c>
      <c r="E12" s="72">
        <v>0.75</v>
      </c>
      <c r="F12" s="72">
        <v>0</v>
      </c>
      <c r="G12" s="72">
        <v>0.5</v>
      </c>
      <c r="H12" s="72">
        <v>0.29166666666666669</v>
      </c>
      <c r="I12" s="72">
        <v>0</v>
      </c>
      <c r="J12" s="72">
        <v>0.45833333333333331</v>
      </c>
      <c r="K12" s="72">
        <v>0.58333333333333337</v>
      </c>
      <c r="L12" s="72">
        <v>1.0833333333333333</v>
      </c>
      <c r="M12" s="72">
        <v>0.70833333333333337</v>
      </c>
      <c r="N12" s="72">
        <v>0.54166666666666663</v>
      </c>
      <c r="O12" s="72">
        <v>0</v>
      </c>
      <c r="P12" s="72">
        <v>1.2916666666666667</v>
      </c>
      <c r="Q12" s="72">
        <v>1.0833333333333333</v>
      </c>
      <c r="R12" s="72">
        <v>0.45833333333333331</v>
      </c>
      <c r="S12" s="72">
        <v>0.375</v>
      </c>
      <c r="T12" s="72">
        <v>1.0416666666666667</v>
      </c>
      <c r="U12" s="72">
        <v>0.375</v>
      </c>
      <c r="V12" s="72">
        <v>0</v>
      </c>
      <c r="W12" s="72">
        <v>0</v>
      </c>
      <c r="X12" s="72">
        <v>0</v>
      </c>
      <c r="Y12" s="72">
        <v>0</v>
      </c>
      <c r="Z12" s="72">
        <v>0</v>
      </c>
      <c r="AA12" s="73">
        <v>0</v>
      </c>
      <c r="AB12" s="74">
        <v>11.291666666666666</v>
      </c>
    </row>
    <row r="13" spans="1:28">
      <c r="A13" s="1" t="s">
        <v>54</v>
      </c>
      <c r="B13" s="52" t="s">
        <v>63</v>
      </c>
      <c r="C13" s="71">
        <v>0.41666666666666669</v>
      </c>
      <c r="D13" s="72">
        <v>1.75</v>
      </c>
      <c r="E13" s="72">
        <v>0</v>
      </c>
      <c r="F13" s="72">
        <v>0</v>
      </c>
      <c r="G13" s="72">
        <v>0.95833333333333337</v>
      </c>
      <c r="H13" s="72">
        <v>0.83333333333333337</v>
      </c>
      <c r="I13" s="72">
        <v>0</v>
      </c>
      <c r="J13" s="72">
        <v>0.79166666666666663</v>
      </c>
      <c r="K13" s="72">
        <v>0.33333333333333331</v>
      </c>
      <c r="L13" s="72">
        <v>0.70833333333333337</v>
      </c>
      <c r="M13" s="72">
        <v>0.66666666666666663</v>
      </c>
      <c r="N13" s="72">
        <v>0.95833333333333337</v>
      </c>
      <c r="O13" s="72">
        <v>0</v>
      </c>
      <c r="P13" s="72">
        <v>0</v>
      </c>
      <c r="Q13" s="72">
        <v>0.70833333333333337</v>
      </c>
      <c r="R13" s="72">
        <v>0.95833333333333337</v>
      </c>
      <c r="S13" s="72">
        <v>1.2916666666666667</v>
      </c>
      <c r="T13" s="72">
        <v>0.58333333333333337</v>
      </c>
      <c r="U13" s="72">
        <v>0.33333333333333331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  <c r="AA13" s="73">
        <v>0</v>
      </c>
      <c r="AB13" s="74">
        <v>11.291666666666666</v>
      </c>
    </row>
    <row r="14" spans="1:28">
      <c r="A14" s="1" t="s">
        <v>54</v>
      </c>
      <c r="B14" s="52" t="s">
        <v>64</v>
      </c>
      <c r="C14" s="71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0.29166666666666669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0.625</v>
      </c>
      <c r="Q14" s="72">
        <v>0</v>
      </c>
      <c r="R14" s="72">
        <v>0.79166666666666663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  <c r="Z14" s="72">
        <v>0</v>
      </c>
      <c r="AA14" s="73">
        <v>0</v>
      </c>
      <c r="AB14" s="74">
        <v>1.7083333333333335</v>
      </c>
    </row>
    <row r="15" spans="1:28">
      <c r="A15" s="1" t="s">
        <v>54</v>
      </c>
      <c r="B15" s="52" t="s">
        <v>65</v>
      </c>
      <c r="C15" s="71">
        <v>0</v>
      </c>
      <c r="D15" s="72">
        <v>0</v>
      </c>
      <c r="E15" s="72">
        <v>0</v>
      </c>
      <c r="F15" s="72">
        <v>0</v>
      </c>
      <c r="G15" s="72">
        <v>0</v>
      </c>
      <c r="H15" s="72">
        <v>0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0.29166666666666669</v>
      </c>
      <c r="Z15" s="72">
        <v>0</v>
      </c>
      <c r="AA15" s="73">
        <v>0</v>
      </c>
      <c r="AB15" s="74">
        <v>0.29166666666666669</v>
      </c>
    </row>
    <row r="16" spans="1:28">
      <c r="A16" s="1" t="s">
        <v>54</v>
      </c>
      <c r="B16" s="11" t="s">
        <v>66</v>
      </c>
      <c r="C16" s="23">
        <v>0.16666666666666666</v>
      </c>
      <c r="D16" s="24">
        <v>0.16666666666666666</v>
      </c>
      <c r="E16" s="24">
        <v>0</v>
      </c>
      <c r="F16" s="24">
        <v>4.1666666666666664E-2</v>
      </c>
      <c r="G16" s="24">
        <v>0.41666666666666669</v>
      </c>
      <c r="H16" s="24">
        <v>0.5</v>
      </c>
      <c r="I16" s="24">
        <v>0</v>
      </c>
      <c r="J16" s="24">
        <v>0.45833333333333331</v>
      </c>
      <c r="K16" s="24">
        <v>0.16666666666666666</v>
      </c>
      <c r="L16" s="24">
        <v>0.375</v>
      </c>
      <c r="M16" s="24">
        <v>1.5416666666666665</v>
      </c>
      <c r="N16" s="24">
        <v>0.75</v>
      </c>
      <c r="O16" s="24">
        <v>0.20833333333333334</v>
      </c>
      <c r="P16" s="24">
        <v>1.5</v>
      </c>
      <c r="Q16" s="24">
        <v>0.5</v>
      </c>
      <c r="R16" s="24">
        <v>1.0416666666666667</v>
      </c>
      <c r="S16" s="24">
        <v>0.33333333333333331</v>
      </c>
      <c r="T16" s="24">
        <v>0.25</v>
      </c>
      <c r="U16" s="24">
        <v>0.29166666666666669</v>
      </c>
      <c r="V16" s="24">
        <v>2.0833333333333335</v>
      </c>
      <c r="W16" s="24">
        <v>0</v>
      </c>
      <c r="X16" s="24">
        <v>0</v>
      </c>
      <c r="Y16" s="24">
        <v>0.625</v>
      </c>
      <c r="Z16" s="24">
        <v>1.6666666666666665</v>
      </c>
      <c r="AA16" s="25">
        <v>1.3333333333333333</v>
      </c>
      <c r="AB16" s="13">
        <v>14.416666666666666</v>
      </c>
    </row>
    <row r="17" spans="1:28">
      <c r="A17" s="1" t="s">
        <v>54</v>
      </c>
      <c r="B17" s="33" t="s">
        <v>67</v>
      </c>
      <c r="C17" s="34">
        <v>5</v>
      </c>
      <c r="D17" s="35">
        <v>3</v>
      </c>
      <c r="E17" s="35">
        <v>32.5</v>
      </c>
      <c r="F17" s="35">
        <v>30</v>
      </c>
      <c r="G17" s="35">
        <v>18.5</v>
      </c>
      <c r="H17" s="35">
        <v>23</v>
      </c>
      <c r="I17" s="35">
        <v>19</v>
      </c>
      <c r="J17" s="35">
        <v>10</v>
      </c>
      <c r="K17" s="35">
        <v>21</v>
      </c>
      <c r="L17" s="35">
        <v>15.5</v>
      </c>
      <c r="M17" s="35">
        <v>19.5</v>
      </c>
      <c r="N17" s="35">
        <v>21</v>
      </c>
      <c r="O17" s="35">
        <v>13</v>
      </c>
      <c r="P17" s="35">
        <v>14</v>
      </c>
      <c r="Q17" s="35">
        <v>21.5</v>
      </c>
      <c r="R17" s="35">
        <v>3</v>
      </c>
      <c r="S17" s="35">
        <v>6</v>
      </c>
      <c r="T17" s="35">
        <v>12</v>
      </c>
      <c r="U17" s="35">
        <v>0</v>
      </c>
      <c r="V17" s="35">
        <v>0</v>
      </c>
      <c r="W17" s="35">
        <v>11</v>
      </c>
      <c r="X17" s="35">
        <v>16</v>
      </c>
      <c r="Y17" s="35">
        <v>3</v>
      </c>
      <c r="Z17" s="35">
        <v>26</v>
      </c>
      <c r="AA17" s="36">
        <v>5</v>
      </c>
      <c r="AB17" s="37"/>
    </row>
    <row r="18" spans="1:28">
      <c r="A18" s="1" t="s">
        <v>54</v>
      </c>
      <c r="B18" s="57" t="s">
        <v>68</v>
      </c>
      <c r="C18" s="58">
        <v>182000</v>
      </c>
      <c r="D18" s="59">
        <v>192000</v>
      </c>
      <c r="E18" s="59">
        <v>285000</v>
      </c>
      <c r="F18" s="59">
        <v>390000</v>
      </c>
      <c r="G18" s="59">
        <v>197000</v>
      </c>
      <c r="H18" s="59">
        <v>197000</v>
      </c>
      <c r="I18" s="59">
        <v>0</v>
      </c>
      <c r="J18" s="59">
        <v>182000</v>
      </c>
      <c r="K18" s="59">
        <v>187000</v>
      </c>
      <c r="L18" s="59">
        <v>182000</v>
      </c>
      <c r="M18" s="59">
        <v>197000</v>
      </c>
      <c r="N18" s="59">
        <v>192000</v>
      </c>
      <c r="O18" s="59">
        <v>370000</v>
      </c>
      <c r="P18" s="59">
        <v>192000</v>
      </c>
      <c r="Q18" s="59">
        <v>182000</v>
      </c>
      <c r="R18" s="59">
        <v>175000</v>
      </c>
      <c r="S18" s="59">
        <v>175000</v>
      </c>
      <c r="T18" s="59">
        <v>180000</v>
      </c>
      <c r="U18" s="59">
        <v>175000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60">
        <v>0</v>
      </c>
      <c r="AB18" s="61">
        <v>3832000</v>
      </c>
    </row>
    <row r="19" spans="1:28">
      <c r="A19" s="1" t="s">
        <v>54</v>
      </c>
      <c r="B19" s="52" t="s">
        <v>69</v>
      </c>
      <c r="C19" s="53">
        <v>0</v>
      </c>
      <c r="D19" s="54">
        <v>0</v>
      </c>
      <c r="E19" s="54">
        <v>0</v>
      </c>
      <c r="F19" s="54">
        <v>0</v>
      </c>
      <c r="G19" s="54">
        <v>20000</v>
      </c>
      <c r="H19" s="54">
        <v>20000</v>
      </c>
      <c r="I19" s="54">
        <v>0</v>
      </c>
      <c r="J19" s="54">
        <v>0</v>
      </c>
      <c r="K19" s="54">
        <v>5000</v>
      </c>
      <c r="L19" s="54">
        <v>0</v>
      </c>
      <c r="M19" s="54">
        <v>0</v>
      </c>
      <c r="N19" s="54">
        <v>0</v>
      </c>
      <c r="O19" s="54">
        <v>0</v>
      </c>
      <c r="P19" s="54">
        <v>5000</v>
      </c>
      <c r="Q19" s="54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  <c r="Z19" s="54">
        <v>0</v>
      </c>
      <c r="AA19" s="55">
        <v>0</v>
      </c>
      <c r="AB19" s="56">
        <v>50000</v>
      </c>
    </row>
    <row r="20" spans="1:28">
      <c r="A20" s="1" t="s">
        <v>54</v>
      </c>
      <c r="B20" s="52" t="s">
        <v>70</v>
      </c>
      <c r="C20" s="53">
        <v>0</v>
      </c>
      <c r="D20" s="54">
        <v>0</v>
      </c>
      <c r="E20" s="54">
        <v>3000</v>
      </c>
      <c r="F20" s="54">
        <v>0</v>
      </c>
      <c r="G20" s="54">
        <v>3000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5">
        <v>0</v>
      </c>
      <c r="AB20" s="56">
        <v>6000</v>
      </c>
    </row>
    <row r="21" spans="1:28">
      <c r="A21" s="1" t="s">
        <v>54</v>
      </c>
      <c r="B21" s="52" t="s">
        <v>71</v>
      </c>
      <c r="C21" s="53">
        <v>0</v>
      </c>
      <c r="D21" s="54">
        <v>0</v>
      </c>
      <c r="E21" s="54">
        <v>0</v>
      </c>
      <c r="F21" s="54">
        <v>0</v>
      </c>
      <c r="G21" s="54">
        <v>0</v>
      </c>
      <c r="H21" s="54">
        <v>11091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v>0</v>
      </c>
      <c r="Q21" s="54">
        <v>5838</v>
      </c>
      <c r="R21" s="54">
        <v>0</v>
      </c>
      <c r="S21" s="54">
        <v>0</v>
      </c>
      <c r="T21" s="54">
        <v>25352</v>
      </c>
      <c r="U21" s="54">
        <v>0</v>
      </c>
      <c r="V21" s="54">
        <v>0</v>
      </c>
      <c r="W21" s="54">
        <v>0</v>
      </c>
      <c r="X21" s="54">
        <v>0</v>
      </c>
      <c r="Y21" s="54">
        <v>0</v>
      </c>
      <c r="Z21" s="54">
        <v>0</v>
      </c>
      <c r="AA21" s="55">
        <v>0</v>
      </c>
      <c r="AB21" s="56">
        <v>42281</v>
      </c>
    </row>
    <row r="22" spans="1:28">
      <c r="A22" s="1" t="s">
        <v>54</v>
      </c>
      <c r="B22" s="52" t="s">
        <v>72</v>
      </c>
      <c r="C22" s="53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54">
        <v>0</v>
      </c>
      <c r="V22" s="54">
        <v>68250</v>
      </c>
      <c r="W22" s="54">
        <v>76590</v>
      </c>
      <c r="X22" s="54">
        <v>98440</v>
      </c>
      <c r="Y22" s="54">
        <v>51675</v>
      </c>
      <c r="Z22" s="54">
        <v>66300</v>
      </c>
      <c r="AA22" s="55">
        <v>117975</v>
      </c>
      <c r="AB22" s="56">
        <v>479230</v>
      </c>
    </row>
    <row r="23" spans="1:28">
      <c r="A23" s="1" t="s">
        <v>54</v>
      </c>
      <c r="B23" s="52" t="s">
        <v>73</v>
      </c>
      <c r="C23" s="53">
        <v>3500</v>
      </c>
      <c r="D23" s="54">
        <v>1000</v>
      </c>
      <c r="E23" s="54">
        <v>0</v>
      </c>
      <c r="F23" s="54">
        <v>0</v>
      </c>
      <c r="G23" s="54">
        <v>3500</v>
      </c>
      <c r="H23" s="54">
        <v>3500</v>
      </c>
      <c r="I23" s="54">
        <v>0</v>
      </c>
      <c r="J23" s="54">
        <v>3500</v>
      </c>
      <c r="K23" s="54">
        <v>3500</v>
      </c>
      <c r="L23" s="54">
        <v>3500</v>
      </c>
      <c r="M23" s="54">
        <v>3500</v>
      </c>
      <c r="N23" s="54">
        <v>3500</v>
      </c>
      <c r="O23" s="54">
        <v>0</v>
      </c>
      <c r="P23" s="54">
        <v>3500</v>
      </c>
      <c r="Q23" s="54">
        <v>3500</v>
      </c>
      <c r="R23" s="54">
        <v>0</v>
      </c>
      <c r="S23" s="54">
        <v>2000</v>
      </c>
      <c r="T23" s="54">
        <v>2000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5">
        <v>0</v>
      </c>
      <c r="AB23" s="56">
        <v>40000</v>
      </c>
    </row>
    <row r="24" spans="1:28">
      <c r="A24" s="1" t="s">
        <v>54</v>
      </c>
      <c r="B24" s="52" t="s">
        <v>74</v>
      </c>
      <c r="C24" s="53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0</v>
      </c>
      <c r="P24" s="54">
        <v>0</v>
      </c>
      <c r="Q24" s="54">
        <v>0</v>
      </c>
      <c r="R24" s="54">
        <v>0</v>
      </c>
      <c r="S24" s="54">
        <v>0</v>
      </c>
      <c r="T24" s="54">
        <v>0</v>
      </c>
      <c r="U24" s="54">
        <v>0</v>
      </c>
      <c r="V24" s="54">
        <v>0</v>
      </c>
      <c r="W24" s="54">
        <v>0</v>
      </c>
      <c r="X24" s="54">
        <v>0</v>
      </c>
      <c r="Y24" s="54">
        <v>6825</v>
      </c>
      <c r="Z24" s="54">
        <v>0</v>
      </c>
      <c r="AA24" s="55">
        <v>0</v>
      </c>
      <c r="AB24" s="56">
        <v>6825</v>
      </c>
    </row>
    <row r="25" spans="1:28">
      <c r="A25" s="1" t="s">
        <v>54</v>
      </c>
      <c r="B25" s="52" t="s">
        <v>75</v>
      </c>
      <c r="C25" s="53">
        <v>0</v>
      </c>
      <c r="D25" s="54">
        <v>6000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4">
        <v>3000</v>
      </c>
      <c r="O25" s="54">
        <v>3000</v>
      </c>
      <c r="P25" s="54">
        <v>0</v>
      </c>
      <c r="Q25" s="54">
        <v>3000</v>
      </c>
      <c r="R25" s="54">
        <v>3000</v>
      </c>
      <c r="S25" s="54">
        <v>3000</v>
      </c>
      <c r="T25" s="54">
        <v>0</v>
      </c>
      <c r="U25" s="54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5">
        <v>3000</v>
      </c>
      <c r="AB25" s="56">
        <v>24000</v>
      </c>
    </row>
    <row r="26" spans="1:28">
      <c r="A26" s="1" t="s">
        <v>54</v>
      </c>
      <c r="B26" s="52" t="s">
        <v>61</v>
      </c>
      <c r="C26" s="53">
        <v>25002</v>
      </c>
      <c r="D26" s="54">
        <v>37570</v>
      </c>
      <c r="E26" s="54">
        <v>56056</v>
      </c>
      <c r="F26" s="54">
        <v>0</v>
      </c>
      <c r="G26" s="54">
        <v>85323</v>
      </c>
      <c r="H26" s="54">
        <v>102300</v>
      </c>
      <c r="I26" s="54">
        <v>0</v>
      </c>
      <c r="J26" s="54">
        <v>65283</v>
      </c>
      <c r="K26" s="54">
        <v>68808</v>
      </c>
      <c r="L26" s="54">
        <v>56949</v>
      </c>
      <c r="M26" s="54">
        <v>60040</v>
      </c>
      <c r="N26" s="54">
        <v>40992</v>
      </c>
      <c r="O26" s="54">
        <v>0</v>
      </c>
      <c r="P26" s="54">
        <v>112575</v>
      </c>
      <c r="Q26" s="54">
        <v>40281</v>
      </c>
      <c r="R26" s="54">
        <v>102180</v>
      </c>
      <c r="S26" s="54">
        <v>54325</v>
      </c>
      <c r="T26" s="54">
        <v>38164</v>
      </c>
      <c r="U26" s="54">
        <v>57640</v>
      </c>
      <c r="V26" s="54">
        <v>0</v>
      </c>
      <c r="W26" s="54">
        <v>0</v>
      </c>
      <c r="X26" s="54">
        <v>0</v>
      </c>
      <c r="Y26" s="54">
        <v>2438</v>
      </c>
      <c r="Z26" s="54">
        <v>0</v>
      </c>
      <c r="AA26" s="55">
        <v>13409</v>
      </c>
      <c r="AB26" s="56">
        <v>1019335</v>
      </c>
    </row>
    <row r="27" spans="1:28">
      <c r="A27" s="1" t="s">
        <v>54</v>
      </c>
      <c r="B27" s="52" t="s">
        <v>76</v>
      </c>
      <c r="C27" s="53">
        <v>36000</v>
      </c>
      <c r="D27" s="54">
        <v>28098</v>
      </c>
      <c r="E27" s="54">
        <v>41922</v>
      </c>
      <c r="F27" s="54">
        <v>0</v>
      </c>
      <c r="G27" s="54">
        <v>21672</v>
      </c>
      <c r="H27" s="54">
        <v>12474</v>
      </c>
      <c r="I27" s="54">
        <v>0</v>
      </c>
      <c r="J27" s="54">
        <v>16500</v>
      </c>
      <c r="K27" s="54">
        <v>22134</v>
      </c>
      <c r="L27" s="54">
        <v>39000</v>
      </c>
      <c r="M27" s="54">
        <v>27557</v>
      </c>
      <c r="N27" s="54">
        <v>20553</v>
      </c>
      <c r="O27" s="54">
        <v>0</v>
      </c>
      <c r="P27" s="54">
        <v>50251</v>
      </c>
      <c r="Q27" s="54">
        <v>39000</v>
      </c>
      <c r="R27" s="54">
        <v>15565</v>
      </c>
      <c r="S27" s="54">
        <v>12879</v>
      </c>
      <c r="T27" s="54">
        <v>36800</v>
      </c>
      <c r="U27" s="54">
        <v>12735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5">
        <v>0</v>
      </c>
      <c r="AB27" s="56">
        <v>433140</v>
      </c>
    </row>
    <row r="28" spans="1:28">
      <c r="A28" s="1" t="s">
        <v>54</v>
      </c>
      <c r="B28" s="52" t="s">
        <v>77</v>
      </c>
      <c r="C28" s="53">
        <v>15000</v>
      </c>
      <c r="D28" s="54">
        <v>65562</v>
      </c>
      <c r="E28" s="54">
        <v>0</v>
      </c>
      <c r="F28" s="54">
        <v>0</v>
      </c>
      <c r="G28" s="54">
        <v>41538</v>
      </c>
      <c r="H28" s="54">
        <v>35640</v>
      </c>
      <c r="I28" s="54">
        <v>0</v>
      </c>
      <c r="J28" s="54">
        <v>28500</v>
      </c>
      <c r="K28" s="54">
        <v>12648</v>
      </c>
      <c r="L28" s="54">
        <v>25500</v>
      </c>
      <c r="M28" s="54">
        <v>25936</v>
      </c>
      <c r="N28" s="54">
        <v>36363</v>
      </c>
      <c r="O28" s="54">
        <v>0</v>
      </c>
      <c r="P28" s="54">
        <v>0</v>
      </c>
      <c r="Q28" s="54">
        <v>25500</v>
      </c>
      <c r="R28" s="54">
        <v>32545</v>
      </c>
      <c r="S28" s="54">
        <v>44361</v>
      </c>
      <c r="T28" s="54">
        <v>20608</v>
      </c>
      <c r="U28" s="54">
        <v>11320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5">
        <v>0</v>
      </c>
      <c r="AB28" s="56">
        <v>421021</v>
      </c>
    </row>
    <row r="29" spans="1:28">
      <c r="A29" s="1" t="s">
        <v>54</v>
      </c>
      <c r="B29" s="52" t="s">
        <v>64</v>
      </c>
      <c r="C29" s="53">
        <v>0</v>
      </c>
      <c r="D29" s="54">
        <v>0</v>
      </c>
      <c r="E29" s="54">
        <v>0</v>
      </c>
      <c r="F29" s="54">
        <v>0</v>
      </c>
      <c r="G29" s="54">
        <v>0</v>
      </c>
      <c r="H29" s="54">
        <v>2310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0</v>
      </c>
      <c r="P29" s="54">
        <v>4500</v>
      </c>
      <c r="Q29" s="54">
        <v>0</v>
      </c>
      <c r="R29" s="54">
        <v>4978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5">
        <v>0</v>
      </c>
      <c r="AB29" s="56">
        <v>11788</v>
      </c>
    </row>
    <row r="30" spans="1:28">
      <c r="A30" s="1" t="s">
        <v>54</v>
      </c>
      <c r="B30" s="11" t="s">
        <v>66</v>
      </c>
      <c r="C30" s="26">
        <v>1112</v>
      </c>
      <c r="D30" s="27">
        <v>1156</v>
      </c>
      <c r="E30" s="27">
        <v>0</v>
      </c>
      <c r="F30" s="27">
        <v>584</v>
      </c>
      <c r="G30" s="27">
        <v>3350</v>
      </c>
      <c r="H30" s="27">
        <v>3960</v>
      </c>
      <c r="I30" s="27">
        <v>0</v>
      </c>
      <c r="J30" s="27">
        <v>3058</v>
      </c>
      <c r="K30" s="27">
        <v>1172</v>
      </c>
      <c r="L30" s="27">
        <v>2502</v>
      </c>
      <c r="M30" s="27">
        <v>11100</v>
      </c>
      <c r="N30" s="27">
        <v>5274</v>
      </c>
      <c r="O30" s="27">
        <v>2770</v>
      </c>
      <c r="P30" s="27">
        <v>10800</v>
      </c>
      <c r="Q30" s="27">
        <v>3336</v>
      </c>
      <c r="R30" s="27">
        <v>6550</v>
      </c>
      <c r="S30" s="27">
        <v>2120</v>
      </c>
      <c r="T30" s="27">
        <v>1638</v>
      </c>
      <c r="U30" s="27">
        <v>1834</v>
      </c>
      <c r="V30" s="27">
        <v>12200</v>
      </c>
      <c r="W30" s="27">
        <v>0</v>
      </c>
      <c r="X30" s="27">
        <v>0</v>
      </c>
      <c r="Y30" s="27">
        <v>3660</v>
      </c>
      <c r="Z30" s="27">
        <v>9760</v>
      </c>
      <c r="AA30" s="28">
        <v>7808</v>
      </c>
      <c r="AB30" s="14">
        <v>95744</v>
      </c>
    </row>
    <row r="31" spans="1:28">
      <c r="A31" s="1" t="s">
        <v>54</v>
      </c>
      <c r="B31" s="33" t="s">
        <v>78</v>
      </c>
      <c r="C31" s="38">
        <v>262614</v>
      </c>
      <c r="D31" s="39">
        <v>331386</v>
      </c>
      <c r="E31" s="39">
        <v>385978</v>
      </c>
      <c r="F31" s="39">
        <v>390584</v>
      </c>
      <c r="G31" s="39">
        <v>375383</v>
      </c>
      <c r="H31" s="39">
        <v>388275</v>
      </c>
      <c r="I31" s="39">
        <v>0</v>
      </c>
      <c r="J31" s="39">
        <v>298841</v>
      </c>
      <c r="K31" s="39">
        <v>300262</v>
      </c>
      <c r="L31" s="39">
        <v>309451</v>
      </c>
      <c r="M31" s="39">
        <v>325133</v>
      </c>
      <c r="N31" s="39">
        <v>301682</v>
      </c>
      <c r="O31" s="39">
        <v>375770</v>
      </c>
      <c r="P31" s="39">
        <v>378626</v>
      </c>
      <c r="Q31" s="39">
        <v>302455</v>
      </c>
      <c r="R31" s="39">
        <v>339818</v>
      </c>
      <c r="S31" s="39">
        <v>293685</v>
      </c>
      <c r="T31" s="39">
        <v>304562</v>
      </c>
      <c r="U31" s="39">
        <v>258529</v>
      </c>
      <c r="V31" s="39">
        <v>80450</v>
      </c>
      <c r="W31" s="39">
        <v>76590</v>
      </c>
      <c r="X31" s="39">
        <v>98440</v>
      </c>
      <c r="Y31" s="39">
        <v>64598</v>
      </c>
      <c r="Z31" s="39">
        <v>76060</v>
      </c>
      <c r="AA31" s="40">
        <v>142192</v>
      </c>
      <c r="AB31" s="41">
        <v>6461364</v>
      </c>
    </row>
    <row r="32" spans="1:28">
      <c r="A32" s="1" t="s">
        <v>54</v>
      </c>
      <c r="B32" s="47" t="s">
        <v>79</v>
      </c>
      <c r="C32" s="48">
        <v>12428</v>
      </c>
      <c r="D32" s="49">
        <v>3377</v>
      </c>
      <c r="E32" s="49">
        <v>5350</v>
      </c>
      <c r="F32" s="49">
        <v>6673</v>
      </c>
      <c r="G32" s="49">
        <v>5593</v>
      </c>
      <c r="H32" s="49">
        <v>2972</v>
      </c>
      <c r="I32" s="49">
        <v>0</v>
      </c>
      <c r="J32" s="49">
        <v>2378</v>
      </c>
      <c r="K32" s="49">
        <v>1243</v>
      </c>
      <c r="L32" s="49">
        <v>3242</v>
      </c>
      <c r="M32" s="49">
        <v>5187</v>
      </c>
      <c r="N32" s="49">
        <v>5836</v>
      </c>
      <c r="O32" s="49">
        <v>3404</v>
      </c>
      <c r="P32" s="49">
        <v>6214</v>
      </c>
      <c r="Q32" s="49">
        <v>11941</v>
      </c>
      <c r="R32" s="49">
        <v>8429</v>
      </c>
      <c r="S32" s="49">
        <v>8780</v>
      </c>
      <c r="T32" s="49">
        <v>2486</v>
      </c>
      <c r="U32" s="49">
        <v>7133</v>
      </c>
      <c r="V32" s="49">
        <v>4323</v>
      </c>
      <c r="W32" s="49">
        <v>2594</v>
      </c>
      <c r="X32" s="49">
        <v>2027</v>
      </c>
      <c r="Y32" s="49">
        <v>2459</v>
      </c>
      <c r="Z32" s="49">
        <v>4161</v>
      </c>
      <c r="AA32" s="50">
        <v>13049</v>
      </c>
      <c r="AB32" s="51">
        <v>131279</v>
      </c>
    </row>
    <row r="33" spans="1:28">
      <c r="A33" s="1" t="s">
        <v>54</v>
      </c>
      <c r="B33" s="11" t="s">
        <v>80</v>
      </c>
      <c r="C33" s="26">
        <v>12428</v>
      </c>
      <c r="D33" s="27">
        <v>3377</v>
      </c>
      <c r="E33" s="27">
        <v>5350</v>
      </c>
      <c r="F33" s="27">
        <v>6673</v>
      </c>
      <c r="G33" s="27">
        <v>5593</v>
      </c>
      <c r="H33" s="27">
        <v>2972</v>
      </c>
      <c r="I33" s="27">
        <v>0</v>
      </c>
      <c r="J33" s="27">
        <v>2378</v>
      </c>
      <c r="K33" s="27">
        <v>1243</v>
      </c>
      <c r="L33" s="27">
        <v>3242</v>
      </c>
      <c r="M33" s="27">
        <v>5187</v>
      </c>
      <c r="N33" s="27">
        <v>5836</v>
      </c>
      <c r="O33" s="27">
        <v>3404</v>
      </c>
      <c r="P33" s="27">
        <v>6214</v>
      </c>
      <c r="Q33" s="27">
        <v>11941</v>
      </c>
      <c r="R33" s="27">
        <v>8429</v>
      </c>
      <c r="S33" s="27">
        <v>8780</v>
      </c>
      <c r="T33" s="27">
        <v>2486</v>
      </c>
      <c r="U33" s="27">
        <v>7133</v>
      </c>
      <c r="V33" s="27">
        <v>4323</v>
      </c>
      <c r="W33" s="27">
        <v>2594</v>
      </c>
      <c r="X33" s="27">
        <v>2027</v>
      </c>
      <c r="Y33" s="27">
        <v>2459</v>
      </c>
      <c r="Z33" s="27">
        <v>4161</v>
      </c>
      <c r="AA33" s="28">
        <v>13049</v>
      </c>
      <c r="AB33" s="14">
        <v>131279</v>
      </c>
    </row>
    <row r="34" spans="1:28">
      <c r="A34" s="1" t="s">
        <v>54</v>
      </c>
      <c r="B34" s="33" t="s">
        <v>81</v>
      </c>
      <c r="C34" s="38">
        <v>275042</v>
      </c>
      <c r="D34" s="39">
        <v>334763</v>
      </c>
      <c r="E34" s="39">
        <v>391328</v>
      </c>
      <c r="F34" s="39">
        <v>397257</v>
      </c>
      <c r="G34" s="39">
        <v>380976</v>
      </c>
      <c r="H34" s="39">
        <v>391247</v>
      </c>
      <c r="I34" s="39">
        <v>0</v>
      </c>
      <c r="J34" s="39">
        <v>301219</v>
      </c>
      <c r="K34" s="39">
        <v>301505</v>
      </c>
      <c r="L34" s="39">
        <v>312693</v>
      </c>
      <c r="M34" s="39">
        <v>330320</v>
      </c>
      <c r="N34" s="39">
        <v>307518</v>
      </c>
      <c r="O34" s="39">
        <v>379174</v>
      </c>
      <c r="P34" s="39">
        <v>384840</v>
      </c>
      <c r="Q34" s="39">
        <v>314396</v>
      </c>
      <c r="R34" s="39">
        <v>348247</v>
      </c>
      <c r="S34" s="39">
        <v>302465</v>
      </c>
      <c r="T34" s="39">
        <v>307048</v>
      </c>
      <c r="U34" s="39">
        <v>265662</v>
      </c>
      <c r="V34" s="39">
        <v>84773</v>
      </c>
      <c r="W34" s="39">
        <v>79184</v>
      </c>
      <c r="X34" s="39">
        <v>100467</v>
      </c>
      <c r="Y34" s="39">
        <v>67057</v>
      </c>
      <c r="Z34" s="39">
        <v>80221</v>
      </c>
      <c r="AA34" s="40">
        <v>155241</v>
      </c>
      <c r="AB34" s="41">
        <v>6592643</v>
      </c>
    </row>
    <row r="35" spans="1:28">
      <c r="A35" s="1" t="s">
        <v>54</v>
      </c>
      <c r="B35" s="47" t="s">
        <v>82</v>
      </c>
      <c r="C35" s="48">
        <v>15300</v>
      </c>
      <c r="D35" s="49">
        <v>16320</v>
      </c>
      <c r="E35" s="49">
        <v>20910</v>
      </c>
      <c r="F35" s="49">
        <v>19380</v>
      </c>
      <c r="G35" s="49">
        <v>19380</v>
      </c>
      <c r="H35" s="49">
        <v>19380</v>
      </c>
      <c r="I35" s="49">
        <v>19380</v>
      </c>
      <c r="J35" s="49">
        <v>16320</v>
      </c>
      <c r="K35" s="49">
        <v>15300</v>
      </c>
      <c r="L35" s="49">
        <v>15300</v>
      </c>
      <c r="M35" s="49">
        <v>19380</v>
      </c>
      <c r="N35" s="49">
        <v>18360</v>
      </c>
      <c r="O35" s="49">
        <v>18360</v>
      </c>
      <c r="P35" s="49">
        <v>19380</v>
      </c>
      <c r="Q35" s="49">
        <v>15300</v>
      </c>
      <c r="R35" s="49">
        <v>16320</v>
      </c>
      <c r="S35" s="49">
        <v>14280</v>
      </c>
      <c r="T35" s="49">
        <v>16320</v>
      </c>
      <c r="U35" s="49">
        <v>13260</v>
      </c>
      <c r="V35" s="49">
        <v>0</v>
      </c>
      <c r="W35" s="49">
        <v>0</v>
      </c>
      <c r="X35" s="49">
        <v>0</v>
      </c>
      <c r="Y35" s="49">
        <v>0</v>
      </c>
      <c r="Z35" s="49">
        <v>0</v>
      </c>
      <c r="AA35" s="50">
        <v>6834</v>
      </c>
      <c r="AB35" s="51">
        <v>334764</v>
      </c>
    </row>
    <row r="36" spans="1:28">
      <c r="A36" s="1" t="s">
        <v>54</v>
      </c>
      <c r="B36" s="52" t="s">
        <v>83</v>
      </c>
      <c r="C36" s="53">
        <v>2700</v>
      </c>
      <c r="D36" s="54">
        <v>2880</v>
      </c>
      <c r="E36" s="54">
        <v>3690</v>
      </c>
      <c r="F36" s="54">
        <v>3420</v>
      </c>
      <c r="G36" s="54">
        <v>3420</v>
      </c>
      <c r="H36" s="54">
        <v>3420</v>
      </c>
      <c r="I36" s="54">
        <v>3420</v>
      </c>
      <c r="J36" s="54">
        <v>2880</v>
      </c>
      <c r="K36" s="54">
        <v>2700</v>
      </c>
      <c r="L36" s="54">
        <v>2700</v>
      </c>
      <c r="M36" s="54">
        <v>3420</v>
      </c>
      <c r="N36" s="54">
        <v>3240</v>
      </c>
      <c r="O36" s="54">
        <v>3240</v>
      </c>
      <c r="P36" s="54">
        <v>3420</v>
      </c>
      <c r="Q36" s="54">
        <v>2700</v>
      </c>
      <c r="R36" s="54">
        <v>2880</v>
      </c>
      <c r="S36" s="54">
        <v>2520</v>
      </c>
      <c r="T36" s="54">
        <v>2880</v>
      </c>
      <c r="U36" s="54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5">
        <v>0</v>
      </c>
      <c r="AB36" s="56">
        <v>55530</v>
      </c>
    </row>
    <row r="37" spans="1:28">
      <c r="A37" s="1" t="s">
        <v>54</v>
      </c>
      <c r="B37" s="52" t="s">
        <v>84</v>
      </c>
      <c r="C37" s="53">
        <v>27450</v>
      </c>
      <c r="D37" s="54">
        <v>29280</v>
      </c>
      <c r="E37" s="54">
        <v>37515</v>
      </c>
      <c r="F37" s="54">
        <v>34770</v>
      </c>
      <c r="G37" s="54">
        <v>34770</v>
      </c>
      <c r="H37" s="54">
        <v>34770</v>
      </c>
      <c r="I37" s="54">
        <v>34770</v>
      </c>
      <c r="J37" s="54">
        <v>29280</v>
      </c>
      <c r="K37" s="54">
        <v>27450</v>
      </c>
      <c r="L37" s="54">
        <v>27450</v>
      </c>
      <c r="M37" s="54">
        <v>34770</v>
      </c>
      <c r="N37" s="54">
        <v>32940</v>
      </c>
      <c r="O37" s="54">
        <v>32940</v>
      </c>
      <c r="P37" s="54">
        <v>34770</v>
      </c>
      <c r="Q37" s="54">
        <v>27450</v>
      </c>
      <c r="R37" s="54">
        <v>29280</v>
      </c>
      <c r="S37" s="54">
        <v>25620</v>
      </c>
      <c r="T37" s="54">
        <v>29280</v>
      </c>
      <c r="U37" s="54">
        <v>23790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5">
        <v>12261</v>
      </c>
      <c r="AB37" s="56">
        <v>600606</v>
      </c>
    </row>
    <row r="38" spans="1:28">
      <c r="A38" s="1" t="s">
        <v>54</v>
      </c>
      <c r="B38" s="52" t="s">
        <v>85</v>
      </c>
      <c r="C38" s="53">
        <v>1650</v>
      </c>
      <c r="D38" s="54">
        <v>2009</v>
      </c>
      <c r="E38" s="54">
        <v>2348</v>
      </c>
      <c r="F38" s="54">
        <v>2384</v>
      </c>
      <c r="G38" s="54">
        <v>2286</v>
      </c>
      <c r="H38" s="54">
        <v>2347</v>
      </c>
      <c r="I38" s="54">
        <v>0</v>
      </c>
      <c r="J38" s="54">
        <v>1807</v>
      </c>
      <c r="K38" s="54">
        <v>1809</v>
      </c>
      <c r="L38" s="54">
        <v>1876</v>
      </c>
      <c r="M38" s="54">
        <v>1982</v>
      </c>
      <c r="N38" s="54">
        <v>1845</v>
      </c>
      <c r="O38" s="54">
        <v>2275</v>
      </c>
      <c r="P38" s="54">
        <v>2309</v>
      </c>
      <c r="Q38" s="54">
        <v>1886</v>
      </c>
      <c r="R38" s="54">
        <v>2089</v>
      </c>
      <c r="S38" s="54">
        <v>1815</v>
      </c>
      <c r="T38" s="54">
        <v>1842</v>
      </c>
      <c r="U38" s="54">
        <v>1594</v>
      </c>
      <c r="V38" s="54">
        <v>0</v>
      </c>
      <c r="W38" s="54">
        <v>475</v>
      </c>
      <c r="X38" s="54">
        <v>603</v>
      </c>
      <c r="Y38" s="54">
        <v>0</v>
      </c>
      <c r="Z38" s="54">
        <v>481</v>
      </c>
      <c r="AA38" s="55">
        <v>931</v>
      </c>
      <c r="AB38" s="56">
        <v>38643</v>
      </c>
    </row>
    <row r="39" spans="1:28">
      <c r="A39" s="1" t="s">
        <v>54</v>
      </c>
      <c r="B39" s="11" t="s">
        <v>86</v>
      </c>
      <c r="C39" s="26">
        <v>0</v>
      </c>
      <c r="D39" s="27">
        <v>0</v>
      </c>
      <c r="E39" s="27">
        <v>0</v>
      </c>
      <c r="F39" s="27">
        <v>0</v>
      </c>
      <c r="G39" s="27">
        <v>1071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8">
        <v>0</v>
      </c>
      <c r="AB39" s="14">
        <v>1071</v>
      </c>
    </row>
    <row r="40" spans="1:28">
      <c r="A40" s="1" t="s">
        <v>54</v>
      </c>
      <c r="B40" s="33" t="s">
        <v>87</v>
      </c>
      <c r="C40" s="38">
        <v>47100</v>
      </c>
      <c r="D40" s="39">
        <v>50489</v>
      </c>
      <c r="E40" s="39">
        <v>64463</v>
      </c>
      <c r="F40" s="39">
        <v>59954</v>
      </c>
      <c r="G40" s="39">
        <v>59856</v>
      </c>
      <c r="H40" s="39">
        <v>59917</v>
      </c>
      <c r="I40" s="39">
        <v>57570</v>
      </c>
      <c r="J40" s="39">
        <v>50287</v>
      </c>
      <c r="K40" s="39">
        <v>47259</v>
      </c>
      <c r="L40" s="39">
        <v>47326</v>
      </c>
      <c r="M40" s="39">
        <v>59552</v>
      </c>
      <c r="N40" s="39">
        <v>56385</v>
      </c>
      <c r="O40" s="39">
        <v>56815</v>
      </c>
      <c r="P40" s="39">
        <v>59879</v>
      </c>
      <c r="Q40" s="39">
        <v>47336</v>
      </c>
      <c r="R40" s="39">
        <v>50569</v>
      </c>
      <c r="S40" s="39">
        <v>44235</v>
      </c>
      <c r="T40" s="39">
        <v>50322</v>
      </c>
      <c r="U40" s="39">
        <v>38644</v>
      </c>
      <c r="V40" s="39">
        <v>0</v>
      </c>
      <c r="W40" s="39">
        <v>475</v>
      </c>
      <c r="X40" s="39">
        <v>603</v>
      </c>
      <c r="Y40" s="39">
        <v>0</v>
      </c>
      <c r="Z40" s="39">
        <v>481</v>
      </c>
      <c r="AA40" s="40">
        <v>20026</v>
      </c>
      <c r="AB40" s="41">
        <v>1029543</v>
      </c>
    </row>
    <row r="41" spans="1:28">
      <c r="A41" s="1" t="s">
        <v>54</v>
      </c>
      <c r="B41" s="47" t="s">
        <v>88</v>
      </c>
      <c r="C41" s="48">
        <v>3700</v>
      </c>
      <c r="D41" s="49">
        <v>7660</v>
      </c>
      <c r="E41" s="49">
        <v>7600</v>
      </c>
      <c r="F41" s="49">
        <v>10880</v>
      </c>
      <c r="G41" s="49">
        <v>7360</v>
      </c>
      <c r="H41" s="49">
        <v>10700</v>
      </c>
      <c r="I41" s="49">
        <v>0</v>
      </c>
      <c r="J41" s="49">
        <v>6500</v>
      </c>
      <c r="K41" s="49">
        <v>5040</v>
      </c>
      <c r="L41" s="49">
        <v>6980</v>
      </c>
      <c r="M41" s="49">
        <v>7110</v>
      </c>
      <c r="N41" s="49">
        <v>6380</v>
      </c>
      <c r="O41" s="49">
        <v>7500</v>
      </c>
      <c r="P41" s="49">
        <v>2640</v>
      </c>
      <c r="Q41" s="49">
        <v>6730</v>
      </c>
      <c r="R41" s="49">
        <v>7950</v>
      </c>
      <c r="S41" s="49">
        <v>6530</v>
      </c>
      <c r="T41" s="49">
        <v>6700</v>
      </c>
      <c r="U41" s="49">
        <v>5480</v>
      </c>
      <c r="V41" s="49">
        <v>0</v>
      </c>
      <c r="W41" s="49">
        <v>0</v>
      </c>
      <c r="X41" s="49">
        <v>610</v>
      </c>
      <c r="Y41" s="49">
        <v>0</v>
      </c>
      <c r="Z41" s="49">
        <v>0</v>
      </c>
      <c r="AA41" s="50">
        <v>240</v>
      </c>
      <c r="AB41" s="51">
        <v>124290</v>
      </c>
    </row>
    <row r="42" spans="1:28">
      <c r="A42" s="1" t="s">
        <v>54</v>
      </c>
      <c r="B42" s="52" t="s">
        <v>89</v>
      </c>
      <c r="C42" s="53">
        <v>1300</v>
      </c>
      <c r="D42" s="54">
        <v>1300</v>
      </c>
      <c r="E42" s="54">
        <v>0</v>
      </c>
      <c r="F42" s="54">
        <v>0</v>
      </c>
      <c r="G42" s="54">
        <v>1300</v>
      </c>
      <c r="H42" s="54">
        <v>0</v>
      </c>
      <c r="I42" s="54">
        <v>1300</v>
      </c>
      <c r="J42" s="54">
        <v>1300</v>
      </c>
      <c r="K42" s="54">
        <v>1300</v>
      </c>
      <c r="L42" s="54">
        <v>1300</v>
      </c>
      <c r="M42" s="54">
        <v>1300</v>
      </c>
      <c r="N42" s="54">
        <v>1300</v>
      </c>
      <c r="O42" s="54">
        <v>0</v>
      </c>
      <c r="P42" s="54">
        <v>1300</v>
      </c>
      <c r="Q42" s="54">
        <v>1300</v>
      </c>
      <c r="R42" s="54">
        <v>1300</v>
      </c>
      <c r="S42" s="54">
        <v>1300</v>
      </c>
      <c r="T42" s="54">
        <v>0</v>
      </c>
      <c r="U42" s="54">
        <v>0</v>
      </c>
      <c r="V42" s="54">
        <v>0</v>
      </c>
      <c r="W42" s="54">
        <v>0</v>
      </c>
      <c r="X42" s="54">
        <v>0</v>
      </c>
      <c r="Y42" s="54">
        <v>0</v>
      </c>
      <c r="Z42" s="54">
        <v>0</v>
      </c>
      <c r="AA42" s="55">
        <v>0</v>
      </c>
      <c r="AB42" s="56">
        <v>16900</v>
      </c>
    </row>
    <row r="43" spans="1:28">
      <c r="A43" s="1" t="s">
        <v>54</v>
      </c>
      <c r="B43" s="52" t="s">
        <v>90</v>
      </c>
      <c r="C43" s="53">
        <v>6700</v>
      </c>
      <c r="D43" s="54">
        <v>15100</v>
      </c>
      <c r="E43" s="54">
        <v>17000</v>
      </c>
      <c r="F43" s="54">
        <v>21700</v>
      </c>
      <c r="G43" s="54">
        <v>18200</v>
      </c>
      <c r="H43" s="54">
        <v>20200</v>
      </c>
      <c r="I43" s="54">
        <v>19000</v>
      </c>
      <c r="J43" s="54">
        <v>13900</v>
      </c>
      <c r="K43" s="54">
        <v>9200</v>
      </c>
      <c r="L43" s="54">
        <v>13900</v>
      </c>
      <c r="M43" s="54">
        <v>16500</v>
      </c>
      <c r="N43" s="54">
        <v>14300</v>
      </c>
      <c r="O43" s="54">
        <v>18600</v>
      </c>
      <c r="P43" s="54">
        <v>1900</v>
      </c>
      <c r="Q43" s="54">
        <v>0</v>
      </c>
      <c r="R43" s="54">
        <v>12900</v>
      </c>
      <c r="S43" s="54">
        <v>10500</v>
      </c>
      <c r="T43" s="54">
        <v>5300</v>
      </c>
      <c r="U43" s="54">
        <v>0</v>
      </c>
      <c r="V43" s="54">
        <v>0</v>
      </c>
      <c r="W43" s="54">
        <v>0</v>
      </c>
      <c r="X43" s="54">
        <v>0</v>
      </c>
      <c r="Y43" s="54">
        <v>0</v>
      </c>
      <c r="Z43" s="54">
        <v>2700</v>
      </c>
      <c r="AA43" s="55">
        <v>10700</v>
      </c>
      <c r="AB43" s="56">
        <v>248300</v>
      </c>
    </row>
    <row r="44" spans="1:28">
      <c r="A44" s="1" t="s">
        <v>54</v>
      </c>
      <c r="B44" s="11" t="s">
        <v>91</v>
      </c>
      <c r="C44" s="26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9">
        <v>-77870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8">
        <v>0</v>
      </c>
      <c r="AB44" s="15">
        <v>-77870</v>
      </c>
    </row>
    <row r="45" spans="1:28">
      <c r="A45" s="1" t="s">
        <v>54</v>
      </c>
      <c r="B45" s="33" t="s">
        <v>92</v>
      </c>
      <c r="C45" s="38">
        <v>58800</v>
      </c>
      <c r="D45" s="39">
        <v>74549</v>
      </c>
      <c r="E45" s="39">
        <v>89063</v>
      </c>
      <c r="F45" s="39">
        <v>92534</v>
      </c>
      <c r="G45" s="39">
        <v>87787</v>
      </c>
      <c r="H45" s="39">
        <v>90817</v>
      </c>
      <c r="I45" s="42">
        <v>0</v>
      </c>
      <c r="J45" s="39">
        <v>71987</v>
      </c>
      <c r="K45" s="39">
        <v>62799</v>
      </c>
      <c r="L45" s="39">
        <v>69506</v>
      </c>
      <c r="M45" s="39">
        <v>84462</v>
      </c>
      <c r="N45" s="39">
        <v>78365</v>
      </c>
      <c r="O45" s="39">
        <v>82915</v>
      </c>
      <c r="P45" s="39">
        <v>65719</v>
      </c>
      <c r="Q45" s="39">
        <v>55366</v>
      </c>
      <c r="R45" s="39">
        <v>72719</v>
      </c>
      <c r="S45" s="39">
        <v>62565</v>
      </c>
      <c r="T45" s="39">
        <v>62322</v>
      </c>
      <c r="U45" s="39">
        <v>44124</v>
      </c>
      <c r="V45" s="39">
        <v>0</v>
      </c>
      <c r="W45" s="39">
        <v>475</v>
      </c>
      <c r="X45" s="39">
        <v>1213</v>
      </c>
      <c r="Y45" s="39">
        <v>0</v>
      </c>
      <c r="Z45" s="39">
        <v>3181</v>
      </c>
      <c r="AA45" s="40">
        <v>30966</v>
      </c>
      <c r="AB45" s="41">
        <v>1342234</v>
      </c>
    </row>
    <row r="46" spans="1:28">
      <c r="A46" s="1" t="s">
        <v>54</v>
      </c>
      <c r="B46" s="33" t="s">
        <v>93</v>
      </c>
      <c r="C46" s="38">
        <v>215514</v>
      </c>
      <c r="D46" s="39">
        <v>280897</v>
      </c>
      <c r="E46" s="39">
        <v>321515</v>
      </c>
      <c r="F46" s="39">
        <v>330630</v>
      </c>
      <c r="G46" s="39">
        <v>315527</v>
      </c>
      <c r="H46" s="39">
        <v>328358</v>
      </c>
      <c r="I46" s="42">
        <v>-57570</v>
      </c>
      <c r="J46" s="39">
        <v>248554</v>
      </c>
      <c r="K46" s="39">
        <v>253003</v>
      </c>
      <c r="L46" s="39">
        <v>262125</v>
      </c>
      <c r="M46" s="39">
        <v>265581</v>
      </c>
      <c r="N46" s="39">
        <v>245297</v>
      </c>
      <c r="O46" s="39">
        <v>318955</v>
      </c>
      <c r="P46" s="39">
        <v>318747</v>
      </c>
      <c r="Q46" s="39">
        <v>255119</v>
      </c>
      <c r="R46" s="39">
        <v>289249</v>
      </c>
      <c r="S46" s="39">
        <v>249450</v>
      </c>
      <c r="T46" s="39">
        <v>254240</v>
      </c>
      <c r="U46" s="39">
        <v>219885</v>
      </c>
      <c r="V46" s="39">
        <v>80450</v>
      </c>
      <c r="W46" s="39">
        <v>76115</v>
      </c>
      <c r="X46" s="39">
        <v>97837</v>
      </c>
      <c r="Y46" s="39">
        <v>64598</v>
      </c>
      <c r="Z46" s="39">
        <v>75579</v>
      </c>
      <c r="AA46" s="40">
        <v>122166</v>
      </c>
      <c r="AB46" s="41">
        <v>5431821</v>
      </c>
    </row>
    <row r="47" spans="1:28">
      <c r="A47" s="1" t="s">
        <v>54</v>
      </c>
      <c r="B47" s="33" t="s">
        <v>94</v>
      </c>
      <c r="C47" s="38">
        <v>216242</v>
      </c>
      <c r="D47" s="39">
        <v>260214</v>
      </c>
      <c r="E47" s="39">
        <v>302265</v>
      </c>
      <c r="F47" s="39">
        <v>304723</v>
      </c>
      <c r="G47" s="39">
        <v>293189</v>
      </c>
      <c r="H47" s="39">
        <v>300430</v>
      </c>
      <c r="I47" s="39">
        <v>0</v>
      </c>
      <c r="J47" s="39">
        <v>229232</v>
      </c>
      <c r="K47" s="39">
        <v>238706</v>
      </c>
      <c r="L47" s="39">
        <v>243187</v>
      </c>
      <c r="M47" s="39">
        <v>245858</v>
      </c>
      <c r="N47" s="39">
        <v>229153</v>
      </c>
      <c r="O47" s="39">
        <v>296259</v>
      </c>
      <c r="P47" s="39">
        <v>319121</v>
      </c>
      <c r="Q47" s="39">
        <v>259030</v>
      </c>
      <c r="R47" s="39">
        <v>275528</v>
      </c>
      <c r="S47" s="39">
        <v>239900</v>
      </c>
      <c r="T47" s="39">
        <v>244726</v>
      </c>
      <c r="U47" s="39">
        <v>221538</v>
      </c>
      <c r="V47" s="39">
        <v>84773</v>
      </c>
      <c r="W47" s="39">
        <v>78709</v>
      </c>
      <c r="X47" s="39">
        <v>99254</v>
      </c>
      <c r="Y47" s="39">
        <v>67057</v>
      </c>
      <c r="Z47" s="39">
        <v>77040</v>
      </c>
      <c r="AA47" s="40">
        <v>124275</v>
      </c>
      <c r="AB47" s="41">
        <v>5250409</v>
      </c>
    </row>
    <row r="48" spans="1:28">
      <c r="A48" s="1" t="s">
        <v>54</v>
      </c>
      <c r="B48" s="33" t="s">
        <v>95</v>
      </c>
      <c r="C48" s="38">
        <v>216242</v>
      </c>
      <c r="D48" s="39">
        <v>260214</v>
      </c>
      <c r="E48" s="39">
        <v>302265</v>
      </c>
      <c r="F48" s="39">
        <v>304723</v>
      </c>
      <c r="G48" s="39">
        <v>293189</v>
      </c>
      <c r="H48" s="39">
        <v>300430</v>
      </c>
      <c r="I48" s="39">
        <v>0</v>
      </c>
      <c r="J48" s="39">
        <v>229232</v>
      </c>
      <c r="K48" s="39">
        <v>238706</v>
      </c>
      <c r="L48" s="39">
        <v>243187</v>
      </c>
      <c r="M48" s="39">
        <v>245858</v>
      </c>
      <c r="N48" s="39">
        <v>229153</v>
      </c>
      <c r="O48" s="39">
        <v>296259</v>
      </c>
      <c r="P48" s="39">
        <v>319121</v>
      </c>
      <c r="Q48" s="39">
        <v>259030</v>
      </c>
      <c r="R48" s="39">
        <v>275528</v>
      </c>
      <c r="S48" s="39">
        <v>239900</v>
      </c>
      <c r="T48" s="39">
        <v>244726</v>
      </c>
      <c r="U48" s="39">
        <v>221538</v>
      </c>
      <c r="V48" s="39">
        <v>84773</v>
      </c>
      <c r="W48" s="39">
        <v>78709</v>
      </c>
      <c r="X48" s="39">
        <v>99254</v>
      </c>
      <c r="Y48" s="39">
        <v>67057</v>
      </c>
      <c r="Z48" s="39">
        <v>77040</v>
      </c>
      <c r="AA48" s="40">
        <v>124275</v>
      </c>
      <c r="AB48" s="41">
        <v>5250409</v>
      </c>
    </row>
    <row r="49" spans="1:28">
      <c r="A49" s="1" t="s">
        <v>54</v>
      </c>
      <c r="B49" s="33" t="s">
        <v>96</v>
      </c>
      <c r="C49" s="38">
        <v>1</v>
      </c>
      <c r="D49" s="39">
        <v>0</v>
      </c>
      <c r="E49" s="39">
        <v>1</v>
      </c>
      <c r="F49" s="39">
        <v>0</v>
      </c>
      <c r="G49" s="39">
        <v>1</v>
      </c>
      <c r="H49" s="39">
        <v>0</v>
      </c>
      <c r="I49" s="39">
        <v>0</v>
      </c>
      <c r="J49" s="39">
        <v>0</v>
      </c>
      <c r="K49" s="39">
        <v>1</v>
      </c>
      <c r="L49" s="39">
        <v>0</v>
      </c>
      <c r="M49" s="39">
        <v>0</v>
      </c>
      <c r="N49" s="39">
        <v>0</v>
      </c>
      <c r="O49" s="39">
        <v>1</v>
      </c>
      <c r="P49" s="39">
        <v>4</v>
      </c>
      <c r="Q49" s="39">
        <v>0</v>
      </c>
      <c r="R49" s="39">
        <v>0</v>
      </c>
      <c r="S49" s="39">
        <v>0</v>
      </c>
      <c r="T49" s="39">
        <v>0</v>
      </c>
      <c r="U49" s="39">
        <v>0</v>
      </c>
      <c r="V49" s="39">
        <v>1</v>
      </c>
      <c r="W49" s="39">
        <v>0</v>
      </c>
      <c r="X49" s="39">
        <v>0</v>
      </c>
      <c r="Y49" s="39">
        <v>1</v>
      </c>
      <c r="Z49" s="39">
        <v>1</v>
      </c>
      <c r="AA49" s="40">
        <v>1</v>
      </c>
      <c r="AB49" s="41"/>
    </row>
    <row r="50" spans="1:28">
      <c r="A50" s="1" t="s">
        <v>54</v>
      </c>
      <c r="B50" s="33" t="s">
        <v>97</v>
      </c>
      <c r="C50" s="43" t="s">
        <v>98</v>
      </c>
      <c r="D50" s="44" t="s">
        <v>98</v>
      </c>
      <c r="E50" s="44" t="s">
        <v>98</v>
      </c>
      <c r="F50" s="44" t="s">
        <v>98</v>
      </c>
      <c r="G50" s="44" t="s">
        <v>98</v>
      </c>
      <c r="H50" s="44" t="s">
        <v>98</v>
      </c>
      <c r="I50" s="44" t="s">
        <v>98</v>
      </c>
      <c r="J50" s="44" t="s">
        <v>98</v>
      </c>
      <c r="K50" s="44" t="s">
        <v>98</v>
      </c>
      <c r="L50" s="44" t="s">
        <v>98</v>
      </c>
      <c r="M50" s="44" t="s">
        <v>98</v>
      </c>
      <c r="N50" s="44" t="s">
        <v>98</v>
      </c>
      <c r="O50" s="44" t="s">
        <v>98</v>
      </c>
      <c r="P50" s="44" t="s">
        <v>98</v>
      </c>
      <c r="Q50" s="44" t="s">
        <v>98</v>
      </c>
      <c r="R50" s="44" t="s">
        <v>98</v>
      </c>
      <c r="S50" s="44" t="s">
        <v>98</v>
      </c>
      <c r="T50" s="44" t="s">
        <v>98</v>
      </c>
      <c r="U50" s="44" t="s">
        <v>98</v>
      </c>
      <c r="V50" s="44" t="s">
        <v>98</v>
      </c>
      <c r="W50" s="44" t="s">
        <v>98</v>
      </c>
      <c r="X50" s="44" t="s">
        <v>98</v>
      </c>
      <c r="Y50" s="44" t="s">
        <v>98</v>
      </c>
      <c r="Z50" s="44" t="s">
        <v>98</v>
      </c>
      <c r="AA50" s="45" t="s">
        <v>98</v>
      </c>
      <c r="AB50" s="46"/>
    </row>
    <row r="51" spans="1:28" ht="19.5" thickBot="1">
      <c r="A51" s="1" t="s">
        <v>54</v>
      </c>
      <c r="B51" s="12" t="s">
        <v>99</v>
      </c>
      <c r="C51" s="30">
        <v>3700</v>
      </c>
      <c r="D51" s="31">
        <v>7660</v>
      </c>
      <c r="E51" s="31">
        <v>7600</v>
      </c>
      <c r="F51" s="31">
        <v>10880</v>
      </c>
      <c r="G51" s="31">
        <v>7360</v>
      </c>
      <c r="H51" s="31">
        <v>10700</v>
      </c>
      <c r="I51" s="31">
        <v>0</v>
      </c>
      <c r="J51" s="31">
        <v>6500</v>
      </c>
      <c r="K51" s="31">
        <v>5040</v>
      </c>
      <c r="L51" s="31">
        <v>6980</v>
      </c>
      <c r="M51" s="31">
        <v>7110</v>
      </c>
      <c r="N51" s="31">
        <v>6380</v>
      </c>
      <c r="O51" s="31">
        <v>7500</v>
      </c>
      <c r="P51" s="31">
        <v>2640</v>
      </c>
      <c r="Q51" s="31">
        <v>6730</v>
      </c>
      <c r="R51" s="31">
        <v>7950</v>
      </c>
      <c r="S51" s="31">
        <v>6530</v>
      </c>
      <c r="T51" s="31">
        <v>6700</v>
      </c>
      <c r="U51" s="31">
        <v>5480</v>
      </c>
      <c r="V51" s="31">
        <v>0</v>
      </c>
      <c r="W51" s="31">
        <v>0</v>
      </c>
      <c r="X51" s="31">
        <v>610</v>
      </c>
      <c r="Y51" s="31">
        <v>0</v>
      </c>
      <c r="Z51" s="31">
        <v>0</v>
      </c>
      <c r="AA51" s="32">
        <v>240</v>
      </c>
      <c r="AB51" s="16">
        <v>124290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407C-DADC-4336-893D-5647AF2900BC}">
  <dimension ref="A1:AE51"/>
  <sheetViews>
    <sheetView workbookViewId="0">
      <pane xSplit="2" ySplit="4" topLeftCell="C17" activePane="bottomRight" state="frozen"/>
      <selection pane="bottomRight" activeCell="C3" sqref="C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1" width="10.375" style="2" customWidth="1"/>
    <col min="32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13.25" style="2" bestFit="1" customWidth="1"/>
    <col min="263" max="263" width="11.125" style="2" bestFit="1" customWidth="1"/>
    <col min="264" max="264" width="9" style="2"/>
    <col min="265" max="275" width="11.125" style="2" bestFit="1" customWidth="1"/>
    <col min="276" max="276" width="9" style="2"/>
    <col min="277" max="283" width="11.125" style="2" bestFit="1" customWidth="1"/>
    <col min="284" max="284" width="9" style="2"/>
    <col min="285" max="285" width="9.625" style="2" bestFit="1" customWidth="1"/>
    <col min="286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13.25" style="2" bestFit="1" customWidth="1"/>
    <col min="519" max="519" width="11.125" style="2" bestFit="1" customWidth="1"/>
    <col min="520" max="520" width="9" style="2"/>
    <col min="521" max="531" width="11.125" style="2" bestFit="1" customWidth="1"/>
    <col min="532" max="532" width="9" style="2"/>
    <col min="533" max="539" width="11.125" style="2" bestFit="1" customWidth="1"/>
    <col min="540" max="540" width="9" style="2"/>
    <col min="541" max="541" width="9.625" style="2" bestFit="1" customWidth="1"/>
    <col min="542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13.25" style="2" bestFit="1" customWidth="1"/>
    <col min="775" max="775" width="11.125" style="2" bestFit="1" customWidth="1"/>
    <col min="776" max="776" width="9" style="2"/>
    <col min="777" max="787" width="11.125" style="2" bestFit="1" customWidth="1"/>
    <col min="788" max="788" width="9" style="2"/>
    <col min="789" max="795" width="11.125" style="2" bestFit="1" customWidth="1"/>
    <col min="796" max="796" width="9" style="2"/>
    <col min="797" max="797" width="9.625" style="2" bestFit="1" customWidth="1"/>
    <col min="798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13.25" style="2" bestFit="1" customWidth="1"/>
    <col min="1031" max="1031" width="11.125" style="2" bestFit="1" customWidth="1"/>
    <col min="1032" max="1032" width="9" style="2"/>
    <col min="1033" max="1043" width="11.125" style="2" bestFit="1" customWidth="1"/>
    <col min="1044" max="1044" width="9" style="2"/>
    <col min="1045" max="1051" width="11.125" style="2" bestFit="1" customWidth="1"/>
    <col min="1052" max="1052" width="9" style="2"/>
    <col min="1053" max="1053" width="9.625" style="2" bestFit="1" customWidth="1"/>
    <col min="1054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13.25" style="2" bestFit="1" customWidth="1"/>
    <col min="1287" max="1287" width="11.125" style="2" bestFit="1" customWidth="1"/>
    <col min="1288" max="1288" width="9" style="2"/>
    <col min="1289" max="1299" width="11.125" style="2" bestFit="1" customWidth="1"/>
    <col min="1300" max="1300" width="9" style="2"/>
    <col min="1301" max="1307" width="11.125" style="2" bestFit="1" customWidth="1"/>
    <col min="1308" max="1308" width="9" style="2"/>
    <col min="1309" max="1309" width="9.625" style="2" bestFit="1" customWidth="1"/>
    <col min="1310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13.25" style="2" bestFit="1" customWidth="1"/>
    <col min="1543" max="1543" width="11.125" style="2" bestFit="1" customWidth="1"/>
    <col min="1544" max="1544" width="9" style="2"/>
    <col min="1545" max="1555" width="11.125" style="2" bestFit="1" customWidth="1"/>
    <col min="1556" max="1556" width="9" style="2"/>
    <col min="1557" max="1563" width="11.125" style="2" bestFit="1" customWidth="1"/>
    <col min="1564" max="1564" width="9" style="2"/>
    <col min="1565" max="1565" width="9.625" style="2" bestFit="1" customWidth="1"/>
    <col min="1566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13.25" style="2" bestFit="1" customWidth="1"/>
    <col min="1799" max="1799" width="11.125" style="2" bestFit="1" customWidth="1"/>
    <col min="1800" max="1800" width="9" style="2"/>
    <col min="1801" max="1811" width="11.125" style="2" bestFit="1" customWidth="1"/>
    <col min="1812" max="1812" width="9" style="2"/>
    <col min="1813" max="1819" width="11.125" style="2" bestFit="1" customWidth="1"/>
    <col min="1820" max="1820" width="9" style="2"/>
    <col min="1821" max="1821" width="9.625" style="2" bestFit="1" customWidth="1"/>
    <col min="1822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13.25" style="2" bestFit="1" customWidth="1"/>
    <col min="2055" max="2055" width="11.125" style="2" bestFit="1" customWidth="1"/>
    <col min="2056" max="2056" width="9" style="2"/>
    <col min="2057" max="2067" width="11.125" style="2" bestFit="1" customWidth="1"/>
    <col min="2068" max="2068" width="9" style="2"/>
    <col min="2069" max="2075" width="11.125" style="2" bestFit="1" customWidth="1"/>
    <col min="2076" max="2076" width="9" style="2"/>
    <col min="2077" max="2077" width="9.625" style="2" bestFit="1" customWidth="1"/>
    <col min="2078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13.25" style="2" bestFit="1" customWidth="1"/>
    <col min="2311" max="2311" width="11.125" style="2" bestFit="1" customWidth="1"/>
    <col min="2312" max="2312" width="9" style="2"/>
    <col min="2313" max="2323" width="11.125" style="2" bestFit="1" customWidth="1"/>
    <col min="2324" max="2324" width="9" style="2"/>
    <col min="2325" max="2331" width="11.125" style="2" bestFit="1" customWidth="1"/>
    <col min="2332" max="2332" width="9" style="2"/>
    <col min="2333" max="2333" width="9.625" style="2" bestFit="1" customWidth="1"/>
    <col min="2334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13.25" style="2" bestFit="1" customWidth="1"/>
    <col min="2567" max="2567" width="11.125" style="2" bestFit="1" customWidth="1"/>
    <col min="2568" max="2568" width="9" style="2"/>
    <col min="2569" max="2579" width="11.125" style="2" bestFit="1" customWidth="1"/>
    <col min="2580" max="2580" width="9" style="2"/>
    <col min="2581" max="2587" width="11.125" style="2" bestFit="1" customWidth="1"/>
    <col min="2588" max="2588" width="9" style="2"/>
    <col min="2589" max="2589" width="9.625" style="2" bestFit="1" customWidth="1"/>
    <col min="2590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13.25" style="2" bestFit="1" customWidth="1"/>
    <col min="2823" max="2823" width="11.125" style="2" bestFit="1" customWidth="1"/>
    <col min="2824" max="2824" width="9" style="2"/>
    <col min="2825" max="2835" width="11.125" style="2" bestFit="1" customWidth="1"/>
    <col min="2836" max="2836" width="9" style="2"/>
    <col min="2837" max="2843" width="11.125" style="2" bestFit="1" customWidth="1"/>
    <col min="2844" max="2844" width="9" style="2"/>
    <col min="2845" max="2845" width="9.625" style="2" bestFit="1" customWidth="1"/>
    <col min="2846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13.25" style="2" bestFit="1" customWidth="1"/>
    <col min="3079" max="3079" width="11.125" style="2" bestFit="1" customWidth="1"/>
    <col min="3080" max="3080" width="9" style="2"/>
    <col min="3081" max="3091" width="11.125" style="2" bestFit="1" customWidth="1"/>
    <col min="3092" max="3092" width="9" style="2"/>
    <col min="3093" max="3099" width="11.125" style="2" bestFit="1" customWidth="1"/>
    <col min="3100" max="3100" width="9" style="2"/>
    <col min="3101" max="3101" width="9.625" style="2" bestFit="1" customWidth="1"/>
    <col min="3102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13.25" style="2" bestFit="1" customWidth="1"/>
    <col min="3335" max="3335" width="11.125" style="2" bestFit="1" customWidth="1"/>
    <col min="3336" max="3336" width="9" style="2"/>
    <col min="3337" max="3347" width="11.125" style="2" bestFit="1" customWidth="1"/>
    <col min="3348" max="3348" width="9" style="2"/>
    <col min="3349" max="3355" width="11.125" style="2" bestFit="1" customWidth="1"/>
    <col min="3356" max="3356" width="9" style="2"/>
    <col min="3357" max="3357" width="9.625" style="2" bestFit="1" customWidth="1"/>
    <col min="3358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13.25" style="2" bestFit="1" customWidth="1"/>
    <col min="3591" max="3591" width="11.125" style="2" bestFit="1" customWidth="1"/>
    <col min="3592" max="3592" width="9" style="2"/>
    <col min="3593" max="3603" width="11.125" style="2" bestFit="1" customWidth="1"/>
    <col min="3604" max="3604" width="9" style="2"/>
    <col min="3605" max="3611" width="11.125" style="2" bestFit="1" customWidth="1"/>
    <col min="3612" max="3612" width="9" style="2"/>
    <col min="3613" max="3613" width="9.625" style="2" bestFit="1" customWidth="1"/>
    <col min="3614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13.25" style="2" bestFit="1" customWidth="1"/>
    <col min="3847" max="3847" width="11.125" style="2" bestFit="1" customWidth="1"/>
    <col min="3848" max="3848" width="9" style="2"/>
    <col min="3849" max="3859" width="11.125" style="2" bestFit="1" customWidth="1"/>
    <col min="3860" max="3860" width="9" style="2"/>
    <col min="3861" max="3867" width="11.125" style="2" bestFit="1" customWidth="1"/>
    <col min="3868" max="3868" width="9" style="2"/>
    <col min="3869" max="3869" width="9.625" style="2" bestFit="1" customWidth="1"/>
    <col min="3870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13.25" style="2" bestFit="1" customWidth="1"/>
    <col min="4103" max="4103" width="11.125" style="2" bestFit="1" customWidth="1"/>
    <col min="4104" max="4104" width="9" style="2"/>
    <col min="4105" max="4115" width="11.125" style="2" bestFit="1" customWidth="1"/>
    <col min="4116" max="4116" width="9" style="2"/>
    <col min="4117" max="4123" width="11.125" style="2" bestFit="1" customWidth="1"/>
    <col min="4124" max="4124" width="9" style="2"/>
    <col min="4125" max="4125" width="9.625" style="2" bestFit="1" customWidth="1"/>
    <col min="4126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13.25" style="2" bestFit="1" customWidth="1"/>
    <col min="4359" max="4359" width="11.125" style="2" bestFit="1" customWidth="1"/>
    <col min="4360" max="4360" width="9" style="2"/>
    <col min="4361" max="4371" width="11.125" style="2" bestFit="1" customWidth="1"/>
    <col min="4372" max="4372" width="9" style="2"/>
    <col min="4373" max="4379" width="11.125" style="2" bestFit="1" customWidth="1"/>
    <col min="4380" max="4380" width="9" style="2"/>
    <col min="4381" max="4381" width="9.625" style="2" bestFit="1" customWidth="1"/>
    <col min="4382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13.25" style="2" bestFit="1" customWidth="1"/>
    <col min="4615" max="4615" width="11.125" style="2" bestFit="1" customWidth="1"/>
    <col min="4616" max="4616" width="9" style="2"/>
    <col min="4617" max="4627" width="11.125" style="2" bestFit="1" customWidth="1"/>
    <col min="4628" max="4628" width="9" style="2"/>
    <col min="4629" max="4635" width="11.125" style="2" bestFit="1" customWidth="1"/>
    <col min="4636" max="4636" width="9" style="2"/>
    <col min="4637" max="4637" width="9.625" style="2" bestFit="1" customWidth="1"/>
    <col min="4638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13.25" style="2" bestFit="1" customWidth="1"/>
    <col min="4871" max="4871" width="11.125" style="2" bestFit="1" customWidth="1"/>
    <col min="4872" max="4872" width="9" style="2"/>
    <col min="4873" max="4883" width="11.125" style="2" bestFit="1" customWidth="1"/>
    <col min="4884" max="4884" width="9" style="2"/>
    <col min="4885" max="4891" width="11.125" style="2" bestFit="1" customWidth="1"/>
    <col min="4892" max="4892" width="9" style="2"/>
    <col min="4893" max="4893" width="9.625" style="2" bestFit="1" customWidth="1"/>
    <col min="4894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13.25" style="2" bestFit="1" customWidth="1"/>
    <col min="5127" max="5127" width="11.125" style="2" bestFit="1" customWidth="1"/>
    <col min="5128" max="5128" width="9" style="2"/>
    <col min="5129" max="5139" width="11.125" style="2" bestFit="1" customWidth="1"/>
    <col min="5140" max="5140" width="9" style="2"/>
    <col min="5141" max="5147" width="11.125" style="2" bestFit="1" customWidth="1"/>
    <col min="5148" max="5148" width="9" style="2"/>
    <col min="5149" max="5149" width="9.625" style="2" bestFit="1" customWidth="1"/>
    <col min="5150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13.25" style="2" bestFit="1" customWidth="1"/>
    <col min="5383" max="5383" width="11.125" style="2" bestFit="1" customWidth="1"/>
    <col min="5384" max="5384" width="9" style="2"/>
    <col min="5385" max="5395" width="11.125" style="2" bestFit="1" customWidth="1"/>
    <col min="5396" max="5396" width="9" style="2"/>
    <col min="5397" max="5403" width="11.125" style="2" bestFit="1" customWidth="1"/>
    <col min="5404" max="5404" width="9" style="2"/>
    <col min="5405" max="5405" width="9.625" style="2" bestFit="1" customWidth="1"/>
    <col min="5406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13.25" style="2" bestFit="1" customWidth="1"/>
    <col min="5639" max="5639" width="11.125" style="2" bestFit="1" customWidth="1"/>
    <col min="5640" max="5640" width="9" style="2"/>
    <col min="5641" max="5651" width="11.125" style="2" bestFit="1" customWidth="1"/>
    <col min="5652" max="5652" width="9" style="2"/>
    <col min="5653" max="5659" width="11.125" style="2" bestFit="1" customWidth="1"/>
    <col min="5660" max="5660" width="9" style="2"/>
    <col min="5661" max="5661" width="9.625" style="2" bestFit="1" customWidth="1"/>
    <col min="5662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13.25" style="2" bestFit="1" customWidth="1"/>
    <col min="5895" max="5895" width="11.125" style="2" bestFit="1" customWidth="1"/>
    <col min="5896" max="5896" width="9" style="2"/>
    <col min="5897" max="5907" width="11.125" style="2" bestFit="1" customWidth="1"/>
    <col min="5908" max="5908" width="9" style="2"/>
    <col min="5909" max="5915" width="11.125" style="2" bestFit="1" customWidth="1"/>
    <col min="5916" max="5916" width="9" style="2"/>
    <col min="5917" max="5917" width="9.625" style="2" bestFit="1" customWidth="1"/>
    <col min="5918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13.25" style="2" bestFit="1" customWidth="1"/>
    <col min="6151" max="6151" width="11.125" style="2" bestFit="1" customWidth="1"/>
    <col min="6152" max="6152" width="9" style="2"/>
    <col min="6153" max="6163" width="11.125" style="2" bestFit="1" customWidth="1"/>
    <col min="6164" max="6164" width="9" style="2"/>
    <col min="6165" max="6171" width="11.125" style="2" bestFit="1" customWidth="1"/>
    <col min="6172" max="6172" width="9" style="2"/>
    <col min="6173" max="6173" width="9.625" style="2" bestFit="1" customWidth="1"/>
    <col min="6174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13.25" style="2" bestFit="1" customWidth="1"/>
    <col min="6407" max="6407" width="11.125" style="2" bestFit="1" customWidth="1"/>
    <col min="6408" max="6408" width="9" style="2"/>
    <col min="6409" max="6419" width="11.125" style="2" bestFit="1" customWidth="1"/>
    <col min="6420" max="6420" width="9" style="2"/>
    <col min="6421" max="6427" width="11.125" style="2" bestFit="1" customWidth="1"/>
    <col min="6428" max="6428" width="9" style="2"/>
    <col min="6429" max="6429" width="9.625" style="2" bestFit="1" customWidth="1"/>
    <col min="6430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13.25" style="2" bestFit="1" customWidth="1"/>
    <col min="6663" max="6663" width="11.125" style="2" bestFit="1" customWidth="1"/>
    <col min="6664" max="6664" width="9" style="2"/>
    <col min="6665" max="6675" width="11.125" style="2" bestFit="1" customWidth="1"/>
    <col min="6676" max="6676" width="9" style="2"/>
    <col min="6677" max="6683" width="11.125" style="2" bestFit="1" customWidth="1"/>
    <col min="6684" max="6684" width="9" style="2"/>
    <col min="6685" max="6685" width="9.625" style="2" bestFit="1" customWidth="1"/>
    <col min="6686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13.25" style="2" bestFit="1" customWidth="1"/>
    <col min="6919" max="6919" width="11.125" style="2" bestFit="1" customWidth="1"/>
    <col min="6920" max="6920" width="9" style="2"/>
    <col min="6921" max="6931" width="11.125" style="2" bestFit="1" customWidth="1"/>
    <col min="6932" max="6932" width="9" style="2"/>
    <col min="6933" max="6939" width="11.125" style="2" bestFit="1" customWidth="1"/>
    <col min="6940" max="6940" width="9" style="2"/>
    <col min="6941" max="6941" width="9.625" style="2" bestFit="1" customWidth="1"/>
    <col min="6942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13.25" style="2" bestFit="1" customWidth="1"/>
    <col min="7175" max="7175" width="11.125" style="2" bestFit="1" customWidth="1"/>
    <col min="7176" max="7176" width="9" style="2"/>
    <col min="7177" max="7187" width="11.125" style="2" bestFit="1" customWidth="1"/>
    <col min="7188" max="7188" width="9" style="2"/>
    <col min="7189" max="7195" width="11.125" style="2" bestFit="1" customWidth="1"/>
    <col min="7196" max="7196" width="9" style="2"/>
    <col min="7197" max="7197" width="9.625" style="2" bestFit="1" customWidth="1"/>
    <col min="7198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13.25" style="2" bestFit="1" customWidth="1"/>
    <col min="7431" max="7431" width="11.125" style="2" bestFit="1" customWidth="1"/>
    <col min="7432" max="7432" width="9" style="2"/>
    <col min="7433" max="7443" width="11.125" style="2" bestFit="1" customWidth="1"/>
    <col min="7444" max="7444" width="9" style="2"/>
    <col min="7445" max="7451" width="11.125" style="2" bestFit="1" customWidth="1"/>
    <col min="7452" max="7452" width="9" style="2"/>
    <col min="7453" max="7453" width="9.625" style="2" bestFit="1" customWidth="1"/>
    <col min="7454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13.25" style="2" bestFit="1" customWidth="1"/>
    <col min="7687" max="7687" width="11.125" style="2" bestFit="1" customWidth="1"/>
    <col min="7688" max="7688" width="9" style="2"/>
    <col min="7689" max="7699" width="11.125" style="2" bestFit="1" customWidth="1"/>
    <col min="7700" max="7700" width="9" style="2"/>
    <col min="7701" max="7707" width="11.125" style="2" bestFit="1" customWidth="1"/>
    <col min="7708" max="7708" width="9" style="2"/>
    <col min="7709" max="7709" width="9.625" style="2" bestFit="1" customWidth="1"/>
    <col min="7710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13.25" style="2" bestFit="1" customWidth="1"/>
    <col min="7943" max="7943" width="11.125" style="2" bestFit="1" customWidth="1"/>
    <col min="7944" max="7944" width="9" style="2"/>
    <col min="7945" max="7955" width="11.125" style="2" bestFit="1" customWidth="1"/>
    <col min="7956" max="7956" width="9" style="2"/>
    <col min="7957" max="7963" width="11.125" style="2" bestFit="1" customWidth="1"/>
    <col min="7964" max="7964" width="9" style="2"/>
    <col min="7965" max="7965" width="9.625" style="2" bestFit="1" customWidth="1"/>
    <col min="7966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13.25" style="2" bestFit="1" customWidth="1"/>
    <col min="8199" max="8199" width="11.125" style="2" bestFit="1" customWidth="1"/>
    <col min="8200" max="8200" width="9" style="2"/>
    <col min="8201" max="8211" width="11.125" style="2" bestFit="1" customWidth="1"/>
    <col min="8212" max="8212" width="9" style="2"/>
    <col min="8213" max="8219" width="11.125" style="2" bestFit="1" customWidth="1"/>
    <col min="8220" max="8220" width="9" style="2"/>
    <col min="8221" max="8221" width="9.625" style="2" bestFit="1" customWidth="1"/>
    <col min="8222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13.25" style="2" bestFit="1" customWidth="1"/>
    <col min="8455" max="8455" width="11.125" style="2" bestFit="1" customWidth="1"/>
    <col min="8456" max="8456" width="9" style="2"/>
    <col min="8457" max="8467" width="11.125" style="2" bestFit="1" customWidth="1"/>
    <col min="8468" max="8468" width="9" style="2"/>
    <col min="8469" max="8475" width="11.125" style="2" bestFit="1" customWidth="1"/>
    <col min="8476" max="8476" width="9" style="2"/>
    <col min="8477" max="8477" width="9.625" style="2" bestFit="1" customWidth="1"/>
    <col min="8478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13.25" style="2" bestFit="1" customWidth="1"/>
    <col min="8711" max="8711" width="11.125" style="2" bestFit="1" customWidth="1"/>
    <col min="8712" max="8712" width="9" style="2"/>
    <col min="8713" max="8723" width="11.125" style="2" bestFit="1" customWidth="1"/>
    <col min="8724" max="8724" width="9" style="2"/>
    <col min="8725" max="8731" width="11.125" style="2" bestFit="1" customWidth="1"/>
    <col min="8732" max="8732" width="9" style="2"/>
    <col min="8733" max="8733" width="9.625" style="2" bestFit="1" customWidth="1"/>
    <col min="8734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13.25" style="2" bestFit="1" customWidth="1"/>
    <col min="8967" max="8967" width="11.125" style="2" bestFit="1" customWidth="1"/>
    <col min="8968" max="8968" width="9" style="2"/>
    <col min="8969" max="8979" width="11.125" style="2" bestFit="1" customWidth="1"/>
    <col min="8980" max="8980" width="9" style="2"/>
    <col min="8981" max="8987" width="11.125" style="2" bestFit="1" customWidth="1"/>
    <col min="8988" max="8988" width="9" style="2"/>
    <col min="8989" max="8989" width="9.625" style="2" bestFit="1" customWidth="1"/>
    <col min="8990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13.25" style="2" bestFit="1" customWidth="1"/>
    <col min="9223" max="9223" width="11.125" style="2" bestFit="1" customWidth="1"/>
    <col min="9224" max="9224" width="9" style="2"/>
    <col min="9225" max="9235" width="11.125" style="2" bestFit="1" customWidth="1"/>
    <col min="9236" max="9236" width="9" style="2"/>
    <col min="9237" max="9243" width="11.125" style="2" bestFit="1" customWidth="1"/>
    <col min="9244" max="9244" width="9" style="2"/>
    <col min="9245" max="9245" width="9.625" style="2" bestFit="1" customWidth="1"/>
    <col min="9246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13.25" style="2" bestFit="1" customWidth="1"/>
    <col min="9479" max="9479" width="11.125" style="2" bestFit="1" customWidth="1"/>
    <col min="9480" max="9480" width="9" style="2"/>
    <col min="9481" max="9491" width="11.125" style="2" bestFit="1" customWidth="1"/>
    <col min="9492" max="9492" width="9" style="2"/>
    <col min="9493" max="9499" width="11.125" style="2" bestFit="1" customWidth="1"/>
    <col min="9500" max="9500" width="9" style="2"/>
    <col min="9501" max="9501" width="9.625" style="2" bestFit="1" customWidth="1"/>
    <col min="9502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13.25" style="2" bestFit="1" customWidth="1"/>
    <col min="9735" max="9735" width="11.125" style="2" bestFit="1" customWidth="1"/>
    <col min="9736" max="9736" width="9" style="2"/>
    <col min="9737" max="9747" width="11.125" style="2" bestFit="1" customWidth="1"/>
    <col min="9748" max="9748" width="9" style="2"/>
    <col min="9749" max="9755" width="11.125" style="2" bestFit="1" customWidth="1"/>
    <col min="9756" max="9756" width="9" style="2"/>
    <col min="9757" max="9757" width="9.625" style="2" bestFit="1" customWidth="1"/>
    <col min="9758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13.25" style="2" bestFit="1" customWidth="1"/>
    <col min="9991" max="9991" width="11.125" style="2" bestFit="1" customWidth="1"/>
    <col min="9992" max="9992" width="9" style="2"/>
    <col min="9993" max="10003" width="11.125" style="2" bestFit="1" customWidth="1"/>
    <col min="10004" max="10004" width="9" style="2"/>
    <col min="10005" max="10011" width="11.125" style="2" bestFit="1" customWidth="1"/>
    <col min="10012" max="10012" width="9" style="2"/>
    <col min="10013" max="10013" width="9.625" style="2" bestFit="1" customWidth="1"/>
    <col min="10014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13.25" style="2" bestFit="1" customWidth="1"/>
    <col min="10247" max="10247" width="11.125" style="2" bestFit="1" customWidth="1"/>
    <col min="10248" max="10248" width="9" style="2"/>
    <col min="10249" max="10259" width="11.125" style="2" bestFit="1" customWidth="1"/>
    <col min="10260" max="10260" width="9" style="2"/>
    <col min="10261" max="10267" width="11.125" style="2" bestFit="1" customWidth="1"/>
    <col min="10268" max="10268" width="9" style="2"/>
    <col min="10269" max="10269" width="9.625" style="2" bestFit="1" customWidth="1"/>
    <col min="10270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13.25" style="2" bestFit="1" customWidth="1"/>
    <col min="10503" max="10503" width="11.125" style="2" bestFit="1" customWidth="1"/>
    <col min="10504" max="10504" width="9" style="2"/>
    <col min="10505" max="10515" width="11.125" style="2" bestFit="1" customWidth="1"/>
    <col min="10516" max="10516" width="9" style="2"/>
    <col min="10517" max="10523" width="11.125" style="2" bestFit="1" customWidth="1"/>
    <col min="10524" max="10524" width="9" style="2"/>
    <col min="10525" max="10525" width="9.625" style="2" bestFit="1" customWidth="1"/>
    <col min="10526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13.25" style="2" bestFit="1" customWidth="1"/>
    <col min="10759" max="10759" width="11.125" style="2" bestFit="1" customWidth="1"/>
    <col min="10760" max="10760" width="9" style="2"/>
    <col min="10761" max="10771" width="11.125" style="2" bestFit="1" customWidth="1"/>
    <col min="10772" max="10772" width="9" style="2"/>
    <col min="10773" max="10779" width="11.125" style="2" bestFit="1" customWidth="1"/>
    <col min="10780" max="10780" width="9" style="2"/>
    <col min="10781" max="10781" width="9.625" style="2" bestFit="1" customWidth="1"/>
    <col min="10782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13.25" style="2" bestFit="1" customWidth="1"/>
    <col min="11015" max="11015" width="11.125" style="2" bestFit="1" customWidth="1"/>
    <col min="11016" max="11016" width="9" style="2"/>
    <col min="11017" max="11027" width="11.125" style="2" bestFit="1" customWidth="1"/>
    <col min="11028" max="11028" width="9" style="2"/>
    <col min="11029" max="11035" width="11.125" style="2" bestFit="1" customWidth="1"/>
    <col min="11036" max="11036" width="9" style="2"/>
    <col min="11037" max="11037" width="9.625" style="2" bestFit="1" customWidth="1"/>
    <col min="11038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13.25" style="2" bestFit="1" customWidth="1"/>
    <col min="11271" max="11271" width="11.125" style="2" bestFit="1" customWidth="1"/>
    <col min="11272" max="11272" width="9" style="2"/>
    <col min="11273" max="11283" width="11.125" style="2" bestFit="1" customWidth="1"/>
    <col min="11284" max="11284" width="9" style="2"/>
    <col min="11285" max="11291" width="11.125" style="2" bestFit="1" customWidth="1"/>
    <col min="11292" max="11292" width="9" style="2"/>
    <col min="11293" max="11293" width="9.625" style="2" bestFit="1" customWidth="1"/>
    <col min="11294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13.25" style="2" bestFit="1" customWidth="1"/>
    <col min="11527" max="11527" width="11.125" style="2" bestFit="1" customWidth="1"/>
    <col min="11528" max="11528" width="9" style="2"/>
    <col min="11529" max="11539" width="11.125" style="2" bestFit="1" customWidth="1"/>
    <col min="11540" max="11540" width="9" style="2"/>
    <col min="11541" max="11547" width="11.125" style="2" bestFit="1" customWidth="1"/>
    <col min="11548" max="11548" width="9" style="2"/>
    <col min="11549" max="11549" width="9.625" style="2" bestFit="1" customWidth="1"/>
    <col min="11550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13.25" style="2" bestFit="1" customWidth="1"/>
    <col min="11783" max="11783" width="11.125" style="2" bestFit="1" customWidth="1"/>
    <col min="11784" max="11784" width="9" style="2"/>
    <col min="11785" max="11795" width="11.125" style="2" bestFit="1" customWidth="1"/>
    <col min="11796" max="11796" width="9" style="2"/>
    <col min="11797" max="11803" width="11.125" style="2" bestFit="1" customWidth="1"/>
    <col min="11804" max="11804" width="9" style="2"/>
    <col min="11805" max="11805" width="9.625" style="2" bestFit="1" customWidth="1"/>
    <col min="11806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13.25" style="2" bestFit="1" customWidth="1"/>
    <col min="12039" max="12039" width="11.125" style="2" bestFit="1" customWidth="1"/>
    <col min="12040" max="12040" width="9" style="2"/>
    <col min="12041" max="12051" width="11.125" style="2" bestFit="1" customWidth="1"/>
    <col min="12052" max="12052" width="9" style="2"/>
    <col min="12053" max="12059" width="11.125" style="2" bestFit="1" customWidth="1"/>
    <col min="12060" max="12060" width="9" style="2"/>
    <col min="12061" max="12061" width="9.625" style="2" bestFit="1" customWidth="1"/>
    <col min="12062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13.25" style="2" bestFit="1" customWidth="1"/>
    <col min="12295" max="12295" width="11.125" style="2" bestFit="1" customWidth="1"/>
    <col min="12296" max="12296" width="9" style="2"/>
    <col min="12297" max="12307" width="11.125" style="2" bestFit="1" customWidth="1"/>
    <col min="12308" max="12308" width="9" style="2"/>
    <col min="12309" max="12315" width="11.125" style="2" bestFit="1" customWidth="1"/>
    <col min="12316" max="12316" width="9" style="2"/>
    <col min="12317" max="12317" width="9.625" style="2" bestFit="1" customWidth="1"/>
    <col min="12318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13.25" style="2" bestFit="1" customWidth="1"/>
    <col min="12551" max="12551" width="11.125" style="2" bestFit="1" customWidth="1"/>
    <col min="12552" max="12552" width="9" style="2"/>
    <col min="12553" max="12563" width="11.125" style="2" bestFit="1" customWidth="1"/>
    <col min="12564" max="12564" width="9" style="2"/>
    <col min="12565" max="12571" width="11.125" style="2" bestFit="1" customWidth="1"/>
    <col min="12572" max="12572" width="9" style="2"/>
    <col min="12573" max="12573" width="9.625" style="2" bestFit="1" customWidth="1"/>
    <col min="12574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13.25" style="2" bestFit="1" customWidth="1"/>
    <col min="12807" max="12807" width="11.125" style="2" bestFit="1" customWidth="1"/>
    <col min="12808" max="12808" width="9" style="2"/>
    <col min="12809" max="12819" width="11.125" style="2" bestFit="1" customWidth="1"/>
    <col min="12820" max="12820" width="9" style="2"/>
    <col min="12821" max="12827" width="11.125" style="2" bestFit="1" customWidth="1"/>
    <col min="12828" max="12828" width="9" style="2"/>
    <col min="12829" max="12829" width="9.625" style="2" bestFit="1" customWidth="1"/>
    <col min="12830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13.25" style="2" bestFit="1" customWidth="1"/>
    <col min="13063" max="13063" width="11.125" style="2" bestFit="1" customWidth="1"/>
    <col min="13064" max="13064" width="9" style="2"/>
    <col min="13065" max="13075" width="11.125" style="2" bestFit="1" customWidth="1"/>
    <col min="13076" max="13076" width="9" style="2"/>
    <col min="13077" max="13083" width="11.125" style="2" bestFit="1" customWidth="1"/>
    <col min="13084" max="13084" width="9" style="2"/>
    <col min="13085" max="13085" width="9.625" style="2" bestFit="1" customWidth="1"/>
    <col min="13086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13.25" style="2" bestFit="1" customWidth="1"/>
    <col min="13319" max="13319" width="11.125" style="2" bestFit="1" customWidth="1"/>
    <col min="13320" max="13320" width="9" style="2"/>
    <col min="13321" max="13331" width="11.125" style="2" bestFit="1" customWidth="1"/>
    <col min="13332" max="13332" width="9" style="2"/>
    <col min="13333" max="13339" width="11.125" style="2" bestFit="1" customWidth="1"/>
    <col min="13340" max="13340" width="9" style="2"/>
    <col min="13341" max="13341" width="9.625" style="2" bestFit="1" customWidth="1"/>
    <col min="13342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13.25" style="2" bestFit="1" customWidth="1"/>
    <col min="13575" max="13575" width="11.125" style="2" bestFit="1" customWidth="1"/>
    <col min="13576" max="13576" width="9" style="2"/>
    <col min="13577" max="13587" width="11.125" style="2" bestFit="1" customWidth="1"/>
    <col min="13588" max="13588" width="9" style="2"/>
    <col min="13589" max="13595" width="11.125" style="2" bestFit="1" customWidth="1"/>
    <col min="13596" max="13596" width="9" style="2"/>
    <col min="13597" max="13597" width="9.625" style="2" bestFit="1" customWidth="1"/>
    <col min="13598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13.25" style="2" bestFit="1" customWidth="1"/>
    <col min="13831" max="13831" width="11.125" style="2" bestFit="1" customWidth="1"/>
    <col min="13832" max="13832" width="9" style="2"/>
    <col min="13833" max="13843" width="11.125" style="2" bestFit="1" customWidth="1"/>
    <col min="13844" max="13844" width="9" style="2"/>
    <col min="13845" max="13851" width="11.125" style="2" bestFit="1" customWidth="1"/>
    <col min="13852" max="13852" width="9" style="2"/>
    <col min="13853" max="13853" width="9.625" style="2" bestFit="1" customWidth="1"/>
    <col min="13854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13.25" style="2" bestFit="1" customWidth="1"/>
    <col min="14087" max="14087" width="11.125" style="2" bestFit="1" customWidth="1"/>
    <col min="14088" max="14088" width="9" style="2"/>
    <col min="14089" max="14099" width="11.125" style="2" bestFit="1" customWidth="1"/>
    <col min="14100" max="14100" width="9" style="2"/>
    <col min="14101" max="14107" width="11.125" style="2" bestFit="1" customWidth="1"/>
    <col min="14108" max="14108" width="9" style="2"/>
    <col min="14109" max="14109" width="9.625" style="2" bestFit="1" customWidth="1"/>
    <col min="14110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13.25" style="2" bestFit="1" customWidth="1"/>
    <col min="14343" max="14343" width="11.125" style="2" bestFit="1" customWidth="1"/>
    <col min="14344" max="14344" width="9" style="2"/>
    <col min="14345" max="14355" width="11.125" style="2" bestFit="1" customWidth="1"/>
    <col min="14356" max="14356" width="9" style="2"/>
    <col min="14357" max="14363" width="11.125" style="2" bestFit="1" customWidth="1"/>
    <col min="14364" max="14364" width="9" style="2"/>
    <col min="14365" max="14365" width="9.625" style="2" bestFit="1" customWidth="1"/>
    <col min="14366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13.25" style="2" bestFit="1" customWidth="1"/>
    <col min="14599" max="14599" width="11.125" style="2" bestFit="1" customWidth="1"/>
    <col min="14600" max="14600" width="9" style="2"/>
    <col min="14601" max="14611" width="11.125" style="2" bestFit="1" customWidth="1"/>
    <col min="14612" max="14612" width="9" style="2"/>
    <col min="14613" max="14619" width="11.125" style="2" bestFit="1" customWidth="1"/>
    <col min="14620" max="14620" width="9" style="2"/>
    <col min="14621" max="14621" width="9.625" style="2" bestFit="1" customWidth="1"/>
    <col min="14622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13.25" style="2" bestFit="1" customWidth="1"/>
    <col min="14855" max="14855" width="11.125" style="2" bestFit="1" customWidth="1"/>
    <col min="14856" max="14856" width="9" style="2"/>
    <col min="14857" max="14867" width="11.125" style="2" bestFit="1" customWidth="1"/>
    <col min="14868" max="14868" width="9" style="2"/>
    <col min="14869" max="14875" width="11.125" style="2" bestFit="1" customWidth="1"/>
    <col min="14876" max="14876" width="9" style="2"/>
    <col min="14877" max="14877" width="9.625" style="2" bestFit="1" customWidth="1"/>
    <col min="14878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13.25" style="2" bestFit="1" customWidth="1"/>
    <col min="15111" max="15111" width="11.125" style="2" bestFit="1" customWidth="1"/>
    <col min="15112" max="15112" width="9" style="2"/>
    <col min="15113" max="15123" width="11.125" style="2" bestFit="1" customWidth="1"/>
    <col min="15124" max="15124" width="9" style="2"/>
    <col min="15125" max="15131" width="11.125" style="2" bestFit="1" customWidth="1"/>
    <col min="15132" max="15132" width="9" style="2"/>
    <col min="15133" max="15133" width="9.625" style="2" bestFit="1" customWidth="1"/>
    <col min="15134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13.25" style="2" bestFit="1" customWidth="1"/>
    <col min="15367" max="15367" width="11.125" style="2" bestFit="1" customWidth="1"/>
    <col min="15368" max="15368" width="9" style="2"/>
    <col min="15369" max="15379" width="11.125" style="2" bestFit="1" customWidth="1"/>
    <col min="15380" max="15380" width="9" style="2"/>
    <col min="15381" max="15387" width="11.125" style="2" bestFit="1" customWidth="1"/>
    <col min="15388" max="15388" width="9" style="2"/>
    <col min="15389" max="15389" width="9.625" style="2" bestFit="1" customWidth="1"/>
    <col min="15390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13.25" style="2" bestFit="1" customWidth="1"/>
    <col min="15623" max="15623" width="11.125" style="2" bestFit="1" customWidth="1"/>
    <col min="15624" max="15624" width="9" style="2"/>
    <col min="15625" max="15635" width="11.125" style="2" bestFit="1" customWidth="1"/>
    <col min="15636" max="15636" width="9" style="2"/>
    <col min="15637" max="15643" width="11.125" style="2" bestFit="1" customWidth="1"/>
    <col min="15644" max="15644" width="9" style="2"/>
    <col min="15645" max="15645" width="9.625" style="2" bestFit="1" customWidth="1"/>
    <col min="15646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13.25" style="2" bestFit="1" customWidth="1"/>
    <col min="15879" max="15879" width="11.125" style="2" bestFit="1" customWidth="1"/>
    <col min="15880" max="15880" width="9" style="2"/>
    <col min="15881" max="15891" width="11.125" style="2" bestFit="1" customWidth="1"/>
    <col min="15892" max="15892" width="9" style="2"/>
    <col min="15893" max="15899" width="11.125" style="2" bestFit="1" customWidth="1"/>
    <col min="15900" max="15900" width="9" style="2"/>
    <col min="15901" max="15901" width="9.625" style="2" bestFit="1" customWidth="1"/>
    <col min="15902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13.25" style="2" bestFit="1" customWidth="1"/>
    <col min="16135" max="16135" width="11.125" style="2" bestFit="1" customWidth="1"/>
    <col min="16136" max="16136" width="9" style="2"/>
    <col min="16137" max="16147" width="11.125" style="2" bestFit="1" customWidth="1"/>
    <col min="16148" max="16148" width="9" style="2"/>
    <col min="16149" max="16155" width="11.125" style="2" bestFit="1" customWidth="1"/>
    <col min="16156" max="16156" width="9" style="2"/>
    <col min="16157" max="16157" width="9.625" style="2" bestFit="1" customWidth="1"/>
    <col min="16158" max="16384" width="9" style="2"/>
  </cols>
  <sheetData>
    <row r="1" spans="1:31">
      <c r="A1" s="1" t="s">
        <v>0</v>
      </c>
    </row>
    <row r="2" spans="1:31" ht="19.5" thickBot="1">
      <c r="A2" s="1" t="s">
        <v>1</v>
      </c>
    </row>
    <row r="3" spans="1:31">
      <c r="B3" s="5"/>
      <c r="C3" s="17" t="s">
        <v>2</v>
      </c>
      <c r="D3" s="18" t="s">
        <v>3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18" t="s">
        <v>13</v>
      </c>
      <c r="M3" s="18" t="s">
        <v>15</v>
      </c>
      <c r="N3" s="18" t="s">
        <v>16</v>
      </c>
      <c r="O3" s="18" t="s">
        <v>17</v>
      </c>
      <c r="P3" s="18" t="s">
        <v>18</v>
      </c>
      <c r="Q3" s="18" t="s">
        <v>19</v>
      </c>
      <c r="R3" s="77" t="s">
        <v>20</v>
      </c>
      <c r="S3" s="105" t="s">
        <v>100</v>
      </c>
      <c r="T3" s="91" t="s">
        <v>14</v>
      </c>
      <c r="U3" s="18" t="s">
        <v>4</v>
      </c>
      <c r="V3" s="18" t="s">
        <v>22</v>
      </c>
      <c r="W3" s="18" t="s">
        <v>23</v>
      </c>
      <c r="X3" s="18" t="s">
        <v>21</v>
      </c>
      <c r="Y3" s="18" t="s">
        <v>24</v>
      </c>
      <c r="Z3" s="18" t="s">
        <v>25</v>
      </c>
      <c r="AA3" s="19" t="s">
        <v>26</v>
      </c>
      <c r="AB3" s="75" t="s">
        <v>101</v>
      </c>
      <c r="AC3" s="105" t="s">
        <v>5</v>
      </c>
      <c r="AD3" s="75" t="s">
        <v>101</v>
      </c>
      <c r="AE3" s="6"/>
    </row>
    <row r="4" spans="1:31" ht="19.5" thickBot="1">
      <c r="B4" s="4" t="s">
        <v>27</v>
      </c>
      <c r="C4" s="20" t="s">
        <v>28</v>
      </c>
      <c r="D4" s="21" t="s">
        <v>29</v>
      </c>
      <c r="E4" s="21" t="s">
        <v>32</v>
      </c>
      <c r="F4" s="21" t="s">
        <v>33</v>
      </c>
      <c r="G4" s="21" t="s">
        <v>34</v>
      </c>
      <c r="H4" s="21" t="s">
        <v>35</v>
      </c>
      <c r="I4" s="21" t="s">
        <v>36</v>
      </c>
      <c r="J4" s="21" t="s">
        <v>37</v>
      </c>
      <c r="K4" s="21" t="s">
        <v>38</v>
      </c>
      <c r="L4" s="21" t="s">
        <v>39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R4" s="78" t="s">
        <v>46</v>
      </c>
      <c r="S4" s="106" t="s">
        <v>102</v>
      </c>
      <c r="T4" s="92" t="s">
        <v>40</v>
      </c>
      <c r="U4" s="21" t="s">
        <v>30</v>
      </c>
      <c r="V4" s="21" t="s">
        <v>48</v>
      </c>
      <c r="W4" s="21" t="s">
        <v>49</v>
      </c>
      <c r="X4" s="21" t="s">
        <v>47</v>
      </c>
      <c r="Y4" s="21" t="s">
        <v>50</v>
      </c>
      <c r="Z4" s="21" t="s">
        <v>51</v>
      </c>
      <c r="AA4" s="22" t="s">
        <v>52</v>
      </c>
      <c r="AB4" s="76" t="s">
        <v>103</v>
      </c>
      <c r="AC4" s="106" t="s">
        <v>31</v>
      </c>
      <c r="AD4" s="76" t="s">
        <v>104</v>
      </c>
      <c r="AE4" s="3" t="s">
        <v>53</v>
      </c>
    </row>
    <row r="5" spans="1:31">
      <c r="A5" s="1" t="s">
        <v>54</v>
      </c>
      <c r="B5" s="62" t="s">
        <v>55</v>
      </c>
      <c r="C5" s="63">
        <v>19</v>
      </c>
      <c r="D5" s="64">
        <v>18</v>
      </c>
      <c r="E5" s="64">
        <v>20</v>
      </c>
      <c r="F5" s="64">
        <v>19</v>
      </c>
      <c r="G5" s="64">
        <v>0</v>
      </c>
      <c r="H5" s="64">
        <v>19</v>
      </c>
      <c r="I5" s="64">
        <v>20</v>
      </c>
      <c r="J5" s="64">
        <v>19</v>
      </c>
      <c r="K5" s="64">
        <v>20</v>
      </c>
      <c r="L5" s="64">
        <v>14</v>
      </c>
      <c r="M5" s="64">
        <v>20</v>
      </c>
      <c r="N5" s="64">
        <v>20</v>
      </c>
      <c r="O5" s="64">
        <v>20</v>
      </c>
      <c r="P5" s="64">
        <v>20</v>
      </c>
      <c r="Q5" s="64">
        <v>18</v>
      </c>
      <c r="R5" s="79">
        <v>20</v>
      </c>
      <c r="S5" s="107">
        <f>SUM(C5:R5)</f>
        <v>286</v>
      </c>
      <c r="T5" s="93">
        <v>20</v>
      </c>
      <c r="U5" s="64">
        <v>19</v>
      </c>
      <c r="V5" s="64">
        <v>12</v>
      </c>
      <c r="W5" s="64">
        <v>15</v>
      </c>
      <c r="X5" s="64">
        <v>10</v>
      </c>
      <c r="Y5" s="64">
        <v>7</v>
      </c>
      <c r="Z5" s="64">
        <v>11</v>
      </c>
      <c r="AA5" s="65">
        <v>21</v>
      </c>
      <c r="AB5" s="65">
        <f>SUM(T5:AA5)</f>
        <v>115</v>
      </c>
      <c r="AC5" s="107">
        <v>19</v>
      </c>
      <c r="AD5" s="66">
        <f>SUM(AC5)</f>
        <v>19</v>
      </c>
      <c r="AE5" s="65">
        <f>SUM(AD5,AB5,S5)</f>
        <v>420</v>
      </c>
    </row>
    <row r="6" spans="1:31">
      <c r="A6" s="1" t="s">
        <v>54</v>
      </c>
      <c r="B6" s="52" t="s">
        <v>56</v>
      </c>
      <c r="C6" s="67">
        <v>3</v>
      </c>
      <c r="D6" s="68">
        <v>2</v>
      </c>
      <c r="E6" s="68">
        <v>1</v>
      </c>
      <c r="F6" s="68">
        <v>1</v>
      </c>
      <c r="G6" s="68">
        <v>0</v>
      </c>
      <c r="H6" s="68">
        <v>1</v>
      </c>
      <c r="I6" s="68">
        <v>2</v>
      </c>
      <c r="J6" s="68">
        <v>3</v>
      </c>
      <c r="K6" s="68">
        <v>2</v>
      </c>
      <c r="L6" s="68">
        <v>1</v>
      </c>
      <c r="M6" s="68">
        <v>3</v>
      </c>
      <c r="N6" s="68">
        <v>3</v>
      </c>
      <c r="O6" s="68">
        <v>1</v>
      </c>
      <c r="P6" s="68">
        <v>1</v>
      </c>
      <c r="Q6" s="68">
        <v>3</v>
      </c>
      <c r="R6" s="80">
        <v>1</v>
      </c>
      <c r="S6" s="108">
        <f t="shared" ref="S6:S51" si="0">SUM(C6:R6)</f>
        <v>28</v>
      </c>
      <c r="T6" s="94">
        <v>0</v>
      </c>
      <c r="U6" s="68">
        <v>3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9">
        <v>0</v>
      </c>
      <c r="AB6" s="69">
        <f t="shared" ref="AB6:AB51" si="1">SUM(T6:AA6)</f>
        <v>3</v>
      </c>
      <c r="AC6" s="108">
        <v>0</v>
      </c>
      <c r="AD6" s="70">
        <f t="shared" ref="AD6:AD51" si="2">SUM(AC6)</f>
        <v>0</v>
      </c>
      <c r="AE6" s="69">
        <f t="shared" ref="AE6:AE51" si="3">SUM(AD6,AB6,S6)</f>
        <v>31</v>
      </c>
    </row>
    <row r="7" spans="1:31">
      <c r="A7" s="1" t="s">
        <v>54</v>
      </c>
      <c r="B7" s="52" t="s">
        <v>57</v>
      </c>
      <c r="C7" s="67">
        <v>1</v>
      </c>
      <c r="D7" s="68">
        <v>5</v>
      </c>
      <c r="E7" s="68">
        <v>2</v>
      </c>
      <c r="F7" s="68">
        <v>2</v>
      </c>
      <c r="G7" s="68">
        <v>0</v>
      </c>
      <c r="H7" s="68">
        <v>2</v>
      </c>
      <c r="I7" s="68">
        <v>1</v>
      </c>
      <c r="J7" s="68">
        <v>2</v>
      </c>
      <c r="K7" s="68">
        <v>2</v>
      </c>
      <c r="L7" s="68">
        <v>3</v>
      </c>
      <c r="M7" s="68">
        <v>0</v>
      </c>
      <c r="N7" s="68">
        <v>3</v>
      </c>
      <c r="O7" s="68">
        <v>3</v>
      </c>
      <c r="P7" s="68">
        <v>4</v>
      </c>
      <c r="Q7" s="68">
        <v>2</v>
      </c>
      <c r="R7" s="80">
        <v>1</v>
      </c>
      <c r="S7" s="108">
        <f t="shared" si="0"/>
        <v>33</v>
      </c>
      <c r="T7" s="94">
        <v>0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9">
        <v>0</v>
      </c>
      <c r="AB7" s="69">
        <f t="shared" si="1"/>
        <v>0</v>
      </c>
      <c r="AC7" s="108">
        <v>0</v>
      </c>
      <c r="AD7" s="70">
        <f t="shared" si="2"/>
        <v>0</v>
      </c>
      <c r="AE7" s="69">
        <f t="shared" si="3"/>
        <v>33</v>
      </c>
    </row>
    <row r="8" spans="1:31">
      <c r="A8" s="1" t="s">
        <v>54</v>
      </c>
      <c r="B8" s="52" t="s">
        <v>58</v>
      </c>
      <c r="C8" s="67">
        <v>1</v>
      </c>
      <c r="D8" s="68">
        <v>2</v>
      </c>
      <c r="E8" s="68">
        <v>0</v>
      </c>
      <c r="F8" s="68">
        <v>1</v>
      </c>
      <c r="G8" s="68">
        <v>0</v>
      </c>
      <c r="H8" s="68">
        <v>1</v>
      </c>
      <c r="I8" s="68">
        <v>0</v>
      </c>
      <c r="J8" s="68">
        <v>1</v>
      </c>
      <c r="K8" s="68">
        <v>0</v>
      </c>
      <c r="L8" s="68">
        <v>6</v>
      </c>
      <c r="M8" s="68">
        <v>0</v>
      </c>
      <c r="N8" s="68">
        <v>0</v>
      </c>
      <c r="O8" s="68">
        <v>0</v>
      </c>
      <c r="P8" s="68">
        <v>0</v>
      </c>
      <c r="Q8" s="68">
        <v>2</v>
      </c>
      <c r="R8" s="80">
        <v>0</v>
      </c>
      <c r="S8" s="108">
        <f t="shared" si="0"/>
        <v>14</v>
      </c>
      <c r="T8" s="94">
        <v>0</v>
      </c>
      <c r="U8" s="68">
        <v>1</v>
      </c>
      <c r="V8" s="68">
        <v>0</v>
      </c>
      <c r="W8" s="68">
        <v>0</v>
      </c>
      <c r="X8" s="68">
        <v>0</v>
      </c>
      <c r="Y8" s="68">
        <v>1</v>
      </c>
      <c r="Z8" s="68">
        <v>0</v>
      </c>
      <c r="AA8" s="69">
        <v>0</v>
      </c>
      <c r="AB8" s="69">
        <f t="shared" si="1"/>
        <v>2</v>
      </c>
      <c r="AC8" s="108">
        <v>1</v>
      </c>
      <c r="AD8" s="70">
        <f t="shared" si="2"/>
        <v>1</v>
      </c>
      <c r="AE8" s="69">
        <f t="shared" si="3"/>
        <v>17</v>
      </c>
    </row>
    <row r="9" spans="1:31">
      <c r="A9" s="1" t="s">
        <v>54</v>
      </c>
      <c r="B9" s="52" t="s">
        <v>59</v>
      </c>
      <c r="C9" s="67">
        <v>0</v>
      </c>
      <c r="D9" s="68">
        <v>0</v>
      </c>
      <c r="E9" s="68">
        <v>0</v>
      </c>
      <c r="F9" s="68">
        <v>0</v>
      </c>
      <c r="G9" s="68">
        <v>20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80">
        <v>0</v>
      </c>
      <c r="S9" s="108">
        <f t="shared" si="0"/>
        <v>20</v>
      </c>
      <c r="T9" s="94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9">
        <v>0</v>
      </c>
      <c r="AB9" s="69">
        <f t="shared" si="1"/>
        <v>0</v>
      </c>
      <c r="AC9" s="108">
        <v>0</v>
      </c>
      <c r="AD9" s="70">
        <f t="shared" si="2"/>
        <v>0</v>
      </c>
      <c r="AE9" s="69">
        <f t="shared" si="3"/>
        <v>20</v>
      </c>
    </row>
    <row r="10" spans="1:31">
      <c r="A10" s="1" t="s">
        <v>54</v>
      </c>
      <c r="B10" s="52" t="s">
        <v>60</v>
      </c>
      <c r="C10" s="71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81">
        <v>0</v>
      </c>
      <c r="S10" s="109">
        <f t="shared" si="0"/>
        <v>0</v>
      </c>
      <c r="T10" s="95">
        <v>0</v>
      </c>
      <c r="U10" s="72">
        <v>0</v>
      </c>
      <c r="V10" s="72">
        <v>3.0833333333333335</v>
      </c>
      <c r="W10" s="72">
        <v>3.8333333333333335</v>
      </c>
      <c r="X10" s="72">
        <v>2.9166666666666665</v>
      </c>
      <c r="Y10" s="72">
        <v>2.2083333333333335</v>
      </c>
      <c r="Z10" s="72">
        <v>2.8333333333333335</v>
      </c>
      <c r="AA10" s="73">
        <v>5.041666666666667</v>
      </c>
      <c r="AB10" s="73">
        <f t="shared" si="1"/>
        <v>19.916666666666668</v>
      </c>
      <c r="AC10" s="109">
        <v>0</v>
      </c>
      <c r="AD10" s="74">
        <f t="shared" si="2"/>
        <v>0</v>
      </c>
      <c r="AE10" s="73">
        <f t="shared" si="3"/>
        <v>19.916666666666668</v>
      </c>
    </row>
    <row r="11" spans="1:31">
      <c r="A11" s="1" t="s">
        <v>54</v>
      </c>
      <c r="B11" s="52" t="s">
        <v>61</v>
      </c>
      <c r="C11" s="71">
        <v>0.75</v>
      </c>
      <c r="D11" s="72">
        <v>1.0833333333333333</v>
      </c>
      <c r="E11" s="72">
        <v>2.125</v>
      </c>
      <c r="F11" s="72">
        <v>2.5833333333333335</v>
      </c>
      <c r="G11" s="72">
        <v>0</v>
      </c>
      <c r="H11" s="72">
        <v>1.9583333333333335</v>
      </c>
      <c r="I11" s="72">
        <v>1.9583333333333335</v>
      </c>
      <c r="J11" s="72">
        <v>1.7083333333333335</v>
      </c>
      <c r="K11" s="72">
        <v>1.6666666666666665</v>
      </c>
      <c r="L11" s="72">
        <v>1.1666666666666667</v>
      </c>
      <c r="M11" s="72">
        <v>3.125</v>
      </c>
      <c r="N11" s="72">
        <v>1.2083333333333333</v>
      </c>
      <c r="O11" s="72">
        <v>3.25</v>
      </c>
      <c r="P11" s="72">
        <v>1.7083333333333335</v>
      </c>
      <c r="Q11" s="72">
        <v>1.1666666666666667</v>
      </c>
      <c r="R11" s="81">
        <v>1.8333333333333335</v>
      </c>
      <c r="S11" s="109">
        <f t="shared" si="0"/>
        <v>27.291666666666664</v>
      </c>
      <c r="T11" s="95">
        <v>0</v>
      </c>
      <c r="U11" s="72">
        <v>1.0833333333333333</v>
      </c>
      <c r="V11" s="72">
        <v>0</v>
      </c>
      <c r="W11" s="72">
        <v>0</v>
      </c>
      <c r="X11" s="72">
        <v>0</v>
      </c>
      <c r="Y11" s="72">
        <v>8.3333333333333329E-2</v>
      </c>
      <c r="Z11" s="72">
        <v>0</v>
      </c>
      <c r="AA11" s="73">
        <v>0.45833333333333331</v>
      </c>
      <c r="AB11" s="73">
        <f t="shared" si="1"/>
        <v>1.6249999999999998</v>
      </c>
      <c r="AC11" s="109">
        <v>0</v>
      </c>
      <c r="AD11" s="74">
        <f t="shared" si="2"/>
        <v>0</v>
      </c>
      <c r="AE11" s="73">
        <f t="shared" si="3"/>
        <v>28.916666666666664</v>
      </c>
    </row>
    <row r="12" spans="1:31">
      <c r="A12" s="1" t="s">
        <v>54</v>
      </c>
      <c r="B12" s="52" t="s">
        <v>62</v>
      </c>
      <c r="C12" s="71">
        <v>1</v>
      </c>
      <c r="D12" s="72">
        <v>0.75</v>
      </c>
      <c r="E12" s="72">
        <v>0.5</v>
      </c>
      <c r="F12" s="72">
        <v>0.29166666666666669</v>
      </c>
      <c r="G12" s="72">
        <v>0</v>
      </c>
      <c r="H12" s="72">
        <v>0.45833333333333331</v>
      </c>
      <c r="I12" s="72">
        <v>0.58333333333333337</v>
      </c>
      <c r="J12" s="72">
        <v>1.0833333333333333</v>
      </c>
      <c r="K12" s="72">
        <v>0.70833333333333337</v>
      </c>
      <c r="L12" s="72">
        <v>0.54166666666666663</v>
      </c>
      <c r="M12" s="72">
        <v>1.2916666666666667</v>
      </c>
      <c r="N12" s="72">
        <v>1.0833333333333333</v>
      </c>
      <c r="O12" s="72">
        <v>0.45833333333333331</v>
      </c>
      <c r="P12" s="72">
        <v>0.375</v>
      </c>
      <c r="Q12" s="72">
        <v>1.0416666666666667</v>
      </c>
      <c r="R12" s="81">
        <v>0.375</v>
      </c>
      <c r="S12" s="109">
        <f t="shared" si="0"/>
        <v>10.541666666666668</v>
      </c>
      <c r="T12" s="95">
        <v>0</v>
      </c>
      <c r="U12" s="72">
        <v>0.75</v>
      </c>
      <c r="V12" s="72">
        <v>0</v>
      </c>
      <c r="W12" s="72">
        <v>0</v>
      </c>
      <c r="X12" s="72">
        <v>0</v>
      </c>
      <c r="Y12" s="72">
        <v>0</v>
      </c>
      <c r="Z12" s="72">
        <v>0</v>
      </c>
      <c r="AA12" s="73">
        <v>0</v>
      </c>
      <c r="AB12" s="73">
        <f t="shared" si="1"/>
        <v>0.75</v>
      </c>
      <c r="AC12" s="109">
        <v>0</v>
      </c>
      <c r="AD12" s="74">
        <f t="shared" si="2"/>
        <v>0</v>
      </c>
      <c r="AE12" s="73">
        <f t="shared" si="3"/>
        <v>11.291666666666668</v>
      </c>
    </row>
    <row r="13" spans="1:31">
      <c r="A13" s="1" t="s">
        <v>54</v>
      </c>
      <c r="B13" s="52" t="s">
        <v>63</v>
      </c>
      <c r="C13" s="71">
        <v>0.41666666666666669</v>
      </c>
      <c r="D13" s="72">
        <v>1.75</v>
      </c>
      <c r="E13" s="72">
        <v>0.95833333333333337</v>
      </c>
      <c r="F13" s="72">
        <v>0.83333333333333337</v>
      </c>
      <c r="G13" s="72">
        <v>0</v>
      </c>
      <c r="H13" s="72">
        <v>0.79166666666666663</v>
      </c>
      <c r="I13" s="72">
        <v>0.33333333333333331</v>
      </c>
      <c r="J13" s="72">
        <v>0.70833333333333337</v>
      </c>
      <c r="K13" s="72">
        <v>0.66666666666666663</v>
      </c>
      <c r="L13" s="72">
        <v>0.95833333333333337</v>
      </c>
      <c r="M13" s="72">
        <v>0</v>
      </c>
      <c r="N13" s="72">
        <v>0.70833333333333337</v>
      </c>
      <c r="O13" s="72">
        <v>0.95833333333333337</v>
      </c>
      <c r="P13" s="72">
        <v>1.2916666666666667</v>
      </c>
      <c r="Q13" s="72">
        <v>0.58333333333333337</v>
      </c>
      <c r="R13" s="81">
        <v>0.33333333333333331</v>
      </c>
      <c r="S13" s="109">
        <f t="shared" si="0"/>
        <v>11.291666666666668</v>
      </c>
      <c r="T13" s="95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  <c r="AA13" s="73">
        <v>0</v>
      </c>
      <c r="AB13" s="73">
        <f t="shared" si="1"/>
        <v>0</v>
      </c>
      <c r="AC13" s="109">
        <v>0</v>
      </c>
      <c r="AD13" s="74">
        <f t="shared" si="2"/>
        <v>0</v>
      </c>
      <c r="AE13" s="73">
        <f t="shared" si="3"/>
        <v>11.291666666666668</v>
      </c>
    </row>
    <row r="14" spans="1:31">
      <c r="A14" s="1" t="s">
        <v>54</v>
      </c>
      <c r="B14" s="52" t="s">
        <v>64</v>
      </c>
      <c r="C14" s="71">
        <v>0</v>
      </c>
      <c r="D14" s="72">
        <v>0</v>
      </c>
      <c r="E14" s="72">
        <v>0</v>
      </c>
      <c r="F14" s="72">
        <v>0.29166666666666669</v>
      </c>
      <c r="G14" s="72">
        <v>0</v>
      </c>
      <c r="H14" s="72">
        <v>0</v>
      </c>
      <c r="I14" s="72">
        <v>0</v>
      </c>
      <c r="J14" s="72">
        <v>0</v>
      </c>
      <c r="K14" s="72">
        <v>0</v>
      </c>
      <c r="L14" s="72">
        <v>0</v>
      </c>
      <c r="M14" s="72">
        <v>0.625</v>
      </c>
      <c r="N14" s="72">
        <v>0</v>
      </c>
      <c r="O14" s="72">
        <v>0.79166666666666663</v>
      </c>
      <c r="P14" s="72">
        <v>0</v>
      </c>
      <c r="Q14" s="72">
        <v>0</v>
      </c>
      <c r="R14" s="81">
        <v>0</v>
      </c>
      <c r="S14" s="109">
        <f t="shared" si="0"/>
        <v>1.7083333333333335</v>
      </c>
      <c r="T14" s="95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  <c r="Z14" s="72">
        <v>0</v>
      </c>
      <c r="AA14" s="73">
        <v>0</v>
      </c>
      <c r="AB14" s="73">
        <f t="shared" si="1"/>
        <v>0</v>
      </c>
      <c r="AC14" s="109">
        <v>0</v>
      </c>
      <c r="AD14" s="74">
        <f t="shared" si="2"/>
        <v>0</v>
      </c>
      <c r="AE14" s="73">
        <f t="shared" si="3"/>
        <v>1.7083333333333335</v>
      </c>
    </row>
    <row r="15" spans="1:31">
      <c r="A15" s="1" t="s">
        <v>54</v>
      </c>
      <c r="B15" s="52" t="s">
        <v>65</v>
      </c>
      <c r="C15" s="71">
        <v>0</v>
      </c>
      <c r="D15" s="72">
        <v>0</v>
      </c>
      <c r="E15" s="72">
        <v>0</v>
      </c>
      <c r="F15" s="72">
        <v>0</v>
      </c>
      <c r="G15" s="72">
        <v>0</v>
      </c>
      <c r="H15" s="72">
        <v>0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81">
        <v>0</v>
      </c>
      <c r="S15" s="109">
        <f t="shared" si="0"/>
        <v>0</v>
      </c>
      <c r="T15" s="95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0.29166666666666669</v>
      </c>
      <c r="Z15" s="72">
        <v>0</v>
      </c>
      <c r="AA15" s="73">
        <v>0</v>
      </c>
      <c r="AB15" s="73">
        <f t="shared" si="1"/>
        <v>0.29166666666666669</v>
      </c>
      <c r="AC15" s="109">
        <v>0</v>
      </c>
      <c r="AD15" s="74">
        <f t="shared" si="2"/>
        <v>0</v>
      </c>
      <c r="AE15" s="73">
        <f t="shared" si="3"/>
        <v>0.29166666666666669</v>
      </c>
    </row>
    <row r="16" spans="1:31">
      <c r="A16" s="1" t="s">
        <v>54</v>
      </c>
      <c r="B16" s="11" t="s">
        <v>66</v>
      </c>
      <c r="C16" s="23">
        <v>0.16666666666666666</v>
      </c>
      <c r="D16" s="24">
        <v>0.16666666666666666</v>
      </c>
      <c r="E16" s="24">
        <v>0.41666666666666669</v>
      </c>
      <c r="F16" s="24">
        <v>0.5</v>
      </c>
      <c r="G16" s="24">
        <v>0</v>
      </c>
      <c r="H16" s="24">
        <v>0.45833333333333331</v>
      </c>
      <c r="I16" s="24">
        <v>0.16666666666666666</v>
      </c>
      <c r="J16" s="24">
        <v>0.375</v>
      </c>
      <c r="K16" s="24">
        <v>1.5416666666666665</v>
      </c>
      <c r="L16" s="24">
        <v>0.75</v>
      </c>
      <c r="M16" s="24">
        <v>1.5</v>
      </c>
      <c r="N16" s="24">
        <v>0.5</v>
      </c>
      <c r="O16" s="24">
        <v>1.0416666666666667</v>
      </c>
      <c r="P16" s="24">
        <v>0.33333333333333331</v>
      </c>
      <c r="Q16" s="24">
        <v>0.25</v>
      </c>
      <c r="R16" s="82">
        <v>0.29166666666666669</v>
      </c>
      <c r="S16" s="7">
        <f t="shared" si="0"/>
        <v>8.4583333333333321</v>
      </c>
      <c r="T16" s="96">
        <v>0.20833333333333334</v>
      </c>
      <c r="U16" s="24">
        <v>0</v>
      </c>
      <c r="V16" s="24">
        <v>0</v>
      </c>
      <c r="W16" s="24">
        <v>0</v>
      </c>
      <c r="X16" s="24">
        <v>2.0833333333333335</v>
      </c>
      <c r="Y16" s="24">
        <v>0.625</v>
      </c>
      <c r="Z16" s="24">
        <v>1.6666666666666665</v>
      </c>
      <c r="AA16" s="25">
        <v>1.3333333333333333</v>
      </c>
      <c r="AB16" s="25">
        <f t="shared" si="1"/>
        <v>5.916666666666667</v>
      </c>
      <c r="AC16" s="7">
        <v>4.1666666666666664E-2</v>
      </c>
      <c r="AD16" s="13">
        <f t="shared" si="2"/>
        <v>4.1666666666666664E-2</v>
      </c>
      <c r="AE16" s="25">
        <f t="shared" si="3"/>
        <v>14.416666666666666</v>
      </c>
    </row>
    <row r="17" spans="1:31">
      <c r="A17" s="1" t="s">
        <v>54</v>
      </c>
      <c r="B17" s="33" t="s">
        <v>67</v>
      </c>
      <c r="C17" s="34">
        <v>5</v>
      </c>
      <c r="D17" s="35">
        <v>3</v>
      </c>
      <c r="E17" s="35">
        <v>18.5</v>
      </c>
      <c r="F17" s="35">
        <v>23</v>
      </c>
      <c r="G17" s="35">
        <v>19</v>
      </c>
      <c r="H17" s="35">
        <v>10</v>
      </c>
      <c r="I17" s="35">
        <v>21</v>
      </c>
      <c r="J17" s="35">
        <v>15.5</v>
      </c>
      <c r="K17" s="35">
        <v>19.5</v>
      </c>
      <c r="L17" s="35">
        <v>21</v>
      </c>
      <c r="M17" s="35">
        <v>14</v>
      </c>
      <c r="N17" s="35">
        <v>21.5</v>
      </c>
      <c r="O17" s="35">
        <v>3</v>
      </c>
      <c r="P17" s="35">
        <v>6</v>
      </c>
      <c r="Q17" s="35">
        <v>12</v>
      </c>
      <c r="R17" s="83">
        <v>0</v>
      </c>
      <c r="S17" s="110"/>
      <c r="T17" s="97">
        <v>13</v>
      </c>
      <c r="U17" s="35">
        <v>32.5</v>
      </c>
      <c r="V17" s="35">
        <v>11</v>
      </c>
      <c r="W17" s="35">
        <v>16</v>
      </c>
      <c r="X17" s="35">
        <v>0</v>
      </c>
      <c r="Y17" s="35">
        <v>3</v>
      </c>
      <c r="Z17" s="35">
        <v>26</v>
      </c>
      <c r="AA17" s="36">
        <v>5</v>
      </c>
      <c r="AB17" s="36"/>
      <c r="AC17" s="110">
        <v>30</v>
      </c>
      <c r="AD17" s="37"/>
      <c r="AE17" s="36"/>
    </row>
    <row r="18" spans="1:31">
      <c r="A18" s="1" t="s">
        <v>54</v>
      </c>
      <c r="B18" s="57" t="s">
        <v>68</v>
      </c>
      <c r="C18" s="58">
        <v>182000</v>
      </c>
      <c r="D18" s="59">
        <v>192000</v>
      </c>
      <c r="E18" s="59">
        <v>197000</v>
      </c>
      <c r="F18" s="59">
        <v>197000</v>
      </c>
      <c r="G18" s="59">
        <v>0</v>
      </c>
      <c r="H18" s="59">
        <v>182000</v>
      </c>
      <c r="I18" s="59">
        <v>187000</v>
      </c>
      <c r="J18" s="59">
        <v>182000</v>
      </c>
      <c r="K18" s="59">
        <v>197000</v>
      </c>
      <c r="L18" s="59">
        <v>192000</v>
      </c>
      <c r="M18" s="59">
        <v>192000</v>
      </c>
      <c r="N18" s="59">
        <v>182000</v>
      </c>
      <c r="O18" s="59">
        <v>175000</v>
      </c>
      <c r="P18" s="59">
        <v>175000</v>
      </c>
      <c r="Q18" s="59">
        <v>180000</v>
      </c>
      <c r="R18" s="84">
        <v>175000</v>
      </c>
      <c r="S18" s="111">
        <f t="shared" si="0"/>
        <v>2787000</v>
      </c>
      <c r="T18" s="98">
        <v>370000</v>
      </c>
      <c r="U18" s="59">
        <v>285000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60">
        <v>0</v>
      </c>
      <c r="AB18" s="60">
        <f t="shared" si="1"/>
        <v>655000</v>
      </c>
      <c r="AC18" s="111">
        <v>390000</v>
      </c>
      <c r="AD18" s="61">
        <f t="shared" si="2"/>
        <v>390000</v>
      </c>
      <c r="AE18" s="60">
        <f t="shared" si="3"/>
        <v>3832000</v>
      </c>
    </row>
    <row r="19" spans="1:31">
      <c r="A19" s="1" t="s">
        <v>54</v>
      </c>
      <c r="B19" s="52" t="s">
        <v>69</v>
      </c>
      <c r="C19" s="53">
        <v>0</v>
      </c>
      <c r="D19" s="54">
        <v>0</v>
      </c>
      <c r="E19" s="54">
        <v>20000</v>
      </c>
      <c r="F19" s="54">
        <v>20000</v>
      </c>
      <c r="G19" s="54">
        <v>0</v>
      </c>
      <c r="H19" s="54">
        <v>0</v>
      </c>
      <c r="I19" s="54">
        <v>5000</v>
      </c>
      <c r="J19" s="54">
        <v>0</v>
      </c>
      <c r="K19" s="54">
        <v>0</v>
      </c>
      <c r="L19" s="54">
        <v>0</v>
      </c>
      <c r="M19" s="54">
        <v>5000</v>
      </c>
      <c r="N19" s="54">
        <v>0</v>
      </c>
      <c r="O19" s="54">
        <v>0</v>
      </c>
      <c r="P19" s="54">
        <v>0</v>
      </c>
      <c r="Q19" s="54">
        <v>0</v>
      </c>
      <c r="R19" s="85">
        <v>0</v>
      </c>
      <c r="S19" s="112">
        <f t="shared" si="0"/>
        <v>50000</v>
      </c>
      <c r="T19" s="99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  <c r="Z19" s="54">
        <v>0</v>
      </c>
      <c r="AA19" s="55">
        <v>0</v>
      </c>
      <c r="AB19" s="55">
        <f t="shared" si="1"/>
        <v>0</v>
      </c>
      <c r="AC19" s="112">
        <v>0</v>
      </c>
      <c r="AD19" s="56">
        <f t="shared" si="2"/>
        <v>0</v>
      </c>
      <c r="AE19" s="55">
        <f t="shared" si="3"/>
        <v>50000</v>
      </c>
    </row>
    <row r="20" spans="1:31">
      <c r="A20" s="1" t="s">
        <v>54</v>
      </c>
      <c r="B20" s="52" t="s">
        <v>70</v>
      </c>
      <c r="C20" s="53">
        <v>0</v>
      </c>
      <c r="D20" s="54">
        <v>0</v>
      </c>
      <c r="E20" s="54">
        <v>3000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85">
        <v>0</v>
      </c>
      <c r="S20" s="112">
        <f t="shared" si="0"/>
        <v>3000</v>
      </c>
      <c r="T20" s="99">
        <v>0</v>
      </c>
      <c r="U20" s="54">
        <v>3000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5">
        <v>0</v>
      </c>
      <c r="AB20" s="55">
        <f t="shared" si="1"/>
        <v>3000</v>
      </c>
      <c r="AC20" s="112">
        <v>0</v>
      </c>
      <c r="AD20" s="56">
        <f t="shared" si="2"/>
        <v>0</v>
      </c>
      <c r="AE20" s="55">
        <f t="shared" si="3"/>
        <v>6000</v>
      </c>
    </row>
    <row r="21" spans="1:31">
      <c r="A21" s="1" t="s">
        <v>54</v>
      </c>
      <c r="B21" s="52" t="s">
        <v>71</v>
      </c>
      <c r="C21" s="53">
        <v>0</v>
      </c>
      <c r="D21" s="54">
        <v>0</v>
      </c>
      <c r="E21" s="54">
        <v>0</v>
      </c>
      <c r="F21" s="54">
        <v>11091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5838</v>
      </c>
      <c r="O21" s="54">
        <v>0</v>
      </c>
      <c r="P21" s="54">
        <v>0</v>
      </c>
      <c r="Q21" s="54">
        <v>25352</v>
      </c>
      <c r="R21" s="85">
        <v>0</v>
      </c>
      <c r="S21" s="112">
        <f t="shared" si="0"/>
        <v>42281</v>
      </c>
      <c r="T21" s="99">
        <v>0</v>
      </c>
      <c r="U21" s="54">
        <v>0</v>
      </c>
      <c r="V21" s="54">
        <v>0</v>
      </c>
      <c r="W21" s="54">
        <v>0</v>
      </c>
      <c r="X21" s="54">
        <v>0</v>
      </c>
      <c r="Y21" s="54">
        <v>0</v>
      </c>
      <c r="Z21" s="54">
        <v>0</v>
      </c>
      <c r="AA21" s="55">
        <v>0</v>
      </c>
      <c r="AB21" s="55">
        <f t="shared" si="1"/>
        <v>0</v>
      </c>
      <c r="AC21" s="112">
        <v>0</v>
      </c>
      <c r="AD21" s="56">
        <f t="shared" si="2"/>
        <v>0</v>
      </c>
      <c r="AE21" s="55">
        <f t="shared" si="3"/>
        <v>42281</v>
      </c>
    </row>
    <row r="22" spans="1:31">
      <c r="A22" s="1" t="s">
        <v>54</v>
      </c>
      <c r="B22" s="52" t="s">
        <v>72</v>
      </c>
      <c r="C22" s="53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54">
        <v>0</v>
      </c>
      <c r="R22" s="85">
        <v>0</v>
      </c>
      <c r="S22" s="112">
        <f t="shared" si="0"/>
        <v>0</v>
      </c>
      <c r="T22" s="99">
        <v>0</v>
      </c>
      <c r="U22" s="54">
        <v>0</v>
      </c>
      <c r="V22" s="54">
        <v>76590</v>
      </c>
      <c r="W22" s="54">
        <v>98440</v>
      </c>
      <c r="X22" s="54">
        <v>68250</v>
      </c>
      <c r="Y22" s="54">
        <v>51675</v>
      </c>
      <c r="Z22" s="54">
        <v>66300</v>
      </c>
      <c r="AA22" s="55">
        <v>117975</v>
      </c>
      <c r="AB22" s="55">
        <f t="shared" si="1"/>
        <v>479230</v>
      </c>
      <c r="AC22" s="112">
        <v>0</v>
      </c>
      <c r="AD22" s="56">
        <f t="shared" si="2"/>
        <v>0</v>
      </c>
      <c r="AE22" s="55">
        <f t="shared" si="3"/>
        <v>479230</v>
      </c>
    </row>
    <row r="23" spans="1:31">
      <c r="A23" s="1" t="s">
        <v>54</v>
      </c>
      <c r="B23" s="52" t="s">
        <v>73</v>
      </c>
      <c r="C23" s="53">
        <v>3500</v>
      </c>
      <c r="D23" s="54">
        <v>1000</v>
      </c>
      <c r="E23" s="54">
        <v>3500</v>
      </c>
      <c r="F23" s="54">
        <v>3500</v>
      </c>
      <c r="G23" s="54">
        <v>0</v>
      </c>
      <c r="H23" s="54">
        <v>3500</v>
      </c>
      <c r="I23" s="54">
        <v>3500</v>
      </c>
      <c r="J23" s="54">
        <v>3500</v>
      </c>
      <c r="K23" s="54">
        <v>3500</v>
      </c>
      <c r="L23" s="54">
        <v>3500</v>
      </c>
      <c r="M23" s="54">
        <v>3500</v>
      </c>
      <c r="N23" s="54">
        <v>3500</v>
      </c>
      <c r="O23" s="54">
        <v>0</v>
      </c>
      <c r="P23" s="54">
        <v>2000</v>
      </c>
      <c r="Q23" s="54">
        <v>2000</v>
      </c>
      <c r="R23" s="85">
        <v>0</v>
      </c>
      <c r="S23" s="112">
        <f t="shared" si="0"/>
        <v>40000</v>
      </c>
      <c r="T23" s="99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5">
        <v>0</v>
      </c>
      <c r="AB23" s="55">
        <f t="shared" si="1"/>
        <v>0</v>
      </c>
      <c r="AC23" s="112">
        <v>0</v>
      </c>
      <c r="AD23" s="56">
        <f t="shared" si="2"/>
        <v>0</v>
      </c>
      <c r="AE23" s="55">
        <f t="shared" si="3"/>
        <v>40000</v>
      </c>
    </row>
    <row r="24" spans="1:31">
      <c r="A24" s="1" t="s">
        <v>54</v>
      </c>
      <c r="B24" s="52" t="s">
        <v>74</v>
      </c>
      <c r="C24" s="53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0</v>
      </c>
      <c r="P24" s="54">
        <v>0</v>
      </c>
      <c r="Q24" s="54">
        <v>0</v>
      </c>
      <c r="R24" s="85">
        <v>0</v>
      </c>
      <c r="S24" s="112">
        <f t="shared" si="0"/>
        <v>0</v>
      </c>
      <c r="T24" s="99">
        <v>0</v>
      </c>
      <c r="U24" s="54">
        <v>0</v>
      </c>
      <c r="V24" s="54">
        <v>0</v>
      </c>
      <c r="W24" s="54">
        <v>0</v>
      </c>
      <c r="X24" s="54">
        <v>0</v>
      </c>
      <c r="Y24" s="54">
        <v>6825</v>
      </c>
      <c r="Z24" s="54">
        <v>0</v>
      </c>
      <c r="AA24" s="55">
        <v>0</v>
      </c>
      <c r="AB24" s="55">
        <f t="shared" si="1"/>
        <v>6825</v>
      </c>
      <c r="AC24" s="112">
        <v>0</v>
      </c>
      <c r="AD24" s="56">
        <f t="shared" si="2"/>
        <v>0</v>
      </c>
      <c r="AE24" s="55">
        <f t="shared" si="3"/>
        <v>6825</v>
      </c>
    </row>
    <row r="25" spans="1:31">
      <c r="A25" s="1" t="s">
        <v>54</v>
      </c>
      <c r="B25" s="52" t="s">
        <v>75</v>
      </c>
      <c r="C25" s="53">
        <v>0</v>
      </c>
      <c r="D25" s="54">
        <v>6000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3000</v>
      </c>
      <c r="M25" s="54">
        <v>0</v>
      </c>
      <c r="N25" s="54">
        <v>3000</v>
      </c>
      <c r="O25" s="54">
        <v>3000</v>
      </c>
      <c r="P25" s="54">
        <v>3000</v>
      </c>
      <c r="Q25" s="54">
        <v>0</v>
      </c>
      <c r="R25" s="85">
        <v>0</v>
      </c>
      <c r="S25" s="112">
        <f t="shared" si="0"/>
        <v>18000</v>
      </c>
      <c r="T25" s="99">
        <v>3000</v>
      </c>
      <c r="U25" s="54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5">
        <v>3000</v>
      </c>
      <c r="AB25" s="55">
        <f t="shared" si="1"/>
        <v>6000</v>
      </c>
      <c r="AC25" s="112">
        <v>0</v>
      </c>
      <c r="AD25" s="56">
        <f t="shared" si="2"/>
        <v>0</v>
      </c>
      <c r="AE25" s="55">
        <f t="shared" si="3"/>
        <v>24000</v>
      </c>
    </row>
    <row r="26" spans="1:31">
      <c r="A26" s="1" t="s">
        <v>54</v>
      </c>
      <c r="B26" s="52" t="s">
        <v>61</v>
      </c>
      <c r="C26" s="53">
        <v>25002</v>
      </c>
      <c r="D26" s="54">
        <v>37570</v>
      </c>
      <c r="E26" s="54">
        <v>85323</v>
      </c>
      <c r="F26" s="54">
        <v>102300</v>
      </c>
      <c r="G26" s="54">
        <v>0</v>
      </c>
      <c r="H26" s="54">
        <v>65283</v>
      </c>
      <c r="I26" s="54">
        <v>68808</v>
      </c>
      <c r="J26" s="54">
        <v>56949</v>
      </c>
      <c r="K26" s="54">
        <v>60040</v>
      </c>
      <c r="L26" s="54">
        <v>40992</v>
      </c>
      <c r="M26" s="54">
        <v>112575</v>
      </c>
      <c r="N26" s="54">
        <v>40281</v>
      </c>
      <c r="O26" s="54">
        <v>102180</v>
      </c>
      <c r="P26" s="54">
        <v>54325</v>
      </c>
      <c r="Q26" s="54">
        <v>38164</v>
      </c>
      <c r="R26" s="85">
        <v>57640</v>
      </c>
      <c r="S26" s="112">
        <f t="shared" si="0"/>
        <v>947432</v>
      </c>
      <c r="T26" s="99">
        <v>0</v>
      </c>
      <c r="U26" s="54">
        <v>56056</v>
      </c>
      <c r="V26" s="54">
        <v>0</v>
      </c>
      <c r="W26" s="54">
        <v>0</v>
      </c>
      <c r="X26" s="54">
        <v>0</v>
      </c>
      <c r="Y26" s="54">
        <v>2438</v>
      </c>
      <c r="Z26" s="54">
        <v>0</v>
      </c>
      <c r="AA26" s="55">
        <v>13409</v>
      </c>
      <c r="AB26" s="55">
        <f t="shared" si="1"/>
        <v>71903</v>
      </c>
      <c r="AC26" s="112">
        <v>0</v>
      </c>
      <c r="AD26" s="56">
        <f t="shared" si="2"/>
        <v>0</v>
      </c>
      <c r="AE26" s="55">
        <f t="shared" si="3"/>
        <v>1019335</v>
      </c>
    </row>
    <row r="27" spans="1:31">
      <c r="A27" s="1" t="s">
        <v>54</v>
      </c>
      <c r="B27" s="52" t="s">
        <v>76</v>
      </c>
      <c r="C27" s="53">
        <v>36000</v>
      </c>
      <c r="D27" s="54">
        <v>28098</v>
      </c>
      <c r="E27" s="54">
        <v>21672</v>
      </c>
      <c r="F27" s="54">
        <v>12474</v>
      </c>
      <c r="G27" s="54">
        <v>0</v>
      </c>
      <c r="H27" s="54">
        <v>16500</v>
      </c>
      <c r="I27" s="54">
        <v>22134</v>
      </c>
      <c r="J27" s="54">
        <v>39000</v>
      </c>
      <c r="K27" s="54">
        <v>27557</v>
      </c>
      <c r="L27" s="54">
        <v>20553</v>
      </c>
      <c r="M27" s="54">
        <v>50251</v>
      </c>
      <c r="N27" s="54">
        <v>39000</v>
      </c>
      <c r="O27" s="54">
        <v>15565</v>
      </c>
      <c r="P27" s="54">
        <v>12879</v>
      </c>
      <c r="Q27" s="54">
        <v>36800</v>
      </c>
      <c r="R27" s="85">
        <v>12735</v>
      </c>
      <c r="S27" s="112">
        <f t="shared" si="0"/>
        <v>391218</v>
      </c>
      <c r="T27" s="99">
        <v>0</v>
      </c>
      <c r="U27" s="54">
        <v>41922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5">
        <v>0</v>
      </c>
      <c r="AB27" s="55">
        <f t="shared" si="1"/>
        <v>41922</v>
      </c>
      <c r="AC27" s="112">
        <v>0</v>
      </c>
      <c r="AD27" s="56">
        <f t="shared" si="2"/>
        <v>0</v>
      </c>
      <c r="AE27" s="55">
        <f t="shared" si="3"/>
        <v>433140</v>
      </c>
    </row>
    <row r="28" spans="1:31">
      <c r="A28" s="1" t="s">
        <v>54</v>
      </c>
      <c r="B28" s="52" t="s">
        <v>77</v>
      </c>
      <c r="C28" s="53">
        <v>15000</v>
      </c>
      <c r="D28" s="54">
        <v>65562</v>
      </c>
      <c r="E28" s="54">
        <v>41538</v>
      </c>
      <c r="F28" s="54">
        <v>35640</v>
      </c>
      <c r="G28" s="54">
        <v>0</v>
      </c>
      <c r="H28" s="54">
        <v>28500</v>
      </c>
      <c r="I28" s="54">
        <v>12648</v>
      </c>
      <c r="J28" s="54">
        <v>25500</v>
      </c>
      <c r="K28" s="54">
        <v>25936</v>
      </c>
      <c r="L28" s="54">
        <v>36363</v>
      </c>
      <c r="M28" s="54">
        <v>0</v>
      </c>
      <c r="N28" s="54">
        <v>25500</v>
      </c>
      <c r="O28" s="54">
        <v>32545</v>
      </c>
      <c r="P28" s="54">
        <v>44361</v>
      </c>
      <c r="Q28" s="54">
        <v>20608</v>
      </c>
      <c r="R28" s="85">
        <v>11320</v>
      </c>
      <c r="S28" s="112">
        <f t="shared" si="0"/>
        <v>421021</v>
      </c>
      <c r="T28" s="99">
        <v>0</v>
      </c>
      <c r="U28" s="54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5">
        <v>0</v>
      </c>
      <c r="AB28" s="55">
        <f t="shared" si="1"/>
        <v>0</v>
      </c>
      <c r="AC28" s="112">
        <v>0</v>
      </c>
      <c r="AD28" s="56">
        <f t="shared" si="2"/>
        <v>0</v>
      </c>
      <c r="AE28" s="55">
        <f t="shared" si="3"/>
        <v>421021</v>
      </c>
    </row>
    <row r="29" spans="1:31">
      <c r="A29" s="1" t="s">
        <v>54</v>
      </c>
      <c r="B29" s="52" t="s">
        <v>64</v>
      </c>
      <c r="C29" s="53">
        <v>0</v>
      </c>
      <c r="D29" s="54">
        <v>0</v>
      </c>
      <c r="E29" s="54">
        <v>0</v>
      </c>
      <c r="F29" s="54">
        <v>2310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4500</v>
      </c>
      <c r="N29" s="54">
        <v>0</v>
      </c>
      <c r="O29" s="54">
        <v>4978</v>
      </c>
      <c r="P29" s="54">
        <v>0</v>
      </c>
      <c r="Q29" s="54">
        <v>0</v>
      </c>
      <c r="R29" s="85">
        <v>0</v>
      </c>
      <c r="S29" s="112">
        <f t="shared" si="0"/>
        <v>11788</v>
      </c>
      <c r="T29" s="99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5">
        <v>0</v>
      </c>
      <c r="AB29" s="55">
        <f t="shared" si="1"/>
        <v>0</v>
      </c>
      <c r="AC29" s="112">
        <v>0</v>
      </c>
      <c r="AD29" s="56">
        <f t="shared" si="2"/>
        <v>0</v>
      </c>
      <c r="AE29" s="55">
        <f t="shared" si="3"/>
        <v>11788</v>
      </c>
    </row>
    <row r="30" spans="1:31">
      <c r="A30" s="1" t="s">
        <v>54</v>
      </c>
      <c r="B30" s="11" t="s">
        <v>66</v>
      </c>
      <c r="C30" s="26">
        <v>1112</v>
      </c>
      <c r="D30" s="27">
        <v>1156</v>
      </c>
      <c r="E30" s="27">
        <v>3350</v>
      </c>
      <c r="F30" s="27">
        <v>3960</v>
      </c>
      <c r="G30" s="27">
        <v>0</v>
      </c>
      <c r="H30" s="27">
        <v>3058</v>
      </c>
      <c r="I30" s="27">
        <v>1172</v>
      </c>
      <c r="J30" s="27">
        <v>2502</v>
      </c>
      <c r="K30" s="27">
        <v>11100</v>
      </c>
      <c r="L30" s="27">
        <v>5274</v>
      </c>
      <c r="M30" s="27">
        <v>10800</v>
      </c>
      <c r="N30" s="27">
        <v>3336</v>
      </c>
      <c r="O30" s="27">
        <v>6550</v>
      </c>
      <c r="P30" s="27">
        <v>2120</v>
      </c>
      <c r="Q30" s="27">
        <v>1638</v>
      </c>
      <c r="R30" s="86">
        <v>1834</v>
      </c>
      <c r="S30" s="8">
        <f t="shared" si="0"/>
        <v>58962</v>
      </c>
      <c r="T30" s="100">
        <v>2770</v>
      </c>
      <c r="U30" s="27">
        <v>0</v>
      </c>
      <c r="V30" s="27">
        <v>0</v>
      </c>
      <c r="W30" s="27">
        <v>0</v>
      </c>
      <c r="X30" s="27">
        <v>12200</v>
      </c>
      <c r="Y30" s="27">
        <v>3660</v>
      </c>
      <c r="Z30" s="27">
        <v>9760</v>
      </c>
      <c r="AA30" s="28">
        <v>7808</v>
      </c>
      <c r="AB30" s="28">
        <f t="shared" si="1"/>
        <v>36198</v>
      </c>
      <c r="AC30" s="8">
        <v>584</v>
      </c>
      <c r="AD30" s="14">
        <f t="shared" si="2"/>
        <v>584</v>
      </c>
      <c r="AE30" s="28">
        <f t="shared" si="3"/>
        <v>95744</v>
      </c>
    </row>
    <row r="31" spans="1:31">
      <c r="A31" s="1" t="s">
        <v>54</v>
      </c>
      <c r="B31" s="33" t="s">
        <v>78</v>
      </c>
      <c r="C31" s="38">
        <v>262614</v>
      </c>
      <c r="D31" s="39">
        <v>331386</v>
      </c>
      <c r="E31" s="39">
        <v>375383</v>
      </c>
      <c r="F31" s="39">
        <v>388275</v>
      </c>
      <c r="G31" s="39">
        <v>0</v>
      </c>
      <c r="H31" s="39">
        <v>298841</v>
      </c>
      <c r="I31" s="39">
        <v>300262</v>
      </c>
      <c r="J31" s="39">
        <v>309451</v>
      </c>
      <c r="K31" s="39">
        <v>325133</v>
      </c>
      <c r="L31" s="39">
        <v>301682</v>
      </c>
      <c r="M31" s="39">
        <v>378626</v>
      </c>
      <c r="N31" s="39">
        <v>302455</v>
      </c>
      <c r="O31" s="39">
        <v>339818</v>
      </c>
      <c r="P31" s="39">
        <v>293685</v>
      </c>
      <c r="Q31" s="39">
        <v>304562</v>
      </c>
      <c r="R31" s="87">
        <v>258529</v>
      </c>
      <c r="S31" s="113">
        <f t="shared" si="0"/>
        <v>4770702</v>
      </c>
      <c r="T31" s="101">
        <v>375770</v>
      </c>
      <c r="U31" s="39">
        <v>385978</v>
      </c>
      <c r="V31" s="39">
        <v>76590</v>
      </c>
      <c r="W31" s="39">
        <v>98440</v>
      </c>
      <c r="X31" s="39">
        <v>80450</v>
      </c>
      <c r="Y31" s="39">
        <v>64598</v>
      </c>
      <c r="Z31" s="39">
        <v>76060</v>
      </c>
      <c r="AA31" s="40">
        <v>142192</v>
      </c>
      <c r="AB31" s="40">
        <f t="shared" si="1"/>
        <v>1300078</v>
      </c>
      <c r="AC31" s="113">
        <v>390584</v>
      </c>
      <c r="AD31" s="41">
        <f t="shared" si="2"/>
        <v>390584</v>
      </c>
      <c r="AE31" s="40">
        <f t="shared" si="3"/>
        <v>6461364</v>
      </c>
    </row>
    <row r="32" spans="1:31">
      <c r="A32" s="1" t="s">
        <v>54</v>
      </c>
      <c r="B32" s="47" t="s">
        <v>79</v>
      </c>
      <c r="C32" s="48">
        <v>12428</v>
      </c>
      <c r="D32" s="49">
        <v>3377</v>
      </c>
      <c r="E32" s="49">
        <v>5593</v>
      </c>
      <c r="F32" s="49">
        <v>2972</v>
      </c>
      <c r="G32" s="49">
        <v>0</v>
      </c>
      <c r="H32" s="49">
        <v>2378</v>
      </c>
      <c r="I32" s="49">
        <v>1243</v>
      </c>
      <c r="J32" s="49">
        <v>3242</v>
      </c>
      <c r="K32" s="49">
        <v>5187</v>
      </c>
      <c r="L32" s="49">
        <v>5836</v>
      </c>
      <c r="M32" s="49">
        <v>6214</v>
      </c>
      <c r="N32" s="49">
        <v>11941</v>
      </c>
      <c r="O32" s="49">
        <v>8429</v>
      </c>
      <c r="P32" s="49">
        <v>8780</v>
      </c>
      <c r="Q32" s="49">
        <v>2486</v>
      </c>
      <c r="R32" s="88">
        <v>7133</v>
      </c>
      <c r="S32" s="114">
        <f t="shared" si="0"/>
        <v>87239</v>
      </c>
      <c r="T32" s="102">
        <v>3404</v>
      </c>
      <c r="U32" s="49">
        <v>5350</v>
      </c>
      <c r="V32" s="49">
        <v>2594</v>
      </c>
      <c r="W32" s="49">
        <v>2027</v>
      </c>
      <c r="X32" s="49">
        <v>4323</v>
      </c>
      <c r="Y32" s="49">
        <v>2459</v>
      </c>
      <c r="Z32" s="49">
        <v>4161</v>
      </c>
      <c r="AA32" s="50">
        <v>13049</v>
      </c>
      <c r="AB32" s="50">
        <f t="shared" si="1"/>
        <v>37367</v>
      </c>
      <c r="AC32" s="114">
        <v>6673</v>
      </c>
      <c r="AD32" s="51">
        <f t="shared" si="2"/>
        <v>6673</v>
      </c>
      <c r="AE32" s="50">
        <f t="shared" si="3"/>
        <v>131279</v>
      </c>
    </row>
    <row r="33" spans="1:31">
      <c r="A33" s="1" t="s">
        <v>54</v>
      </c>
      <c r="B33" s="11" t="s">
        <v>80</v>
      </c>
      <c r="C33" s="26">
        <v>12428</v>
      </c>
      <c r="D33" s="27">
        <v>3377</v>
      </c>
      <c r="E33" s="27">
        <v>5593</v>
      </c>
      <c r="F33" s="27">
        <v>2972</v>
      </c>
      <c r="G33" s="27">
        <v>0</v>
      </c>
      <c r="H33" s="27">
        <v>2378</v>
      </c>
      <c r="I33" s="27">
        <v>1243</v>
      </c>
      <c r="J33" s="27">
        <v>3242</v>
      </c>
      <c r="K33" s="27">
        <v>5187</v>
      </c>
      <c r="L33" s="27">
        <v>5836</v>
      </c>
      <c r="M33" s="27">
        <v>6214</v>
      </c>
      <c r="N33" s="27">
        <v>11941</v>
      </c>
      <c r="O33" s="27">
        <v>8429</v>
      </c>
      <c r="P33" s="27">
        <v>8780</v>
      </c>
      <c r="Q33" s="27">
        <v>2486</v>
      </c>
      <c r="R33" s="86">
        <v>7133</v>
      </c>
      <c r="S33" s="8">
        <f t="shared" si="0"/>
        <v>87239</v>
      </c>
      <c r="T33" s="100">
        <v>3404</v>
      </c>
      <c r="U33" s="27">
        <v>5350</v>
      </c>
      <c r="V33" s="27">
        <v>2594</v>
      </c>
      <c r="W33" s="27">
        <v>2027</v>
      </c>
      <c r="X33" s="27">
        <v>4323</v>
      </c>
      <c r="Y33" s="27">
        <v>2459</v>
      </c>
      <c r="Z33" s="27">
        <v>4161</v>
      </c>
      <c r="AA33" s="28">
        <v>13049</v>
      </c>
      <c r="AB33" s="28">
        <f t="shared" si="1"/>
        <v>37367</v>
      </c>
      <c r="AC33" s="8">
        <v>6673</v>
      </c>
      <c r="AD33" s="14">
        <f t="shared" si="2"/>
        <v>6673</v>
      </c>
      <c r="AE33" s="28">
        <f t="shared" si="3"/>
        <v>131279</v>
      </c>
    </row>
    <row r="34" spans="1:31">
      <c r="A34" s="1" t="s">
        <v>54</v>
      </c>
      <c r="B34" s="33" t="s">
        <v>81</v>
      </c>
      <c r="C34" s="38">
        <v>275042</v>
      </c>
      <c r="D34" s="39">
        <v>334763</v>
      </c>
      <c r="E34" s="39">
        <v>380976</v>
      </c>
      <c r="F34" s="39">
        <v>391247</v>
      </c>
      <c r="G34" s="39">
        <v>0</v>
      </c>
      <c r="H34" s="39">
        <v>301219</v>
      </c>
      <c r="I34" s="39">
        <v>301505</v>
      </c>
      <c r="J34" s="39">
        <v>312693</v>
      </c>
      <c r="K34" s="39">
        <v>330320</v>
      </c>
      <c r="L34" s="39">
        <v>307518</v>
      </c>
      <c r="M34" s="39">
        <v>384840</v>
      </c>
      <c r="N34" s="39">
        <v>314396</v>
      </c>
      <c r="O34" s="39">
        <v>348247</v>
      </c>
      <c r="P34" s="39">
        <v>302465</v>
      </c>
      <c r="Q34" s="39">
        <v>307048</v>
      </c>
      <c r="R34" s="87">
        <v>265662</v>
      </c>
      <c r="S34" s="113">
        <f t="shared" si="0"/>
        <v>4857941</v>
      </c>
      <c r="T34" s="101">
        <v>379174</v>
      </c>
      <c r="U34" s="39">
        <v>391328</v>
      </c>
      <c r="V34" s="39">
        <v>79184</v>
      </c>
      <c r="W34" s="39">
        <v>100467</v>
      </c>
      <c r="X34" s="39">
        <v>84773</v>
      </c>
      <c r="Y34" s="39">
        <v>67057</v>
      </c>
      <c r="Z34" s="39">
        <v>80221</v>
      </c>
      <c r="AA34" s="40">
        <v>155241</v>
      </c>
      <c r="AB34" s="40">
        <f t="shared" si="1"/>
        <v>1337445</v>
      </c>
      <c r="AC34" s="113">
        <v>397257</v>
      </c>
      <c r="AD34" s="41">
        <f t="shared" si="2"/>
        <v>397257</v>
      </c>
      <c r="AE34" s="40">
        <f t="shared" si="3"/>
        <v>6592643</v>
      </c>
    </row>
    <row r="35" spans="1:31">
      <c r="A35" s="1" t="s">
        <v>54</v>
      </c>
      <c r="B35" s="47" t="s">
        <v>82</v>
      </c>
      <c r="C35" s="48">
        <v>15300</v>
      </c>
      <c r="D35" s="49">
        <v>16320</v>
      </c>
      <c r="E35" s="49">
        <v>19380</v>
      </c>
      <c r="F35" s="49">
        <v>19380</v>
      </c>
      <c r="G35" s="49">
        <v>19380</v>
      </c>
      <c r="H35" s="49">
        <v>16320</v>
      </c>
      <c r="I35" s="49">
        <v>15300</v>
      </c>
      <c r="J35" s="49">
        <v>15300</v>
      </c>
      <c r="K35" s="49">
        <v>19380</v>
      </c>
      <c r="L35" s="49">
        <v>18360</v>
      </c>
      <c r="M35" s="49">
        <v>19380</v>
      </c>
      <c r="N35" s="49">
        <v>15300</v>
      </c>
      <c r="O35" s="49">
        <v>16320</v>
      </c>
      <c r="P35" s="49">
        <v>14280</v>
      </c>
      <c r="Q35" s="49">
        <v>16320</v>
      </c>
      <c r="R35" s="88">
        <v>13260</v>
      </c>
      <c r="S35" s="114">
        <f t="shared" si="0"/>
        <v>269280</v>
      </c>
      <c r="T35" s="102">
        <v>18360</v>
      </c>
      <c r="U35" s="49">
        <v>20910</v>
      </c>
      <c r="V35" s="49">
        <v>0</v>
      </c>
      <c r="W35" s="49">
        <v>0</v>
      </c>
      <c r="X35" s="49">
        <v>0</v>
      </c>
      <c r="Y35" s="49">
        <v>0</v>
      </c>
      <c r="Z35" s="49">
        <v>0</v>
      </c>
      <c r="AA35" s="50">
        <v>6834</v>
      </c>
      <c r="AB35" s="50">
        <f t="shared" si="1"/>
        <v>46104</v>
      </c>
      <c r="AC35" s="114">
        <v>19380</v>
      </c>
      <c r="AD35" s="51">
        <f t="shared" si="2"/>
        <v>19380</v>
      </c>
      <c r="AE35" s="50">
        <f t="shared" si="3"/>
        <v>334764</v>
      </c>
    </row>
    <row r="36" spans="1:31">
      <c r="A36" s="1" t="s">
        <v>54</v>
      </c>
      <c r="B36" s="52" t="s">
        <v>83</v>
      </c>
      <c r="C36" s="53">
        <v>2700</v>
      </c>
      <c r="D36" s="54">
        <v>2880</v>
      </c>
      <c r="E36" s="54">
        <v>3420</v>
      </c>
      <c r="F36" s="54">
        <v>3420</v>
      </c>
      <c r="G36" s="54">
        <v>3420</v>
      </c>
      <c r="H36" s="54">
        <v>2880</v>
      </c>
      <c r="I36" s="54">
        <v>2700</v>
      </c>
      <c r="J36" s="54">
        <v>2700</v>
      </c>
      <c r="K36" s="54">
        <v>3420</v>
      </c>
      <c r="L36" s="54">
        <v>3240</v>
      </c>
      <c r="M36" s="54">
        <v>3420</v>
      </c>
      <c r="N36" s="54">
        <v>2700</v>
      </c>
      <c r="O36" s="54">
        <v>2880</v>
      </c>
      <c r="P36" s="54">
        <v>2520</v>
      </c>
      <c r="Q36" s="54">
        <v>2880</v>
      </c>
      <c r="R36" s="85">
        <v>0</v>
      </c>
      <c r="S36" s="112">
        <f t="shared" si="0"/>
        <v>45180</v>
      </c>
      <c r="T36" s="99">
        <v>3240</v>
      </c>
      <c r="U36" s="54">
        <v>3690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5">
        <v>0</v>
      </c>
      <c r="AB36" s="55">
        <f t="shared" si="1"/>
        <v>6930</v>
      </c>
      <c r="AC36" s="112">
        <v>3420</v>
      </c>
      <c r="AD36" s="56">
        <f t="shared" si="2"/>
        <v>3420</v>
      </c>
      <c r="AE36" s="55">
        <f t="shared" si="3"/>
        <v>55530</v>
      </c>
    </row>
    <row r="37" spans="1:31">
      <c r="A37" s="1" t="s">
        <v>54</v>
      </c>
      <c r="B37" s="52" t="s">
        <v>84</v>
      </c>
      <c r="C37" s="53">
        <v>27450</v>
      </c>
      <c r="D37" s="54">
        <v>29280</v>
      </c>
      <c r="E37" s="54">
        <v>34770</v>
      </c>
      <c r="F37" s="54">
        <v>34770</v>
      </c>
      <c r="G37" s="54">
        <v>34770</v>
      </c>
      <c r="H37" s="54">
        <v>29280</v>
      </c>
      <c r="I37" s="54">
        <v>27450</v>
      </c>
      <c r="J37" s="54">
        <v>27450</v>
      </c>
      <c r="K37" s="54">
        <v>34770</v>
      </c>
      <c r="L37" s="54">
        <v>32940</v>
      </c>
      <c r="M37" s="54">
        <v>34770</v>
      </c>
      <c r="N37" s="54">
        <v>27450</v>
      </c>
      <c r="O37" s="54">
        <v>29280</v>
      </c>
      <c r="P37" s="54">
        <v>25620</v>
      </c>
      <c r="Q37" s="54">
        <v>29280</v>
      </c>
      <c r="R37" s="85">
        <v>23790</v>
      </c>
      <c r="S37" s="112">
        <f t="shared" si="0"/>
        <v>483120</v>
      </c>
      <c r="T37" s="99">
        <v>32940</v>
      </c>
      <c r="U37" s="54">
        <v>37515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5">
        <v>12261</v>
      </c>
      <c r="AB37" s="55">
        <f t="shared" si="1"/>
        <v>82716</v>
      </c>
      <c r="AC37" s="112">
        <v>34770</v>
      </c>
      <c r="AD37" s="56">
        <f t="shared" si="2"/>
        <v>34770</v>
      </c>
      <c r="AE37" s="55">
        <f t="shared" si="3"/>
        <v>600606</v>
      </c>
    </row>
    <row r="38" spans="1:31">
      <c r="A38" s="1" t="s">
        <v>54</v>
      </c>
      <c r="B38" s="52" t="s">
        <v>85</v>
      </c>
      <c r="C38" s="53">
        <v>1650</v>
      </c>
      <c r="D38" s="54">
        <v>2009</v>
      </c>
      <c r="E38" s="54">
        <v>2286</v>
      </c>
      <c r="F38" s="54">
        <v>2347</v>
      </c>
      <c r="G38" s="54">
        <v>0</v>
      </c>
      <c r="H38" s="54">
        <v>1807</v>
      </c>
      <c r="I38" s="54">
        <v>1809</v>
      </c>
      <c r="J38" s="54">
        <v>1876</v>
      </c>
      <c r="K38" s="54">
        <v>1982</v>
      </c>
      <c r="L38" s="54">
        <v>1845</v>
      </c>
      <c r="M38" s="54">
        <v>2309</v>
      </c>
      <c r="N38" s="54">
        <v>1886</v>
      </c>
      <c r="O38" s="54">
        <v>2089</v>
      </c>
      <c r="P38" s="54">
        <v>1815</v>
      </c>
      <c r="Q38" s="54">
        <v>1842</v>
      </c>
      <c r="R38" s="85">
        <v>1594</v>
      </c>
      <c r="S38" s="112">
        <f t="shared" si="0"/>
        <v>29146</v>
      </c>
      <c r="T38" s="99">
        <v>2275</v>
      </c>
      <c r="U38" s="54">
        <v>2348</v>
      </c>
      <c r="V38" s="54">
        <v>475</v>
      </c>
      <c r="W38" s="54">
        <v>603</v>
      </c>
      <c r="X38" s="54">
        <v>0</v>
      </c>
      <c r="Y38" s="54">
        <v>0</v>
      </c>
      <c r="Z38" s="54">
        <v>481</v>
      </c>
      <c r="AA38" s="55">
        <v>931</v>
      </c>
      <c r="AB38" s="55">
        <f t="shared" si="1"/>
        <v>7113</v>
      </c>
      <c r="AC38" s="112">
        <v>2384</v>
      </c>
      <c r="AD38" s="56">
        <f t="shared" si="2"/>
        <v>2384</v>
      </c>
      <c r="AE38" s="55">
        <f t="shared" si="3"/>
        <v>38643</v>
      </c>
    </row>
    <row r="39" spans="1:31">
      <c r="A39" s="1" t="s">
        <v>54</v>
      </c>
      <c r="B39" s="11" t="s">
        <v>86</v>
      </c>
      <c r="C39" s="26">
        <v>0</v>
      </c>
      <c r="D39" s="27">
        <v>0</v>
      </c>
      <c r="E39" s="27">
        <v>1071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86">
        <v>0</v>
      </c>
      <c r="S39" s="8">
        <f t="shared" si="0"/>
        <v>1071</v>
      </c>
      <c r="T39" s="100">
        <v>0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8">
        <v>0</v>
      </c>
      <c r="AB39" s="28">
        <f t="shared" si="1"/>
        <v>0</v>
      </c>
      <c r="AC39" s="8">
        <v>0</v>
      </c>
      <c r="AD39" s="14">
        <f t="shared" si="2"/>
        <v>0</v>
      </c>
      <c r="AE39" s="28">
        <f t="shared" si="3"/>
        <v>1071</v>
      </c>
    </row>
    <row r="40" spans="1:31">
      <c r="A40" s="1" t="s">
        <v>54</v>
      </c>
      <c r="B40" s="33" t="s">
        <v>87</v>
      </c>
      <c r="C40" s="38">
        <v>47100</v>
      </c>
      <c r="D40" s="39">
        <v>50489</v>
      </c>
      <c r="E40" s="39">
        <v>59856</v>
      </c>
      <c r="F40" s="39">
        <v>59917</v>
      </c>
      <c r="G40" s="39">
        <v>57570</v>
      </c>
      <c r="H40" s="39">
        <v>50287</v>
      </c>
      <c r="I40" s="39">
        <v>47259</v>
      </c>
      <c r="J40" s="39">
        <v>47326</v>
      </c>
      <c r="K40" s="39">
        <v>59552</v>
      </c>
      <c r="L40" s="39">
        <v>56385</v>
      </c>
      <c r="M40" s="39">
        <v>59879</v>
      </c>
      <c r="N40" s="39">
        <v>47336</v>
      </c>
      <c r="O40" s="39">
        <v>50569</v>
      </c>
      <c r="P40" s="39">
        <v>44235</v>
      </c>
      <c r="Q40" s="39">
        <v>50322</v>
      </c>
      <c r="R40" s="87">
        <v>38644</v>
      </c>
      <c r="S40" s="113">
        <f t="shared" si="0"/>
        <v>826726</v>
      </c>
      <c r="T40" s="101">
        <v>56815</v>
      </c>
      <c r="U40" s="39">
        <v>64463</v>
      </c>
      <c r="V40" s="39">
        <v>475</v>
      </c>
      <c r="W40" s="39">
        <v>603</v>
      </c>
      <c r="X40" s="39">
        <v>0</v>
      </c>
      <c r="Y40" s="39">
        <v>0</v>
      </c>
      <c r="Z40" s="39">
        <v>481</v>
      </c>
      <c r="AA40" s="40">
        <v>20026</v>
      </c>
      <c r="AB40" s="40">
        <f t="shared" si="1"/>
        <v>142863</v>
      </c>
      <c r="AC40" s="113">
        <v>59954</v>
      </c>
      <c r="AD40" s="41">
        <f t="shared" si="2"/>
        <v>59954</v>
      </c>
      <c r="AE40" s="40">
        <f t="shared" si="3"/>
        <v>1029543</v>
      </c>
    </row>
    <row r="41" spans="1:31">
      <c r="A41" s="1" t="s">
        <v>54</v>
      </c>
      <c r="B41" s="47" t="s">
        <v>88</v>
      </c>
      <c r="C41" s="48">
        <v>3700</v>
      </c>
      <c r="D41" s="49">
        <v>7660</v>
      </c>
      <c r="E41" s="49">
        <v>7360</v>
      </c>
      <c r="F41" s="49">
        <v>10700</v>
      </c>
      <c r="G41" s="49">
        <v>0</v>
      </c>
      <c r="H41" s="49">
        <v>6500</v>
      </c>
      <c r="I41" s="49">
        <v>5040</v>
      </c>
      <c r="J41" s="49">
        <v>6980</v>
      </c>
      <c r="K41" s="49">
        <v>7110</v>
      </c>
      <c r="L41" s="49">
        <v>6380</v>
      </c>
      <c r="M41" s="49">
        <v>2640</v>
      </c>
      <c r="N41" s="49">
        <v>6730</v>
      </c>
      <c r="O41" s="49">
        <v>7950</v>
      </c>
      <c r="P41" s="49">
        <v>6530</v>
      </c>
      <c r="Q41" s="49">
        <v>6700</v>
      </c>
      <c r="R41" s="88">
        <v>5480</v>
      </c>
      <c r="S41" s="114">
        <f t="shared" si="0"/>
        <v>97460</v>
      </c>
      <c r="T41" s="102">
        <v>7500</v>
      </c>
      <c r="U41" s="49">
        <v>7600</v>
      </c>
      <c r="V41" s="49">
        <v>0</v>
      </c>
      <c r="W41" s="49">
        <v>610</v>
      </c>
      <c r="X41" s="49">
        <v>0</v>
      </c>
      <c r="Y41" s="49">
        <v>0</v>
      </c>
      <c r="Z41" s="49">
        <v>0</v>
      </c>
      <c r="AA41" s="50">
        <v>240</v>
      </c>
      <c r="AB41" s="50">
        <f t="shared" si="1"/>
        <v>15950</v>
      </c>
      <c r="AC41" s="114">
        <v>10880</v>
      </c>
      <c r="AD41" s="51">
        <f t="shared" si="2"/>
        <v>10880</v>
      </c>
      <c r="AE41" s="50">
        <f t="shared" si="3"/>
        <v>124290</v>
      </c>
    </row>
    <row r="42" spans="1:31">
      <c r="A42" s="1" t="s">
        <v>54</v>
      </c>
      <c r="B42" s="52" t="s">
        <v>89</v>
      </c>
      <c r="C42" s="53">
        <v>1300</v>
      </c>
      <c r="D42" s="54">
        <v>1300</v>
      </c>
      <c r="E42" s="54">
        <v>1300</v>
      </c>
      <c r="F42" s="54">
        <v>0</v>
      </c>
      <c r="G42" s="54">
        <v>1300</v>
      </c>
      <c r="H42" s="54">
        <v>1300</v>
      </c>
      <c r="I42" s="54">
        <v>1300</v>
      </c>
      <c r="J42" s="54">
        <v>1300</v>
      </c>
      <c r="K42" s="54">
        <v>1300</v>
      </c>
      <c r="L42" s="54">
        <v>1300</v>
      </c>
      <c r="M42" s="54">
        <v>1300</v>
      </c>
      <c r="N42" s="54">
        <v>1300</v>
      </c>
      <c r="O42" s="54">
        <v>1300</v>
      </c>
      <c r="P42" s="54">
        <v>1300</v>
      </c>
      <c r="Q42" s="54">
        <v>0</v>
      </c>
      <c r="R42" s="85">
        <v>0</v>
      </c>
      <c r="S42" s="112">
        <f t="shared" si="0"/>
        <v>16900</v>
      </c>
      <c r="T42" s="99">
        <v>0</v>
      </c>
      <c r="U42" s="54">
        <v>0</v>
      </c>
      <c r="V42" s="54">
        <v>0</v>
      </c>
      <c r="W42" s="54">
        <v>0</v>
      </c>
      <c r="X42" s="54">
        <v>0</v>
      </c>
      <c r="Y42" s="54">
        <v>0</v>
      </c>
      <c r="Z42" s="54">
        <v>0</v>
      </c>
      <c r="AA42" s="55">
        <v>0</v>
      </c>
      <c r="AB42" s="55">
        <f t="shared" si="1"/>
        <v>0</v>
      </c>
      <c r="AC42" s="112">
        <v>0</v>
      </c>
      <c r="AD42" s="56">
        <f t="shared" si="2"/>
        <v>0</v>
      </c>
      <c r="AE42" s="55">
        <f t="shared" si="3"/>
        <v>16900</v>
      </c>
    </row>
    <row r="43" spans="1:31">
      <c r="A43" s="1" t="s">
        <v>54</v>
      </c>
      <c r="B43" s="52" t="s">
        <v>90</v>
      </c>
      <c r="C43" s="53">
        <v>6700</v>
      </c>
      <c r="D43" s="54">
        <v>15100</v>
      </c>
      <c r="E43" s="54">
        <v>18200</v>
      </c>
      <c r="F43" s="54">
        <v>20200</v>
      </c>
      <c r="G43" s="54">
        <v>19000</v>
      </c>
      <c r="H43" s="54">
        <v>13900</v>
      </c>
      <c r="I43" s="54">
        <v>9200</v>
      </c>
      <c r="J43" s="54">
        <v>13900</v>
      </c>
      <c r="K43" s="54">
        <v>16500</v>
      </c>
      <c r="L43" s="54">
        <v>14300</v>
      </c>
      <c r="M43" s="54">
        <v>1900</v>
      </c>
      <c r="N43" s="54">
        <v>0</v>
      </c>
      <c r="O43" s="54">
        <v>12900</v>
      </c>
      <c r="P43" s="54">
        <v>10500</v>
      </c>
      <c r="Q43" s="54">
        <v>5300</v>
      </c>
      <c r="R43" s="85">
        <v>0</v>
      </c>
      <c r="S43" s="112">
        <f t="shared" si="0"/>
        <v>177600</v>
      </c>
      <c r="T43" s="99">
        <v>18600</v>
      </c>
      <c r="U43" s="54">
        <v>17000</v>
      </c>
      <c r="V43" s="54">
        <v>0</v>
      </c>
      <c r="W43" s="54">
        <v>0</v>
      </c>
      <c r="X43" s="54">
        <v>0</v>
      </c>
      <c r="Y43" s="54">
        <v>0</v>
      </c>
      <c r="Z43" s="54">
        <v>2700</v>
      </c>
      <c r="AA43" s="55">
        <v>10700</v>
      </c>
      <c r="AB43" s="55">
        <f t="shared" si="1"/>
        <v>49000</v>
      </c>
      <c r="AC43" s="112">
        <v>21700</v>
      </c>
      <c r="AD43" s="56">
        <f t="shared" si="2"/>
        <v>21700</v>
      </c>
      <c r="AE43" s="55">
        <f t="shared" si="3"/>
        <v>248300</v>
      </c>
    </row>
    <row r="44" spans="1:31">
      <c r="A44" s="1" t="s">
        <v>54</v>
      </c>
      <c r="B44" s="11" t="s">
        <v>91</v>
      </c>
      <c r="C44" s="26">
        <v>0</v>
      </c>
      <c r="D44" s="27">
        <v>0</v>
      </c>
      <c r="E44" s="27">
        <v>0</v>
      </c>
      <c r="F44" s="27">
        <v>0</v>
      </c>
      <c r="G44" s="29">
        <v>-77870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86">
        <v>0</v>
      </c>
      <c r="S44" s="10">
        <f t="shared" si="0"/>
        <v>-77870</v>
      </c>
      <c r="T44" s="100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8">
        <v>0</v>
      </c>
      <c r="AB44" s="28">
        <f t="shared" si="1"/>
        <v>0</v>
      </c>
      <c r="AC44" s="8">
        <v>0</v>
      </c>
      <c r="AD44" s="14">
        <f t="shared" si="2"/>
        <v>0</v>
      </c>
      <c r="AE44" s="15">
        <f>SUM(AD44,AB44,S44)</f>
        <v>-77870</v>
      </c>
    </row>
    <row r="45" spans="1:31">
      <c r="A45" s="1" t="s">
        <v>54</v>
      </c>
      <c r="B45" s="33" t="s">
        <v>92</v>
      </c>
      <c r="C45" s="38">
        <v>58800</v>
      </c>
      <c r="D45" s="39">
        <v>74549</v>
      </c>
      <c r="E45" s="39">
        <v>87787</v>
      </c>
      <c r="F45" s="39">
        <v>90817</v>
      </c>
      <c r="G45" s="42">
        <v>0</v>
      </c>
      <c r="H45" s="39">
        <v>71987</v>
      </c>
      <c r="I45" s="39">
        <v>62799</v>
      </c>
      <c r="J45" s="39">
        <v>69506</v>
      </c>
      <c r="K45" s="39">
        <v>84462</v>
      </c>
      <c r="L45" s="39">
        <v>78365</v>
      </c>
      <c r="M45" s="39">
        <v>65719</v>
      </c>
      <c r="N45" s="39">
        <v>55366</v>
      </c>
      <c r="O45" s="39">
        <v>72719</v>
      </c>
      <c r="P45" s="39">
        <v>62565</v>
      </c>
      <c r="Q45" s="39">
        <v>62322</v>
      </c>
      <c r="R45" s="87">
        <v>44124</v>
      </c>
      <c r="S45" s="113">
        <f t="shared" si="0"/>
        <v>1041887</v>
      </c>
      <c r="T45" s="101">
        <v>82915</v>
      </c>
      <c r="U45" s="39">
        <v>89063</v>
      </c>
      <c r="V45" s="39">
        <v>475</v>
      </c>
      <c r="W45" s="39">
        <v>1213</v>
      </c>
      <c r="X45" s="39">
        <v>0</v>
      </c>
      <c r="Y45" s="39">
        <v>0</v>
      </c>
      <c r="Z45" s="39">
        <v>3181</v>
      </c>
      <c r="AA45" s="40">
        <v>30966</v>
      </c>
      <c r="AB45" s="40">
        <f t="shared" si="1"/>
        <v>207813</v>
      </c>
      <c r="AC45" s="113">
        <v>92534</v>
      </c>
      <c r="AD45" s="41">
        <f t="shared" si="2"/>
        <v>92534</v>
      </c>
      <c r="AE45" s="40">
        <f t="shared" si="3"/>
        <v>1342234</v>
      </c>
    </row>
    <row r="46" spans="1:31">
      <c r="A46" s="1" t="s">
        <v>54</v>
      </c>
      <c r="B46" s="33" t="s">
        <v>93</v>
      </c>
      <c r="C46" s="38">
        <v>215514</v>
      </c>
      <c r="D46" s="39">
        <v>280897</v>
      </c>
      <c r="E46" s="39">
        <v>315527</v>
      </c>
      <c r="F46" s="39">
        <v>328358</v>
      </c>
      <c r="G46" s="42">
        <v>-57570</v>
      </c>
      <c r="H46" s="39">
        <v>248554</v>
      </c>
      <c r="I46" s="39">
        <v>253003</v>
      </c>
      <c r="J46" s="39">
        <v>262125</v>
      </c>
      <c r="K46" s="39">
        <v>265581</v>
      </c>
      <c r="L46" s="39">
        <v>245297</v>
      </c>
      <c r="M46" s="39">
        <v>318747</v>
      </c>
      <c r="N46" s="39">
        <v>255119</v>
      </c>
      <c r="O46" s="39">
        <v>289249</v>
      </c>
      <c r="P46" s="39">
        <v>249450</v>
      </c>
      <c r="Q46" s="39">
        <v>254240</v>
      </c>
      <c r="R46" s="87">
        <v>219885</v>
      </c>
      <c r="S46" s="113">
        <f t="shared" si="0"/>
        <v>3943976</v>
      </c>
      <c r="T46" s="101">
        <v>318955</v>
      </c>
      <c r="U46" s="39">
        <v>321515</v>
      </c>
      <c r="V46" s="39">
        <v>76115</v>
      </c>
      <c r="W46" s="39">
        <v>97837</v>
      </c>
      <c r="X46" s="39">
        <v>80450</v>
      </c>
      <c r="Y46" s="39">
        <v>64598</v>
      </c>
      <c r="Z46" s="39">
        <v>75579</v>
      </c>
      <c r="AA46" s="40">
        <v>122166</v>
      </c>
      <c r="AB46" s="40">
        <f t="shared" si="1"/>
        <v>1157215</v>
      </c>
      <c r="AC46" s="113">
        <v>330630</v>
      </c>
      <c r="AD46" s="41">
        <f t="shared" si="2"/>
        <v>330630</v>
      </c>
      <c r="AE46" s="40">
        <f t="shared" si="3"/>
        <v>5431821</v>
      </c>
    </row>
    <row r="47" spans="1:31">
      <c r="A47" s="1" t="s">
        <v>54</v>
      </c>
      <c r="B47" s="33" t="s">
        <v>94</v>
      </c>
      <c r="C47" s="38">
        <v>216242</v>
      </c>
      <c r="D47" s="39">
        <v>260214</v>
      </c>
      <c r="E47" s="39">
        <v>293189</v>
      </c>
      <c r="F47" s="39">
        <v>300430</v>
      </c>
      <c r="G47" s="39">
        <v>0</v>
      </c>
      <c r="H47" s="39">
        <v>229232</v>
      </c>
      <c r="I47" s="39">
        <v>238706</v>
      </c>
      <c r="J47" s="39">
        <v>243187</v>
      </c>
      <c r="K47" s="39">
        <v>245858</v>
      </c>
      <c r="L47" s="39">
        <v>229153</v>
      </c>
      <c r="M47" s="39">
        <v>319121</v>
      </c>
      <c r="N47" s="39">
        <v>259030</v>
      </c>
      <c r="O47" s="39">
        <v>275528</v>
      </c>
      <c r="P47" s="39">
        <v>239900</v>
      </c>
      <c r="Q47" s="39">
        <v>244726</v>
      </c>
      <c r="R47" s="87">
        <v>221538</v>
      </c>
      <c r="S47" s="113">
        <f t="shared" si="0"/>
        <v>3816054</v>
      </c>
      <c r="T47" s="101">
        <v>296259</v>
      </c>
      <c r="U47" s="39">
        <v>302265</v>
      </c>
      <c r="V47" s="39">
        <v>78709</v>
      </c>
      <c r="W47" s="39">
        <v>99254</v>
      </c>
      <c r="X47" s="39">
        <v>84773</v>
      </c>
      <c r="Y47" s="39">
        <v>67057</v>
      </c>
      <c r="Z47" s="39">
        <v>77040</v>
      </c>
      <c r="AA47" s="40">
        <v>124275</v>
      </c>
      <c r="AB47" s="40">
        <f t="shared" si="1"/>
        <v>1129632</v>
      </c>
      <c r="AC47" s="113">
        <v>304723</v>
      </c>
      <c r="AD47" s="41">
        <f t="shared" si="2"/>
        <v>304723</v>
      </c>
      <c r="AE47" s="40">
        <f t="shared" si="3"/>
        <v>5250409</v>
      </c>
    </row>
    <row r="48" spans="1:31">
      <c r="A48" s="1" t="s">
        <v>54</v>
      </c>
      <c r="B48" s="33" t="s">
        <v>95</v>
      </c>
      <c r="C48" s="38">
        <v>216242</v>
      </c>
      <c r="D48" s="39">
        <v>260214</v>
      </c>
      <c r="E48" s="39">
        <v>293189</v>
      </c>
      <c r="F48" s="39">
        <v>300430</v>
      </c>
      <c r="G48" s="39">
        <v>0</v>
      </c>
      <c r="H48" s="39">
        <v>229232</v>
      </c>
      <c r="I48" s="39">
        <v>238706</v>
      </c>
      <c r="J48" s="39">
        <v>243187</v>
      </c>
      <c r="K48" s="39">
        <v>245858</v>
      </c>
      <c r="L48" s="39">
        <v>229153</v>
      </c>
      <c r="M48" s="39">
        <v>319121</v>
      </c>
      <c r="N48" s="39">
        <v>259030</v>
      </c>
      <c r="O48" s="39">
        <v>275528</v>
      </c>
      <c r="P48" s="39">
        <v>239900</v>
      </c>
      <c r="Q48" s="39">
        <v>244726</v>
      </c>
      <c r="R48" s="87">
        <v>221538</v>
      </c>
      <c r="S48" s="113">
        <f t="shared" si="0"/>
        <v>3816054</v>
      </c>
      <c r="T48" s="101">
        <v>296259</v>
      </c>
      <c r="U48" s="39">
        <v>302265</v>
      </c>
      <c r="V48" s="39">
        <v>78709</v>
      </c>
      <c r="W48" s="39">
        <v>99254</v>
      </c>
      <c r="X48" s="39">
        <v>84773</v>
      </c>
      <c r="Y48" s="39">
        <v>67057</v>
      </c>
      <c r="Z48" s="39">
        <v>77040</v>
      </c>
      <c r="AA48" s="40">
        <v>124275</v>
      </c>
      <c r="AB48" s="40">
        <f t="shared" si="1"/>
        <v>1129632</v>
      </c>
      <c r="AC48" s="113">
        <v>304723</v>
      </c>
      <c r="AD48" s="41">
        <f t="shared" si="2"/>
        <v>304723</v>
      </c>
      <c r="AE48" s="40">
        <f t="shared" si="3"/>
        <v>5250409</v>
      </c>
    </row>
    <row r="49" spans="1:31">
      <c r="A49" s="1" t="s">
        <v>54</v>
      </c>
      <c r="B49" s="33" t="s">
        <v>96</v>
      </c>
      <c r="C49" s="38">
        <v>1</v>
      </c>
      <c r="D49" s="39">
        <v>0</v>
      </c>
      <c r="E49" s="39">
        <v>1</v>
      </c>
      <c r="F49" s="39">
        <v>0</v>
      </c>
      <c r="G49" s="39">
        <v>0</v>
      </c>
      <c r="H49" s="39">
        <v>0</v>
      </c>
      <c r="I49" s="39">
        <v>1</v>
      </c>
      <c r="J49" s="39">
        <v>0</v>
      </c>
      <c r="K49" s="39">
        <v>0</v>
      </c>
      <c r="L49" s="39">
        <v>0</v>
      </c>
      <c r="M49" s="39">
        <v>4</v>
      </c>
      <c r="N49" s="39">
        <v>0</v>
      </c>
      <c r="O49" s="39">
        <v>0</v>
      </c>
      <c r="P49" s="39">
        <v>0</v>
      </c>
      <c r="Q49" s="39">
        <v>0</v>
      </c>
      <c r="R49" s="87">
        <v>0</v>
      </c>
      <c r="S49" s="113"/>
      <c r="T49" s="101">
        <v>1</v>
      </c>
      <c r="U49" s="39">
        <v>1</v>
      </c>
      <c r="V49" s="39">
        <v>0</v>
      </c>
      <c r="W49" s="39">
        <v>0</v>
      </c>
      <c r="X49" s="39">
        <v>1</v>
      </c>
      <c r="Y49" s="39">
        <v>1</v>
      </c>
      <c r="Z49" s="39">
        <v>1</v>
      </c>
      <c r="AA49" s="40">
        <v>1</v>
      </c>
      <c r="AB49" s="40"/>
      <c r="AC49" s="113">
        <v>0</v>
      </c>
      <c r="AD49" s="41"/>
      <c r="AE49" s="40"/>
    </row>
    <row r="50" spans="1:31">
      <c r="A50" s="1" t="s">
        <v>54</v>
      </c>
      <c r="B50" s="33" t="s">
        <v>97</v>
      </c>
      <c r="C50" s="43" t="s">
        <v>98</v>
      </c>
      <c r="D50" s="44" t="s">
        <v>98</v>
      </c>
      <c r="E50" s="44" t="s">
        <v>98</v>
      </c>
      <c r="F50" s="44" t="s">
        <v>98</v>
      </c>
      <c r="G50" s="44" t="s">
        <v>98</v>
      </c>
      <c r="H50" s="44" t="s">
        <v>98</v>
      </c>
      <c r="I50" s="44" t="s">
        <v>98</v>
      </c>
      <c r="J50" s="44" t="s">
        <v>98</v>
      </c>
      <c r="K50" s="44" t="s">
        <v>98</v>
      </c>
      <c r="L50" s="44" t="s">
        <v>98</v>
      </c>
      <c r="M50" s="44" t="s">
        <v>98</v>
      </c>
      <c r="N50" s="44" t="s">
        <v>98</v>
      </c>
      <c r="O50" s="44" t="s">
        <v>98</v>
      </c>
      <c r="P50" s="44" t="s">
        <v>98</v>
      </c>
      <c r="Q50" s="44" t="s">
        <v>98</v>
      </c>
      <c r="R50" s="89" t="s">
        <v>98</v>
      </c>
      <c r="S50" s="115"/>
      <c r="T50" s="103" t="s">
        <v>98</v>
      </c>
      <c r="U50" s="44" t="s">
        <v>98</v>
      </c>
      <c r="V50" s="44" t="s">
        <v>98</v>
      </c>
      <c r="W50" s="44" t="s">
        <v>98</v>
      </c>
      <c r="X50" s="44" t="s">
        <v>98</v>
      </c>
      <c r="Y50" s="44" t="s">
        <v>98</v>
      </c>
      <c r="Z50" s="44" t="s">
        <v>98</v>
      </c>
      <c r="AA50" s="45" t="s">
        <v>98</v>
      </c>
      <c r="AB50" s="45"/>
      <c r="AC50" s="115" t="s">
        <v>98</v>
      </c>
      <c r="AD50" s="46"/>
      <c r="AE50" s="45"/>
    </row>
    <row r="51" spans="1:31" ht="19.5" thickBot="1">
      <c r="A51" s="1" t="s">
        <v>54</v>
      </c>
      <c r="B51" s="12" t="s">
        <v>99</v>
      </c>
      <c r="C51" s="30">
        <v>3700</v>
      </c>
      <c r="D51" s="31">
        <v>7660</v>
      </c>
      <c r="E51" s="31">
        <v>7360</v>
      </c>
      <c r="F51" s="31">
        <v>10700</v>
      </c>
      <c r="G51" s="31">
        <v>0</v>
      </c>
      <c r="H51" s="31">
        <v>6500</v>
      </c>
      <c r="I51" s="31">
        <v>5040</v>
      </c>
      <c r="J51" s="31">
        <v>6980</v>
      </c>
      <c r="K51" s="31">
        <v>7110</v>
      </c>
      <c r="L51" s="31">
        <v>6380</v>
      </c>
      <c r="M51" s="31">
        <v>2640</v>
      </c>
      <c r="N51" s="31">
        <v>6730</v>
      </c>
      <c r="O51" s="31">
        <v>7950</v>
      </c>
      <c r="P51" s="31">
        <v>6530</v>
      </c>
      <c r="Q51" s="31">
        <v>6700</v>
      </c>
      <c r="R51" s="90">
        <v>5480</v>
      </c>
      <c r="S51" s="9">
        <f t="shared" si="0"/>
        <v>97460</v>
      </c>
      <c r="T51" s="104">
        <v>7500</v>
      </c>
      <c r="U51" s="31">
        <v>7600</v>
      </c>
      <c r="V51" s="31">
        <v>0</v>
      </c>
      <c r="W51" s="31">
        <v>610</v>
      </c>
      <c r="X51" s="31">
        <v>0</v>
      </c>
      <c r="Y51" s="31">
        <v>0</v>
      </c>
      <c r="Z51" s="31">
        <v>0</v>
      </c>
      <c r="AA51" s="32">
        <v>240</v>
      </c>
      <c r="AB51" s="32">
        <f t="shared" si="1"/>
        <v>15950</v>
      </c>
      <c r="AC51" s="9">
        <v>10880</v>
      </c>
      <c r="AD51" s="16">
        <f t="shared" si="2"/>
        <v>10880</v>
      </c>
      <c r="AE51" s="32">
        <f t="shared" si="3"/>
        <v>124290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FD6C-3DEF-488B-9C7D-2AC745B8EDB8}">
  <sheetPr>
    <pageSetUpPr fitToPage="1"/>
  </sheetPr>
  <dimension ref="A1:N51"/>
  <sheetViews>
    <sheetView tabSelected="1" workbookViewId="0">
      <pane xSplit="2" ySplit="4" topLeftCell="C5" activePane="bottomRight" state="frozen"/>
      <selection pane="bottomRight" activeCell="F46" sqref="F46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4" width="10.375" style="2" customWidth="1"/>
    <col min="15" max="240" width="9" style="2"/>
    <col min="241" max="241" width="2.375" style="2" customWidth="1"/>
    <col min="242" max="242" width="13.25" style="2" bestFit="1" customWidth="1"/>
    <col min="243" max="244" width="11.125" style="2" bestFit="1" customWidth="1"/>
    <col min="245" max="245" width="13.25" style="2" bestFit="1" customWidth="1"/>
    <col min="246" max="246" width="11.125" style="2" bestFit="1" customWidth="1"/>
    <col min="247" max="247" width="9" style="2"/>
    <col min="248" max="258" width="11.125" style="2" bestFit="1" customWidth="1"/>
    <col min="259" max="259" width="9" style="2"/>
    <col min="260" max="266" width="11.125" style="2" bestFit="1" customWidth="1"/>
    <col min="267" max="267" width="9" style="2"/>
    <col min="268" max="268" width="9.625" style="2" bestFit="1" customWidth="1"/>
    <col min="269" max="496" width="9" style="2"/>
    <col min="497" max="497" width="2.375" style="2" customWidth="1"/>
    <col min="498" max="498" width="13.25" style="2" bestFit="1" customWidth="1"/>
    <col min="499" max="500" width="11.125" style="2" bestFit="1" customWidth="1"/>
    <col min="501" max="501" width="13.25" style="2" bestFit="1" customWidth="1"/>
    <col min="502" max="502" width="11.125" style="2" bestFit="1" customWidth="1"/>
    <col min="503" max="503" width="9" style="2"/>
    <col min="504" max="514" width="11.125" style="2" bestFit="1" customWidth="1"/>
    <col min="515" max="515" width="9" style="2"/>
    <col min="516" max="522" width="11.125" style="2" bestFit="1" customWidth="1"/>
    <col min="523" max="523" width="9" style="2"/>
    <col min="524" max="524" width="9.625" style="2" bestFit="1" customWidth="1"/>
    <col min="525" max="752" width="9" style="2"/>
    <col min="753" max="753" width="2.375" style="2" customWidth="1"/>
    <col min="754" max="754" width="13.25" style="2" bestFit="1" customWidth="1"/>
    <col min="755" max="756" width="11.125" style="2" bestFit="1" customWidth="1"/>
    <col min="757" max="757" width="13.25" style="2" bestFit="1" customWidth="1"/>
    <col min="758" max="758" width="11.125" style="2" bestFit="1" customWidth="1"/>
    <col min="759" max="759" width="9" style="2"/>
    <col min="760" max="770" width="11.125" style="2" bestFit="1" customWidth="1"/>
    <col min="771" max="771" width="9" style="2"/>
    <col min="772" max="778" width="11.125" style="2" bestFit="1" customWidth="1"/>
    <col min="779" max="779" width="9" style="2"/>
    <col min="780" max="780" width="9.625" style="2" bestFit="1" customWidth="1"/>
    <col min="781" max="1008" width="9" style="2"/>
    <col min="1009" max="1009" width="2.375" style="2" customWidth="1"/>
    <col min="1010" max="1010" width="13.25" style="2" bestFit="1" customWidth="1"/>
    <col min="1011" max="1012" width="11.125" style="2" bestFit="1" customWidth="1"/>
    <col min="1013" max="1013" width="13.25" style="2" bestFit="1" customWidth="1"/>
    <col min="1014" max="1014" width="11.125" style="2" bestFit="1" customWidth="1"/>
    <col min="1015" max="1015" width="9" style="2"/>
    <col min="1016" max="1026" width="11.125" style="2" bestFit="1" customWidth="1"/>
    <col min="1027" max="1027" width="9" style="2"/>
    <col min="1028" max="1034" width="11.125" style="2" bestFit="1" customWidth="1"/>
    <col min="1035" max="1035" width="9" style="2"/>
    <col min="1036" max="1036" width="9.625" style="2" bestFit="1" customWidth="1"/>
    <col min="1037" max="1264" width="9" style="2"/>
    <col min="1265" max="1265" width="2.375" style="2" customWidth="1"/>
    <col min="1266" max="1266" width="13.25" style="2" bestFit="1" customWidth="1"/>
    <col min="1267" max="1268" width="11.125" style="2" bestFit="1" customWidth="1"/>
    <col min="1269" max="1269" width="13.25" style="2" bestFit="1" customWidth="1"/>
    <col min="1270" max="1270" width="11.125" style="2" bestFit="1" customWidth="1"/>
    <col min="1271" max="1271" width="9" style="2"/>
    <col min="1272" max="1282" width="11.125" style="2" bestFit="1" customWidth="1"/>
    <col min="1283" max="1283" width="9" style="2"/>
    <col min="1284" max="1290" width="11.125" style="2" bestFit="1" customWidth="1"/>
    <col min="1291" max="1291" width="9" style="2"/>
    <col min="1292" max="1292" width="9.625" style="2" bestFit="1" customWidth="1"/>
    <col min="1293" max="1520" width="9" style="2"/>
    <col min="1521" max="1521" width="2.375" style="2" customWidth="1"/>
    <col min="1522" max="1522" width="13.25" style="2" bestFit="1" customWidth="1"/>
    <col min="1523" max="1524" width="11.125" style="2" bestFit="1" customWidth="1"/>
    <col min="1525" max="1525" width="13.25" style="2" bestFit="1" customWidth="1"/>
    <col min="1526" max="1526" width="11.125" style="2" bestFit="1" customWidth="1"/>
    <col min="1527" max="1527" width="9" style="2"/>
    <col min="1528" max="1538" width="11.125" style="2" bestFit="1" customWidth="1"/>
    <col min="1539" max="1539" width="9" style="2"/>
    <col min="1540" max="1546" width="11.125" style="2" bestFit="1" customWidth="1"/>
    <col min="1547" max="1547" width="9" style="2"/>
    <col min="1548" max="1548" width="9.625" style="2" bestFit="1" customWidth="1"/>
    <col min="1549" max="1776" width="9" style="2"/>
    <col min="1777" max="1777" width="2.375" style="2" customWidth="1"/>
    <col min="1778" max="1778" width="13.25" style="2" bestFit="1" customWidth="1"/>
    <col min="1779" max="1780" width="11.125" style="2" bestFit="1" customWidth="1"/>
    <col min="1781" max="1781" width="13.25" style="2" bestFit="1" customWidth="1"/>
    <col min="1782" max="1782" width="11.125" style="2" bestFit="1" customWidth="1"/>
    <col min="1783" max="1783" width="9" style="2"/>
    <col min="1784" max="1794" width="11.125" style="2" bestFit="1" customWidth="1"/>
    <col min="1795" max="1795" width="9" style="2"/>
    <col min="1796" max="1802" width="11.125" style="2" bestFit="1" customWidth="1"/>
    <col min="1803" max="1803" width="9" style="2"/>
    <col min="1804" max="1804" width="9.625" style="2" bestFit="1" customWidth="1"/>
    <col min="1805" max="2032" width="9" style="2"/>
    <col min="2033" max="2033" width="2.375" style="2" customWidth="1"/>
    <col min="2034" max="2034" width="13.25" style="2" bestFit="1" customWidth="1"/>
    <col min="2035" max="2036" width="11.125" style="2" bestFit="1" customWidth="1"/>
    <col min="2037" max="2037" width="13.25" style="2" bestFit="1" customWidth="1"/>
    <col min="2038" max="2038" width="11.125" style="2" bestFit="1" customWidth="1"/>
    <col min="2039" max="2039" width="9" style="2"/>
    <col min="2040" max="2050" width="11.125" style="2" bestFit="1" customWidth="1"/>
    <col min="2051" max="2051" width="9" style="2"/>
    <col min="2052" max="2058" width="11.125" style="2" bestFit="1" customWidth="1"/>
    <col min="2059" max="2059" width="9" style="2"/>
    <col min="2060" max="2060" width="9.625" style="2" bestFit="1" customWidth="1"/>
    <col min="2061" max="2288" width="9" style="2"/>
    <col min="2289" max="2289" width="2.375" style="2" customWidth="1"/>
    <col min="2290" max="2290" width="13.25" style="2" bestFit="1" customWidth="1"/>
    <col min="2291" max="2292" width="11.125" style="2" bestFit="1" customWidth="1"/>
    <col min="2293" max="2293" width="13.25" style="2" bestFit="1" customWidth="1"/>
    <col min="2294" max="2294" width="11.125" style="2" bestFit="1" customWidth="1"/>
    <col min="2295" max="2295" width="9" style="2"/>
    <col min="2296" max="2306" width="11.125" style="2" bestFit="1" customWidth="1"/>
    <col min="2307" max="2307" width="9" style="2"/>
    <col min="2308" max="2314" width="11.125" style="2" bestFit="1" customWidth="1"/>
    <col min="2315" max="2315" width="9" style="2"/>
    <col min="2316" max="2316" width="9.625" style="2" bestFit="1" customWidth="1"/>
    <col min="2317" max="2544" width="9" style="2"/>
    <col min="2545" max="2545" width="2.375" style="2" customWidth="1"/>
    <col min="2546" max="2546" width="13.25" style="2" bestFit="1" customWidth="1"/>
    <col min="2547" max="2548" width="11.125" style="2" bestFit="1" customWidth="1"/>
    <col min="2549" max="2549" width="13.25" style="2" bestFit="1" customWidth="1"/>
    <col min="2550" max="2550" width="11.125" style="2" bestFit="1" customWidth="1"/>
    <col min="2551" max="2551" width="9" style="2"/>
    <col min="2552" max="2562" width="11.125" style="2" bestFit="1" customWidth="1"/>
    <col min="2563" max="2563" width="9" style="2"/>
    <col min="2564" max="2570" width="11.125" style="2" bestFit="1" customWidth="1"/>
    <col min="2571" max="2571" width="9" style="2"/>
    <col min="2572" max="2572" width="9.625" style="2" bestFit="1" customWidth="1"/>
    <col min="2573" max="2800" width="9" style="2"/>
    <col min="2801" max="2801" width="2.375" style="2" customWidth="1"/>
    <col min="2802" max="2802" width="13.25" style="2" bestFit="1" customWidth="1"/>
    <col min="2803" max="2804" width="11.125" style="2" bestFit="1" customWidth="1"/>
    <col min="2805" max="2805" width="13.25" style="2" bestFit="1" customWidth="1"/>
    <col min="2806" max="2806" width="11.125" style="2" bestFit="1" customWidth="1"/>
    <col min="2807" max="2807" width="9" style="2"/>
    <col min="2808" max="2818" width="11.125" style="2" bestFit="1" customWidth="1"/>
    <col min="2819" max="2819" width="9" style="2"/>
    <col min="2820" max="2826" width="11.125" style="2" bestFit="1" customWidth="1"/>
    <col min="2827" max="2827" width="9" style="2"/>
    <col min="2828" max="2828" width="9.625" style="2" bestFit="1" customWidth="1"/>
    <col min="2829" max="3056" width="9" style="2"/>
    <col min="3057" max="3057" width="2.375" style="2" customWidth="1"/>
    <col min="3058" max="3058" width="13.25" style="2" bestFit="1" customWidth="1"/>
    <col min="3059" max="3060" width="11.125" style="2" bestFit="1" customWidth="1"/>
    <col min="3061" max="3061" width="13.25" style="2" bestFit="1" customWidth="1"/>
    <col min="3062" max="3062" width="11.125" style="2" bestFit="1" customWidth="1"/>
    <col min="3063" max="3063" width="9" style="2"/>
    <col min="3064" max="3074" width="11.125" style="2" bestFit="1" customWidth="1"/>
    <col min="3075" max="3075" width="9" style="2"/>
    <col min="3076" max="3082" width="11.125" style="2" bestFit="1" customWidth="1"/>
    <col min="3083" max="3083" width="9" style="2"/>
    <col min="3084" max="3084" width="9.625" style="2" bestFit="1" customWidth="1"/>
    <col min="3085" max="3312" width="9" style="2"/>
    <col min="3313" max="3313" width="2.375" style="2" customWidth="1"/>
    <col min="3314" max="3314" width="13.25" style="2" bestFit="1" customWidth="1"/>
    <col min="3315" max="3316" width="11.125" style="2" bestFit="1" customWidth="1"/>
    <col min="3317" max="3317" width="13.25" style="2" bestFit="1" customWidth="1"/>
    <col min="3318" max="3318" width="11.125" style="2" bestFit="1" customWidth="1"/>
    <col min="3319" max="3319" width="9" style="2"/>
    <col min="3320" max="3330" width="11.125" style="2" bestFit="1" customWidth="1"/>
    <col min="3331" max="3331" width="9" style="2"/>
    <col min="3332" max="3338" width="11.125" style="2" bestFit="1" customWidth="1"/>
    <col min="3339" max="3339" width="9" style="2"/>
    <col min="3340" max="3340" width="9.625" style="2" bestFit="1" customWidth="1"/>
    <col min="3341" max="3568" width="9" style="2"/>
    <col min="3569" max="3569" width="2.375" style="2" customWidth="1"/>
    <col min="3570" max="3570" width="13.25" style="2" bestFit="1" customWidth="1"/>
    <col min="3571" max="3572" width="11.125" style="2" bestFit="1" customWidth="1"/>
    <col min="3573" max="3573" width="13.25" style="2" bestFit="1" customWidth="1"/>
    <col min="3574" max="3574" width="11.125" style="2" bestFit="1" customWidth="1"/>
    <col min="3575" max="3575" width="9" style="2"/>
    <col min="3576" max="3586" width="11.125" style="2" bestFit="1" customWidth="1"/>
    <col min="3587" max="3587" width="9" style="2"/>
    <col min="3588" max="3594" width="11.125" style="2" bestFit="1" customWidth="1"/>
    <col min="3595" max="3595" width="9" style="2"/>
    <col min="3596" max="3596" width="9.625" style="2" bestFit="1" customWidth="1"/>
    <col min="3597" max="3824" width="9" style="2"/>
    <col min="3825" max="3825" width="2.375" style="2" customWidth="1"/>
    <col min="3826" max="3826" width="13.25" style="2" bestFit="1" customWidth="1"/>
    <col min="3827" max="3828" width="11.125" style="2" bestFit="1" customWidth="1"/>
    <col min="3829" max="3829" width="13.25" style="2" bestFit="1" customWidth="1"/>
    <col min="3830" max="3830" width="11.125" style="2" bestFit="1" customWidth="1"/>
    <col min="3831" max="3831" width="9" style="2"/>
    <col min="3832" max="3842" width="11.125" style="2" bestFit="1" customWidth="1"/>
    <col min="3843" max="3843" width="9" style="2"/>
    <col min="3844" max="3850" width="11.125" style="2" bestFit="1" customWidth="1"/>
    <col min="3851" max="3851" width="9" style="2"/>
    <col min="3852" max="3852" width="9.625" style="2" bestFit="1" customWidth="1"/>
    <col min="3853" max="4080" width="9" style="2"/>
    <col min="4081" max="4081" width="2.375" style="2" customWidth="1"/>
    <col min="4082" max="4082" width="13.25" style="2" bestFit="1" customWidth="1"/>
    <col min="4083" max="4084" width="11.125" style="2" bestFit="1" customWidth="1"/>
    <col min="4085" max="4085" width="13.25" style="2" bestFit="1" customWidth="1"/>
    <col min="4086" max="4086" width="11.125" style="2" bestFit="1" customWidth="1"/>
    <col min="4087" max="4087" width="9" style="2"/>
    <col min="4088" max="4098" width="11.125" style="2" bestFit="1" customWidth="1"/>
    <col min="4099" max="4099" width="9" style="2"/>
    <col min="4100" max="4106" width="11.125" style="2" bestFit="1" customWidth="1"/>
    <col min="4107" max="4107" width="9" style="2"/>
    <col min="4108" max="4108" width="9.625" style="2" bestFit="1" customWidth="1"/>
    <col min="4109" max="4336" width="9" style="2"/>
    <col min="4337" max="4337" width="2.375" style="2" customWidth="1"/>
    <col min="4338" max="4338" width="13.25" style="2" bestFit="1" customWidth="1"/>
    <col min="4339" max="4340" width="11.125" style="2" bestFit="1" customWidth="1"/>
    <col min="4341" max="4341" width="13.25" style="2" bestFit="1" customWidth="1"/>
    <col min="4342" max="4342" width="11.125" style="2" bestFit="1" customWidth="1"/>
    <col min="4343" max="4343" width="9" style="2"/>
    <col min="4344" max="4354" width="11.125" style="2" bestFit="1" customWidth="1"/>
    <col min="4355" max="4355" width="9" style="2"/>
    <col min="4356" max="4362" width="11.125" style="2" bestFit="1" customWidth="1"/>
    <col min="4363" max="4363" width="9" style="2"/>
    <col min="4364" max="4364" width="9.625" style="2" bestFit="1" customWidth="1"/>
    <col min="4365" max="4592" width="9" style="2"/>
    <col min="4593" max="4593" width="2.375" style="2" customWidth="1"/>
    <col min="4594" max="4594" width="13.25" style="2" bestFit="1" customWidth="1"/>
    <col min="4595" max="4596" width="11.125" style="2" bestFit="1" customWidth="1"/>
    <col min="4597" max="4597" width="13.25" style="2" bestFit="1" customWidth="1"/>
    <col min="4598" max="4598" width="11.125" style="2" bestFit="1" customWidth="1"/>
    <col min="4599" max="4599" width="9" style="2"/>
    <col min="4600" max="4610" width="11.125" style="2" bestFit="1" customWidth="1"/>
    <col min="4611" max="4611" width="9" style="2"/>
    <col min="4612" max="4618" width="11.125" style="2" bestFit="1" customWidth="1"/>
    <col min="4619" max="4619" width="9" style="2"/>
    <col min="4620" max="4620" width="9.625" style="2" bestFit="1" customWidth="1"/>
    <col min="4621" max="4848" width="9" style="2"/>
    <col min="4849" max="4849" width="2.375" style="2" customWidth="1"/>
    <col min="4850" max="4850" width="13.25" style="2" bestFit="1" customWidth="1"/>
    <col min="4851" max="4852" width="11.125" style="2" bestFit="1" customWidth="1"/>
    <col min="4853" max="4853" width="13.25" style="2" bestFit="1" customWidth="1"/>
    <col min="4854" max="4854" width="11.125" style="2" bestFit="1" customWidth="1"/>
    <col min="4855" max="4855" width="9" style="2"/>
    <col min="4856" max="4866" width="11.125" style="2" bestFit="1" customWidth="1"/>
    <col min="4867" max="4867" width="9" style="2"/>
    <col min="4868" max="4874" width="11.125" style="2" bestFit="1" customWidth="1"/>
    <col min="4875" max="4875" width="9" style="2"/>
    <col min="4876" max="4876" width="9.625" style="2" bestFit="1" customWidth="1"/>
    <col min="4877" max="5104" width="9" style="2"/>
    <col min="5105" max="5105" width="2.375" style="2" customWidth="1"/>
    <col min="5106" max="5106" width="13.25" style="2" bestFit="1" customWidth="1"/>
    <col min="5107" max="5108" width="11.125" style="2" bestFit="1" customWidth="1"/>
    <col min="5109" max="5109" width="13.25" style="2" bestFit="1" customWidth="1"/>
    <col min="5110" max="5110" width="11.125" style="2" bestFit="1" customWidth="1"/>
    <col min="5111" max="5111" width="9" style="2"/>
    <col min="5112" max="5122" width="11.125" style="2" bestFit="1" customWidth="1"/>
    <col min="5123" max="5123" width="9" style="2"/>
    <col min="5124" max="5130" width="11.125" style="2" bestFit="1" customWidth="1"/>
    <col min="5131" max="5131" width="9" style="2"/>
    <col min="5132" max="5132" width="9.625" style="2" bestFit="1" customWidth="1"/>
    <col min="5133" max="5360" width="9" style="2"/>
    <col min="5361" max="5361" width="2.375" style="2" customWidth="1"/>
    <col min="5362" max="5362" width="13.25" style="2" bestFit="1" customWidth="1"/>
    <col min="5363" max="5364" width="11.125" style="2" bestFit="1" customWidth="1"/>
    <col min="5365" max="5365" width="13.25" style="2" bestFit="1" customWidth="1"/>
    <col min="5366" max="5366" width="11.125" style="2" bestFit="1" customWidth="1"/>
    <col min="5367" max="5367" width="9" style="2"/>
    <col min="5368" max="5378" width="11.125" style="2" bestFit="1" customWidth="1"/>
    <col min="5379" max="5379" width="9" style="2"/>
    <col min="5380" max="5386" width="11.125" style="2" bestFit="1" customWidth="1"/>
    <col min="5387" max="5387" width="9" style="2"/>
    <col min="5388" max="5388" width="9.625" style="2" bestFit="1" customWidth="1"/>
    <col min="5389" max="5616" width="9" style="2"/>
    <col min="5617" max="5617" width="2.375" style="2" customWidth="1"/>
    <col min="5618" max="5618" width="13.25" style="2" bestFit="1" customWidth="1"/>
    <col min="5619" max="5620" width="11.125" style="2" bestFit="1" customWidth="1"/>
    <col min="5621" max="5621" width="13.25" style="2" bestFit="1" customWidth="1"/>
    <col min="5622" max="5622" width="11.125" style="2" bestFit="1" customWidth="1"/>
    <col min="5623" max="5623" width="9" style="2"/>
    <col min="5624" max="5634" width="11.125" style="2" bestFit="1" customWidth="1"/>
    <col min="5635" max="5635" width="9" style="2"/>
    <col min="5636" max="5642" width="11.125" style="2" bestFit="1" customWidth="1"/>
    <col min="5643" max="5643" width="9" style="2"/>
    <col min="5644" max="5644" width="9.625" style="2" bestFit="1" customWidth="1"/>
    <col min="5645" max="5872" width="9" style="2"/>
    <col min="5873" max="5873" width="2.375" style="2" customWidth="1"/>
    <col min="5874" max="5874" width="13.25" style="2" bestFit="1" customWidth="1"/>
    <col min="5875" max="5876" width="11.125" style="2" bestFit="1" customWidth="1"/>
    <col min="5877" max="5877" width="13.25" style="2" bestFit="1" customWidth="1"/>
    <col min="5878" max="5878" width="11.125" style="2" bestFit="1" customWidth="1"/>
    <col min="5879" max="5879" width="9" style="2"/>
    <col min="5880" max="5890" width="11.125" style="2" bestFit="1" customWidth="1"/>
    <col min="5891" max="5891" width="9" style="2"/>
    <col min="5892" max="5898" width="11.125" style="2" bestFit="1" customWidth="1"/>
    <col min="5899" max="5899" width="9" style="2"/>
    <col min="5900" max="5900" width="9.625" style="2" bestFit="1" customWidth="1"/>
    <col min="5901" max="6128" width="9" style="2"/>
    <col min="6129" max="6129" width="2.375" style="2" customWidth="1"/>
    <col min="6130" max="6130" width="13.25" style="2" bestFit="1" customWidth="1"/>
    <col min="6131" max="6132" width="11.125" style="2" bestFit="1" customWidth="1"/>
    <col min="6133" max="6133" width="13.25" style="2" bestFit="1" customWidth="1"/>
    <col min="6134" max="6134" width="11.125" style="2" bestFit="1" customWidth="1"/>
    <col min="6135" max="6135" width="9" style="2"/>
    <col min="6136" max="6146" width="11.125" style="2" bestFit="1" customWidth="1"/>
    <col min="6147" max="6147" width="9" style="2"/>
    <col min="6148" max="6154" width="11.125" style="2" bestFit="1" customWidth="1"/>
    <col min="6155" max="6155" width="9" style="2"/>
    <col min="6156" max="6156" width="9.625" style="2" bestFit="1" customWidth="1"/>
    <col min="6157" max="6384" width="9" style="2"/>
    <col min="6385" max="6385" width="2.375" style="2" customWidth="1"/>
    <col min="6386" max="6386" width="13.25" style="2" bestFit="1" customWidth="1"/>
    <col min="6387" max="6388" width="11.125" style="2" bestFit="1" customWidth="1"/>
    <col min="6389" max="6389" width="13.25" style="2" bestFit="1" customWidth="1"/>
    <col min="6390" max="6390" width="11.125" style="2" bestFit="1" customWidth="1"/>
    <col min="6391" max="6391" width="9" style="2"/>
    <col min="6392" max="6402" width="11.125" style="2" bestFit="1" customWidth="1"/>
    <col min="6403" max="6403" width="9" style="2"/>
    <col min="6404" max="6410" width="11.125" style="2" bestFit="1" customWidth="1"/>
    <col min="6411" max="6411" width="9" style="2"/>
    <col min="6412" max="6412" width="9.625" style="2" bestFit="1" customWidth="1"/>
    <col min="6413" max="6640" width="9" style="2"/>
    <col min="6641" max="6641" width="2.375" style="2" customWidth="1"/>
    <col min="6642" max="6642" width="13.25" style="2" bestFit="1" customWidth="1"/>
    <col min="6643" max="6644" width="11.125" style="2" bestFit="1" customWidth="1"/>
    <col min="6645" max="6645" width="13.25" style="2" bestFit="1" customWidth="1"/>
    <col min="6646" max="6646" width="11.125" style="2" bestFit="1" customWidth="1"/>
    <col min="6647" max="6647" width="9" style="2"/>
    <col min="6648" max="6658" width="11.125" style="2" bestFit="1" customWidth="1"/>
    <col min="6659" max="6659" width="9" style="2"/>
    <col min="6660" max="6666" width="11.125" style="2" bestFit="1" customWidth="1"/>
    <col min="6667" max="6667" width="9" style="2"/>
    <col min="6668" max="6668" width="9.625" style="2" bestFit="1" customWidth="1"/>
    <col min="6669" max="6896" width="9" style="2"/>
    <col min="6897" max="6897" width="2.375" style="2" customWidth="1"/>
    <col min="6898" max="6898" width="13.25" style="2" bestFit="1" customWidth="1"/>
    <col min="6899" max="6900" width="11.125" style="2" bestFit="1" customWidth="1"/>
    <col min="6901" max="6901" width="13.25" style="2" bestFit="1" customWidth="1"/>
    <col min="6902" max="6902" width="11.125" style="2" bestFit="1" customWidth="1"/>
    <col min="6903" max="6903" width="9" style="2"/>
    <col min="6904" max="6914" width="11.125" style="2" bestFit="1" customWidth="1"/>
    <col min="6915" max="6915" width="9" style="2"/>
    <col min="6916" max="6922" width="11.125" style="2" bestFit="1" customWidth="1"/>
    <col min="6923" max="6923" width="9" style="2"/>
    <col min="6924" max="6924" width="9.625" style="2" bestFit="1" customWidth="1"/>
    <col min="6925" max="7152" width="9" style="2"/>
    <col min="7153" max="7153" width="2.375" style="2" customWidth="1"/>
    <col min="7154" max="7154" width="13.25" style="2" bestFit="1" customWidth="1"/>
    <col min="7155" max="7156" width="11.125" style="2" bestFit="1" customWidth="1"/>
    <col min="7157" max="7157" width="13.25" style="2" bestFit="1" customWidth="1"/>
    <col min="7158" max="7158" width="11.125" style="2" bestFit="1" customWidth="1"/>
    <col min="7159" max="7159" width="9" style="2"/>
    <col min="7160" max="7170" width="11.125" style="2" bestFit="1" customWidth="1"/>
    <col min="7171" max="7171" width="9" style="2"/>
    <col min="7172" max="7178" width="11.125" style="2" bestFit="1" customWidth="1"/>
    <col min="7179" max="7179" width="9" style="2"/>
    <col min="7180" max="7180" width="9.625" style="2" bestFit="1" customWidth="1"/>
    <col min="7181" max="7408" width="9" style="2"/>
    <col min="7409" max="7409" width="2.375" style="2" customWidth="1"/>
    <col min="7410" max="7410" width="13.25" style="2" bestFit="1" customWidth="1"/>
    <col min="7411" max="7412" width="11.125" style="2" bestFit="1" customWidth="1"/>
    <col min="7413" max="7413" width="13.25" style="2" bestFit="1" customWidth="1"/>
    <col min="7414" max="7414" width="11.125" style="2" bestFit="1" customWidth="1"/>
    <col min="7415" max="7415" width="9" style="2"/>
    <col min="7416" max="7426" width="11.125" style="2" bestFit="1" customWidth="1"/>
    <col min="7427" max="7427" width="9" style="2"/>
    <col min="7428" max="7434" width="11.125" style="2" bestFit="1" customWidth="1"/>
    <col min="7435" max="7435" width="9" style="2"/>
    <col min="7436" max="7436" width="9.625" style="2" bestFit="1" customWidth="1"/>
    <col min="7437" max="7664" width="9" style="2"/>
    <col min="7665" max="7665" width="2.375" style="2" customWidth="1"/>
    <col min="7666" max="7666" width="13.25" style="2" bestFit="1" customWidth="1"/>
    <col min="7667" max="7668" width="11.125" style="2" bestFit="1" customWidth="1"/>
    <col min="7669" max="7669" width="13.25" style="2" bestFit="1" customWidth="1"/>
    <col min="7670" max="7670" width="11.125" style="2" bestFit="1" customWidth="1"/>
    <col min="7671" max="7671" width="9" style="2"/>
    <col min="7672" max="7682" width="11.125" style="2" bestFit="1" customWidth="1"/>
    <col min="7683" max="7683" width="9" style="2"/>
    <col min="7684" max="7690" width="11.125" style="2" bestFit="1" customWidth="1"/>
    <col min="7691" max="7691" width="9" style="2"/>
    <col min="7692" max="7692" width="9.625" style="2" bestFit="1" customWidth="1"/>
    <col min="7693" max="7920" width="9" style="2"/>
    <col min="7921" max="7921" width="2.375" style="2" customWidth="1"/>
    <col min="7922" max="7922" width="13.25" style="2" bestFit="1" customWidth="1"/>
    <col min="7923" max="7924" width="11.125" style="2" bestFit="1" customWidth="1"/>
    <col min="7925" max="7925" width="13.25" style="2" bestFit="1" customWidth="1"/>
    <col min="7926" max="7926" width="11.125" style="2" bestFit="1" customWidth="1"/>
    <col min="7927" max="7927" width="9" style="2"/>
    <col min="7928" max="7938" width="11.125" style="2" bestFit="1" customWidth="1"/>
    <col min="7939" max="7939" width="9" style="2"/>
    <col min="7940" max="7946" width="11.125" style="2" bestFit="1" customWidth="1"/>
    <col min="7947" max="7947" width="9" style="2"/>
    <col min="7948" max="7948" width="9.625" style="2" bestFit="1" customWidth="1"/>
    <col min="7949" max="8176" width="9" style="2"/>
    <col min="8177" max="8177" width="2.375" style="2" customWidth="1"/>
    <col min="8178" max="8178" width="13.25" style="2" bestFit="1" customWidth="1"/>
    <col min="8179" max="8180" width="11.125" style="2" bestFit="1" customWidth="1"/>
    <col min="8181" max="8181" width="13.25" style="2" bestFit="1" customWidth="1"/>
    <col min="8182" max="8182" width="11.125" style="2" bestFit="1" customWidth="1"/>
    <col min="8183" max="8183" width="9" style="2"/>
    <col min="8184" max="8194" width="11.125" style="2" bestFit="1" customWidth="1"/>
    <col min="8195" max="8195" width="9" style="2"/>
    <col min="8196" max="8202" width="11.125" style="2" bestFit="1" customWidth="1"/>
    <col min="8203" max="8203" width="9" style="2"/>
    <col min="8204" max="8204" width="9.625" style="2" bestFit="1" customWidth="1"/>
    <col min="8205" max="8432" width="9" style="2"/>
    <col min="8433" max="8433" width="2.375" style="2" customWidth="1"/>
    <col min="8434" max="8434" width="13.25" style="2" bestFit="1" customWidth="1"/>
    <col min="8435" max="8436" width="11.125" style="2" bestFit="1" customWidth="1"/>
    <col min="8437" max="8437" width="13.25" style="2" bestFit="1" customWidth="1"/>
    <col min="8438" max="8438" width="11.125" style="2" bestFit="1" customWidth="1"/>
    <col min="8439" max="8439" width="9" style="2"/>
    <col min="8440" max="8450" width="11.125" style="2" bestFit="1" customWidth="1"/>
    <col min="8451" max="8451" width="9" style="2"/>
    <col min="8452" max="8458" width="11.125" style="2" bestFit="1" customWidth="1"/>
    <col min="8459" max="8459" width="9" style="2"/>
    <col min="8460" max="8460" width="9.625" style="2" bestFit="1" customWidth="1"/>
    <col min="8461" max="8688" width="9" style="2"/>
    <col min="8689" max="8689" width="2.375" style="2" customWidth="1"/>
    <col min="8690" max="8690" width="13.25" style="2" bestFit="1" customWidth="1"/>
    <col min="8691" max="8692" width="11.125" style="2" bestFit="1" customWidth="1"/>
    <col min="8693" max="8693" width="13.25" style="2" bestFit="1" customWidth="1"/>
    <col min="8694" max="8694" width="11.125" style="2" bestFit="1" customWidth="1"/>
    <col min="8695" max="8695" width="9" style="2"/>
    <col min="8696" max="8706" width="11.125" style="2" bestFit="1" customWidth="1"/>
    <col min="8707" max="8707" width="9" style="2"/>
    <col min="8708" max="8714" width="11.125" style="2" bestFit="1" customWidth="1"/>
    <col min="8715" max="8715" width="9" style="2"/>
    <col min="8716" max="8716" width="9.625" style="2" bestFit="1" customWidth="1"/>
    <col min="8717" max="8944" width="9" style="2"/>
    <col min="8945" max="8945" width="2.375" style="2" customWidth="1"/>
    <col min="8946" max="8946" width="13.25" style="2" bestFit="1" customWidth="1"/>
    <col min="8947" max="8948" width="11.125" style="2" bestFit="1" customWidth="1"/>
    <col min="8949" max="8949" width="13.25" style="2" bestFit="1" customWidth="1"/>
    <col min="8950" max="8950" width="11.125" style="2" bestFit="1" customWidth="1"/>
    <col min="8951" max="8951" width="9" style="2"/>
    <col min="8952" max="8962" width="11.125" style="2" bestFit="1" customWidth="1"/>
    <col min="8963" max="8963" width="9" style="2"/>
    <col min="8964" max="8970" width="11.125" style="2" bestFit="1" customWidth="1"/>
    <col min="8971" max="8971" width="9" style="2"/>
    <col min="8972" max="8972" width="9.625" style="2" bestFit="1" customWidth="1"/>
    <col min="8973" max="9200" width="9" style="2"/>
    <col min="9201" max="9201" width="2.375" style="2" customWidth="1"/>
    <col min="9202" max="9202" width="13.25" style="2" bestFit="1" customWidth="1"/>
    <col min="9203" max="9204" width="11.125" style="2" bestFit="1" customWidth="1"/>
    <col min="9205" max="9205" width="13.25" style="2" bestFit="1" customWidth="1"/>
    <col min="9206" max="9206" width="11.125" style="2" bestFit="1" customWidth="1"/>
    <col min="9207" max="9207" width="9" style="2"/>
    <col min="9208" max="9218" width="11.125" style="2" bestFit="1" customWidth="1"/>
    <col min="9219" max="9219" width="9" style="2"/>
    <col min="9220" max="9226" width="11.125" style="2" bestFit="1" customWidth="1"/>
    <col min="9227" max="9227" width="9" style="2"/>
    <col min="9228" max="9228" width="9.625" style="2" bestFit="1" customWidth="1"/>
    <col min="9229" max="9456" width="9" style="2"/>
    <col min="9457" max="9457" width="2.375" style="2" customWidth="1"/>
    <col min="9458" max="9458" width="13.25" style="2" bestFit="1" customWidth="1"/>
    <col min="9459" max="9460" width="11.125" style="2" bestFit="1" customWidth="1"/>
    <col min="9461" max="9461" width="13.25" style="2" bestFit="1" customWidth="1"/>
    <col min="9462" max="9462" width="11.125" style="2" bestFit="1" customWidth="1"/>
    <col min="9463" max="9463" width="9" style="2"/>
    <col min="9464" max="9474" width="11.125" style="2" bestFit="1" customWidth="1"/>
    <col min="9475" max="9475" width="9" style="2"/>
    <col min="9476" max="9482" width="11.125" style="2" bestFit="1" customWidth="1"/>
    <col min="9483" max="9483" width="9" style="2"/>
    <col min="9484" max="9484" width="9.625" style="2" bestFit="1" customWidth="1"/>
    <col min="9485" max="9712" width="9" style="2"/>
    <col min="9713" max="9713" width="2.375" style="2" customWidth="1"/>
    <col min="9714" max="9714" width="13.25" style="2" bestFit="1" customWidth="1"/>
    <col min="9715" max="9716" width="11.125" style="2" bestFit="1" customWidth="1"/>
    <col min="9717" max="9717" width="13.25" style="2" bestFit="1" customWidth="1"/>
    <col min="9718" max="9718" width="11.125" style="2" bestFit="1" customWidth="1"/>
    <col min="9719" max="9719" width="9" style="2"/>
    <col min="9720" max="9730" width="11.125" style="2" bestFit="1" customWidth="1"/>
    <col min="9731" max="9731" width="9" style="2"/>
    <col min="9732" max="9738" width="11.125" style="2" bestFit="1" customWidth="1"/>
    <col min="9739" max="9739" width="9" style="2"/>
    <col min="9740" max="9740" width="9.625" style="2" bestFit="1" customWidth="1"/>
    <col min="9741" max="9968" width="9" style="2"/>
    <col min="9969" max="9969" width="2.375" style="2" customWidth="1"/>
    <col min="9970" max="9970" width="13.25" style="2" bestFit="1" customWidth="1"/>
    <col min="9971" max="9972" width="11.125" style="2" bestFit="1" customWidth="1"/>
    <col min="9973" max="9973" width="13.25" style="2" bestFit="1" customWidth="1"/>
    <col min="9974" max="9974" width="11.125" style="2" bestFit="1" customWidth="1"/>
    <col min="9975" max="9975" width="9" style="2"/>
    <col min="9976" max="9986" width="11.125" style="2" bestFit="1" customWidth="1"/>
    <col min="9987" max="9987" width="9" style="2"/>
    <col min="9988" max="9994" width="11.125" style="2" bestFit="1" customWidth="1"/>
    <col min="9995" max="9995" width="9" style="2"/>
    <col min="9996" max="9996" width="9.625" style="2" bestFit="1" customWidth="1"/>
    <col min="9997" max="10224" width="9" style="2"/>
    <col min="10225" max="10225" width="2.375" style="2" customWidth="1"/>
    <col min="10226" max="10226" width="13.25" style="2" bestFit="1" customWidth="1"/>
    <col min="10227" max="10228" width="11.125" style="2" bestFit="1" customWidth="1"/>
    <col min="10229" max="10229" width="13.25" style="2" bestFit="1" customWidth="1"/>
    <col min="10230" max="10230" width="11.125" style="2" bestFit="1" customWidth="1"/>
    <col min="10231" max="10231" width="9" style="2"/>
    <col min="10232" max="10242" width="11.125" style="2" bestFit="1" customWidth="1"/>
    <col min="10243" max="10243" width="9" style="2"/>
    <col min="10244" max="10250" width="11.125" style="2" bestFit="1" customWidth="1"/>
    <col min="10251" max="10251" width="9" style="2"/>
    <col min="10252" max="10252" width="9.625" style="2" bestFit="1" customWidth="1"/>
    <col min="10253" max="10480" width="9" style="2"/>
    <col min="10481" max="10481" width="2.375" style="2" customWidth="1"/>
    <col min="10482" max="10482" width="13.25" style="2" bestFit="1" customWidth="1"/>
    <col min="10483" max="10484" width="11.125" style="2" bestFit="1" customWidth="1"/>
    <col min="10485" max="10485" width="13.25" style="2" bestFit="1" customWidth="1"/>
    <col min="10486" max="10486" width="11.125" style="2" bestFit="1" customWidth="1"/>
    <col min="10487" max="10487" width="9" style="2"/>
    <col min="10488" max="10498" width="11.125" style="2" bestFit="1" customWidth="1"/>
    <col min="10499" max="10499" width="9" style="2"/>
    <col min="10500" max="10506" width="11.125" style="2" bestFit="1" customWidth="1"/>
    <col min="10507" max="10507" width="9" style="2"/>
    <col min="10508" max="10508" width="9.625" style="2" bestFit="1" customWidth="1"/>
    <col min="10509" max="10736" width="9" style="2"/>
    <col min="10737" max="10737" width="2.375" style="2" customWidth="1"/>
    <col min="10738" max="10738" width="13.25" style="2" bestFit="1" customWidth="1"/>
    <col min="10739" max="10740" width="11.125" style="2" bestFit="1" customWidth="1"/>
    <col min="10741" max="10741" width="13.25" style="2" bestFit="1" customWidth="1"/>
    <col min="10742" max="10742" width="11.125" style="2" bestFit="1" customWidth="1"/>
    <col min="10743" max="10743" width="9" style="2"/>
    <col min="10744" max="10754" width="11.125" style="2" bestFit="1" customWidth="1"/>
    <col min="10755" max="10755" width="9" style="2"/>
    <col min="10756" max="10762" width="11.125" style="2" bestFit="1" customWidth="1"/>
    <col min="10763" max="10763" width="9" style="2"/>
    <col min="10764" max="10764" width="9.625" style="2" bestFit="1" customWidth="1"/>
    <col min="10765" max="10992" width="9" style="2"/>
    <col min="10993" max="10993" width="2.375" style="2" customWidth="1"/>
    <col min="10994" max="10994" width="13.25" style="2" bestFit="1" customWidth="1"/>
    <col min="10995" max="10996" width="11.125" style="2" bestFit="1" customWidth="1"/>
    <col min="10997" max="10997" width="13.25" style="2" bestFit="1" customWidth="1"/>
    <col min="10998" max="10998" width="11.125" style="2" bestFit="1" customWidth="1"/>
    <col min="10999" max="10999" width="9" style="2"/>
    <col min="11000" max="11010" width="11.125" style="2" bestFit="1" customWidth="1"/>
    <col min="11011" max="11011" width="9" style="2"/>
    <col min="11012" max="11018" width="11.125" style="2" bestFit="1" customWidth="1"/>
    <col min="11019" max="11019" width="9" style="2"/>
    <col min="11020" max="11020" width="9.625" style="2" bestFit="1" customWidth="1"/>
    <col min="11021" max="11248" width="9" style="2"/>
    <col min="11249" max="11249" width="2.375" style="2" customWidth="1"/>
    <col min="11250" max="11250" width="13.25" style="2" bestFit="1" customWidth="1"/>
    <col min="11251" max="11252" width="11.125" style="2" bestFit="1" customWidth="1"/>
    <col min="11253" max="11253" width="13.25" style="2" bestFit="1" customWidth="1"/>
    <col min="11254" max="11254" width="11.125" style="2" bestFit="1" customWidth="1"/>
    <col min="11255" max="11255" width="9" style="2"/>
    <col min="11256" max="11266" width="11.125" style="2" bestFit="1" customWidth="1"/>
    <col min="11267" max="11267" width="9" style="2"/>
    <col min="11268" max="11274" width="11.125" style="2" bestFit="1" customWidth="1"/>
    <col min="11275" max="11275" width="9" style="2"/>
    <col min="11276" max="11276" width="9.625" style="2" bestFit="1" customWidth="1"/>
    <col min="11277" max="11504" width="9" style="2"/>
    <col min="11505" max="11505" width="2.375" style="2" customWidth="1"/>
    <col min="11506" max="11506" width="13.25" style="2" bestFit="1" customWidth="1"/>
    <col min="11507" max="11508" width="11.125" style="2" bestFit="1" customWidth="1"/>
    <col min="11509" max="11509" width="13.25" style="2" bestFit="1" customWidth="1"/>
    <col min="11510" max="11510" width="11.125" style="2" bestFit="1" customWidth="1"/>
    <col min="11511" max="11511" width="9" style="2"/>
    <col min="11512" max="11522" width="11.125" style="2" bestFit="1" customWidth="1"/>
    <col min="11523" max="11523" width="9" style="2"/>
    <col min="11524" max="11530" width="11.125" style="2" bestFit="1" customWidth="1"/>
    <col min="11531" max="11531" width="9" style="2"/>
    <col min="11532" max="11532" width="9.625" style="2" bestFit="1" customWidth="1"/>
    <col min="11533" max="11760" width="9" style="2"/>
    <col min="11761" max="11761" width="2.375" style="2" customWidth="1"/>
    <col min="11762" max="11762" width="13.25" style="2" bestFit="1" customWidth="1"/>
    <col min="11763" max="11764" width="11.125" style="2" bestFit="1" customWidth="1"/>
    <col min="11765" max="11765" width="13.25" style="2" bestFit="1" customWidth="1"/>
    <col min="11766" max="11766" width="11.125" style="2" bestFit="1" customWidth="1"/>
    <col min="11767" max="11767" width="9" style="2"/>
    <col min="11768" max="11778" width="11.125" style="2" bestFit="1" customWidth="1"/>
    <col min="11779" max="11779" width="9" style="2"/>
    <col min="11780" max="11786" width="11.125" style="2" bestFit="1" customWidth="1"/>
    <col min="11787" max="11787" width="9" style="2"/>
    <col min="11788" max="11788" width="9.625" style="2" bestFit="1" customWidth="1"/>
    <col min="11789" max="12016" width="9" style="2"/>
    <col min="12017" max="12017" width="2.375" style="2" customWidth="1"/>
    <col min="12018" max="12018" width="13.25" style="2" bestFit="1" customWidth="1"/>
    <col min="12019" max="12020" width="11.125" style="2" bestFit="1" customWidth="1"/>
    <col min="12021" max="12021" width="13.25" style="2" bestFit="1" customWidth="1"/>
    <col min="12022" max="12022" width="11.125" style="2" bestFit="1" customWidth="1"/>
    <col min="12023" max="12023" width="9" style="2"/>
    <col min="12024" max="12034" width="11.125" style="2" bestFit="1" customWidth="1"/>
    <col min="12035" max="12035" width="9" style="2"/>
    <col min="12036" max="12042" width="11.125" style="2" bestFit="1" customWidth="1"/>
    <col min="12043" max="12043" width="9" style="2"/>
    <col min="12044" max="12044" width="9.625" style="2" bestFit="1" customWidth="1"/>
    <col min="12045" max="12272" width="9" style="2"/>
    <col min="12273" max="12273" width="2.375" style="2" customWidth="1"/>
    <col min="12274" max="12274" width="13.25" style="2" bestFit="1" customWidth="1"/>
    <col min="12275" max="12276" width="11.125" style="2" bestFit="1" customWidth="1"/>
    <col min="12277" max="12277" width="13.25" style="2" bestFit="1" customWidth="1"/>
    <col min="12278" max="12278" width="11.125" style="2" bestFit="1" customWidth="1"/>
    <col min="12279" max="12279" width="9" style="2"/>
    <col min="12280" max="12290" width="11.125" style="2" bestFit="1" customWidth="1"/>
    <col min="12291" max="12291" width="9" style="2"/>
    <col min="12292" max="12298" width="11.125" style="2" bestFit="1" customWidth="1"/>
    <col min="12299" max="12299" width="9" style="2"/>
    <col min="12300" max="12300" width="9.625" style="2" bestFit="1" customWidth="1"/>
    <col min="12301" max="12528" width="9" style="2"/>
    <col min="12529" max="12529" width="2.375" style="2" customWidth="1"/>
    <col min="12530" max="12530" width="13.25" style="2" bestFit="1" customWidth="1"/>
    <col min="12531" max="12532" width="11.125" style="2" bestFit="1" customWidth="1"/>
    <col min="12533" max="12533" width="13.25" style="2" bestFit="1" customWidth="1"/>
    <col min="12534" max="12534" width="11.125" style="2" bestFit="1" customWidth="1"/>
    <col min="12535" max="12535" width="9" style="2"/>
    <col min="12536" max="12546" width="11.125" style="2" bestFit="1" customWidth="1"/>
    <col min="12547" max="12547" width="9" style="2"/>
    <col min="12548" max="12554" width="11.125" style="2" bestFit="1" customWidth="1"/>
    <col min="12555" max="12555" width="9" style="2"/>
    <col min="12556" max="12556" width="9.625" style="2" bestFit="1" customWidth="1"/>
    <col min="12557" max="12784" width="9" style="2"/>
    <col min="12785" max="12785" width="2.375" style="2" customWidth="1"/>
    <col min="12786" max="12786" width="13.25" style="2" bestFit="1" customWidth="1"/>
    <col min="12787" max="12788" width="11.125" style="2" bestFit="1" customWidth="1"/>
    <col min="12789" max="12789" width="13.25" style="2" bestFit="1" customWidth="1"/>
    <col min="12790" max="12790" width="11.125" style="2" bestFit="1" customWidth="1"/>
    <col min="12791" max="12791" width="9" style="2"/>
    <col min="12792" max="12802" width="11.125" style="2" bestFit="1" customWidth="1"/>
    <col min="12803" max="12803" width="9" style="2"/>
    <col min="12804" max="12810" width="11.125" style="2" bestFit="1" customWidth="1"/>
    <col min="12811" max="12811" width="9" style="2"/>
    <col min="12812" max="12812" width="9.625" style="2" bestFit="1" customWidth="1"/>
    <col min="12813" max="13040" width="9" style="2"/>
    <col min="13041" max="13041" width="2.375" style="2" customWidth="1"/>
    <col min="13042" max="13042" width="13.25" style="2" bestFit="1" customWidth="1"/>
    <col min="13043" max="13044" width="11.125" style="2" bestFit="1" customWidth="1"/>
    <col min="13045" max="13045" width="13.25" style="2" bestFit="1" customWidth="1"/>
    <col min="13046" max="13046" width="11.125" style="2" bestFit="1" customWidth="1"/>
    <col min="13047" max="13047" width="9" style="2"/>
    <col min="13048" max="13058" width="11.125" style="2" bestFit="1" customWidth="1"/>
    <col min="13059" max="13059" width="9" style="2"/>
    <col min="13060" max="13066" width="11.125" style="2" bestFit="1" customWidth="1"/>
    <col min="13067" max="13067" width="9" style="2"/>
    <col min="13068" max="13068" width="9.625" style="2" bestFit="1" customWidth="1"/>
    <col min="13069" max="13296" width="9" style="2"/>
    <col min="13297" max="13297" width="2.375" style="2" customWidth="1"/>
    <col min="13298" max="13298" width="13.25" style="2" bestFit="1" customWidth="1"/>
    <col min="13299" max="13300" width="11.125" style="2" bestFit="1" customWidth="1"/>
    <col min="13301" max="13301" width="13.25" style="2" bestFit="1" customWidth="1"/>
    <col min="13302" max="13302" width="11.125" style="2" bestFit="1" customWidth="1"/>
    <col min="13303" max="13303" width="9" style="2"/>
    <col min="13304" max="13314" width="11.125" style="2" bestFit="1" customWidth="1"/>
    <col min="13315" max="13315" width="9" style="2"/>
    <col min="13316" max="13322" width="11.125" style="2" bestFit="1" customWidth="1"/>
    <col min="13323" max="13323" width="9" style="2"/>
    <col min="13324" max="13324" width="9.625" style="2" bestFit="1" customWidth="1"/>
    <col min="13325" max="13552" width="9" style="2"/>
    <col min="13553" max="13553" width="2.375" style="2" customWidth="1"/>
    <col min="13554" max="13554" width="13.25" style="2" bestFit="1" customWidth="1"/>
    <col min="13555" max="13556" width="11.125" style="2" bestFit="1" customWidth="1"/>
    <col min="13557" max="13557" width="13.25" style="2" bestFit="1" customWidth="1"/>
    <col min="13558" max="13558" width="11.125" style="2" bestFit="1" customWidth="1"/>
    <col min="13559" max="13559" width="9" style="2"/>
    <col min="13560" max="13570" width="11.125" style="2" bestFit="1" customWidth="1"/>
    <col min="13571" max="13571" width="9" style="2"/>
    <col min="13572" max="13578" width="11.125" style="2" bestFit="1" customWidth="1"/>
    <col min="13579" max="13579" width="9" style="2"/>
    <col min="13580" max="13580" width="9.625" style="2" bestFit="1" customWidth="1"/>
    <col min="13581" max="13808" width="9" style="2"/>
    <col min="13809" max="13809" width="2.375" style="2" customWidth="1"/>
    <col min="13810" max="13810" width="13.25" style="2" bestFit="1" customWidth="1"/>
    <col min="13811" max="13812" width="11.125" style="2" bestFit="1" customWidth="1"/>
    <col min="13813" max="13813" width="13.25" style="2" bestFit="1" customWidth="1"/>
    <col min="13814" max="13814" width="11.125" style="2" bestFit="1" customWidth="1"/>
    <col min="13815" max="13815" width="9" style="2"/>
    <col min="13816" max="13826" width="11.125" style="2" bestFit="1" customWidth="1"/>
    <col min="13827" max="13827" width="9" style="2"/>
    <col min="13828" max="13834" width="11.125" style="2" bestFit="1" customWidth="1"/>
    <col min="13835" max="13835" width="9" style="2"/>
    <col min="13836" max="13836" width="9.625" style="2" bestFit="1" customWidth="1"/>
    <col min="13837" max="14064" width="9" style="2"/>
    <col min="14065" max="14065" width="2.375" style="2" customWidth="1"/>
    <col min="14066" max="14066" width="13.25" style="2" bestFit="1" customWidth="1"/>
    <col min="14067" max="14068" width="11.125" style="2" bestFit="1" customWidth="1"/>
    <col min="14069" max="14069" width="13.25" style="2" bestFit="1" customWidth="1"/>
    <col min="14070" max="14070" width="11.125" style="2" bestFit="1" customWidth="1"/>
    <col min="14071" max="14071" width="9" style="2"/>
    <col min="14072" max="14082" width="11.125" style="2" bestFit="1" customWidth="1"/>
    <col min="14083" max="14083" width="9" style="2"/>
    <col min="14084" max="14090" width="11.125" style="2" bestFit="1" customWidth="1"/>
    <col min="14091" max="14091" width="9" style="2"/>
    <col min="14092" max="14092" width="9.625" style="2" bestFit="1" customWidth="1"/>
    <col min="14093" max="14320" width="9" style="2"/>
    <col min="14321" max="14321" width="2.375" style="2" customWidth="1"/>
    <col min="14322" max="14322" width="13.25" style="2" bestFit="1" customWidth="1"/>
    <col min="14323" max="14324" width="11.125" style="2" bestFit="1" customWidth="1"/>
    <col min="14325" max="14325" width="13.25" style="2" bestFit="1" customWidth="1"/>
    <col min="14326" max="14326" width="11.125" style="2" bestFit="1" customWidth="1"/>
    <col min="14327" max="14327" width="9" style="2"/>
    <col min="14328" max="14338" width="11.125" style="2" bestFit="1" customWidth="1"/>
    <col min="14339" max="14339" width="9" style="2"/>
    <col min="14340" max="14346" width="11.125" style="2" bestFit="1" customWidth="1"/>
    <col min="14347" max="14347" width="9" style="2"/>
    <col min="14348" max="14348" width="9.625" style="2" bestFit="1" customWidth="1"/>
    <col min="14349" max="14576" width="9" style="2"/>
    <col min="14577" max="14577" width="2.375" style="2" customWidth="1"/>
    <col min="14578" max="14578" width="13.25" style="2" bestFit="1" customWidth="1"/>
    <col min="14579" max="14580" width="11.125" style="2" bestFit="1" customWidth="1"/>
    <col min="14581" max="14581" width="13.25" style="2" bestFit="1" customWidth="1"/>
    <col min="14582" max="14582" width="11.125" style="2" bestFit="1" customWidth="1"/>
    <col min="14583" max="14583" width="9" style="2"/>
    <col min="14584" max="14594" width="11.125" style="2" bestFit="1" customWidth="1"/>
    <col min="14595" max="14595" width="9" style="2"/>
    <col min="14596" max="14602" width="11.125" style="2" bestFit="1" customWidth="1"/>
    <col min="14603" max="14603" width="9" style="2"/>
    <col min="14604" max="14604" width="9.625" style="2" bestFit="1" customWidth="1"/>
    <col min="14605" max="14832" width="9" style="2"/>
    <col min="14833" max="14833" width="2.375" style="2" customWidth="1"/>
    <col min="14834" max="14834" width="13.25" style="2" bestFit="1" customWidth="1"/>
    <col min="14835" max="14836" width="11.125" style="2" bestFit="1" customWidth="1"/>
    <col min="14837" max="14837" width="13.25" style="2" bestFit="1" customWidth="1"/>
    <col min="14838" max="14838" width="11.125" style="2" bestFit="1" customWidth="1"/>
    <col min="14839" max="14839" width="9" style="2"/>
    <col min="14840" max="14850" width="11.125" style="2" bestFit="1" customWidth="1"/>
    <col min="14851" max="14851" width="9" style="2"/>
    <col min="14852" max="14858" width="11.125" style="2" bestFit="1" customWidth="1"/>
    <col min="14859" max="14859" width="9" style="2"/>
    <col min="14860" max="14860" width="9.625" style="2" bestFit="1" customWidth="1"/>
    <col min="14861" max="15088" width="9" style="2"/>
    <col min="15089" max="15089" width="2.375" style="2" customWidth="1"/>
    <col min="15090" max="15090" width="13.25" style="2" bestFit="1" customWidth="1"/>
    <col min="15091" max="15092" width="11.125" style="2" bestFit="1" customWidth="1"/>
    <col min="15093" max="15093" width="13.25" style="2" bestFit="1" customWidth="1"/>
    <col min="15094" max="15094" width="11.125" style="2" bestFit="1" customWidth="1"/>
    <col min="15095" max="15095" width="9" style="2"/>
    <col min="15096" max="15106" width="11.125" style="2" bestFit="1" customWidth="1"/>
    <col min="15107" max="15107" width="9" style="2"/>
    <col min="15108" max="15114" width="11.125" style="2" bestFit="1" customWidth="1"/>
    <col min="15115" max="15115" width="9" style="2"/>
    <col min="15116" max="15116" width="9.625" style="2" bestFit="1" customWidth="1"/>
    <col min="15117" max="15344" width="9" style="2"/>
    <col min="15345" max="15345" width="2.375" style="2" customWidth="1"/>
    <col min="15346" max="15346" width="13.25" style="2" bestFit="1" customWidth="1"/>
    <col min="15347" max="15348" width="11.125" style="2" bestFit="1" customWidth="1"/>
    <col min="15349" max="15349" width="13.25" style="2" bestFit="1" customWidth="1"/>
    <col min="15350" max="15350" width="11.125" style="2" bestFit="1" customWidth="1"/>
    <col min="15351" max="15351" width="9" style="2"/>
    <col min="15352" max="15362" width="11.125" style="2" bestFit="1" customWidth="1"/>
    <col min="15363" max="15363" width="9" style="2"/>
    <col min="15364" max="15370" width="11.125" style="2" bestFit="1" customWidth="1"/>
    <col min="15371" max="15371" width="9" style="2"/>
    <col min="15372" max="15372" width="9.625" style="2" bestFit="1" customWidth="1"/>
    <col min="15373" max="15600" width="9" style="2"/>
    <col min="15601" max="15601" width="2.375" style="2" customWidth="1"/>
    <col min="15602" max="15602" width="13.25" style="2" bestFit="1" customWidth="1"/>
    <col min="15603" max="15604" width="11.125" style="2" bestFit="1" customWidth="1"/>
    <col min="15605" max="15605" width="13.25" style="2" bestFit="1" customWidth="1"/>
    <col min="15606" max="15606" width="11.125" style="2" bestFit="1" customWidth="1"/>
    <col min="15607" max="15607" width="9" style="2"/>
    <col min="15608" max="15618" width="11.125" style="2" bestFit="1" customWidth="1"/>
    <col min="15619" max="15619" width="9" style="2"/>
    <col min="15620" max="15626" width="11.125" style="2" bestFit="1" customWidth="1"/>
    <col min="15627" max="15627" width="9" style="2"/>
    <col min="15628" max="15628" width="9.625" style="2" bestFit="1" customWidth="1"/>
    <col min="15629" max="15856" width="9" style="2"/>
    <col min="15857" max="15857" width="2.375" style="2" customWidth="1"/>
    <col min="15858" max="15858" width="13.25" style="2" bestFit="1" customWidth="1"/>
    <col min="15859" max="15860" width="11.125" style="2" bestFit="1" customWidth="1"/>
    <col min="15861" max="15861" width="13.25" style="2" bestFit="1" customWidth="1"/>
    <col min="15862" max="15862" width="11.125" style="2" bestFit="1" customWidth="1"/>
    <col min="15863" max="15863" width="9" style="2"/>
    <col min="15864" max="15874" width="11.125" style="2" bestFit="1" customWidth="1"/>
    <col min="15875" max="15875" width="9" style="2"/>
    <col min="15876" max="15882" width="11.125" style="2" bestFit="1" customWidth="1"/>
    <col min="15883" max="15883" width="9" style="2"/>
    <col min="15884" max="15884" width="9.625" style="2" bestFit="1" customWidth="1"/>
    <col min="15885" max="16112" width="9" style="2"/>
    <col min="16113" max="16113" width="2.375" style="2" customWidth="1"/>
    <col min="16114" max="16114" width="13.25" style="2" bestFit="1" customWidth="1"/>
    <col min="16115" max="16116" width="11.125" style="2" bestFit="1" customWidth="1"/>
    <col min="16117" max="16117" width="13.25" style="2" bestFit="1" customWidth="1"/>
    <col min="16118" max="16118" width="11.125" style="2" bestFit="1" customWidth="1"/>
    <col min="16119" max="16119" width="9" style="2"/>
    <col min="16120" max="16130" width="11.125" style="2" bestFit="1" customWidth="1"/>
    <col min="16131" max="16131" width="9" style="2"/>
    <col min="16132" max="16138" width="11.125" style="2" bestFit="1" customWidth="1"/>
    <col min="16139" max="16139" width="9" style="2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</v>
      </c>
    </row>
    <row r="3" spans="1:14">
      <c r="B3" s="116"/>
      <c r="C3" s="91" t="s">
        <v>14</v>
      </c>
      <c r="D3" s="18" t="s">
        <v>4</v>
      </c>
      <c r="E3" s="18" t="s">
        <v>22</v>
      </c>
      <c r="F3" s="18" t="s">
        <v>23</v>
      </c>
      <c r="G3" s="18" t="s">
        <v>21</v>
      </c>
      <c r="H3" s="18" t="s">
        <v>24</v>
      </c>
      <c r="I3" s="18" t="s">
        <v>25</v>
      </c>
      <c r="J3" s="19" t="s">
        <v>26</v>
      </c>
      <c r="K3" s="75" t="s">
        <v>101</v>
      </c>
      <c r="L3" s="105" t="s">
        <v>5</v>
      </c>
      <c r="M3" s="75" t="s">
        <v>101</v>
      </c>
      <c r="N3" s="6"/>
    </row>
    <row r="4" spans="1:14" ht="19.5" thickBot="1">
      <c r="B4" s="117" t="s">
        <v>27</v>
      </c>
      <c r="C4" s="92" t="s">
        <v>40</v>
      </c>
      <c r="D4" s="21" t="s">
        <v>30</v>
      </c>
      <c r="E4" s="21" t="s">
        <v>48</v>
      </c>
      <c r="F4" s="21" t="s">
        <v>49</v>
      </c>
      <c r="G4" s="21" t="s">
        <v>47</v>
      </c>
      <c r="H4" s="21" t="s">
        <v>50</v>
      </c>
      <c r="I4" s="21" t="s">
        <v>51</v>
      </c>
      <c r="J4" s="22" t="s">
        <v>52</v>
      </c>
      <c r="K4" s="76" t="s">
        <v>103</v>
      </c>
      <c r="L4" s="106" t="s">
        <v>31</v>
      </c>
      <c r="M4" s="76" t="s">
        <v>104</v>
      </c>
      <c r="N4" s="3" t="s">
        <v>53</v>
      </c>
    </row>
    <row r="5" spans="1:14">
      <c r="A5" s="1" t="s">
        <v>54</v>
      </c>
      <c r="B5" s="118" t="s">
        <v>55</v>
      </c>
      <c r="C5" s="93">
        <v>20</v>
      </c>
      <c r="D5" s="64">
        <v>19</v>
      </c>
      <c r="E5" s="64">
        <v>12</v>
      </c>
      <c r="F5" s="64">
        <v>15</v>
      </c>
      <c r="G5" s="64">
        <v>10</v>
      </c>
      <c r="H5" s="64">
        <v>7</v>
      </c>
      <c r="I5" s="64">
        <v>11</v>
      </c>
      <c r="J5" s="65">
        <v>21</v>
      </c>
      <c r="K5" s="65">
        <f>SUM(C5:J5)</f>
        <v>115</v>
      </c>
      <c r="L5" s="107">
        <v>19</v>
      </c>
      <c r="M5" s="66">
        <f>SUM(L5)</f>
        <v>19</v>
      </c>
      <c r="N5" s="65">
        <v>420</v>
      </c>
    </row>
    <row r="6" spans="1:14">
      <c r="A6" s="1" t="s">
        <v>54</v>
      </c>
      <c r="B6" s="119" t="s">
        <v>56</v>
      </c>
      <c r="C6" s="94">
        <v>0</v>
      </c>
      <c r="D6" s="68">
        <v>3</v>
      </c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9">
        <v>0</v>
      </c>
      <c r="K6" s="69">
        <f t="shared" ref="K6:K51" si="0">SUM(C6:J6)</f>
        <v>3</v>
      </c>
      <c r="L6" s="108">
        <v>0</v>
      </c>
      <c r="M6" s="70">
        <f t="shared" ref="M6:M51" si="1">SUM(L6)</f>
        <v>0</v>
      </c>
      <c r="N6" s="69">
        <v>31</v>
      </c>
    </row>
    <row r="7" spans="1:14">
      <c r="A7" s="1" t="s">
        <v>54</v>
      </c>
      <c r="B7" s="119" t="s">
        <v>57</v>
      </c>
      <c r="C7" s="94">
        <v>0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9">
        <v>0</v>
      </c>
      <c r="K7" s="69">
        <f t="shared" si="0"/>
        <v>0</v>
      </c>
      <c r="L7" s="108">
        <v>0</v>
      </c>
      <c r="M7" s="70">
        <f t="shared" si="1"/>
        <v>0</v>
      </c>
      <c r="N7" s="69">
        <v>33</v>
      </c>
    </row>
    <row r="8" spans="1:14">
      <c r="A8" s="1" t="s">
        <v>54</v>
      </c>
      <c r="B8" s="119" t="s">
        <v>58</v>
      </c>
      <c r="C8" s="94">
        <v>0</v>
      </c>
      <c r="D8" s="68">
        <v>1</v>
      </c>
      <c r="E8" s="68">
        <v>0</v>
      </c>
      <c r="F8" s="68">
        <v>0</v>
      </c>
      <c r="G8" s="68">
        <v>0</v>
      </c>
      <c r="H8" s="68">
        <v>1</v>
      </c>
      <c r="I8" s="68">
        <v>0</v>
      </c>
      <c r="J8" s="69">
        <v>0</v>
      </c>
      <c r="K8" s="69">
        <f t="shared" si="0"/>
        <v>2</v>
      </c>
      <c r="L8" s="108">
        <v>1</v>
      </c>
      <c r="M8" s="70">
        <f t="shared" si="1"/>
        <v>1</v>
      </c>
      <c r="N8" s="69">
        <v>17</v>
      </c>
    </row>
    <row r="9" spans="1:14">
      <c r="A9" s="1" t="s">
        <v>54</v>
      </c>
      <c r="B9" s="119" t="s">
        <v>59</v>
      </c>
      <c r="C9" s="94">
        <v>0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9">
        <v>0</v>
      </c>
      <c r="K9" s="69">
        <f t="shared" si="0"/>
        <v>0</v>
      </c>
      <c r="L9" s="108">
        <v>0</v>
      </c>
      <c r="M9" s="70">
        <f t="shared" si="1"/>
        <v>0</v>
      </c>
      <c r="N9" s="69">
        <v>20</v>
      </c>
    </row>
    <row r="10" spans="1:14">
      <c r="A10" s="1" t="s">
        <v>54</v>
      </c>
      <c r="B10" s="119" t="s">
        <v>60</v>
      </c>
      <c r="C10" s="95">
        <v>0</v>
      </c>
      <c r="D10" s="72">
        <v>0</v>
      </c>
      <c r="E10" s="72">
        <v>3.0833333333333335</v>
      </c>
      <c r="F10" s="72">
        <v>3.8333333333333335</v>
      </c>
      <c r="G10" s="72">
        <v>2.9166666666666665</v>
      </c>
      <c r="H10" s="72">
        <v>2.2083333333333335</v>
      </c>
      <c r="I10" s="72">
        <v>2.8333333333333335</v>
      </c>
      <c r="J10" s="73">
        <v>5.041666666666667</v>
      </c>
      <c r="K10" s="73">
        <f t="shared" si="0"/>
        <v>19.916666666666668</v>
      </c>
      <c r="L10" s="109">
        <v>0</v>
      </c>
      <c r="M10" s="74">
        <f t="shared" si="1"/>
        <v>0</v>
      </c>
      <c r="N10" s="73">
        <v>19.916666666666668</v>
      </c>
    </row>
    <row r="11" spans="1:14">
      <c r="A11" s="1" t="s">
        <v>54</v>
      </c>
      <c r="B11" s="119" t="s">
        <v>61</v>
      </c>
      <c r="C11" s="95">
        <v>0</v>
      </c>
      <c r="D11" s="72">
        <v>1.0833333333333333</v>
      </c>
      <c r="E11" s="72">
        <v>0</v>
      </c>
      <c r="F11" s="72">
        <v>0</v>
      </c>
      <c r="G11" s="72">
        <v>0</v>
      </c>
      <c r="H11" s="72">
        <v>8.3333333333333329E-2</v>
      </c>
      <c r="I11" s="72">
        <v>0</v>
      </c>
      <c r="J11" s="73">
        <v>0.45833333333333331</v>
      </c>
      <c r="K11" s="73">
        <f t="shared" si="0"/>
        <v>1.6249999999999998</v>
      </c>
      <c r="L11" s="109">
        <v>0</v>
      </c>
      <c r="M11" s="74">
        <f t="shared" si="1"/>
        <v>0</v>
      </c>
      <c r="N11" s="73">
        <v>28.916666666666664</v>
      </c>
    </row>
    <row r="12" spans="1:14">
      <c r="A12" s="1" t="s">
        <v>54</v>
      </c>
      <c r="B12" s="119" t="s">
        <v>62</v>
      </c>
      <c r="C12" s="95">
        <v>0</v>
      </c>
      <c r="D12" s="72">
        <v>0.75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3">
        <v>0</v>
      </c>
      <c r="K12" s="73">
        <f t="shared" si="0"/>
        <v>0.75</v>
      </c>
      <c r="L12" s="109">
        <v>0</v>
      </c>
      <c r="M12" s="74">
        <f t="shared" si="1"/>
        <v>0</v>
      </c>
      <c r="N12" s="73">
        <v>11.291666666666668</v>
      </c>
    </row>
    <row r="13" spans="1:14">
      <c r="A13" s="1" t="s">
        <v>54</v>
      </c>
      <c r="B13" s="119" t="s">
        <v>63</v>
      </c>
      <c r="C13" s="95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3">
        <v>0</v>
      </c>
      <c r="K13" s="73">
        <f t="shared" si="0"/>
        <v>0</v>
      </c>
      <c r="L13" s="109">
        <v>0</v>
      </c>
      <c r="M13" s="74">
        <f t="shared" si="1"/>
        <v>0</v>
      </c>
      <c r="N13" s="73">
        <v>11.291666666666668</v>
      </c>
    </row>
    <row r="14" spans="1:14">
      <c r="A14" s="1" t="s">
        <v>54</v>
      </c>
      <c r="B14" s="119" t="s">
        <v>64</v>
      </c>
      <c r="C14" s="95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3">
        <v>0</v>
      </c>
      <c r="K14" s="73">
        <f t="shared" si="0"/>
        <v>0</v>
      </c>
      <c r="L14" s="109">
        <v>0</v>
      </c>
      <c r="M14" s="74">
        <f t="shared" si="1"/>
        <v>0</v>
      </c>
      <c r="N14" s="73">
        <v>1.7083333333333335</v>
      </c>
    </row>
    <row r="15" spans="1:14">
      <c r="A15" s="1" t="s">
        <v>54</v>
      </c>
      <c r="B15" s="119" t="s">
        <v>65</v>
      </c>
      <c r="C15" s="95">
        <v>0</v>
      </c>
      <c r="D15" s="72">
        <v>0</v>
      </c>
      <c r="E15" s="72">
        <v>0</v>
      </c>
      <c r="F15" s="72">
        <v>0</v>
      </c>
      <c r="G15" s="72">
        <v>0</v>
      </c>
      <c r="H15" s="72">
        <v>0.29166666666666669</v>
      </c>
      <c r="I15" s="72">
        <v>0</v>
      </c>
      <c r="J15" s="73">
        <v>0</v>
      </c>
      <c r="K15" s="73">
        <f t="shared" si="0"/>
        <v>0.29166666666666669</v>
      </c>
      <c r="L15" s="109">
        <v>0</v>
      </c>
      <c r="M15" s="74">
        <f t="shared" si="1"/>
        <v>0</v>
      </c>
      <c r="N15" s="73">
        <v>0.29166666666666669</v>
      </c>
    </row>
    <row r="16" spans="1:14">
      <c r="A16" s="1" t="s">
        <v>54</v>
      </c>
      <c r="B16" s="120" t="s">
        <v>66</v>
      </c>
      <c r="C16" s="96">
        <v>0.20833333333333334</v>
      </c>
      <c r="D16" s="24">
        <v>0</v>
      </c>
      <c r="E16" s="24">
        <v>0</v>
      </c>
      <c r="F16" s="24">
        <v>0</v>
      </c>
      <c r="G16" s="24">
        <v>2.0833333333333335</v>
      </c>
      <c r="H16" s="24">
        <v>0.625</v>
      </c>
      <c r="I16" s="24">
        <v>1.6666666666666665</v>
      </c>
      <c r="J16" s="25">
        <v>1.3333333333333333</v>
      </c>
      <c r="K16" s="25">
        <f t="shared" si="0"/>
        <v>5.916666666666667</v>
      </c>
      <c r="L16" s="7">
        <v>4.1666666666666664E-2</v>
      </c>
      <c r="M16" s="13">
        <f t="shared" si="1"/>
        <v>4.1666666666666664E-2</v>
      </c>
      <c r="N16" s="25">
        <v>14.416666666666666</v>
      </c>
    </row>
    <row r="17" spans="1:14">
      <c r="A17" s="1" t="s">
        <v>54</v>
      </c>
      <c r="B17" s="121" t="s">
        <v>67</v>
      </c>
      <c r="C17" s="97">
        <v>13</v>
      </c>
      <c r="D17" s="35">
        <v>32.5</v>
      </c>
      <c r="E17" s="35">
        <v>11</v>
      </c>
      <c r="F17" s="35">
        <v>16</v>
      </c>
      <c r="G17" s="35">
        <v>0</v>
      </c>
      <c r="H17" s="35">
        <v>3</v>
      </c>
      <c r="I17" s="35">
        <v>26</v>
      </c>
      <c r="J17" s="36">
        <v>5</v>
      </c>
      <c r="K17" s="36"/>
      <c r="L17" s="110">
        <v>30</v>
      </c>
      <c r="M17" s="37"/>
      <c r="N17" s="36"/>
    </row>
    <row r="18" spans="1:14">
      <c r="A18" s="1" t="s">
        <v>54</v>
      </c>
      <c r="B18" s="122" t="s">
        <v>68</v>
      </c>
      <c r="C18" s="98">
        <v>370000</v>
      </c>
      <c r="D18" s="59">
        <v>285000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60">
        <v>0</v>
      </c>
      <c r="K18" s="60">
        <f t="shared" si="0"/>
        <v>655000</v>
      </c>
      <c r="L18" s="111">
        <v>390000</v>
      </c>
      <c r="M18" s="61">
        <f t="shared" si="1"/>
        <v>390000</v>
      </c>
      <c r="N18" s="60">
        <v>3832000</v>
      </c>
    </row>
    <row r="19" spans="1:14">
      <c r="A19" s="1" t="s">
        <v>54</v>
      </c>
      <c r="B19" s="119" t="s">
        <v>69</v>
      </c>
      <c r="C19" s="99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5">
        <v>0</v>
      </c>
      <c r="K19" s="55">
        <f t="shared" si="0"/>
        <v>0</v>
      </c>
      <c r="L19" s="112">
        <v>0</v>
      </c>
      <c r="M19" s="56">
        <f t="shared" si="1"/>
        <v>0</v>
      </c>
      <c r="N19" s="55">
        <v>50000</v>
      </c>
    </row>
    <row r="20" spans="1:14">
      <c r="A20" s="1" t="s">
        <v>54</v>
      </c>
      <c r="B20" s="119" t="s">
        <v>70</v>
      </c>
      <c r="C20" s="99">
        <v>0</v>
      </c>
      <c r="D20" s="54">
        <v>3000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5">
        <v>0</v>
      </c>
      <c r="K20" s="55">
        <f t="shared" si="0"/>
        <v>3000</v>
      </c>
      <c r="L20" s="112">
        <v>0</v>
      </c>
      <c r="M20" s="56">
        <f t="shared" si="1"/>
        <v>0</v>
      </c>
      <c r="N20" s="55">
        <v>6000</v>
      </c>
    </row>
    <row r="21" spans="1:14">
      <c r="A21" s="1" t="s">
        <v>54</v>
      </c>
      <c r="B21" s="119" t="s">
        <v>71</v>
      </c>
      <c r="C21" s="99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5">
        <v>0</v>
      </c>
      <c r="K21" s="55">
        <f t="shared" si="0"/>
        <v>0</v>
      </c>
      <c r="L21" s="112">
        <v>0</v>
      </c>
      <c r="M21" s="56">
        <f t="shared" si="1"/>
        <v>0</v>
      </c>
      <c r="N21" s="55">
        <v>42281</v>
      </c>
    </row>
    <row r="22" spans="1:14">
      <c r="A22" s="1" t="s">
        <v>54</v>
      </c>
      <c r="B22" s="119" t="s">
        <v>72</v>
      </c>
      <c r="C22" s="99">
        <v>0</v>
      </c>
      <c r="D22" s="54">
        <v>0</v>
      </c>
      <c r="E22" s="54">
        <v>76590</v>
      </c>
      <c r="F22" s="54">
        <v>98440</v>
      </c>
      <c r="G22" s="54">
        <v>68250</v>
      </c>
      <c r="H22" s="54">
        <v>51675</v>
      </c>
      <c r="I22" s="54">
        <v>66300</v>
      </c>
      <c r="J22" s="55">
        <v>117975</v>
      </c>
      <c r="K22" s="55">
        <f t="shared" si="0"/>
        <v>479230</v>
      </c>
      <c r="L22" s="112">
        <v>0</v>
      </c>
      <c r="M22" s="56">
        <f t="shared" si="1"/>
        <v>0</v>
      </c>
      <c r="N22" s="55">
        <v>479230</v>
      </c>
    </row>
    <row r="23" spans="1:14">
      <c r="A23" s="1" t="s">
        <v>54</v>
      </c>
      <c r="B23" s="119" t="s">
        <v>73</v>
      </c>
      <c r="C23" s="99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5">
        <v>0</v>
      </c>
      <c r="K23" s="55">
        <f t="shared" si="0"/>
        <v>0</v>
      </c>
      <c r="L23" s="112">
        <v>0</v>
      </c>
      <c r="M23" s="56">
        <f t="shared" si="1"/>
        <v>0</v>
      </c>
      <c r="N23" s="55">
        <v>40000</v>
      </c>
    </row>
    <row r="24" spans="1:14">
      <c r="A24" s="1" t="s">
        <v>54</v>
      </c>
      <c r="B24" s="119" t="s">
        <v>74</v>
      </c>
      <c r="C24" s="99">
        <v>0</v>
      </c>
      <c r="D24" s="54">
        <v>0</v>
      </c>
      <c r="E24" s="54">
        <v>0</v>
      </c>
      <c r="F24" s="54">
        <v>0</v>
      </c>
      <c r="G24" s="54">
        <v>0</v>
      </c>
      <c r="H24" s="54">
        <v>6825</v>
      </c>
      <c r="I24" s="54">
        <v>0</v>
      </c>
      <c r="J24" s="55">
        <v>0</v>
      </c>
      <c r="K24" s="55">
        <f t="shared" si="0"/>
        <v>6825</v>
      </c>
      <c r="L24" s="112">
        <v>0</v>
      </c>
      <c r="M24" s="56">
        <f t="shared" si="1"/>
        <v>0</v>
      </c>
      <c r="N24" s="55">
        <v>6825</v>
      </c>
    </row>
    <row r="25" spans="1:14">
      <c r="A25" s="1" t="s">
        <v>54</v>
      </c>
      <c r="B25" s="119" t="s">
        <v>75</v>
      </c>
      <c r="C25" s="99">
        <v>3000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5">
        <v>3000</v>
      </c>
      <c r="K25" s="55">
        <f t="shared" si="0"/>
        <v>6000</v>
      </c>
      <c r="L25" s="112">
        <v>0</v>
      </c>
      <c r="M25" s="56">
        <f t="shared" si="1"/>
        <v>0</v>
      </c>
      <c r="N25" s="55">
        <v>24000</v>
      </c>
    </row>
    <row r="26" spans="1:14">
      <c r="A26" s="1" t="s">
        <v>54</v>
      </c>
      <c r="B26" s="119" t="s">
        <v>61</v>
      </c>
      <c r="C26" s="99">
        <v>0</v>
      </c>
      <c r="D26" s="54">
        <v>56056</v>
      </c>
      <c r="E26" s="54">
        <v>0</v>
      </c>
      <c r="F26" s="54">
        <v>0</v>
      </c>
      <c r="G26" s="54">
        <v>0</v>
      </c>
      <c r="H26" s="54">
        <v>2438</v>
      </c>
      <c r="I26" s="54">
        <v>0</v>
      </c>
      <c r="J26" s="55">
        <v>13409</v>
      </c>
      <c r="K26" s="55">
        <f t="shared" si="0"/>
        <v>71903</v>
      </c>
      <c r="L26" s="112">
        <v>0</v>
      </c>
      <c r="M26" s="56">
        <f t="shared" si="1"/>
        <v>0</v>
      </c>
      <c r="N26" s="55">
        <v>1019335</v>
      </c>
    </row>
    <row r="27" spans="1:14">
      <c r="A27" s="1" t="s">
        <v>54</v>
      </c>
      <c r="B27" s="119" t="s">
        <v>76</v>
      </c>
      <c r="C27" s="99">
        <v>0</v>
      </c>
      <c r="D27" s="54">
        <v>41922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5">
        <v>0</v>
      </c>
      <c r="K27" s="55">
        <f t="shared" si="0"/>
        <v>41922</v>
      </c>
      <c r="L27" s="112">
        <v>0</v>
      </c>
      <c r="M27" s="56">
        <f t="shared" si="1"/>
        <v>0</v>
      </c>
      <c r="N27" s="55">
        <v>433140</v>
      </c>
    </row>
    <row r="28" spans="1:14">
      <c r="A28" s="1" t="s">
        <v>54</v>
      </c>
      <c r="B28" s="119" t="s">
        <v>77</v>
      </c>
      <c r="C28" s="99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5">
        <v>0</v>
      </c>
      <c r="K28" s="55">
        <f t="shared" si="0"/>
        <v>0</v>
      </c>
      <c r="L28" s="112">
        <v>0</v>
      </c>
      <c r="M28" s="56">
        <f t="shared" si="1"/>
        <v>0</v>
      </c>
      <c r="N28" s="55">
        <v>421021</v>
      </c>
    </row>
    <row r="29" spans="1:14">
      <c r="A29" s="1" t="s">
        <v>54</v>
      </c>
      <c r="B29" s="119" t="s">
        <v>64</v>
      </c>
      <c r="C29" s="99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5">
        <v>0</v>
      </c>
      <c r="K29" s="55">
        <f t="shared" si="0"/>
        <v>0</v>
      </c>
      <c r="L29" s="112">
        <v>0</v>
      </c>
      <c r="M29" s="56">
        <f t="shared" si="1"/>
        <v>0</v>
      </c>
      <c r="N29" s="55">
        <v>11788</v>
      </c>
    </row>
    <row r="30" spans="1:14">
      <c r="A30" s="1" t="s">
        <v>54</v>
      </c>
      <c r="B30" s="120" t="s">
        <v>66</v>
      </c>
      <c r="C30" s="100">
        <v>2770</v>
      </c>
      <c r="D30" s="27">
        <v>0</v>
      </c>
      <c r="E30" s="27">
        <v>0</v>
      </c>
      <c r="F30" s="27">
        <v>0</v>
      </c>
      <c r="G30" s="27">
        <v>12200</v>
      </c>
      <c r="H30" s="27">
        <v>3660</v>
      </c>
      <c r="I30" s="27">
        <v>9760</v>
      </c>
      <c r="J30" s="28">
        <v>7808</v>
      </c>
      <c r="K30" s="28">
        <f t="shared" si="0"/>
        <v>36198</v>
      </c>
      <c r="L30" s="8">
        <v>584</v>
      </c>
      <c r="M30" s="14">
        <f t="shared" si="1"/>
        <v>584</v>
      </c>
      <c r="N30" s="28">
        <v>95744</v>
      </c>
    </row>
    <row r="31" spans="1:14">
      <c r="A31" s="1" t="s">
        <v>54</v>
      </c>
      <c r="B31" s="121" t="s">
        <v>78</v>
      </c>
      <c r="C31" s="101">
        <v>375770</v>
      </c>
      <c r="D31" s="39">
        <v>385978</v>
      </c>
      <c r="E31" s="39">
        <v>76590</v>
      </c>
      <c r="F31" s="39">
        <v>98440</v>
      </c>
      <c r="G31" s="39">
        <v>80450</v>
      </c>
      <c r="H31" s="39">
        <v>64598</v>
      </c>
      <c r="I31" s="39">
        <v>76060</v>
      </c>
      <c r="J31" s="40">
        <v>142192</v>
      </c>
      <c r="K31" s="40">
        <f t="shared" si="0"/>
        <v>1300078</v>
      </c>
      <c r="L31" s="113">
        <v>390584</v>
      </c>
      <c r="M31" s="41">
        <f t="shared" si="1"/>
        <v>390584</v>
      </c>
      <c r="N31" s="40">
        <v>6461364</v>
      </c>
    </row>
    <row r="32" spans="1:14">
      <c r="A32" s="1" t="s">
        <v>54</v>
      </c>
      <c r="B32" s="123" t="s">
        <v>79</v>
      </c>
      <c r="C32" s="102">
        <v>3404</v>
      </c>
      <c r="D32" s="49">
        <v>5350</v>
      </c>
      <c r="E32" s="49">
        <v>2594</v>
      </c>
      <c r="F32" s="49">
        <v>2027</v>
      </c>
      <c r="G32" s="49">
        <v>4323</v>
      </c>
      <c r="H32" s="49">
        <v>2459</v>
      </c>
      <c r="I32" s="49">
        <v>4161</v>
      </c>
      <c r="J32" s="50">
        <v>13049</v>
      </c>
      <c r="K32" s="50">
        <f t="shared" si="0"/>
        <v>37367</v>
      </c>
      <c r="L32" s="114">
        <v>6673</v>
      </c>
      <c r="M32" s="51">
        <f t="shared" si="1"/>
        <v>6673</v>
      </c>
      <c r="N32" s="50">
        <v>131279</v>
      </c>
    </row>
    <row r="33" spans="1:14">
      <c r="A33" s="1" t="s">
        <v>54</v>
      </c>
      <c r="B33" s="120" t="s">
        <v>80</v>
      </c>
      <c r="C33" s="100">
        <v>3404</v>
      </c>
      <c r="D33" s="27">
        <v>5350</v>
      </c>
      <c r="E33" s="27">
        <v>2594</v>
      </c>
      <c r="F33" s="27">
        <v>2027</v>
      </c>
      <c r="G33" s="27">
        <v>4323</v>
      </c>
      <c r="H33" s="27">
        <v>2459</v>
      </c>
      <c r="I33" s="27">
        <v>4161</v>
      </c>
      <c r="J33" s="28">
        <v>13049</v>
      </c>
      <c r="K33" s="28">
        <f t="shared" si="0"/>
        <v>37367</v>
      </c>
      <c r="L33" s="8">
        <v>6673</v>
      </c>
      <c r="M33" s="14">
        <f t="shared" si="1"/>
        <v>6673</v>
      </c>
      <c r="N33" s="28">
        <v>131279</v>
      </c>
    </row>
    <row r="34" spans="1:14">
      <c r="A34" s="1" t="s">
        <v>54</v>
      </c>
      <c r="B34" s="121" t="s">
        <v>81</v>
      </c>
      <c r="C34" s="101">
        <v>379174</v>
      </c>
      <c r="D34" s="39">
        <v>391328</v>
      </c>
      <c r="E34" s="39">
        <v>79184</v>
      </c>
      <c r="F34" s="39">
        <v>100467</v>
      </c>
      <c r="G34" s="39">
        <v>84773</v>
      </c>
      <c r="H34" s="39">
        <v>67057</v>
      </c>
      <c r="I34" s="39">
        <v>80221</v>
      </c>
      <c r="J34" s="40">
        <v>155241</v>
      </c>
      <c r="K34" s="40">
        <f t="shared" si="0"/>
        <v>1337445</v>
      </c>
      <c r="L34" s="113">
        <v>397257</v>
      </c>
      <c r="M34" s="41">
        <f t="shared" si="1"/>
        <v>397257</v>
      </c>
      <c r="N34" s="40">
        <v>6592643</v>
      </c>
    </row>
    <row r="35" spans="1:14">
      <c r="A35" s="1" t="s">
        <v>54</v>
      </c>
      <c r="B35" s="123" t="s">
        <v>82</v>
      </c>
      <c r="C35" s="102">
        <v>18360</v>
      </c>
      <c r="D35" s="49">
        <v>20910</v>
      </c>
      <c r="E35" s="49">
        <v>0</v>
      </c>
      <c r="F35" s="49">
        <v>0</v>
      </c>
      <c r="G35" s="49">
        <v>0</v>
      </c>
      <c r="H35" s="49">
        <v>0</v>
      </c>
      <c r="I35" s="49">
        <v>0</v>
      </c>
      <c r="J35" s="50">
        <v>6834</v>
      </c>
      <c r="K35" s="50">
        <f t="shared" si="0"/>
        <v>46104</v>
      </c>
      <c r="L35" s="114">
        <v>19380</v>
      </c>
      <c r="M35" s="51">
        <f t="shared" si="1"/>
        <v>19380</v>
      </c>
      <c r="N35" s="50">
        <v>334764</v>
      </c>
    </row>
    <row r="36" spans="1:14">
      <c r="A36" s="1" t="s">
        <v>54</v>
      </c>
      <c r="B36" s="119" t="s">
        <v>83</v>
      </c>
      <c r="C36" s="99">
        <v>3240</v>
      </c>
      <c r="D36" s="54">
        <v>3690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5">
        <v>0</v>
      </c>
      <c r="K36" s="55">
        <f t="shared" si="0"/>
        <v>6930</v>
      </c>
      <c r="L36" s="112">
        <v>3420</v>
      </c>
      <c r="M36" s="56">
        <f t="shared" si="1"/>
        <v>3420</v>
      </c>
      <c r="N36" s="55">
        <v>55530</v>
      </c>
    </row>
    <row r="37" spans="1:14">
      <c r="A37" s="1" t="s">
        <v>54</v>
      </c>
      <c r="B37" s="119" t="s">
        <v>84</v>
      </c>
      <c r="C37" s="99">
        <v>32940</v>
      </c>
      <c r="D37" s="54">
        <v>37515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5">
        <v>12261</v>
      </c>
      <c r="K37" s="55">
        <f t="shared" si="0"/>
        <v>82716</v>
      </c>
      <c r="L37" s="112">
        <v>34770</v>
      </c>
      <c r="M37" s="56">
        <f t="shared" si="1"/>
        <v>34770</v>
      </c>
      <c r="N37" s="55">
        <v>600606</v>
      </c>
    </row>
    <row r="38" spans="1:14">
      <c r="A38" s="1" t="s">
        <v>54</v>
      </c>
      <c r="B38" s="119" t="s">
        <v>85</v>
      </c>
      <c r="C38" s="99">
        <v>2275</v>
      </c>
      <c r="D38" s="54">
        <v>2348</v>
      </c>
      <c r="E38" s="54">
        <v>475</v>
      </c>
      <c r="F38" s="54">
        <v>603</v>
      </c>
      <c r="G38" s="54">
        <v>0</v>
      </c>
      <c r="H38" s="54">
        <v>0</v>
      </c>
      <c r="I38" s="54">
        <v>481</v>
      </c>
      <c r="J38" s="55">
        <v>931</v>
      </c>
      <c r="K38" s="55">
        <f t="shared" si="0"/>
        <v>7113</v>
      </c>
      <c r="L38" s="112">
        <v>2384</v>
      </c>
      <c r="M38" s="56">
        <f t="shared" si="1"/>
        <v>2384</v>
      </c>
      <c r="N38" s="55">
        <v>38643</v>
      </c>
    </row>
    <row r="39" spans="1:14">
      <c r="A39" s="1" t="s">
        <v>54</v>
      </c>
      <c r="B39" s="120" t="s">
        <v>86</v>
      </c>
      <c r="C39" s="100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8">
        <v>0</v>
      </c>
      <c r="K39" s="28">
        <f t="shared" si="0"/>
        <v>0</v>
      </c>
      <c r="L39" s="8">
        <v>0</v>
      </c>
      <c r="M39" s="14">
        <f t="shared" si="1"/>
        <v>0</v>
      </c>
      <c r="N39" s="28">
        <v>1071</v>
      </c>
    </row>
    <row r="40" spans="1:14">
      <c r="A40" s="1" t="s">
        <v>54</v>
      </c>
      <c r="B40" s="121" t="s">
        <v>87</v>
      </c>
      <c r="C40" s="101">
        <v>56815</v>
      </c>
      <c r="D40" s="39">
        <v>64463</v>
      </c>
      <c r="E40" s="39">
        <v>475</v>
      </c>
      <c r="F40" s="39">
        <v>603</v>
      </c>
      <c r="G40" s="39">
        <v>0</v>
      </c>
      <c r="H40" s="39">
        <v>0</v>
      </c>
      <c r="I40" s="39">
        <v>481</v>
      </c>
      <c r="J40" s="40">
        <v>20026</v>
      </c>
      <c r="K40" s="40">
        <f t="shared" si="0"/>
        <v>142863</v>
      </c>
      <c r="L40" s="113">
        <v>59954</v>
      </c>
      <c r="M40" s="41">
        <f t="shared" si="1"/>
        <v>59954</v>
      </c>
      <c r="N40" s="40">
        <v>1029543</v>
      </c>
    </row>
    <row r="41" spans="1:14">
      <c r="A41" s="1" t="s">
        <v>54</v>
      </c>
      <c r="B41" s="123" t="s">
        <v>88</v>
      </c>
      <c r="C41" s="102">
        <v>7500</v>
      </c>
      <c r="D41" s="49">
        <v>7600</v>
      </c>
      <c r="E41" s="49">
        <v>0</v>
      </c>
      <c r="F41" s="49">
        <v>610</v>
      </c>
      <c r="G41" s="49">
        <v>0</v>
      </c>
      <c r="H41" s="49">
        <v>0</v>
      </c>
      <c r="I41" s="49">
        <v>0</v>
      </c>
      <c r="J41" s="50">
        <v>240</v>
      </c>
      <c r="K41" s="50">
        <f t="shared" si="0"/>
        <v>15950</v>
      </c>
      <c r="L41" s="114">
        <v>10880</v>
      </c>
      <c r="M41" s="51">
        <f t="shared" si="1"/>
        <v>10880</v>
      </c>
      <c r="N41" s="50">
        <v>124290</v>
      </c>
    </row>
    <row r="42" spans="1:14">
      <c r="A42" s="1" t="s">
        <v>54</v>
      </c>
      <c r="B42" s="119" t="s">
        <v>89</v>
      </c>
      <c r="C42" s="99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5">
        <v>0</v>
      </c>
      <c r="K42" s="55">
        <f t="shared" si="0"/>
        <v>0</v>
      </c>
      <c r="L42" s="112">
        <v>0</v>
      </c>
      <c r="M42" s="56">
        <f t="shared" si="1"/>
        <v>0</v>
      </c>
      <c r="N42" s="55">
        <v>16900</v>
      </c>
    </row>
    <row r="43" spans="1:14">
      <c r="A43" s="1" t="s">
        <v>54</v>
      </c>
      <c r="B43" s="119" t="s">
        <v>90</v>
      </c>
      <c r="C43" s="99">
        <v>18600</v>
      </c>
      <c r="D43" s="54">
        <v>17000</v>
      </c>
      <c r="E43" s="54">
        <v>0</v>
      </c>
      <c r="F43" s="54">
        <v>0</v>
      </c>
      <c r="G43" s="54">
        <v>0</v>
      </c>
      <c r="H43" s="54">
        <v>0</v>
      </c>
      <c r="I43" s="54">
        <v>2700</v>
      </c>
      <c r="J43" s="55">
        <v>10700</v>
      </c>
      <c r="K43" s="55">
        <f t="shared" si="0"/>
        <v>49000</v>
      </c>
      <c r="L43" s="112">
        <v>21700</v>
      </c>
      <c r="M43" s="56">
        <f t="shared" si="1"/>
        <v>21700</v>
      </c>
      <c r="N43" s="55">
        <v>248300</v>
      </c>
    </row>
    <row r="44" spans="1:14">
      <c r="A44" s="1" t="s">
        <v>54</v>
      </c>
      <c r="B44" s="120" t="s">
        <v>91</v>
      </c>
      <c r="C44" s="100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8">
        <v>0</v>
      </c>
      <c r="K44" s="28">
        <f t="shared" si="0"/>
        <v>0</v>
      </c>
      <c r="L44" s="8">
        <v>0</v>
      </c>
      <c r="M44" s="14">
        <f t="shared" si="1"/>
        <v>0</v>
      </c>
      <c r="N44" s="15">
        <v>-77870</v>
      </c>
    </row>
    <row r="45" spans="1:14">
      <c r="A45" s="1" t="s">
        <v>54</v>
      </c>
      <c r="B45" s="121" t="s">
        <v>92</v>
      </c>
      <c r="C45" s="101">
        <v>82915</v>
      </c>
      <c r="D45" s="39">
        <v>89063</v>
      </c>
      <c r="E45" s="39">
        <v>475</v>
      </c>
      <c r="F45" s="39">
        <v>1213</v>
      </c>
      <c r="G45" s="39">
        <v>0</v>
      </c>
      <c r="H45" s="39">
        <v>0</v>
      </c>
      <c r="I45" s="39">
        <v>3181</v>
      </c>
      <c r="J45" s="40">
        <v>30966</v>
      </c>
      <c r="K45" s="40">
        <f t="shared" si="0"/>
        <v>207813</v>
      </c>
      <c r="L45" s="113">
        <v>92534</v>
      </c>
      <c r="M45" s="41">
        <f t="shared" si="1"/>
        <v>92534</v>
      </c>
      <c r="N45" s="40">
        <v>1342234</v>
      </c>
    </row>
    <row r="46" spans="1:14">
      <c r="A46" s="1" t="s">
        <v>54</v>
      </c>
      <c r="B46" s="121" t="s">
        <v>93</v>
      </c>
      <c r="C46" s="101">
        <v>318955</v>
      </c>
      <c r="D46" s="39">
        <v>321515</v>
      </c>
      <c r="E46" s="39">
        <v>76115</v>
      </c>
      <c r="F46" s="39">
        <v>97837</v>
      </c>
      <c r="G46" s="39">
        <v>80450</v>
      </c>
      <c r="H46" s="39">
        <v>64598</v>
      </c>
      <c r="I46" s="39">
        <v>75579</v>
      </c>
      <c r="J46" s="40">
        <v>122166</v>
      </c>
      <c r="K46" s="40">
        <f t="shared" si="0"/>
        <v>1157215</v>
      </c>
      <c r="L46" s="113">
        <v>330630</v>
      </c>
      <c r="M46" s="41">
        <f t="shared" si="1"/>
        <v>330630</v>
      </c>
      <c r="N46" s="40">
        <v>5431821</v>
      </c>
    </row>
    <row r="47" spans="1:14">
      <c r="A47" s="1" t="s">
        <v>54</v>
      </c>
      <c r="B47" s="121" t="s">
        <v>94</v>
      </c>
      <c r="C47" s="101">
        <v>296259</v>
      </c>
      <c r="D47" s="39">
        <v>302265</v>
      </c>
      <c r="E47" s="39">
        <v>78709</v>
      </c>
      <c r="F47" s="39">
        <v>99254</v>
      </c>
      <c r="G47" s="39">
        <v>84773</v>
      </c>
      <c r="H47" s="39">
        <v>67057</v>
      </c>
      <c r="I47" s="39">
        <v>77040</v>
      </c>
      <c r="J47" s="40">
        <v>124275</v>
      </c>
      <c r="K47" s="40">
        <f t="shared" si="0"/>
        <v>1129632</v>
      </c>
      <c r="L47" s="113">
        <v>304723</v>
      </c>
      <c r="M47" s="41">
        <f t="shared" si="1"/>
        <v>304723</v>
      </c>
      <c r="N47" s="40">
        <v>5250409</v>
      </c>
    </row>
    <row r="48" spans="1:14">
      <c r="A48" s="1" t="s">
        <v>54</v>
      </c>
      <c r="B48" s="121" t="s">
        <v>95</v>
      </c>
      <c r="C48" s="101">
        <v>296259</v>
      </c>
      <c r="D48" s="39">
        <v>302265</v>
      </c>
      <c r="E48" s="39">
        <v>78709</v>
      </c>
      <c r="F48" s="39">
        <v>99254</v>
      </c>
      <c r="G48" s="39">
        <v>84773</v>
      </c>
      <c r="H48" s="39">
        <v>67057</v>
      </c>
      <c r="I48" s="39">
        <v>77040</v>
      </c>
      <c r="J48" s="40">
        <v>124275</v>
      </c>
      <c r="K48" s="40">
        <f t="shared" si="0"/>
        <v>1129632</v>
      </c>
      <c r="L48" s="113">
        <v>304723</v>
      </c>
      <c r="M48" s="41">
        <f t="shared" si="1"/>
        <v>304723</v>
      </c>
      <c r="N48" s="40">
        <v>5250409</v>
      </c>
    </row>
    <row r="49" spans="1:14">
      <c r="A49" s="1" t="s">
        <v>54</v>
      </c>
      <c r="B49" s="121" t="s">
        <v>96</v>
      </c>
      <c r="C49" s="101">
        <v>1</v>
      </c>
      <c r="D49" s="39">
        <v>1</v>
      </c>
      <c r="E49" s="39">
        <v>0</v>
      </c>
      <c r="F49" s="39">
        <v>0</v>
      </c>
      <c r="G49" s="39">
        <v>1</v>
      </c>
      <c r="H49" s="39">
        <v>1</v>
      </c>
      <c r="I49" s="39">
        <v>1</v>
      </c>
      <c r="J49" s="40">
        <v>1</v>
      </c>
      <c r="K49" s="40"/>
      <c r="L49" s="113">
        <v>0</v>
      </c>
      <c r="M49" s="41"/>
      <c r="N49" s="40"/>
    </row>
    <row r="50" spans="1:14">
      <c r="A50" s="1" t="s">
        <v>54</v>
      </c>
      <c r="B50" s="121" t="s">
        <v>97</v>
      </c>
      <c r="C50" s="103" t="s">
        <v>98</v>
      </c>
      <c r="D50" s="44" t="s">
        <v>98</v>
      </c>
      <c r="E50" s="44" t="s">
        <v>98</v>
      </c>
      <c r="F50" s="44" t="s">
        <v>98</v>
      </c>
      <c r="G50" s="44" t="s">
        <v>98</v>
      </c>
      <c r="H50" s="44" t="s">
        <v>98</v>
      </c>
      <c r="I50" s="44" t="s">
        <v>98</v>
      </c>
      <c r="J50" s="45" t="s">
        <v>98</v>
      </c>
      <c r="K50" s="45"/>
      <c r="L50" s="115" t="s">
        <v>98</v>
      </c>
      <c r="M50" s="46"/>
      <c r="N50" s="45"/>
    </row>
    <row r="51" spans="1:14" ht="19.5" thickBot="1">
      <c r="A51" s="1" t="s">
        <v>54</v>
      </c>
      <c r="B51" s="124" t="s">
        <v>99</v>
      </c>
      <c r="C51" s="104">
        <v>7500</v>
      </c>
      <c r="D51" s="31">
        <v>7600</v>
      </c>
      <c r="E51" s="31">
        <v>0</v>
      </c>
      <c r="F51" s="31">
        <v>610</v>
      </c>
      <c r="G51" s="31">
        <v>0</v>
      </c>
      <c r="H51" s="31">
        <v>0</v>
      </c>
      <c r="I51" s="31">
        <v>0</v>
      </c>
      <c r="J51" s="32">
        <v>240</v>
      </c>
      <c r="K51" s="32">
        <f t="shared" si="0"/>
        <v>15950</v>
      </c>
      <c r="L51" s="9">
        <v>10880</v>
      </c>
      <c r="M51" s="16">
        <f t="shared" si="1"/>
        <v>10880</v>
      </c>
      <c r="N51" s="32">
        <v>124290</v>
      </c>
    </row>
  </sheetData>
  <phoneticPr fontId="3"/>
  <pageMargins left="0.11811023622047245" right="0.11811023622047245" top="0.15748031496062992" bottom="0.15748031496062992" header="0.19685039370078741" footer="0.11811023622047245"/>
  <pageSetup paperSize="12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423C-AD57-4281-AFEB-E4B0D7A2A2A6}">
  <sheetPr>
    <pageSetUpPr fitToPage="1"/>
  </sheetPr>
  <dimension ref="A1:S51"/>
  <sheetViews>
    <sheetView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9" width="10.375" style="2" customWidth="1"/>
    <col min="20" max="244" width="9" style="2"/>
    <col min="245" max="245" width="2.375" style="2" customWidth="1"/>
    <col min="246" max="246" width="13.25" style="2" bestFit="1" customWidth="1"/>
    <col min="247" max="248" width="11.125" style="2" bestFit="1" customWidth="1"/>
    <col min="249" max="249" width="13.25" style="2" bestFit="1" customWidth="1"/>
    <col min="250" max="250" width="11.125" style="2" bestFit="1" customWidth="1"/>
    <col min="251" max="251" width="9" style="2"/>
    <col min="252" max="262" width="11.125" style="2" bestFit="1" customWidth="1"/>
    <col min="263" max="263" width="9" style="2"/>
    <col min="264" max="270" width="11.125" style="2" bestFit="1" customWidth="1"/>
    <col min="271" max="271" width="9" style="2"/>
    <col min="272" max="272" width="9.625" style="2" bestFit="1" customWidth="1"/>
    <col min="273" max="500" width="9" style="2"/>
    <col min="501" max="501" width="2.375" style="2" customWidth="1"/>
    <col min="502" max="502" width="13.25" style="2" bestFit="1" customWidth="1"/>
    <col min="503" max="504" width="11.125" style="2" bestFit="1" customWidth="1"/>
    <col min="505" max="505" width="13.25" style="2" bestFit="1" customWidth="1"/>
    <col min="506" max="506" width="11.125" style="2" bestFit="1" customWidth="1"/>
    <col min="507" max="507" width="9" style="2"/>
    <col min="508" max="518" width="11.125" style="2" bestFit="1" customWidth="1"/>
    <col min="519" max="519" width="9" style="2"/>
    <col min="520" max="526" width="11.125" style="2" bestFit="1" customWidth="1"/>
    <col min="527" max="527" width="9" style="2"/>
    <col min="528" max="528" width="9.625" style="2" bestFit="1" customWidth="1"/>
    <col min="529" max="756" width="9" style="2"/>
    <col min="757" max="757" width="2.375" style="2" customWidth="1"/>
    <col min="758" max="758" width="13.25" style="2" bestFit="1" customWidth="1"/>
    <col min="759" max="760" width="11.125" style="2" bestFit="1" customWidth="1"/>
    <col min="761" max="761" width="13.25" style="2" bestFit="1" customWidth="1"/>
    <col min="762" max="762" width="11.125" style="2" bestFit="1" customWidth="1"/>
    <col min="763" max="763" width="9" style="2"/>
    <col min="764" max="774" width="11.125" style="2" bestFit="1" customWidth="1"/>
    <col min="775" max="775" width="9" style="2"/>
    <col min="776" max="782" width="11.125" style="2" bestFit="1" customWidth="1"/>
    <col min="783" max="783" width="9" style="2"/>
    <col min="784" max="784" width="9.625" style="2" bestFit="1" customWidth="1"/>
    <col min="785" max="1012" width="9" style="2"/>
    <col min="1013" max="1013" width="2.375" style="2" customWidth="1"/>
    <col min="1014" max="1014" width="13.25" style="2" bestFit="1" customWidth="1"/>
    <col min="1015" max="1016" width="11.125" style="2" bestFit="1" customWidth="1"/>
    <col min="1017" max="1017" width="13.25" style="2" bestFit="1" customWidth="1"/>
    <col min="1018" max="1018" width="11.125" style="2" bestFit="1" customWidth="1"/>
    <col min="1019" max="1019" width="9" style="2"/>
    <col min="1020" max="1030" width="11.125" style="2" bestFit="1" customWidth="1"/>
    <col min="1031" max="1031" width="9" style="2"/>
    <col min="1032" max="1038" width="11.125" style="2" bestFit="1" customWidth="1"/>
    <col min="1039" max="1039" width="9" style="2"/>
    <col min="1040" max="1040" width="9.625" style="2" bestFit="1" customWidth="1"/>
    <col min="1041" max="1268" width="9" style="2"/>
    <col min="1269" max="1269" width="2.375" style="2" customWidth="1"/>
    <col min="1270" max="1270" width="13.25" style="2" bestFit="1" customWidth="1"/>
    <col min="1271" max="1272" width="11.125" style="2" bestFit="1" customWidth="1"/>
    <col min="1273" max="1273" width="13.25" style="2" bestFit="1" customWidth="1"/>
    <col min="1274" max="1274" width="11.125" style="2" bestFit="1" customWidth="1"/>
    <col min="1275" max="1275" width="9" style="2"/>
    <col min="1276" max="1286" width="11.125" style="2" bestFit="1" customWidth="1"/>
    <col min="1287" max="1287" width="9" style="2"/>
    <col min="1288" max="1294" width="11.125" style="2" bestFit="1" customWidth="1"/>
    <col min="1295" max="1295" width="9" style="2"/>
    <col min="1296" max="1296" width="9.625" style="2" bestFit="1" customWidth="1"/>
    <col min="1297" max="1524" width="9" style="2"/>
    <col min="1525" max="1525" width="2.375" style="2" customWidth="1"/>
    <col min="1526" max="1526" width="13.25" style="2" bestFit="1" customWidth="1"/>
    <col min="1527" max="1528" width="11.125" style="2" bestFit="1" customWidth="1"/>
    <col min="1529" max="1529" width="13.25" style="2" bestFit="1" customWidth="1"/>
    <col min="1530" max="1530" width="11.125" style="2" bestFit="1" customWidth="1"/>
    <col min="1531" max="1531" width="9" style="2"/>
    <col min="1532" max="1542" width="11.125" style="2" bestFit="1" customWidth="1"/>
    <col min="1543" max="1543" width="9" style="2"/>
    <col min="1544" max="1550" width="11.125" style="2" bestFit="1" customWidth="1"/>
    <col min="1551" max="1551" width="9" style="2"/>
    <col min="1552" max="1552" width="9.625" style="2" bestFit="1" customWidth="1"/>
    <col min="1553" max="1780" width="9" style="2"/>
    <col min="1781" max="1781" width="2.375" style="2" customWidth="1"/>
    <col min="1782" max="1782" width="13.25" style="2" bestFit="1" customWidth="1"/>
    <col min="1783" max="1784" width="11.125" style="2" bestFit="1" customWidth="1"/>
    <col min="1785" max="1785" width="13.25" style="2" bestFit="1" customWidth="1"/>
    <col min="1786" max="1786" width="11.125" style="2" bestFit="1" customWidth="1"/>
    <col min="1787" max="1787" width="9" style="2"/>
    <col min="1788" max="1798" width="11.125" style="2" bestFit="1" customWidth="1"/>
    <col min="1799" max="1799" width="9" style="2"/>
    <col min="1800" max="1806" width="11.125" style="2" bestFit="1" customWidth="1"/>
    <col min="1807" max="1807" width="9" style="2"/>
    <col min="1808" max="1808" width="9.625" style="2" bestFit="1" customWidth="1"/>
    <col min="1809" max="2036" width="9" style="2"/>
    <col min="2037" max="2037" width="2.375" style="2" customWidth="1"/>
    <col min="2038" max="2038" width="13.25" style="2" bestFit="1" customWidth="1"/>
    <col min="2039" max="2040" width="11.125" style="2" bestFit="1" customWidth="1"/>
    <col min="2041" max="2041" width="13.25" style="2" bestFit="1" customWidth="1"/>
    <col min="2042" max="2042" width="11.125" style="2" bestFit="1" customWidth="1"/>
    <col min="2043" max="2043" width="9" style="2"/>
    <col min="2044" max="2054" width="11.125" style="2" bestFit="1" customWidth="1"/>
    <col min="2055" max="2055" width="9" style="2"/>
    <col min="2056" max="2062" width="11.125" style="2" bestFit="1" customWidth="1"/>
    <col min="2063" max="2063" width="9" style="2"/>
    <col min="2064" max="2064" width="9.625" style="2" bestFit="1" customWidth="1"/>
    <col min="2065" max="2292" width="9" style="2"/>
    <col min="2293" max="2293" width="2.375" style="2" customWidth="1"/>
    <col min="2294" max="2294" width="13.25" style="2" bestFit="1" customWidth="1"/>
    <col min="2295" max="2296" width="11.125" style="2" bestFit="1" customWidth="1"/>
    <col min="2297" max="2297" width="13.25" style="2" bestFit="1" customWidth="1"/>
    <col min="2298" max="2298" width="11.125" style="2" bestFit="1" customWidth="1"/>
    <col min="2299" max="2299" width="9" style="2"/>
    <col min="2300" max="2310" width="11.125" style="2" bestFit="1" customWidth="1"/>
    <col min="2311" max="2311" width="9" style="2"/>
    <col min="2312" max="2318" width="11.125" style="2" bestFit="1" customWidth="1"/>
    <col min="2319" max="2319" width="9" style="2"/>
    <col min="2320" max="2320" width="9.625" style="2" bestFit="1" customWidth="1"/>
    <col min="2321" max="2548" width="9" style="2"/>
    <col min="2549" max="2549" width="2.375" style="2" customWidth="1"/>
    <col min="2550" max="2550" width="13.25" style="2" bestFit="1" customWidth="1"/>
    <col min="2551" max="2552" width="11.125" style="2" bestFit="1" customWidth="1"/>
    <col min="2553" max="2553" width="13.25" style="2" bestFit="1" customWidth="1"/>
    <col min="2554" max="2554" width="11.125" style="2" bestFit="1" customWidth="1"/>
    <col min="2555" max="2555" width="9" style="2"/>
    <col min="2556" max="2566" width="11.125" style="2" bestFit="1" customWidth="1"/>
    <col min="2567" max="2567" width="9" style="2"/>
    <col min="2568" max="2574" width="11.125" style="2" bestFit="1" customWidth="1"/>
    <col min="2575" max="2575" width="9" style="2"/>
    <col min="2576" max="2576" width="9.625" style="2" bestFit="1" customWidth="1"/>
    <col min="2577" max="2804" width="9" style="2"/>
    <col min="2805" max="2805" width="2.375" style="2" customWidth="1"/>
    <col min="2806" max="2806" width="13.25" style="2" bestFit="1" customWidth="1"/>
    <col min="2807" max="2808" width="11.125" style="2" bestFit="1" customWidth="1"/>
    <col min="2809" max="2809" width="13.25" style="2" bestFit="1" customWidth="1"/>
    <col min="2810" max="2810" width="11.125" style="2" bestFit="1" customWidth="1"/>
    <col min="2811" max="2811" width="9" style="2"/>
    <col min="2812" max="2822" width="11.125" style="2" bestFit="1" customWidth="1"/>
    <col min="2823" max="2823" width="9" style="2"/>
    <col min="2824" max="2830" width="11.125" style="2" bestFit="1" customWidth="1"/>
    <col min="2831" max="2831" width="9" style="2"/>
    <col min="2832" max="2832" width="9.625" style="2" bestFit="1" customWidth="1"/>
    <col min="2833" max="3060" width="9" style="2"/>
    <col min="3061" max="3061" width="2.375" style="2" customWidth="1"/>
    <col min="3062" max="3062" width="13.25" style="2" bestFit="1" customWidth="1"/>
    <col min="3063" max="3064" width="11.125" style="2" bestFit="1" customWidth="1"/>
    <col min="3065" max="3065" width="13.25" style="2" bestFit="1" customWidth="1"/>
    <col min="3066" max="3066" width="11.125" style="2" bestFit="1" customWidth="1"/>
    <col min="3067" max="3067" width="9" style="2"/>
    <col min="3068" max="3078" width="11.125" style="2" bestFit="1" customWidth="1"/>
    <col min="3079" max="3079" width="9" style="2"/>
    <col min="3080" max="3086" width="11.125" style="2" bestFit="1" customWidth="1"/>
    <col min="3087" max="3087" width="9" style="2"/>
    <col min="3088" max="3088" width="9.625" style="2" bestFit="1" customWidth="1"/>
    <col min="3089" max="3316" width="9" style="2"/>
    <col min="3317" max="3317" width="2.375" style="2" customWidth="1"/>
    <col min="3318" max="3318" width="13.25" style="2" bestFit="1" customWidth="1"/>
    <col min="3319" max="3320" width="11.125" style="2" bestFit="1" customWidth="1"/>
    <col min="3321" max="3321" width="13.25" style="2" bestFit="1" customWidth="1"/>
    <col min="3322" max="3322" width="11.125" style="2" bestFit="1" customWidth="1"/>
    <col min="3323" max="3323" width="9" style="2"/>
    <col min="3324" max="3334" width="11.125" style="2" bestFit="1" customWidth="1"/>
    <col min="3335" max="3335" width="9" style="2"/>
    <col min="3336" max="3342" width="11.125" style="2" bestFit="1" customWidth="1"/>
    <col min="3343" max="3343" width="9" style="2"/>
    <col min="3344" max="3344" width="9.625" style="2" bestFit="1" customWidth="1"/>
    <col min="3345" max="3572" width="9" style="2"/>
    <col min="3573" max="3573" width="2.375" style="2" customWidth="1"/>
    <col min="3574" max="3574" width="13.25" style="2" bestFit="1" customWidth="1"/>
    <col min="3575" max="3576" width="11.125" style="2" bestFit="1" customWidth="1"/>
    <col min="3577" max="3577" width="13.25" style="2" bestFit="1" customWidth="1"/>
    <col min="3578" max="3578" width="11.125" style="2" bestFit="1" customWidth="1"/>
    <col min="3579" max="3579" width="9" style="2"/>
    <col min="3580" max="3590" width="11.125" style="2" bestFit="1" customWidth="1"/>
    <col min="3591" max="3591" width="9" style="2"/>
    <col min="3592" max="3598" width="11.125" style="2" bestFit="1" customWidth="1"/>
    <col min="3599" max="3599" width="9" style="2"/>
    <col min="3600" max="3600" width="9.625" style="2" bestFit="1" customWidth="1"/>
    <col min="3601" max="3828" width="9" style="2"/>
    <col min="3829" max="3829" width="2.375" style="2" customWidth="1"/>
    <col min="3830" max="3830" width="13.25" style="2" bestFit="1" customWidth="1"/>
    <col min="3831" max="3832" width="11.125" style="2" bestFit="1" customWidth="1"/>
    <col min="3833" max="3833" width="13.25" style="2" bestFit="1" customWidth="1"/>
    <col min="3834" max="3834" width="11.125" style="2" bestFit="1" customWidth="1"/>
    <col min="3835" max="3835" width="9" style="2"/>
    <col min="3836" max="3846" width="11.125" style="2" bestFit="1" customWidth="1"/>
    <col min="3847" max="3847" width="9" style="2"/>
    <col min="3848" max="3854" width="11.125" style="2" bestFit="1" customWidth="1"/>
    <col min="3855" max="3855" width="9" style="2"/>
    <col min="3856" max="3856" width="9.625" style="2" bestFit="1" customWidth="1"/>
    <col min="3857" max="4084" width="9" style="2"/>
    <col min="4085" max="4085" width="2.375" style="2" customWidth="1"/>
    <col min="4086" max="4086" width="13.25" style="2" bestFit="1" customWidth="1"/>
    <col min="4087" max="4088" width="11.125" style="2" bestFit="1" customWidth="1"/>
    <col min="4089" max="4089" width="13.25" style="2" bestFit="1" customWidth="1"/>
    <col min="4090" max="4090" width="11.125" style="2" bestFit="1" customWidth="1"/>
    <col min="4091" max="4091" width="9" style="2"/>
    <col min="4092" max="4102" width="11.125" style="2" bestFit="1" customWidth="1"/>
    <col min="4103" max="4103" width="9" style="2"/>
    <col min="4104" max="4110" width="11.125" style="2" bestFit="1" customWidth="1"/>
    <col min="4111" max="4111" width="9" style="2"/>
    <col min="4112" max="4112" width="9.625" style="2" bestFit="1" customWidth="1"/>
    <col min="4113" max="4340" width="9" style="2"/>
    <col min="4341" max="4341" width="2.375" style="2" customWidth="1"/>
    <col min="4342" max="4342" width="13.25" style="2" bestFit="1" customWidth="1"/>
    <col min="4343" max="4344" width="11.125" style="2" bestFit="1" customWidth="1"/>
    <col min="4345" max="4345" width="13.25" style="2" bestFit="1" customWidth="1"/>
    <col min="4346" max="4346" width="11.125" style="2" bestFit="1" customWidth="1"/>
    <col min="4347" max="4347" width="9" style="2"/>
    <col min="4348" max="4358" width="11.125" style="2" bestFit="1" customWidth="1"/>
    <col min="4359" max="4359" width="9" style="2"/>
    <col min="4360" max="4366" width="11.125" style="2" bestFit="1" customWidth="1"/>
    <col min="4367" max="4367" width="9" style="2"/>
    <col min="4368" max="4368" width="9.625" style="2" bestFit="1" customWidth="1"/>
    <col min="4369" max="4596" width="9" style="2"/>
    <col min="4597" max="4597" width="2.375" style="2" customWidth="1"/>
    <col min="4598" max="4598" width="13.25" style="2" bestFit="1" customWidth="1"/>
    <col min="4599" max="4600" width="11.125" style="2" bestFit="1" customWidth="1"/>
    <col min="4601" max="4601" width="13.25" style="2" bestFit="1" customWidth="1"/>
    <col min="4602" max="4602" width="11.125" style="2" bestFit="1" customWidth="1"/>
    <col min="4603" max="4603" width="9" style="2"/>
    <col min="4604" max="4614" width="11.125" style="2" bestFit="1" customWidth="1"/>
    <col min="4615" max="4615" width="9" style="2"/>
    <col min="4616" max="4622" width="11.125" style="2" bestFit="1" customWidth="1"/>
    <col min="4623" max="4623" width="9" style="2"/>
    <col min="4624" max="4624" width="9.625" style="2" bestFit="1" customWidth="1"/>
    <col min="4625" max="4852" width="9" style="2"/>
    <col min="4853" max="4853" width="2.375" style="2" customWidth="1"/>
    <col min="4854" max="4854" width="13.25" style="2" bestFit="1" customWidth="1"/>
    <col min="4855" max="4856" width="11.125" style="2" bestFit="1" customWidth="1"/>
    <col min="4857" max="4857" width="13.25" style="2" bestFit="1" customWidth="1"/>
    <col min="4858" max="4858" width="11.125" style="2" bestFit="1" customWidth="1"/>
    <col min="4859" max="4859" width="9" style="2"/>
    <col min="4860" max="4870" width="11.125" style="2" bestFit="1" customWidth="1"/>
    <col min="4871" max="4871" width="9" style="2"/>
    <col min="4872" max="4878" width="11.125" style="2" bestFit="1" customWidth="1"/>
    <col min="4879" max="4879" width="9" style="2"/>
    <col min="4880" max="4880" width="9.625" style="2" bestFit="1" customWidth="1"/>
    <col min="4881" max="5108" width="9" style="2"/>
    <col min="5109" max="5109" width="2.375" style="2" customWidth="1"/>
    <col min="5110" max="5110" width="13.25" style="2" bestFit="1" customWidth="1"/>
    <col min="5111" max="5112" width="11.125" style="2" bestFit="1" customWidth="1"/>
    <col min="5113" max="5113" width="13.25" style="2" bestFit="1" customWidth="1"/>
    <col min="5114" max="5114" width="11.125" style="2" bestFit="1" customWidth="1"/>
    <col min="5115" max="5115" width="9" style="2"/>
    <col min="5116" max="5126" width="11.125" style="2" bestFit="1" customWidth="1"/>
    <col min="5127" max="5127" width="9" style="2"/>
    <col min="5128" max="5134" width="11.125" style="2" bestFit="1" customWidth="1"/>
    <col min="5135" max="5135" width="9" style="2"/>
    <col min="5136" max="5136" width="9.625" style="2" bestFit="1" customWidth="1"/>
    <col min="5137" max="5364" width="9" style="2"/>
    <col min="5365" max="5365" width="2.375" style="2" customWidth="1"/>
    <col min="5366" max="5366" width="13.25" style="2" bestFit="1" customWidth="1"/>
    <col min="5367" max="5368" width="11.125" style="2" bestFit="1" customWidth="1"/>
    <col min="5369" max="5369" width="13.25" style="2" bestFit="1" customWidth="1"/>
    <col min="5370" max="5370" width="11.125" style="2" bestFit="1" customWidth="1"/>
    <col min="5371" max="5371" width="9" style="2"/>
    <col min="5372" max="5382" width="11.125" style="2" bestFit="1" customWidth="1"/>
    <col min="5383" max="5383" width="9" style="2"/>
    <col min="5384" max="5390" width="11.125" style="2" bestFit="1" customWidth="1"/>
    <col min="5391" max="5391" width="9" style="2"/>
    <col min="5392" max="5392" width="9.625" style="2" bestFit="1" customWidth="1"/>
    <col min="5393" max="5620" width="9" style="2"/>
    <col min="5621" max="5621" width="2.375" style="2" customWidth="1"/>
    <col min="5622" max="5622" width="13.25" style="2" bestFit="1" customWidth="1"/>
    <col min="5623" max="5624" width="11.125" style="2" bestFit="1" customWidth="1"/>
    <col min="5625" max="5625" width="13.25" style="2" bestFit="1" customWidth="1"/>
    <col min="5626" max="5626" width="11.125" style="2" bestFit="1" customWidth="1"/>
    <col min="5627" max="5627" width="9" style="2"/>
    <col min="5628" max="5638" width="11.125" style="2" bestFit="1" customWidth="1"/>
    <col min="5639" max="5639" width="9" style="2"/>
    <col min="5640" max="5646" width="11.125" style="2" bestFit="1" customWidth="1"/>
    <col min="5647" max="5647" width="9" style="2"/>
    <col min="5648" max="5648" width="9.625" style="2" bestFit="1" customWidth="1"/>
    <col min="5649" max="5876" width="9" style="2"/>
    <col min="5877" max="5877" width="2.375" style="2" customWidth="1"/>
    <col min="5878" max="5878" width="13.25" style="2" bestFit="1" customWidth="1"/>
    <col min="5879" max="5880" width="11.125" style="2" bestFit="1" customWidth="1"/>
    <col min="5881" max="5881" width="13.25" style="2" bestFit="1" customWidth="1"/>
    <col min="5882" max="5882" width="11.125" style="2" bestFit="1" customWidth="1"/>
    <col min="5883" max="5883" width="9" style="2"/>
    <col min="5884" max="5894" width="11.125" style="2" bestFit="1" customWidth="1"/>
    <col min="5895" max="5895" width="9" style="2"/>
    <col min="5896" max="5902" width="11.125" style="2" bestFit="1" customWidth="1"/>
    <col min="5903" max="5903" width="9" style="2"/>
    <col min="5904" max="5904" width="9.625" style="2" bestFit="1" customWidth="1"/>
    <col min="5905" max="6132" width="9" style="2"/>
    <col min="6133" max="6133" width="2.375" style="2" customWidth="1"/>
    <col min="6134" max="6134" width="13.25" style="2" bestFit="1" customWidth="1"/>
    <col min="6135" max="6136" width="11.125" style="2" bestFit="1" customWidth="1"/>
    <col min="6137" max="6137" width="13.25" style="2" bestFit="1" customWidth="1"/>
    <col min="6138" max="6138" width="11.125" style="2" bestFit="1" customWidth="1"/>
    <col min="6139" max="6139" width="9" style="2"/>
    <col min="6140" max="6150" width="11.125" style="2" bestFit="1" customWidth="1"/>
    <col min="6151" max="6151" width="9" style="2"/>
    <col min="6152" max="6158" width="11.125" style="2" bestFit="1" customWidth="1"/>
    <col min="6159" max="6159" width="9" style="2"/>
    <col min="6160" max="6160" width="9.625" style="2" bestFit="1" customWidth="1"/>
    <col min="6161" max="6388" width="9" style="2"/>
    <col min="6389" max="6389" width="2.375" style="2" customWidth="1"/>
    <col min="6390" max="6390" width="13.25" style="2" bestFit="1" customWidth="1"/>
    <col min="6391" max="6392" width="11.125" style="2" bestFit="1" customWidth="1"/>
    <col min="6393" max="6393" width="13.25" style="2" bestFit="1" customWidth="1"/>
    <col min="6394" max="6394" width="11.125" style="2" bestFit="1" customWidth="1"/>
    <col min="6395" max="6395" width="9" style="2"/>
    <col min="6396" max="6406" width="11.125" style="2" bestFit="1" customWidth="1"/>
    <col min="6407" max="6407" width="9" style="2"/>
    <col min="6408" max="6414" width="11.125" style="2" bestFit="1" customWidth="1"/>
    <col min="6415" max="6415" width="9" style="2"/>
    <col min="6416" max="6416" width="9.625" style="2" bestFit="1" customWidth="1"/>
    <col min="6417" max="6644" width="9" style="2"/>
    <col min="6645" max="6645" width="2.375" style="2" customWidth="1"/>
    <col min="6646" max="6646" width="13.25" style="2" bestFit="1" customWidth="1"/>
    <col min="6647" max="6648" width="11.125" style="2" bestFit="1" customWidth="1"/>
    <col min="6649" max="6649" width="13.25" style="2" bestFit="1" customWidth="1"/>
    <col min="6650" max="6650" width="11.125" style="2" bestFit="1" customWidth="1"/>
    <col min="6651" max="6651" width="9" style="2"/>
    <col min="6652" max="6662" width="11.125" style="2" bestFit="1" customWidth="1"/>
    <col min="6663" max="6663" width="9" style="2"/>
    <col min="6664" max="6670" width="11.125" style="2" bestFit="1" customWidth="1"/>
    <col min="6671" max="6671" width="9" style="2"/>
    <col min="6672" max="6672" width="9.625" style="2" bestFit="1" customWidth="1"/>
    <col min="6673" max="6900" width="9" style="2"/>
    <col min="6901" max="6901" width="2.375" style="2" customWidth="1"/>
    <col min="6902" max="6902" width="13.25" style="2" bestFit="1" customWidth="1"/>
    <col min="6903" max="6904" width="11.125" style="2" bestFit="1" customWidth="1"/>
    <col min="6905" max="6905" width="13.25" style="2" bestFit="1" customWidth="1"/>
    <col min="6906" max="6906" width="11.125" style="2" bestFit="1" customWidth="1"/>
    <col min="6907" max="6907" width="9" style="2"/>
    <col min="6908" max="6918" width="11.125" style="2" bestFit="1" customWidth="1"/>
    <col min="6919" max="6919" width="9" style="2"/>
    <col min="6920" max="6926" width="11.125" style="2" bestFit="1" customWidth="1"/>
    <col min="6927" max="6927" width="9" style="2"/>
    <col min="6928" max="6928" width="9.625" style="2" bestFit="1" customWidth="1"/>
    <col min="6929" max="7156" width="9" style="2"/>
    <col min="7157" max="7157" width="2.375" style="2" customWidth="1"/>
    <col min="7158" max="7158" width="13.25" style="2" bestFit="1" customWidth="1"/>
    <col min="7159" max="7160" width="11.125" style="2" bestFit="1" customWidth="1"/>
    <col min="7161" max="7161" width="13.25" style="2" bestFit="1" customWidth="1"/>
    <col min="7162" max="7162" width="11.125" style="2" bestFit="1" customWidth="1"/>
    <col min="7163" max="7163" width="9" style="2"/>
    <col min="7164" max="7174" width="11.125" style="2" bestFit="1" customWidth="1"/>
    <col min="7175" max="7175" width="9" style="2"/>
    <col min="7176" max="7182" width="11.125" style="2" bestFit="1" customWidth="1"/>
    <col min="7183" max="7183" width="9" style="2"/>
    <col min="7184" max="7184" width="9.625" style="2" bestFit="1" customWidth="1"/>
    <col min="7185" max="7412" width="9" style="2"/>
    <col min="7413" max="7413" width="2.375" style="2" customWidth="1"/>
    <col min="7414" max="7414" width="13.25" style="2" bestFit="1" customWidth="1"/>
    <col min="7415" max="7416" width="11.125" style="2" bestFit="1" customWidth="1"/>
    <col min="7417" max="7417" width="13.25" style="2" bestFit="1" customWidth="1"/>
    <col min="7418" max="7418" width="11.125" style="2" bestFit="1" customWidth="1"/>
    <col min="7419" max="7419" width="9" style="2"/>
    <col min="7420" max="7430" width="11.125" style="2" bestFit="1" customWidth="1"/>
    <col min="7431" max="7431" width="9" style="2"/>
    <col min="7432" max="7438" width="11.125" style="2" bestFit="1" customWidth="1"/>
    <col min="7439" max="7439" width="9" style="2"/>
    <col min="7440" max="7440" width="9.625" style="2" bestFit="1" customWidth="1"/>
    <col min="7441" max="7668" width="9" style="2"/>
    <col min="7669" max="7669" width="2.375" style="2" customWidth="1"/>
    <col min="7670" max="7670" width="13.25" style="2" bestFit="1" customWidth="1"/>
    <col min="7671" max="7672" width="11.125" style="2" bestFit="1" customWidth="1"/>
    <col min="7673" max="7673" width="13.25" style="2" bestFit="1" customWidth="1"/>
    <col min="7674" max="7674" width="11.125" style="2" bestFit="1" customWidth="1"/>
    <col min="7675" max="7675" width="9" style="2"/>
    <col min="7676" max="7686" width="11.125" style="2" bestFit="1" customWidth="1"/>
    <col min="7687" max="7687" width="9" style="2"/>
    <col min="7688" max="7694" width="11.125" style="2" bestFit="1" customWidth="1"/>
    <col min="7695" max="7695" width="9" style="2"/>
    <col min="7696" max="7696" width="9.625" style="2" bestFit="1" customWidth="1"/>
    <col min="7697" max="7924" width="9" style="2"/>
    <col min="7925" max="7925" width="2.375" style="2" customWidth="1"/>
    <col min="7926" max="7926" width="13.25" style="2" bestFit="1" customWidth="1"/>
    <col min="7927" max="7928" width="11.125" style="2" bestFit="1" customWidth="1"/>
    <col min="7929" max="7929" width="13.25" style="2" bestFit="1" customWidth="1"/>
    <col min="7930" max="7930" width="11.125" style="2" bestFit="1" customWidth="1"/>
    <col min="7931" max="7931" width="9" style="2"/>
    <col min="7932" max="7942" width="11.125" style="2" bestFit="1" customWidth="1"/>
    <col min="7943" max="7943" width="9" style="2"/>
    <col min="7944" max="7950" width="11.125" style="2" bestFit="1" customWidth="1"/>
    <col min="7951" max="7951" width="9" style="2"/>
    <col min="7952" max="7952" width="9.625" style="2" bestFit="1" customWidth="1"/>
    <col min="7953" max="8180" width="9" style="2"/>
    <col min="8181" max="8181" width="2.375" style="2" customWidth="1"/>
    <col min="8182" max="8182" width="13.25" style="2" bestFit="1" customWidth="1"/>
    <col min="8183" max="8184" width="11.125" style="2" bestFit="1" customWidth="1"/>
    <col min="8185" max="8185" width="13.25" style="2" bestFit="1" customWidth="1"/>
    <col min="8186" max="8186" width="11.125" style="2" bestFit="1" customWidth="1"/>
    <col min="8187" max="8187" width="9" style="2"/>
    <col min="8188" max="8198" width="11.125" style="2" bestFit="1" customWidth="1"/>
    <col min="8199" max="8199" width="9" style="2"/>
    <col min="8200" max="8206" width="11.125" style="2" bestFit="1" customWidth="1"/>
    <col min="8207" max="8207" width="9" style="2"/>
    <col min="8208" max="8208" width="9.625" style="2" bestFit="1" customWidth="1"/>
    <col min="8209" max="8436" width="9" style="2"/>
    <col min="8437" max="8437" width="2.375" style="2" customWidth="1"/>
    <col min="8438" max="8438" width="13.25" style="2" bestFit="1" customWidth="1"/>
    <col min="8439" max="8440" width="11.125" style="2" bestFit="1" customWidth="1"/>
    <col min="8441" max="8441" width="13.25" style="2" bestFit="1" customWidth="1"/>
    <col min="8442" max="8442" width="11.125" style="2" bestFit="1" customWidth="1"/>
    <col min="8443" max="8443" width="9" style="2"/>
    <col min="8444" max="8454" width="11.125" style="2" bestFit="1" customWidth="1"/>
    <col min="8455" max="8455" width="9" style="2"/>
    <col min="8456" max="8462" width="11.125" style="2" bestFit="1" customWidth="1"/>
    <col min="8463" max="8463" width="9" style="2"/>
    <col min="8464" max="8464" width="9.625" style="2" bestFit="1" customWidth="1"/>
    <col min="8465" max="8692" width="9" style="2"/>
    <col min="8693" max="8693" width="2.375" style="2" customWidth="1"/>
    <col min="8694" max="8694" width="13.25" style="2" bestFit="1" customWidth="1"/>
    <col min="8695" max="8696" width="11.125" style="2" bestFit="1" customWidth="1"/>
    <col min="8697" max="8697" width="13.25" style="2" bestFit="1" customWidth="1"/>
    <col min="8698" max="8698" width="11.125" style="2" bestFit="1" customWidth="1"/>
    <col min="8699" max="8699" width="9" style="2"/>
    <col min="8700" max="8710" width="11.125" style="2" bestFit="1" customWidth="1"/>
    <col min="8711" max="8711" width="9" style="2"/>
    <col min="8712" max="8718" width="11.125" style="2" bestFit="1" customWidth="1"/>
    <col min="8719" max="8719" width="9" style="2"/>
    <col min="8720" max="8720" width="9.625" style="2" bestFit="1" customWidth="1"/>
    <col min="8721" max="8948" width="9" style="2"/>
    <col min="8949" max="8949" width="2.375" style="2" customWidth="1"/>
    <col min="8950" max="8950" width="13.25" style="2" bestFit="1" customWidth="1"/>
    <col min="8951" max="8952" width="11.125" style="2" bestFit="1" customWidth="1"/>
    <col min="8953" max="8953" width="13.25" style="2" bestFit="1" customWidth="1"/>
    <col min="8954" max="8954" width="11.125" style="2" bestFit="1" customWidth="1"/>
    <col min="8955" max="8955" width="9" style="2"/>
    <col min="8956" max="8966" width="11.125" style="2" bestFit="1" customWidth="1"/>
    <col min="8967" max="8967" width="9" style="2"/>
    <col min="8968" max="8974" width="11.125" style="2" bestFit="1" customWidth="1"/>
    <col min="8975" max="8975" width="9" style="2"/>
    <col min="8976" max="8976" width="9.625" style="2" bestFit="1" customWidth="1"/>
    <col min="8977" max="9204" width="9" style="2"/>
    <col min="9205" max="9205" width="2.375" style="2" customWidth="1"/>
    <col min="9206" max="9206" width="13.25" style="2" bestFit="1" customWidth="1"/>
    <col min="9207" max="9208" width="11.125" style="2" bestFit="1" customWidth="1"/>
    <col min="9209" max="9209" width="13.25" style="2" bestFit="1" customWidth="1"/>
    <col min="9210" max="9210" width="11.125" style="2" bestFit="1" customWidth="1"/>
    <col min="9211" max="9211" width="9" style="2"/>
    <col min="9212" max="9222" width="11.125" style="2" bestFit="1" customWidth="1"/>
    <col min="9223" max="9223" width="9" style="2"/>
    <col min="9224" max="9230" width="11.125" style="2" bestFit="1" customWidth="1"/>
    <col min="9231" max="9231" width="9" style="2"/>
    <col min="9232" max="9232" width="9.625" style="2" bestFit="1" customWidth="1"/>
    <col min="9233" max="9460" width="9" style="2"/>
    <col min="9461" max="9461" width="2.375" style="2" customWidth="1"/>
    <col min="9462" max="9462" width="13.25" style="2" bestFit="1" customWidth="1"/>
    <col min="9463" max="9464" width="11.125" style="2" bestFit="1" customWidth="1"/>
    <col min="9465" max="9465" width="13.25" style="2" bestFit="1" customWidth="1"/>
    <col min="9466" max="9466" width="11.125" style="2" bestFit="1" customWidth="1"/>
    <col min="9467" max="9467" width="9" style="2"/>
    <col min="9468" max="9478" width="11.125" style="2" bestFit="1" customWidth="1"/>
    <col min="9479" max="9479" width="9" style="2"/>
    <col min="9480" max="9486" width="11.125" style="2" bestFit="1" customWidth="1"/>
    <col min="9487" max="9487" width="9" style="2"/>
    <col min="9488" max="9488" width="9.625" style="2" bestFit="1" customWidth="1"/>
    <col min="9489" max="9716" width="9" style="2"/>
    <col min="9717" max="9717" width="2.375" style="2" customWidth="1"/>
    <col min="9718" max="9718" width="13.25" style="2" bestFit="1" customWidth="1"/>
    <col min="9719" max="9720" width="11.125" style="2" bestFit="1" customWidth="1"/>
    <col min="9721" max="9721" width="13.25" style="2" bestFit="1" customWidth="1"/>
    <col min="9722" max="9722" width="11.125" style="2" bestFit="1" customWidth="1"/>
    <col min="9723" max="9723" width="9" style="2"/>
    <col min="9724" max="9734" width="11.125" style="2" bestFit="1" customWidth="1"/>
    <col min="9735" max="9735" width="9" style="2"/>
    <col min="9736" max="9742" width="11.125" style="2" bestFit="1" customWidth="1"/>
    <col min="9743" max="9743" width="9" style="2"/>
    <col min="9744" max="9744" width="9.625" style="2" bestFit="1" customWidth="1"/>
    <col min="9745" max="9972" width="9" style="2"/>
    <col min="9973" max="9973" width="2.375" style="2" customWidth="1"/>
    <col min="9974" max="9974" width="13.25" style="2" bestFit="1" customWidth="1"/>
    <col min="9975" max="9976" width="11.125" style="2" bestFit="1" customWidth="1"/>
    <col min="9977" max="9977" width="13.25" style="2" bestFit="1" customWidth="1"/>
    <col min="9978" max="9978" width="11.125" style="2" bestFit="1" customWidth="1"/>
    <col min="9979" max="9979" width="9" style="2"/>
    <col min="9980" max="9990" width="11.125" style="2" bestFit="1" customWidth="1"/>
    <col min="9991" max="9991" width="9" style="2"/>
    <col min="9992" max="9998" width="11.125" style="2" bestFit="1" customWidth="1"/>
    <col min="9999" max="9999" width="9" style="2"/>
    <col min="10000" max="10000" width="9.625" style="2" bestFit="1" customWidth="1"/>
    <col min="10001" max="10228" width="9" style="2"/>
    <col min="10229" max="10229" width="2.375" style="2" customWidth="1"/>
    <col min="10230" max="10230" width="13.25" style="2" bestFit="1" customWidth="1"/>
    <col min="10231" max="10232" width="11.125" style="2" bestFit="1" customWidth="1"/>
    <col min="10233" max="10233" width="13.25" style="2" bestFit="1" customWidth="1"/>
    <col min="10234" max="10234" width="11.125" style="2" bestFit="1" customWidth="1"/>
    <col min="10235" max="10235" width="9" style="2"/>
    <col min="10236" max="10246" width="11.125" style="2" bestFit="1" customWidth="1"/>
    <col min="10247" max="10247" width="9" style="2"/>
    <col min="10248" max="10254" width="11.125" style="2" bestFit="1" customWidth="1"/>
    <col min="10255" max="10255" width="9" style="2"/>
    <col min="10256" max="10256" width="9.625" style="2" bestFit="1" customWidth="1"/>
    <col min="10257" max="10484" width="9" style="2"/>
    <col min="10485" max="10485" width="2.375" style="2" customWidth="1"/>
    <col min="10486" max="10486" width="13.25" style="2" bestFit="1" customWidth="1"/>
    <col min="10487" max="10488" width="11.125" style="2" bestFit="1" customWidth="1"/>
    <col min="10489" max="10489" width="13.25" style="2" bestFit="1" customWidth="1"/>
    <col min="10490" max="10490" width="11.125" style="2" bestFit="1" customWidth="1"/>
    <col min="10491" max="10491" width="9" style="2"/>
    <col min="10492" max="10502" width="11.125" style="2" bestFit="1" customWidth="1"/>
    <col min="10503" max="10503" width="9" style="2"/>
    <col min="10504" max="10510" width="11.125" style="2" bestFit="1" customWidth="1"/>
    <col min="10511" max="10511" width="9" style="2"/>
    <col min="10512" max="10512" width="9.625" style="2" bestFit="1" customWidth="1"/>
    <col min="10513" max="10740" width="9" style="2"/>
    <col min="10741" max="10741" width="2.375" style="2" customWidth="1"/>
    <col min="10742" max="10742" width="13.25" style="2" bestFit="1" customWidth="1"/>
    <col min="10743" max="10744" width="11.125" style="2" bestFit="1" customWidth="1"/>
    <col min="10745" max="10745" width="13.25" style="2" bestFit="1" customWidth="1"/>
    <col min="10746" max="10746" width="11.125" style="2" bestFit="1" customWidth="1"/>
    <col min="10747" max="10747" width="9" style="2"/>
    <col min="10748" max="10758" width="11.125" style="2" bestFit="1" customWidth="1"/>
    <col min="10759" max="10759" width="9" style="2"/>
    <col min="10760" max="10766" width="11.125" style="2" bestFit="1" customWidth="1"/>
    <col min="10767" max="10767" width="9" style="2"/>
    <col min="10768" max="10768" width="9.625" style="2" bestFit="1" customWidth="1"/>
    <col min="10769" max="10996" width="9" style="2"/>
    <col min="10997" max="10997" width="2.375" style="2" customWidth="1"/>
    <col min="10998" max="10998" width="13.25" style="2" bestFit="1" customWidth="1"/>
    <col min="10999" max="11000" width="11.125" style="2" bestFit="1" customWidth="1"/>
    <col min="11001" max="11001" width="13.25" style="2" bestFit="1" customWidth="1"/>
    <col min="11002" max="11002" width="11.125" style="2" bestFit="1" customWidth="1"/>
    <col min="11003" max="11003" width="9" style="2"/>
    <col min="11004" max="11014" width="11.125" style="2" bestFit="1" customWidth="1"/>
    <col min="11015" max="11015" width="9" style="2"/>
    <col min="11016" max="11022" width="11.125" style="2" bestFit="1" customWidth="1"/>
    <col min="11023" max="11023" width="9" style="2"/>
    <col min="11024" max="11024" width="9.625" style="2" bestFit="1" customWidth="1"/>
    <col min="11025" max="11252" width="9" style="2"/>
    <col min="11253" max="11253" width="2.375" style="2" customWidth="1"/>
    <col min="11254" max="11254" width="13.25" style="2" bestFit="1" customWidth="1"/>
    <col min="11255" max="11256" width="11.125" style="2" bestFit="1" customWidth="1"/>
    <col min="11257" max="11257" width="13.25" style="2" bestFit="1" customWidth="1"/>
    <col min="11258" max="11258" width="11.125" style="2" bestFit="1" customWidth="1"/>
    <col min="11259" max="11259" width="9" style="2"/>
    <col min="11260" max="11270" width="11.125" style="2" bestFit="1" customWidth="1"/>
    <col min="11271" max="11271" width="9" style="2"/>
    <col min="11272" max="11278" width="11.125" style="2" bestFit="1" customWidth="1"/>
    <col min="11279" max="11279" width="9" style="2"/>
    <col min="11280" max="11280" width="9.625" style="2" bestFit="1" customWidth="1"/>
    <col min="11281" max="11508" width="9" style="2"/>
    <col min="11509" max="11509" width="2.375" style="2" customWidth="1"/>
    <col min="11510" max="11510" width="13.25" style="2" bestFit="1" customWidth="1"/>
    <col min="11511" max="11512" width="11.125" style="2" bestFit="1" customWidth="1"/>
    <col min="11513" max="11513" width="13.25" style="2" bestFit="1" customWidth="1"/>
    <col min="11514" max="11514" width="11.125" style="2" bestFit="1" customWidth="1"/>
    <col min="11515" max="11515" width="9" style="2"/>
    <col min="11516" max="11526" width="11.125" style="2" bestFit="1" customWidth="1"/>
    <col min="11527" max="11527" width="9" style="2"/>
    <col min="11528" max="11534" width="11.125" style="2" bestFit="1" customWidth="1"/>
    <col min="11535" max="11535" width="9" style="2"/>
    <col min="11536" max="11536" width="9.625" style="2" bestFit="1" customWidth="1"/>
    <col min="11537" max="11764" width="9" style="2"/>
    <col min="11765" max="11765" width="2.375" style="2" customWidth="1"/>
    <col min="11766" max="11766" width="13.25" style="2" bestFit="1" customWidth="1"/>
    <col min="11767" max="11768" width="11.125" style="2" bestFit="1" customWidth="1"/>
    <col min="11769" max="11769" width="13.25" style="2" bestFit="1" customWidth="1"/>
    <col min="11770" max="11770" width="11.125" style="2" bestFit="1" customWidth="1"/>
    <col min="11771" max="11771" width="9" style="2"/>
    <col min="11772" max="11782" width="11.125" style="2" bestFit="1" customWidth="1"/>
    <col min="11783" max="11783" width="9" style="2"/>
    <col min="11784" max="11790" width="11.125" style="2" bestFit="1" customWidth="1"/>
    <col min="11791" max="11791" width="9" style="2"/>
    <col min="11792" max="11792" width="9.625" style="2" bestFit="1" customWidth="1"/>
    <col min="11793" max="12020" width="9" style="2"/>
    <col min="12021" max="12021" width="2.375" style="2" customWidth="1"/>
    <col min="12022" max="12022" width="13.25" style="2" bestFit="1" customWidth="1"/>
    <col min="12023" max="12024" width="11.125" style="2" bestFit="1" customWidth="1"/>
    <col min="12025" max="12025" width="13.25" style="2" bestFit="1" customWidth="1"/>
    <col min="12026" max="12026" width="11.125" style="2" bestFit="1" customWidth="1"/>
    <col min="12027" max="12027" width="9" style="2"/>
    <col min="12028" max="12038" width="11.125" style="2" bestFit="1" customWidth="1"/>
    <col min="12039" max="12039" width="9" style="2"/>
    <col min="12040" max="12046" width="11.125" style="2" bestFit="1" customWidth="1"/>
    <col min="12047" max="12047" width="9" style="2"/>
    <col min="12048" max="12048" width="9.625" style="2" bestFit="1" customWidth="1"/>
    <col min="12049" max="12276" width="9" style="2"/>
    <col min="12277" max="12277" width="2.375" style="2" customWidth="1"/>
    <col min="12278" max="12278" width="13.25" style="2" bestFit="1" customWidth="1"/>
    <col min="12279" max="12280" width="11.125" style="2" bestFit="1" customWidth="1"/>
    <col min="12281" max="12281" width="13.25" style="2" bestFit="1" customWidth="1"/>
    <col min="12282" max="12282" width="11.125" style="2" bestFit="1" customWidth="1"/>
    <col min="12283" max="12283" width="9" style="2"/>
    <col min="12284" max="12294" width="11.125" style="2" bestFit="1" customWidth="1"/>
    <col min="12295" max="12295" width="9" style="2"/>
    <col min="12296" max="12302" width="11.125" style="2" bestFit="1" customWidth="1"/>
    <col min="12303" max="12303" width="9" style="2"/>
    <col min="12304" max="12304" width="9.625" style="2" bestFit="1" customWidth="1"/>
    <col min="12305" max="12532" width="9" style="2"/>
    <col min="12533" max="12533" width="2.375" style="2" customWidth="1"/>
    <col min="12534" max="12534" width="13.25" style="2" bestFit="1" customWidth="1"/>
    <col min="12535" max="12536" width="11.125" style="2" bestFit="1" customWidth="1"/>
    <col min="12537" max="12537" width="13.25" style="2" bestFit="1" customWidth="1"/>
    <col min="12538" max="12538" width="11.125" style="2" bestFit="1" customWidth="1"/>
    <col min="12539" max="12539" width="9" style="2"/>
    <col min="12540" max="12550" width="11.125" style="2" bestFit="1" customWidth="1"/>
    <col min="12551" max="12551" width="9" style="2"/>
    <col min="12552" max="12558" width="11.125" style="2" bestFit="1" customWidth="1"/>
    <col min="12559" max="12559" width="9" style="2"/>
    <col min="12560" max="12560" width="9.625" style="2" bestFit="1" customWidth="1"/>
    <col min="12561" max="12788" width="9" style="2"/>
    <col min="12789" max="12789" width="2.375" style="2" customWidth="1"/>
    <col min="12790" max="12790" width="13.25" style="2" bestFit="1" customWidth="1"/>
    <col min="12791" max="12792" width="11.125" style="2" bestFit="1" customWidth="1"/>
    <col min="12793" max="12793" width="13.25" style="2" bestFit="1" customWidth="1"/>
    <col min="12794" max="12794" width="11.125" style="2" bestFit="1" customWidth="1"/>
    <col min="12795" max="12795" width="9" style="2"/>
    <col min="12796" max="12806" width="11.125" style="2" bestFit="1" customWidth="1"/>
    <col min="12807" max="12807" width="9" style="2"/>
    <col min="12808" max="12814" width="11.125" style="2" bestFit="1" customWidth="1"/>
    <col min="12815" max="12815" width="9" style="2"/>
    <col min="12816" max="12816" width="9.625" style="2" bestFit="1" customWidth="1"/>
    <col min="12817" max="13044" width="9" style="2"/>
    <col min="13045" max="13045" width="2.375" style="2" customWidth="1"/>
    <col min="13046" max="13046" width="13.25" style="2" bestFit="1" customWidth="1"/>
    <col min="13047" max="13048" width="11.125" style="2" bestFit="1" customWidth="1"/>
    <col min="13049" max="13049" width="13.25" style="2" bestFit="1" customWidth="1"/>
    <col min="13050" max="13050" width="11.125" style="2" bestFit="1" customWidth="1"/>
    <col min="13051" max="13051" width="9" style="2"/>
    <col min="13052" max="13062" width="11.125" style="2" bestFit="1" customWidth="1"/>
    <col min="13063" max="13063" width="9" style="2"/>
    <col min="13064" max="13070" width="11.125" style="2" bestFit="1" customWidth="1"/>
    <col min="13071" max="13071" width="9" style="2"/>
    <col min="13072" max="13072" width="9.625" style="2" bestFit="1" customWidth="1"/>
    <col min="13073" max="13300" width="9" style="2"/>
    <col min="13301" max="13301" width="2.375" style="2" customWidth="1"/>
    <col min="13302" max="13302" width="13.25" style="2" bestFit="1" customWidth="1"/>
    <col min="13303" max="13304" width="11.125" style="2" bestFit="1" customWidth="1"/>
    <col min="13305" max="13305" width="13.25" style="2" bestFit="1" customWidth="1"/>
    <col min="13306" max="13306" width="11.125" style="2" bestFit="1" customWidth="1"/>
    <col min="13307" max="13307" width="9" style="2"/>
    <col min="13308" max="13318" width="11.125" style="2" bestFit="1" customWidth="1"/>
    <col min="13319" max="13319" width="9" style="2"/>
    <col min="13320" max="13326" width="11.125" style="2" bestFit="1" customWidth="1"/>
    <col min="13327" max="13327" width="9" style="2"/>
    <col min="13328" max="13328" width="9.625" style="2" bestFit="1" customWidth="1"/>
    <col min="13329" max="13556" width="9" style="2"/>
    <col min="13557" max="13557" width="2.375" style="2" customWidth="1"/>
    <col min="13558" max="13558" width="13.25" style="2" bestFit="1" customWidth="1"/>
    <col min="13559" max="13560" width="11.125" style="2" bestFit="1" customWidth="1"/>
    <col min="13561" max="13561" width="13.25" style="2" bestFit="1" customWidth="1"/>
    <col min="13562" max="13562" width="11.125" style="2" bestFit="1" customWidth="1"/>
    <col min="13563" max="13563" width="9" style="2"/>
    <col min="13564" max="13574" width="11.125" style="2" bestFit="1" customWidth="1"/>
    <col min="13575" max="13575" width="9" style="2"/>
    <col min="13576" max="13582" width="11.125" style="2" bestFit="1" customWidth="1"/>
    <col min="13583" max="13583" width="9" style="2"/>
    <col min="13584" max="13584" width="9.625" style="2" bestFit="1" customWidth="1"/>
    <col min="13585" max="13812" width="9" style="2"/>
    <col min="13813" max="13813" width="2.375" style="2" customWidth="1"/>
    <col min="13814" max="13814" width="13.25" style="2" bestFit="1" customWidth="1"/>
    <col min="13815" max="13816" width="11.125" style="2" bestFit="1" customWidth="1"/>
    <col min="13817" max="13817" width="13.25" style="2" bestFit="1" customWidth="1"/>
    <col min="13818" max="13818" width="11.125" style="2" bestFit="1" customWidth="1"/>
    <col min="13819" max="13819" width="9" style="2"/>
    <col min="13820" max="13830" width="11.125" style="2" bestFit="1" customWidth="1"/>
    <col min="13831" max="13831" width="9" style="2"/>
    <col min="13832" max="13838" width="11.125" style="2" bestFit="1" customWidth="1"/>
    <col min="13839" max="13839" width="9" style="2"/>
    <col min="13840" max="13840" width="9.625" style="2" bestFit="1" customWidth="1"/>
    <col min="13841" max="14068" width="9" style="2"/>
    <col min="14069" max="14069" width="2.375" style="2" customWidth="1"/>
    <col min="14070" max="14070" width="13.25" style="2" bestFit="1" customWidth="1"/>
    <col min="14071" max="14072" width="11.125" style="2" bestFit="1" customWidth="1"/>
    <col min="14073" max="14073" width="13.25" style="2" bestFit="1" customWidth="1"/>
    <col min="14074" max="14074" width="11.125" style="2" bestFit="1" customWidth="1"/>
    <col min="14075" max="14075" width="9" style="2"/>
    <col min="14076" max="14086" width="11.125" style="2" bestFit="1" customWidth="1"/>
    <col min="14087" max="14087" width="9" style="2"/>
    <col min="14088" max="14094" width="11.125" style="2" bestFit="1" customWidth="1"/>
    <col min="14095" max="14095" width="9" style="2"/>
    <col min="14096" max="14096" width="9.625" style="2" bestFit="1" customWidth="1"/>
    <col min="14097" max="14324" width="9" style="2"/>
    <col min="14325" max="14325" width="2.375" style="2" customWidth="1"/>
    <col min="14326" max="14326" width="13.25" style="2" bestFit="1" customWidth="1"/>
    <col min="14327" max="14328" width="11.125" style="2" bestFit="1" customWidth="1"/>
    <col min="14329" max="14329" width="13.25" style="2" bestFit="1" customWidth="1"/>
    <col min="14330" max="14330" width="11.125" style="2" bestFit="1" customWidth="1"/>
    <col min="14331" max="14331" width="9" style="2"/>
    <col min="14332" max="14342" width="11.125" style="2" bestFit="1" customWidth="1"/>
    <col min="14343" max="14343" width="9" style="2"/>
    <col min="14344" max="14350" width="11.125" style="2" bestFit="1" customWidth="1"/>
    <col min="14351" max="14351" width="9" style="2"/>
    <col min="14352" max="14352" width="9.625" style="2" bestFit="1" customWidth="1"/>
    <col min="14353" max="14580" width="9" style="2"/>
    <col min="14581" max="14581" width="2.375" style="2" customWidth="1"/>
    <col min="14582" max="14582" width="13.25" style="2" bestFit="1" customWidth="1"/>
    <col min="14583" max="14584" width="11.125" style="2" bestFit="1" customWidth="1"/>
    <col min="14585" max="14585" width="13.25" style="2" bestFit="1" customWidth="1"/>
    <col min="14586" max="14586" width="11.125" style="2" bestFit="1" customWidth="1"/>
    <col min="14587" max="14587" width="9" style="2"/>
    <col min="14588" max="14598" width="11.125" style="2" bestFit="1" customWidth="1"/>
    <col min="14599" max="14599" width="9" style="2"/>
    <col min="14600" max="14606" width="11.125" style="2" bestFit="1" customWidth="1"/>
    <col min="14607" max="14607" width="9" style="2"/>
    <col min="14608" max="14608" width="9.625" style="2" bestFit="1" customWidth="1"/>
    <col min="14609" max="14836" width="9" style="2"/>
    <col min="14837" max="14837" width="2.375" style="2" customWidth="1"/>
    <col min="14838" max="14838" width="13.25" style="2" bestFit="1" customWidth="1"/>
    <col min="14839" max="14840" width="11.125" style="2" bestFit="1" customWidth="1"/>
    <col min="14841" max="14841" width="13.25" style="2" bestFit="1" customWidth="1"/>
    <col min="14842" max="14842" width="11.125" style="2" bestFit="1" customWidth="1"/>
    <col min="14843" max="14843" width="9" style="2"/>
    <col min="14844" max="14854" width="11.125" style="2" bestFit="1" customWidth="1"/>
    <col min="14855" max="14855" width="9" style="2"/>
    <col min="14856" max="14862" width="11.125" style="2" bestFit="1" customWidth="1"/>
    <col min="14863" max="14863" width="9" style="2"/>
    <col min="14864" max="14864" width="9.625" style="2" bestFit="1" customWidth="1"/>
    <col min="14865" max="15092" width="9" style="2"/>
    <col min="15093" max="15093" width="2.375" style="2" customWidth="1"/>
    <col min="15094" max="15094" width="13.25" style="2" bestFit="1" customWidth="1"/>
    <col min="15095" max="15096" width="11.125" style="2" bestFit="1" customWidth="1"/>
    <col min="15097" max="15097" width="13.25" style="2" bestFit="1" customWidth="1"/>
    <col min="15098" max="15098" width="11.125" style="2" bestFit="1" customWidth="1"/>
    <col min="15099" max="15099" width="9" style="2"/>
    <col min="15100" max="15110" width="11.125" style="2" bestFit="1" customWidth="1"/>
    <col min="15111" max="15111" width="9" style="2"/>
    <col min="15112" max="15118" width="11.125" style="2" bestFit="1" customWidth="1"/>
    <col min="15119" max="15119" width="9" style="2"/>
    <col min="15120" max="15120" width="9.625" style="2" bestFit="1" customWidth="1"/>
    <col min="15121" max="15348" width="9" style="2"/>
    <col min="15349" max="15349" width="2.375" style="2" customWidth="1"/>
    <col min="15350" max="15350" width="13.25" style="2" bestFit="1" customWidth="1"/>
    <col min="15351" max="15352" width="11.125" style="2" bestFit="1" customWidth="1"/>
    <col min="15353" max="15353" width="13.25" style="2" bestFit="1" customWidth="1"/>
    <col min="15354" max="15354" width="11.125" style="2" bestFit="1" customWidth="1"/>
    <col min="15355" max="15355" width="9" style="2"/>
    <col min="15356" max="15366" width="11.125" style="2" bestFit="1" customWidth="1"/>
    <col min="15367" max="15367" width="9" style="2"/>
    <col min="15368" max="15374" width="11.125" style="2" bestFit="1" customWidth="1"/>
    <col min="15375" max="15375" width="9" style="2"/>
    <col min="15376" max="15376" width="9.625" style="2" bestFit="1" customWidth="1"/>
    <col min="15377" max="15604" width="9" style="2"/>
    <col min="15605" max="15605" width="2.375" style="2" customWidth="1"/>
    <col min="15606" max="15606" width="13.25" style="2" bestFit="1" customWidth="1"/>
    <col min="15607" max="15608" width="11.125" style="2" bestFit="1" customWidth="1"/>
    <col min="15609" max="15609" width="13.25" style="2" bestFit="1" customWidth="1"/>
    <col min="15610" max="15610" width="11.125" style="2" bestFit="1" customWidth="1"/>
    <col min="15611" max="15611" width="9" style="2"/>
    <col min="15612" max="15622" width="11.125" style="2" bestFit="1" customWidth="1"/>
    <col min="15623" max="15623" width="9" style="2"/>
    <col min="15624" max="15630" width="11.125" style="2" bestFit="1" customWidth="1"/>
    <col min="15631" max="15631" width="9" style="2"/>
    <col min="15632" max="15632" width="9.625" style="2" bestFit="1" customWidth="1"/>
    <col min="15633" max="15860" width="9" style="2"/>
    <col min="15861" max="15861" width="2.375" style="2" customWidth="1"/>
    <col min="15862" max="15862" width="13.25" style="2" bestFit="1" customWidth="1"/>
    <col min="15863" max="15864" width="11.125" style="2" bestFit="1" customWidth="1"/>
    <col min="15865" max="15865" width="13.25" style="2" bestFit="1" customWidth="1"/>
    <col min="15866" max="15866" width="11.125" style="2" bestFit="1" customWidth="1"/>
    <col min="15867" max="15867" width="9" style="2"/>
    <col min="15868" max="15878" width="11.125" style="2" bestFit="1" customWidth="1"/>
    <col min="15879" max="15879" width="9" style="2"/>
    <col min="15880" max="15886" width="11.125" style="2" bestFit="1" customWidth="1"/>
    <col min="15887" max="15887" width="9" style="2"/>
    <col min="15888" max="15888" width="9.625" style="2" bestFit="1" customWidth="1"/>
    <col min="15889" max="16116" width="9" style="2"/>
    <col min="16117" max="16117" width="2.375" style="2" customWidth="1"/>
    <col min="16118" max="16118" width="13.25" style="2" bestFit="1" customWidth="1"/>
    <col min="16119" max="16120" width="11.125" style="2" bestFit="1" customWidth="1"/>
    <col min="16121" max="16121" width="13.25" style="2" bestFit="1" customWidth="1"/>
    <col min="16122" max="16122" width="11.125" style="2" bestFit="1" customWidth="1"/>
    <col min="16123" max="16123" width="9" style="2"/>
    <col min="16124" max="16134" width="11.125" style="2" bestFit="1" customWidth="1"/>
    <col min="16135" max="16135" width="9" style="2"/>
    <col min="16136" max="16142" width="11.125" style="2" bestFit="1" customWidth="1"/>
    <col min="16143" max="16143" width="9" style="2"/>
    <col min="16144" max="16144" width="9.625" style="2" bestFit="1" customWidth="1"/>
    <col min="16145" max="16384" width="9" style="2"/>
  </cols>
  <sheetData>
    <row r="1" spans="1:19">
      <c r="A1" s="1" t="s">
        <v>0</v>
      </c>
    </row>
    <row r="2" spans="1:19" ht="19.5" thickBot="1">
      <c r="A2" s="1" t="s">
        <v>1</v>
      </c>
    </row>
    <row r="3" spans="1:19">
      <c r="B3" s="5"/>
      <c r="C3" s="17" t="s">
        <v>2</v>
      </c>
      <c r="D3" s="18" t="s">
        <v>3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18" t="s">
        <v>13</v>
      </c>
      <c r="M3" s="18" t="s">
        <v>15</v>
      </c>
      <c r="N3" s="18" t="s">
        <v>16</v>
      </c>
      <c r="O3" s="18" t="s">
        <v>17</v>
      </c>
      <c r="P3" s="18" t="s">
        <v>18</v>
      </c>
      <c r="Q3" s="18" t="s">
        <v>19</v>
      </c>
      <c r="R3" s="77" t="s">
        <v>20</v>
      </c>
      <c r="S3" s="105" t="s">
        <v>100</v>
      </c>
    </row>
    <row r="4" spans="1:19" ht="19.5" thickBot="1">
      <c r="B4" s="4" t="s">
        <v>27</v>
      </c>
      <c r="C4" s="20" t="s">
        <v>28</v>
      </c>
      <c r="D4" s="21" t="s">
        <v>29</v>
      </c>
      <c r="E4" s="21" t="s">
        <v>32</v>
      </c>
      <c r="F4" s="21" t="s">
        <v>33</v>
      </c>
      <c r="G4" s="21" t="s">
        <v>34</v>
      </c>
      <c r="H4" s="21" t="s">
        <v>35</v>
      </c>
      <c r="I4" s="21" t="s">
        <v>36</v>
      </c>
      <c r="J4" s="21" t="s">
        <v>37</v>
      </c>
      <c r="K4" s="21" t="s">
        <v>38</v>
      </c>
      <c r="L4" s="21" t="s">
        <v>39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R4" s="78" t="s">
        <v>46</v>
      </c>
      <c r="S4" s="106" t="s">
        <v>102</v>
      </c>
    </row>
    <row r="5" spans="1:19">
      <c r="A5" s="1" t="s">
        <v>54</v>
      </c>
      <c r="B5" s="62" t="s">
        <v>55</v>
      </c>
      <c r="C5" s="63">
        <v>19</v>
      </c>
      <c r="D5" s="64">
        <v>18</v>
      </c>
      <c r="E5" s="64">
        <v>20</v>
      </c>
      <c r="F5" s="64">
        <v>19</v>
      </c>
      <c r="G5" s="64">
        <v>0</v>
      </c>
      <c r="H5" s="64">
        <v>19</v>
      </c>
      <c r="I5" s="64">
        <v>20</v>
      </c>
      <c r="J5" s="64">
        <v>19</v>
      </c>
      <c r="K5" s="64">
        <v>20</v>
      </c>
      <c r="L5" s="64">
        <v>14</v>
      </c>
      <c r="M5" s="64">
        <v>20</v>
      </c>
      <c r="N5" s="64">
        <v>20</v>
      </c>
      <c r="O5" s="64">
        <v>20</v>
      </c>
      <c r="P5" s="64">
        <v>20</v>
      </c>
      <c r="Q5" s="64">
        <v>18</v>
      </c>
      <c r="R5" s="79">
        <v>20</v>
      </c>
      <c r="S5" s="107">
        <f>SUM(C5:R5)</f>
        <v>286</v>
      </c>
    </row>
    <row r="6" spans="1:19">
      <c r="A6" s="1" t="s">
        <v>54</v>
      </c>
      <c r="B6" s="52" t="s">
        <v>56</v>
      </c>
      <c r="C6" s="67">
        <v>3</v>
      </c>
      <c r="D6" s="68">
        <v>2</v>
      </c>
      <c r="E6" s="68">
        <v>1</v>
      </c>
      <c r="F6" s="68">
        <v>1</v>
      </c>
      <c r="G6" s="68">
        <v>0</v>
      </c>
      <c r="H6" s="68">
        <v>1</v>
      </c>
      <c r="I6" s="68">
        <v>2</v>
      </c>
      <c r="J6" s="68">
        <v>3</v>
      </c>
      <c r="K6" s="68">
        <v>2</v>
      </c>
      <c r="L6" s="68">
        <v>1</v>
      </c>
      <c r="M6" s="68">
        <v>3</v>
      </c>
      <c r="N6" s="68">
        <v>3</v>
      </c>
      <c r="O6" s="68">
        <v>1</v>
      </c>
      <c r="P6" s="68">
        <v>1</v>
      </c>
      <c r="Q6" s="68">
        <v>3</v>
      </c>
      <c r="R6" s="80">
        <v>1</v>
      </c>
      <c r="S6" s="108">
        <f t="shared" ref="S6:S51" si="0">SUM(C6:R6)</f>
        <v>28</v>
      </c>
    </row>
    <row r="7" spans="1:19">
      <c r="A7" s="1" t="s">
        <v>54</v>
      </c>
      <c r="B7" s="52" t="s">
        <v>57</v>
      </c>
      <c r="C7" s="67">
        <v>1</v>
      </c>
      <c r="D7" s="68">
        <v>5</v>
      </c>
      <c r="E7" s="68">
        <v>2</v>
      </c>
      <c r="F7" s="68">
        <v>2</v>
      </c>
      <c r="G7" s="68">
        <v>0</v>
      </c>
      <c r="H7" s="68">
        <v>2</v>
      </c>
      <c r="I7" s="68">
        <v>1</v>
      </c>
      <c r="J7" s="68">
        <v>2</v>
      </c>
      <c r="K7" s="68">
        <v>2</v>
      </c>
      <c r="L7" s="68">
        <v>3</v>
      </c>
      <c r="M7" s="68">
        <v>0</v>
      </c>
      <c r="N7" s="68">
        <v>3</v>
      </c>
      <c r="O7" s="68">
        <v>3</v>
      </c>
      <c r="P7" s="68">
        <v>4</v>
      </c>
      <c r="Q7" s="68">
        <v>2</v>
      </c>
      <c r="R7" s="80">
        <v>1</v>
      </c>
      <c r="S7" s="108">
        <f t="shared" si="0"/>
        <v>33</v>
      </c>
    </row>
    <row r="8" spans="1:19">
      <c r="A8" s="1" t="s">
        <v>54</v>
      </c>
      <c r="B8" s="52" t="s">
        <v>58</v>
      </c>
      <c r="C8" s="67">
        <v>1</v>
      </c>
      <c r="D8" s="68">
        <v>2</v>
      </c>
      <c r="E8" s="68">
        <v>0</v>
      </c>
      <c r="F8" s="68">
        <v>1</v>
      </c>
      <c r="G8" s="68">
        <v>0</v>
      </c>
      <c r="H8" s="68">
        <v>1</v>
      </c>
      <c r="I8" s="68">
        <v>0</v>
      </c>
      <c r="J8" s="68">
        <v>1</v>
      </c>
      <c r="K8" s="68">
        <v>0</v>
      </c>
      <c r="L8" s="68">
        <v>6</v>
      </c>
      <c r="M8" s="68">
        <v>0</v>
      </c>
      <c r="N8" s="68">
        <v>0</v>
      </c>
      <c r="O8" s="68">
        <v>0</v>
      </c>
      <c r="P8" s="68">
        <v>0</v>
      </c>
      <c r="Q8" s="68">
        <v>2</v>
      </c>
      <c r="R8" s="80">
        <v>0</v>
      </c>
      <c r="S8" s="108">
        <f t="shared" si="0"/>
        <v>14</v>
      </c>
    </row>
    <row r="9" spans="1:19">
      <c r="A9" s="1" t="s">
        <v>54</v>
      </c>
      <c r="B9" s="52" t="s">
        <v>59</v>
      </c>
      <c r="C9" s="67">
        <v>0</v>
      </c>
      <c r="D9" s="68">
        <v>0</v>
      </c>
      <c r="E9" s="68">
        <v>0</v>
      </c>
      <c r="F9" s="68">
        <v>0</v>
      </c>
      <c r="G9" s="68">
        <v>20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80">
        <v>0</v>
      </c>
      <c r="S9" s="108">
        <f t="shared" si="0"/>
        <v>20</v>
      </c>
    </row>
    <row r="10" spans="1:19">
      <c r="A10" s="1" t="s">
        <v>54</v>
      </c>
      <c r="B10" s="52" t="s">
        <v>60</v>
      </c>
      <c r="C10" s="71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81">
        <v>0</v>
      </c>
      <c r="S10" s="109">
        <f t="shared" si="0"/>
        <v>0</v>
      </c>
    </row>
    <row r="11" spans="1:19">
      <c r="A11" s="1" t="s">
        <v>54</v>
      </c>
      <c r="B11" s="52" t="s">
        <v>61</v>
      </c>
      <c r="C11" s="71">
        <v>0.75</v>
      </c>
      <c r="D11" s="72">
        <v>1.0833333333333333</v>
      </c>
      <c r="E11" s="72">
        <v>2.125</v>
      </c>
      <c r="F11" s="72">
        <v>2.5833333333333335</v>
      </c>
      <c r="G11" s="72">
        <v>0</v>
      </c>
      <c r="H11" s="72">
        <v>1.9583333333333335</v>
      </c>
      <c r="I11" s="72">
        <v>1.9583333333333335</v>
      </c>
      <c r="J11" s="72">
        <v>1.7083333333333335</v>
      </c>
      <c r="K11" s="72">
        <v>1.6666666666666665</v>
      </c>
      <c r="L11" s="72">
        <v>1.1666666666666667</v>
      </c>
      <c r="M11" s="72">
        <v>3.125</v>
      </c>
      <c r="N11" s="72">
        <v>1.2083333333333333</v>
      </c>
      <c r="O11" s="72">
        <v>3.25</v>
      </c>
      <c r="P11" s="72">
        <v>1.7083333333333335</v>
      </c>
      <c r="Q11" s="72">
        <v>1.1666666666666667</v>
      </c>
      <c r="R11" s="81">
        <v>1.8333333333333335</v>
      </c>
      <c r="S11" s="109">
        <f t="shared" si="0"/>
        <v>27.291666666666664</v>
      </c>
    </row>
    <row r="12" spans="1:19">
      <c r="A12" s="1" t="s">
        <v>54</v>
      </c>
      <c r="B12" s="52" t="s">
        <v>62</v>
      </c>
      <c r="C12" s="71">
        <v>1</v>
      </c>
      <c r="D12" s="72">
        <v>0.75</v>
      </c>
      <c r="E12" s="72">
        <v>0.5</v>
      </c>
      <c r="F12" s="72">
        <v>0.29166666666666669</v>
      </c>
      <c r="G12" s="72">
        <v>0</v>
      </c>
      <c r="H12" s="72">
        <v>0.45833333333333331</v>
      </c>
      <c r="I12" s="72">
        <v>0.58333333333333337</v>
      </c>
      <c r="J12" s="72">
        <v>1.0833333333333333</v>
      </c>
      <c r="K12" s="72">
        <v>0.70833333333333337</v>
      </c>
      <c r="L12" s="72">
        <v>0.54166666666666663</v>
      </c>
      <c r="M12" s="72">
        <v>1.2916666666666667</v>
      </c>
      <c r="N12" s="72">
        <v>1.0833333333333333</v>
      </c>
      <c r="O12" s="72">
        <v>0.45833333333333331</v>
      </c>
      <c r="P12" s="72">
        <v>0.375</v>
      </c>
      <c r="Q12" s="72">
        <v>1.0416666666666667</v>
      </c>
      <c r="R12" s="81">
        <v>0.375</v>
      </c>
      <c r="S12" s="109">
        <f t="shared" si="0"/>
        <v>10.541666666666668</v>
      </c>
    </row>
    <row r="13" spans="1:19">
      <c r="A13" s="1" t="s">
        <v>54</v>
      </c>
      <c r="B13" s="52" t="s">
        <v>63</v>
      </c>
      <c r="C13" s="71">
        <v>0.41666666666666669</v>
      </c>
      <c r="D13" s="72">
        <v>1.75</v>
      </c>
      <c r="E13" s="72">
        <v>0.95833333333333337</v>
      </c>
      <c r="F13" s="72">
        <v>0.83333333333333337</v>
      </c>
      <c r="G13" s="72">
        <v>0</v>
      </c>
      <c r="H13" s="72">
        <v>0.79166666666666663</v>
      </c>
      <c r="I13" s="72">
        <v>0.33333333333333331</v>
      </c>
      <c r="J13" s="72">
        <v>0.70833333333333337</v>
      </c>
      <c r="K13" s="72">
        <v>0.66666666666666663</v>
      </c>
      <c r="L13" s="72">
        <v>0.95833333333333337</v>
      </c>
      <c r="M13" s="72">
        <v>0</v>
      </c>
      <c r="N13" s="72">
        <v>0.70833333333333337</v>
      </c>
      <c r="O13" s="72">
        <v>0.95833333333333337</v>
      </c>
      <c r="P13" s="72">
        <v>1.2916666666666667</v>
      </c>
      <c r="Q13" s="72">
        <v>0.58333333333333337</v>
      </c>
      <c r="R13" s="81">
        <v>0.33333333333333331</v>
      </c>
      <c r="S13" s="109">
        <f t="shared" si="0"/>
        <v>11.291666666666668</v>
      </c>
    </row>
    <row r="14" spans="1:19">
      <c r="A14" s="1" t="s">
        <v>54</v>
      </c>
      <c r="B14" s="52" t="s">
        <v>64</v>
      </c>
      <c r="C14" s="71">
        <v>0</v>
      </c>
      <c r="D14" s="72">
        <v>0</v>
      </c>
      <c r="E14" s="72">
        <v>0</v>
      </c>
      <c r="F14" s="72">
        <v>0.29166666666666669</v>
      </c>
      <c r="G14" s="72">
        <v>0</v>
      </c>
      <c r="H14" s="72">
        <v>0</v>
      </c>
      <c r="I14" s="72">
        <v>0</v>
      </c>
      <c r="J14" s="72">
        <v>0</v>
      </c>
      <c r="K14" s="72">
        <v>0</v>
      </c>
      <c r="L14" s="72">
        <v>0</v>
      </c>
      <c r="M14" s="72">
        <v>0.625</v>
      </c>
      <c r="N14" s="72">
        <v>0</v>
      </c>
      <c r="O14" s="72">
        <v>0.79166666666666663</v>
      </c>
      <c r="P14" s="72">
        <v>0</v>
      </c>
      <c r="Q14" s="72">
        <v>0</v>
      </c>
      <c r="R14" s="81">
        <v>0</v>
      </c>
      <c r="S14" s="109">
        <f t="shared" si="0"/>
        <v>1.7083333333333335</v>
      </c>
    </row>
    <row r="15" spans="1:19">
      <c r="A15" s="1" t="s">
        <v>54</v>
      </c>
      <c r="B15" s="52" t="s">
        <v>65</v>
      </c>
      <c r="C15" s="71">
        <v>0</v>
      </c>
      <c r="D15" s="72">
        <v>0</v>
      </c>
      <c r="E15" s="72">
        <v>0</v>
      </c>
      <c r="F15" s="72">
        <v>0</v>
      </c>
      <c r="G15" s="72">
        <v>0</v>
      </c>
      <c r="H15" s="72">
        <v>0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81">
        <v>0</v>
      </c>
      <c r="S15" s="109">
        <f t="shared" si="0"/>
        <v>0</v>
      </c>
    </row>
    <row r="16" spans="1:19">
      <c r="A16" s="1" t="s">
        <v>54</v>
      </c>
      <c r="B16" s="11" t="s">
        <v>66</v>
      </c>
      <c r="C16" s="23">
        <v>0.16666666666666666</v>
      </c>
      <c r="D16" s="24">
        <v>0.16666666666666666</v>
      </c>
      <c r="E16" s="24">
        <v>0.41666666666666669</v>
      </c>
      <c r="F16" s="24">
        <v>0.5</v>
      </c>
      <c r="G16" s="24">
        <v>0</v>
      </c>
      <c r="H16" s="24">
        <v>0.45833333333333331</v>
      </c>
      <c r="I16" s="24">
        <v>0.16666666666666666</v>
      </c>
      <c r="J16" s="24">
        <v>0.375</v>
      </c>
      <c r="K16" s="24">
        <v>1.5416666666666665</v>
      </c>
      <c r="L16" s="24">
        <v>0.75</v>
      </c>
      <c r="M16" s="24">
        <v>1.5</v>
      </c>
      <c r="N16" s="24">
        <v>0.5</v>
      </c>
      <c r="O16" s="24">
        <v>1.0416666666666667</v>
      </c>
      <c r="P16" s="24">
        <v>0.33333333333333331</v>
      </c>
      <c r="Q16" s="24">
        <v>0.25</v>
      </c>
      <c r="R16" s="82">
        <v>0.29166666666666669</v>
      </c>
      <c r="S16" s="7">
        <f t="shared" si="0"/>
        <v>8.4583333333333321</v>
      </c>
    </row>
    <row r="17" spans="1:19">
      <c r="A17" s="1" t="s">
        <v>54</v>
      </c>
      <c r="B17" s="33" t="s">
        <v>67</v>
      </c>
      <c r="C17" s="34">
        <v>5</v>
      </c>
      <c r="D17" s="35">
        <v>3</v>
      </c>
      <c r="E17" s="35">
        <v>18.5</v>
      </c>
      <c r="F17" s="35">
        <v>23</v>
      </c>
      <c r="G17" s="35">
        <v>19</v>
      </c>
      <c r="H17" s="35">
        <v>10</v>
      </c>
      <c r="I17" s="35">
        <v>21</v>
      </c>
      <c r="J17" s="35">
        <v>15.5</v>
      </c>
      <c r="K17" s="35">
        <v>19.5</v>
      </c>
      <c r="L17" s="35">
        <v>21</v>
      </c>
      <c r="M17" s="35">
        <v>14</v>
      </c>
      <c r="N17" s="35">
        <v>21.5</v>
      </c>
      <c r="O17" s="35">
        <v>3</v>
      </c>
      <c r="P17" s="35">
        <v>6</v>
      </c>
      <c r="Q17" s="35">
        <v>12</v>
      </c>
      <c r="R17" s="83">
        <v>0</v>
      </c>
      <c r="S17" s="110"/>
    </row>
    <row r="18" spans="1:19">
      <c r="A18" s="1" t="s">
        <v>54</v>
      </c>
      <c r="B18" s="57" t="s">
        <v>68</v>
      </c>
      <c r="C18" s="58">
        <v>182000</v>
      </c>
      <c r="D18" s="59">
        <v>192000</v>
      </c>
      <c r="E18" s="59">
        <v>197000</v>
      </c>
      <c r="F18" s="59">
        <v>197000</v>
      </c>
      <c r="G18" s="59">
        <v>0</v>
      </c>
      <c r="H18" s="59">
        <v>182000</v>
      </c>
      <c r="I18" s="59">
        <v>187000</v>
      </c>
      <c r="J18" s="59">
        <v>182000</v>
      </c>
      <c r="K18" s="59">
        <v>197000</v>
      </c>
      <c r="L18" s="59">
        <v>192000</v>
      </c>
      <c r="M18" s="59">
        <v>192000</v>
      </c>
      <c r="N18" s="59">
        <v>182000</v>
      </c>
      <c r="O18" s="59">
        <v>175000</v>
      </c>
      <c r="P18" s="59">
        <v>175000</v>
      </c>
      <c r="Q18" s="59">
        <v>180000</v>
      </c>
      <c r="R18" s="84">
        <v>175000</v>
      </c>
      <c r="S18" s="111">
        <f t="shared" si="0"/>
        <v>2787000</v>
      </c>
    </row>
    <row r="19" spans="1:19">
      <c r="A19" s="1" t="s">
        <v>54</v>
      </c>
      <c r="B19" s="52" t="s">
        <v>69</v>
      </c>
      <c r="C19" s="53">
        <v>0</v>
      </c>
      <c r="D19" s="54">
        <v>0</v>
      </c>
      <c r="E19" s="54">
        <v>20000</v>
      </c>
      <c r="F19" s="54">
        <v>20000</v>
      </c>
      <c r="G19" s="54">
        <v>0</v>
      </c>
      <c r="H19" s="54">
        <v>0</v>
      </c>
      <c r="I19" s="54">
        <v>5000</v>
      </c>
      <c r="J19" s="54">
        <v>0</v>
      </c>
      <c r="K19" s="54">
        <v>0</v>
      </c>
      <c r="L19" s="54">
        <v>0</v>
      </c>
      <c r="M19" s="54">
        <v>5000</v>
      </c>
      <c r="N19" s="54">
        <v>0</v>
      </c>
      <c r="O19" s="54">
        <v>0</v>
      </c>
      <c r="P19" s="54">
        <v>0</v>
      </c>
      <c r="Q19" s="54">
        <v>0</v>
      </c>
      <c r="R19" s="85">
        <v>0</v>
      </c>
      <c r="S19" s="112">
        <f t="shared" si="0"/>
        <v>50000</v>
      </c>
    </row>
    <row r="20" spans="1:19">
      <c r="A20" s="1" t="s">
        <v>54</v>
      </c>
      <c r="B20" s="52" t="s">
        <v>70</v>
      </c>
      <c r="C20" s="53">
        <v>0</v>
      </c>
      <c r="D20" s="54">
        <v>0</v>
      </c>
      <c r="E20" s="54">
        <v>3000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85">
        <v>0</v>
      </c>
      <c r="S20" s="112">
        <f t="shared" si="0"/>
        <v>3000</v>
      </c>
    </row>
    <row r="21" spans="1:19">
      <c r="A21" s="1" t="s">
        <v>54</v>
      </c>
      <c r="B21" s="52" t="s">
        <v>71</v>
      </c>
      <c r="C21" s="53">
        <v>0</v>
      </c>
      <c r="D21" s="54">
        <v>0</v>
      </c>
      <c r="E21" s="54">
        <v>0</v>
      </c>
      <c r="F21" s="54">
        <v>11091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5838</v>
      </c>
      <c r="O21" s="54">
        <v>0</v>
      </c>
      <c r="P21" s="54">
        <v>0</v>
      </c>
      <c r="Q21" s="54">
        <v>25352</v>
      </c>
      <c r="R21" s="85">
        <v>0</v>
      </c>
      <c r="S21" s="112">
        <f t="shared" si="0"/>
        <v>42281</v>
      </c>
    </row>
    <row r="22" spans="1:19">
      <c r="A22" s="1" t="s">
        <v>54</v>
      </c>
      <c r="B22" s="52" t="s">
        <v>72</v>
      </c>
      <c r="C22" s="53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54">
        <v>0</v>
      </c>
      <c r="R22" s="85">
        <v>0</v>
      </c>
      <c r="S22" s="112">
        <f t="shared" si="0"/>
        <v>0</v>
      </c>
    </row>
    <row r="23" spans="1:19">
      <c r="A23" s="1" t="s">
        <v>54</v>
      </c>
      <c r="B23" s="52" t="s">
        <v>73</v>
      </c>
      <c r="C23" s="53">
        <v>3500</v>
      </c>
      <c r="D23" s="54">
        <v>1000</v>
      </c>
      <c r="E23" s="54">
        <v>3500</v>
      </c>
      <c r="F23" s="54">
        <v>3500</v>
      </c>
      <c r="G23" s="54">
        <v>0</v>
      </c>
      <c r="H23" s="54">
        <v>3500</v>
      </c>
      <c r="I23" s="54">
        <v>3500</v>
      </c>
      <c r="J23" s="54">
        <v>3500</v>
      </c>
      <c r="K23" s="54">
        <v>3500</v>
      </c>
      <c r="L23" s="54">
        <v>3500</v>
      </c>
      <c r="M23" s="54">
        <v>3500</v>
      </c>
      <c r="N23" s="54">
        <v>3500</v>
      </c>
      <c r="O23" s="54">
        <v>0</v>
      </c>
      <c r="P23" s="54">
        <v>2000</v>
      </c>
      <c r="Q23" s="54">
        <v>2000</v>
      </c>
      <c r="R23" s="85">
        <v>0</v>
      </c>
      <c r="S23" s="112">
        <f t="shared" si="0"/>
        <v>40000</v>
      </c>
    </row>
    <row r="24" spans="1:19">
      <c r="A24" s="1" t="s">
        <v>54</v>
      </c>
      <c r="B24" s="52" t="s">
        <v>74</v>
      </c>
      <c r="C24" s="53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0</v>
      </c>
      <c r="P24" s="54">
        <v>0</v>
      </c>
      <c r="Q24" s="54">
        <v>0</v>
      </c>
      <c r="R24" s="85">
        <v>0</v>
      </c>
      <c r="S24" s="112">
        <f t="shared" si="0"/>
        <v>0</v>
      </c>
    </row>
    <row r="25" spans="1:19">
      <c r="A25" s="1" t="s">
        <v>54</v>
      </c>
      <c r="B25" s="52" t="s">
        <v>75</v>
      </c>
      <c r="C25" s="53">
        <v>0</v>
      </c>
      <c r="D25" s="54">
        <v>6000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3000</v>
      </c>
      <c r="M25" s="54">
        <v>0</v>
      </c>
      <c r="N25" s="54">
        <v>3000</v>
      </c>
      <c r="O25" s="54">
        <v>3000</v>
      </c>
      <c r="P25" s="54">
        <v>3000</v>
      </c>
      <c r="Q25" s="54">
        <v>0</v>
      </c>
      <c r="R25" s="85">
        <v>0</v>
      </c>
      <c r="S25" s="112">
        <f t="shared" si="0"/>
        <v>18000</v>
      </c>
    </row>
    <row r="26" spans="1:19">
      <c r="A26" s="1" t="s">
        <v>54</v>
      </c>
      <c r="B26" s="52" t="s">
        <v>61</v>
      </c>
      <c r="C26" s="53">
        <v>25002</v>
      </c>
      <c r="D26" s="54">
        <v>37570</v>
      </c>
      <c r="E26" s="54">
        <v>85323</v>
      </c>
      <c r="F26" s="54">
        <v>102300</v>
      </c>
      <c r="G26" s="54">
        <v>0</v>
      </c>
      <c r="H26" s="54">
        <v>65283</v>
      </c>
      <c r="I26" s="54">
        <v>68808</v>
      </c>
      <c r="J26" s="54">
        <v>56949</v>
      </c>
      <c r="K26" s="54">
        <v>60040</v>
      </c>
      <c r="L26" s="54">
        <v>40992</v>
      </c>
      <c r="M26" s="54">
        <v>112575</v>
      </c>
      <c r="N26" s="54">
        <v>40281</v>
      </c>
      <c r="O26" s="54">
        <v>102180</v>
      </c>
      <c r="P26" s="54">
        <v>54325</v>
      </c>
      <c r="Q26" s="54">
        <v>38164</v>
      </c>
      <c r="R26" s="85">
        <v>57640</v>
      </c>
      <c r="S26" s="112">
        <f t="shared" si="0"/>
        <v>947432</v>
      </c>
    </row>
    <row r="27" spans="1:19">
      <c r="A27" s="1" t="s">
        <v>54</v>
      </c>
      <c r="B27" s="52" t="s">
        <v>76</v>
      </c>
      <c r="C27" s="53">
        <v>36000</v>
      </c>
      <c r="D27" s="54">
        <v>28098</v>
      </c>
      <c r="E27" s="54">
        <v>21672</v>
      </c>
      <c r="F27" s="54">
        <v>12474</v>
      </c>
      <c r="G27" s="54">
        <v>0</v>
      </c>
      <c r="H27" s="54">
        <v>16500</v>
      </c>
      <c r="I27" s="54">
        <v>22134</v>
      </c>
      <c r="J27" s="54">
        <v>39000</v>
      </c>
      <c r="K27" s="54">
        <v>27557</v>
      </c>
      <c r="L27" s="54">
        <v>20553</v>
      </c>
      <c r="M27" s="54">
        <v>50251</v>
      </c>
      <c r="N27" s="54">
        <v>39000</v>
      </c>
      <c r="O27" s="54">
        <v>15565</v>
      </c>
      <c r="P27" s="54">
        <v>12879</v>
      </c>
      <c r="Q27" s="54">
        <v>36800</v>
      </c>
      <c r="R27" s="85">
        <v>12735</v>
      </c>
      <c r="S27" s="112">
        <f t="shared" si="0"/>
        <v>391218</v>
      </c>
    </row>
    <row r="28" spans="1:19">
      <c r="A28" s="1" t="s">
        <v>54</v>
      </c>
      <c r="B28" s="52" t="s">
        <v>77</v>
      </c>
      <c r="C28" s="53">
        <v>15000</v>
      </c>
      <c r="D28" s="54">
        <v>65562</v>
      </c>
      <c r="E28" s="54">
        <v>41538</v>
      </c>
      <c r="F28" s="54">
        <v>35640</v>
      </c>
      <c r="G28" s="54">
        <v>0</v>
      </c>
      <c r="H28" s="54">
        <v>28500</v>
      </c>
      <c r="I28" s="54">
        <v>12648</v>
      </c>
      <c r="J28" s="54">
        <v>25500</v>
      </c>
      <c r="K28" s="54">
        <v>25936</v>
      </c>
      <c r="L28" s="54">
        <v>36363</v>
      </c>
      <c r="M28" s="54">
        <v>0</v>
      </c>
      <c r="N28" s="54">
        <v>25500</v>
      </c>
      <c r="O28" s="54">
        <v>32545</v>
      </c>
      <c r="P28" s="54">
        <v>44361</v>
      </c>
      <c r="Q28" s="54">
        <v>20608</v>
      </c>
      <c r="R28" s="85">
        <v>11320</v>
      </c>
      <c r="S28" s="112">
        <f t="shared" si="0"/>
        <v>421021</v>
      </c>
    </row>
    <row r="29" spans="1:19">
      <c r="A29" s="1" t="s">
        <v>54</v>
      </c>
      <c r="B29" s="52" t="s">
        <v>64</v>
      </c>
      <c r="C29" s="53">
        <v>0</v>
      </c>
      <c r="D29" s="54">
        <v>0</v>
      </c>
      <c r="E29" s="54">
        <v>0</v>
      </c>
      <c r="F29" s="54">
        <v>2310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4500</v>
      </c>
      <c r="N29" s="54">
        <v>0</v>
      </c>
      <c r="O29" s="54">
        <v>4978</v>
      </c>
      <c r="P29" s="54">
        <v>0</v>
      </c>
      <c r="Q29" s="54">
        <v>0</v>
      </c>
      <c r="R29" s="85">
        <v>0</v>
      </c>
      <c r="S29" s="112">
        <f t="shared" si="0"/>
        <v>11788</v>
      </c>
    </row>
    <row r="30" spans="1:19">
      <c r="A30" s="1" t="s">
        <v>54</v>
      </c>
      <c r="B30" s="11" t="s">
        <v>66</v>
      </c>
      <c r="C30" s="26">
        <v>1112</v>
      </c>
      <c r="D30" s="27">
        <v>1156</v>
      </c>
      <c r="E30" s="27">
        <v>3350</v>
      </c>
      <c r="F30" s="27">
        <v>3960</v>
      </c>
      <c r="G30" s="27">
        <v>0</v>
      </c>
      <c r="H30" s="27">
        <v>3058</v>
      </c>
      <c r="I30" s="27">
        <v>1172</v>
      </c>
      <c r="J30" s="27">
        <v>2502</v>
      </c>
      <c r="K30" s="27">
        <v>11100</v>
      </c>
      <c r="L30" s="27">
        <v>5274</v>
      </c>
      <c r="M30" s="27">
        <v>10800</v>
      </c>
      <c r="N30" s="27">
        <v>3336</v>
      </c>
      <c r="O30" s="27">
        <v>6550</v>
      </c>
      <c r="P30" s="27">
        <v>2120</v>
      </c>
      <c r="Q30" s="27">
        <v>1638</v>
      </c>
      <c r="R30" s="86">
        <v>1834</v>
      </c>
      <c r="S30" s="8">
        <f t="shared" si="0"/>
        <v>58962</v>
      </c>
    </row>
    <row r="31" spans="1:19">
      <c r="A31" s="1" t="s">
        <v>54</v>
      </c>
      <c r="B31" s="33" t="s">
        <v>78</v>
      </c>
      <c r="C31" s="38">
        <v>262614</v>
      </c>
      <c r="D31" s="39">
        <v>331386</v>
      </c>
      <c r="E31" s="39">
        <v>375383</v>
      </c>
      <c r="F31" s="39">
        <v>388275</v>
      </c>
      <c r="G31" s="39">
        <v>0</v>
      </c>
      <c r="H31" s="39">
        <v>298841</v>
      </c>
      <c r="I31" s="39">
        <v>300262</v>
      </c>
      <c r="J31" s="39">
        <v>309451</v>
      </c>
      <c r="K31" s="39">
        <v>325133</v>
      </c>
      <c r="L31" s="39">
        <v>301682</v>
      </c>
      <c r="M31" s="39">
        <v>378626</v>
      </c>
      <c r="N31" s="39">
        <v>302455</v>
      </c>
      <c r="O31" s="39">
        <v>339818</v>
      </c>
      <c r="P31" s="39">
        <v>293685</v>
      </c>
      <c r="Q31" s="39">
        <v>304562</v>
      </c>
      <c r="R31" s="87">
        <v>258529</v>
      </c>
      <c r="S31" s="113">
        <f t="shared" si="0"/>
        <v>4770702</v>
      </c>
    </row>
    <row r="32" spans="1:19">
      <c r="A32" s="1" t="s">
        <v>54</v>
      </c>
      <c r="B32" s="47" t="s">
        <v>79</v>
      </c>
      <c r="C32" s="48">
        <v>12428</v>
      </c>
      <c r="D32" s="49">
        <v>3377</v>
      </c>
      <c r="E32" s="49">
        <v>5593</v>
      </c>
      <c r="F32" s="49">
        <v>2972</v>
      </c>
      <c r="G32" s="49">
        <v>0</v>
      </c>
      <c r="H32" s="49">
        <v>2378</v>
      </c>
      <c r="I32" s="49">
        <v>1243</v>
      </c>
      <c r="J32" s="49">
        <v>3242</v>
      </c>
      <c r="K32" s="49">
        <v>5187</v>
      </c>
      <c r="L32" s="49">
        <v>5836</v>
      </c>
      <c r="M32" s="49">
        <v>6214</v>
      </c>
      <c r="N32" s="49">
        <v>11941</v>
      </c>
      <c r="O32" s="49">
        <v>8429</v>
      </c>
      <c r="P32" s="49">
        <v>8780</v>
      </c>
      <c r="Q32" s="49">
        <v>2486</v>
      </c>
      <c r="R32" s="88">
        <v>7133</v>
      </c>
      <c r="S32" s="114">
        <f t="shared" si="0"/>
        <v>87239</v>
      </c>
    </row>
    <row r="33" spans="1:19">
      <c r="A33" s="1" t="s">
        <v>54</v>
      </c>
      <c r="B33" s="11" t="s">
        <v>80</v>
      </c>
      <c r="C33" s="26">
        <v>12428</v>
      </c>
      <c r="D33" s="27">
        <v>3377</v>
      </c>
      <c r="E33" s="27">
        <v>5593</v>
      </c>
      <c r="F33" s="27">
        <v>2972</v>
      </c>
      <c r="G33" s="27">
        <v>0</v>
      </c>
      <c r="H33" s="27">
        <v>2378</v>
      </c>
      <c r="I33" s="27">
        <v>1243</v>
      </c>
      <c r="J33" s="27">
        <v>3242</v>
      </c>
      <c r="K33" s="27">
        <v>5187</v>
      </c>
      <c r="L33" s="27">
        <v>5836</v>
      </c>
      <c r="M33" s="27">
        <v>6214</v>
      </c>
      <c r="N33" s="27">
        <v>11941</v>
      </c>
      <c r="O33" s="27">
        <v>8429</v>
      </c>
      <c r="P33" s="27">
        <v>8780</v>
      </c>
      <c r="Q33" s="27">
        <v>2486</v>
      </c>
      <c r="R33" s="86">
        <v>7133</v>
      </c>
      <c r="S33" s="8">
        <f t="shared" si="0"/>
        <v>87239</v>
      </c>
    </row>
    <row r="34" spans="1:19">
      <c r="A34" s="1" t="s">
        <v>54</v>
      </c>
      <c r="B34" s="33" t="s">
        <v>81</v>
      </c>
      <c r="C34" s="38">
        <v>275042</v>
      </c>
      <c r="D34" s="39">
        <v>334763</v>
      </c>
      <c r="E34" s="39">
        <v>380976</v>
      </c>
      <c r="F34" s="39">
        <v>391247</v>
      </c>
      <c r="G34" s="39">
        <v>0</v>
      </c>
      <c r="H34" s="39">
        <v>301219</v>
      </c>
      <c r="I34" s="39">
        <v>301505</v>
      </c>
      <c r="J34" s="39">
        <v>312693</v>
      </c>
      <c r="K34" s="39">
        <v>330320</v>
      </c>
      <c r="L34" s="39">
        <v>307518</v>
      </c>
      <c r="M34" s="39">
        <v>384840</v>
      </c>
      <c r="N34" s="39">
        <v>314396</v>
      </c>
      <c r="O34" s="39">
        <v>348247</v>
      </c>
      <c r="P34" s="39">
        <v>302465</v>
      </c>
      <c r="Q34" s="39">
        <v>307048</v>
      </c>
      <c r="R34" s="87">
        <v>265662</v>
      </c>
      <c r="S34" s="113">
        <f t="shared" si="0"/>
        <v>4857941</v>
      </c>
    </row>
    <row r="35" spans="1:19">
      <c r="A35" s="1" t="s">
        <v>54</v>
      </c>
      <c r="B35" s="47" t="s">
        <v>82</v>
      </c>
      <c r="C35" s="48">
        <v>15300</v>
      </c>
      <c r="D35" s="49">
        <v>16320</v>
      </c>
      <c r="E35" s="49">
        <v>19380</v>
      </c>
      <c r="F35" s="49">
        <v>19380</v>
      </c>
      <c r="G35" s="49">
        <v>19380</v>
      </c>
      <c r="H35" s="49">
        <v>16320</v>
      </c>
      <c r="I35" s="49">
        <v>15300</v>
      </c>
      <c r="J35" s="49">
        <v>15300</v>
      </c>
      <c r="K35" s="49">
        <v>19380</v>
      </c>
      <c r="L35" s="49">
        <v>18360</v>
      </c>
      <c r="M35" s="49">
        <v>19380</v>
      </c>
      <c r="N35" s="49">
        <v>15300</v>
      </c>
      <c r="O35" s="49">
        <v>16320</v>
      </c>
      <c r="P35" s="49">
        <v>14280</v>
      </c>
      <c r="Q35" s="49">
        <v>16320</v>
      </c>
      <c r="R35" s="88">
        <v>13260</v>
      </c>
      <c r="S35" s="114">
        <f t="shared" si="0"/>
        <v>269280</v>
      </c>
    </row>
    <row r="36" spans="1:19">
      <c r="A36" s="1" t="s">
        <v>54</v>
      </c>
      <c r="B36" s="52" t="s">
        <v>83</v>
      </c>
      <c r="C36" s="53">
        <v>2700</v>
      </c>
      <c r="D36" s="54">
        <v>2880</v>
      </c>
      <c r="E36" s="54">
        <v>3420</v>
      </c>
      <c r="F36" s="54">
        <v>3420</v>
      </c>
      <c r="G36" s="54">
        <v>3420</v>
      </c>
      <c r="H36" s="54">
        <v>2880</v>
      </c>
      <c r="I36" s="54">
        <v>2700</v>
      </c>
      <c r="J36" s="54">
        <v>2700</v>
      </c>
      <c r="K36" s="54">
        <v>3420</v>
      </c>
      <c r="L36" s="54">
        <v>3240</v>
      </c>
      <c r="M36" s="54">
        <v>3420</v>
      </c>
      <c r="N36" s="54">
        <v>2700</v>
      </c>
      <c r="O36" s="54">
        <v>2880</v>
      </c>
      <c r="P36" s="54">
        <v>2520</v>
      </c>
      <c r="Q36" s="54">
        <v>2880</v>
      </c>
      <c r="R36" s="85">
        <v>0</v>
      </c>
      <c r="S36" s="112">
        <f t="shared" si="0"/>
        <v>45180</v>
      </c>
    </row>
    <row r="37" spans="1:19">
      <c r="A37" s="1" t="s">
        <v>54</v>
      </c>
      <c r="B37" s="52" t="s">
        <v>84</v>
      </c>
      <c r="C37" s="53">
        <v>27450</v>
      </c>
      <c r="D37" s="54">
        <v>29280</v>
      </c>
      <c r="E37" s="54">
        <v>34770</v>
      </c>
      <c r="F37" s="54">
        <v>34770</v>
      </c>
      <c r="G37" s="54">
        <v>34770</v>
      </c>
      <c r="H37" s="54">
        <v>29280</v>
      </c>
      <c r="I37" s="54">
        <v>27450</v>
      </c>
      <c r="J37" s="54">
        <v>27450</v>
      </c>
      <c r="K37" s="54">
        <v>34770</v>
      </c>
      <c r="L37" s="54">
        <v>32940</v>
      </c>
      <c r="M37" s="54">
        <v>34770</v>
      </c>
      <c r="N37" s="54">
        <v>27450</v>
      </c>
      <c r="O37" s="54">
        <v>29280</v>
      </c>
      <c r="P37" s="54">
        <v>25620</v>
      </c>
      <c r="Q37" s="54">
        <v>29280</v>
      </c>
      <c r="R37" s="85">
        <v>23790</v>
      </c>
      <c r="S37" s="112">
        <f t="shared" si="0"/>
        <v>483120</v>
      </c>
    </row>
    <row r="38" spans="1:19">
      <c r="A38" s="1" t="s">
        <v>54</v>
      </c>
      <c r="B38" s="52" t="s">
        <v>85</v>
      </c>
      <c r="C38" s="53">
        <v>1650</v>
      </c>
      <c r="D38" s="54">
        <v>2009</v>
      </c>
      <c r="E38" s="54">
        <v>2286</v>
      </c>
      <c r="F38" s="54">
        <v>2347</v>
      </c>
      <c r="G38" s="54">
        <v>0</v>
      </c>
      <c r="H38" s="54">
        <v>1807</v>
      </c>
      <c r="I38" s="54">
        <v>1809</v>
      </c>
      <c r="J38" s="54">
        <v>1876</v>
      </c>
      <c r="K38" s="54">
        <v>1982</v>
      </c>
      <c r="L38" s="54">
        <v>1845</v>
      </c>
      <c r="M38" s="54">
        <v>2309</v>
      </c>
      <c r="N38" s="54">
        <v>1886</v>
      </c>
      <c r="O38" s="54">
        <v>2089</v>
      </c>
      <c r="P38" s="54">
        <v>1815</v>
      </c>
      <c r="Q38" s="54">
        <v>1842</v>
      </c>
      <c r="R38" s="85">
        <v>1594</v>
      </c>
      <c r="S38" s="112">
        <f t="shared" si="0"/>
        <v>29146</v>
      </c>
    </row>
    <row r="39" spans="1:19">
      <c r="A39" s="1" t="s">
        <v>54</v>
      </c>
      <c r="B39" s="11" t="s">
        <v>86</v>
      </c>
      <c r="C39" s="26">
        <v>0</v>
      </c>
      <c r="D39" s="27">
        <v>0</v>
      </c>
      <c r="E39" s="27">
        <v>1071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86">
        <v>0</v>
      </c>
      <c r="S39" s="8">
        <f t="shared" si="0"/>
        <v>1071</v>
      </c>
    </row>
    <row r="40" spans="1:19">
      <c r="A40" s="1" t="s">
        <v>54</v>
      </c>
      <c r="B40" s="33" t="s">
        <v>87</v>
      </c>
      <c r="C40" s="38">
        <v>47100</v>
      </c>
      <c r="D40" s="39">
        <v>50489</v>
      </c>
      <c r="E40" s="39">
        <v>59856</v>
      </c>
      <c r="F40" s="39">
        <v>59917</v>
      </c>
      <c r="G40" s="39">
        <v>57570</v>
      </c>
      <c r="H40" s="39">
        <v>50287</v>
      </c>
      <c r="I40" s="39">
        <v>47259</v>
      </c>
      <c r="J40" s="39">
        <v>47326</v>
      </c>
      <c r="K40" s="39">
        <v>59552</v>
      </c>
      <c r="L40" s="39">
        <v>56385</v>
      </c>
      <c r="M40" s="39">
        <v>59879</v>
      </c>
      <c r="N40" s="39">
        <v>47336</v>
      </c>
      <c r="O40" s="39">
        <v>50569</v>
      </c>
      <c r="P40" s="39">
        <v>44235</v>
      </c>
      <c r="Q40" s="39">
        <v>50322</v>
      </c>
      <c r="R40" s="87">
        <v>38644</v>
      </c>
      <c r="S40" s="113">
        <f t="shared" si="0"/>
        <v>826726</v>
      </c>
    </row>
    <row r="41" spans="1:19">
      <c r="A41" s="1" t="s">
        <v>54</v>
      </c>
      <c r="B41" s="47" t="s">
        <v>88</v>
      </c>
      <c r="C41" s="48">
        <v>3700</v>
      </c>
      <c r="D41" s="49">
        <v>7660</v>
      </c>
      <c r="E41" s="49">
        <v>7360</v>
      </c>
      <c r="F41" s="49">
        <v>10700</v>
      </c>
      <c r="G41" s="49">
        <v>0</v>
      </c>
      <c r="H41" s="49">
        <v>6500</v>
      </c>
      <c r="I41" s="49">
        <v>5040</v>
      </c>
      <c r="J41" s="49">
        <v>6980</v>
      </c>
      <c r="K41" s="49">
        <v>7110</v>
      </c>
      <c r="L41" s="49">
        <v>6380</v>
      </c>
      <c r="M41" s="49">
        <v>2640</v>
      </c>
      <c r="N41" s="49">
        <v>6730</v>
      </c>
      <c r="O41" s="49">
        <v>7950</v>
      </c>
      <c r="P41" s="49">
        <v>6530</v>
      </c>
      <c r="Q41" s="49">
        <v>6700</v>
      </c>
      <c r="R41" s="88">
        <v>5480</v>
      </c>
      <c r="S41" s="114">
        <f t="shared" si="0"/>
        <v>97460</v>
      </c>
    </row>
    <row r="42" spans="1:19">
      <c r="A42" s="1" t="s">
        <v>54</v>
      </c>
      <c r="B42" s="52" t="s">
        <v>89</v>
      </c>
      <c r="C42" s="53">
        <v>1300</v>
      </c>
      <c r="D42" s="54">
        <v>1300</v>
      </c>
      <c r="E42" s="54">
        <v>1300</v>
      </c>
      <c r="F42" s="54">
        <v>0</v>
      </c>
      <c r="G42" s="54">
        <v>1300</v>
      </c>
      <c r="H42" s="54">
        <v>1300</v>
      </c>
      <c r="I42" s="54">
        <v>1300</v>
      </c>
      <c r="J42" s="54">
        <v>1300</v>
      </c>
      <c r="K42" s="54">
        <v>1300</v>
      </c>
      <c r="L42" s="54">
        <v>1300</v>
      </c>
      <c r="M42" s="54">
        <v>1300</v>
      </c>
      <c r="N42" s="54">
        <v>1300</v>
      </c>
      <c r="O42" s="54">
        <v>1300</v>
      </c>
      <c r="P42" s="54">
        <v>1300</v>
      </c>
      <c r="Q42" s="54">
        <v>0</v>
      </c>
      <c r="R42" s="85">
        <v>0</v>
      </c>
      <c r="S42" s="112">
        <f t="shared" si="0"/>
        <v>16900</v>
      </c>
    </row>
    <row r="43" spans="1:19">
      <c r="A43" s="1" t="s">
        <v>54</v>
      </c>
      <c r="B43" s="52" t="s">
        <v>90</v>
      </c>
      <c r="C43" s="53">
        <v>6700</v>
      </c>
      <c r="D43" s="54">
        <v>15100</v>
      </c>
      <c r="E43" s="54">
        <v>18200</v>
      </c>
      <c r="F43" s="54">
        <v>20200</v>
      </c>
      <c r="G43" s="54">
        <v>19000</v>
      </c>
      <c r="H43" s="54">
        <v>13900</v>
      </c>
      <c r="I43" s="54">
        <v>9200</v>
      </c>
      <c r="J43" s="54">
        <v>13900</v>
      </c>
      <c r="K43" s="54">
        <v>16500</v>
      </c>
      <c r="L43" s="54">
        <v>14300</v>
      </c>
      <c r="M43" s="54">
        <v>1900</v>
      </c>
      <c r="N43" s="54">
        <v>0</v>
      </c>
      <c r="O43" s="54">
        <v>12900</v>
      </c>
      <c r="P43" s="54">
        <v>10500</v>
      </c>
      <c r="Q43" s="54">
        <v>5300</v>
      </c>
      <c r="R43" s="85">
        <v>0</v>
      </c>
      <c r="S43" s="112">
        <f t="shared" si="0"/>
        <v>177600</v>
      </c>
    </row>
    <row r="44" spans="1:19">
      <c r="A44" s="1" t="s">
        <v>54</v>
      </c>
      <c r="B44" s="11" t="s">
        <v>91</v>
      </c>
      <c r="C44" s="26">
        <v>0</v>
      </c>
      <c r="D44" s="27">
        <v>0</v>
      </c>
      <c r="E44" s="27">
        <v>0</v>
      </c>
      <c r="F44" s="27">
        <v>0</v>
      </c>
      <c r="G44" s="29">
        <v>-77870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86">
        <v>0</v>
      </c>
      <c r="S44" s="10">
        <f t="shared" si="0"/>
        <v>-77870</v>
      </c>
    </row>
    <row r="45" spans="1:19">
      <c r="A45" s="1" t="s">
        <v>54</v>
      </c>
      <c r="B45" s="33" t="s">
        <v>92</v>
      </c>
      <c r="C45" s="38">
        <v>58800</v>
      </c>
      <c r="D45" s="39">
        <v>74549</v>
      </c>
      <c r="E45" s="39">
        <v>87787</v>
      </c>
      <c r="F45" s="39">
        <v>90817</v>
      </c>
      <c r="G45" s="42">
        <v>0</v>
      </c>
      <c r="H45" s="39">
        <v>71987</v>
      </c>
      <c r="I45" s="39">
        <v>62799</v>
      </c>
      <c r="J45" s="39">
        <v>69506</v>
      </c>
      <c r="K45" s="39">
        <v>84462</v>
      </c>
      <c r="L45" s="39">
        <v>78365</v>
      </c>
      <c r="M45" s="39">
        <v>65719</v>
      </c>
      <c r="N45" s="39">
        <v>55366</v>
      </c>
      <c r="O45" s="39">
        <v>72719</v>
      </c>
      <c r="P45" s="39">
        <v>62565</v>
      </c>
      <c r="Q45" s="39">
        <v>62322</v>
      </c>
      <c r="R45" s="87">
        <v>44124</v>
      </c>
      <c r="S45" s="113">
        <f t="shared" si="0"/>
        <v>1041887</v>
      </c>
    </row>
    <row r="46" spans="1:19">
      <c r="A46" s="1" t="s">
        <v>54</v>
      </c>
      <c r="B46" s="33" t="s">
        <v>93</v>
      </c>
      <c r="C46" s="38">
        <v>215514</v>
      </c>
      <c r="D46" s="39">
        <v>280897</v>
      </c>
      <c r="E46" s="39">
        <v>315527</v>
      </c>
      <c r="F46" s="39">
        <v>328358</v>
      </c>
      <c r="G46" s="42">
        <v>-57570</v>
      </c>
      <c r="H46" s="39">
        <v>248554</v>
      </c>
      <c r="I46" s="39">
        <v>253003</v>
      </c>
      <c r="J46" s="39">
        <v>262125</v>
      </c>
      <c r="K46" s="39">
        <v>265581</v>
      </c>
      <c r="L46" s="39">
        <v>245297</v>
      </c>
      <c r="M46" s="39">
        <v>318747</v>
      </c>
      <c r="N46" s="39">
        <v>255119</v>
      </c>
      <c r="O46" s="39">
        <v>289249</v>
      </c>
      <c r="P46" s="39">
        <v>249450</v>
      </c>
      <c r="Q46" s="39">
        <v>254240</v>
      </c>
      <c r="R46" s="87">
        <v>219885</v>
      </c>
      <c r="S46" s="113">
        <f t="shared" si="0"/>
        <v>3943976</v>
      </c>
    </row>
    <row r="47" spans="1:19">
      <c r="A47" s="1" t="s">
        <v>54</v>
      </c>
      <c r="B47" s="33" t="s">
        <v>94</v>
      </c>
      <c r="C47" s="38">
        <v>216242</v>
      </c>
      <c r="D47" s="39">
        <v>260214</v>
      </c>
      <c r="E47" s="39">
        <v>293189</v>
      </c>
      <c r="F47" s="39">
        <v>300430</v>
      </c>
      <c r="G47" s="39">
        <v>0</v>
      </c>
      <c r="H47" s="39">
        <v>229232</v>
      </c>
      <c r="I47" s="39">
        <v>238706</v>
      </c>
      <c r="J47" s="39">
        <v>243187</v>
      </c>
      <c r="K47" s="39">
        <v>245858</v>
      </c>
      <c r="L47" s="39">
        <v>229153</v>
      </c>
      <c r="M47" s="39">
        <v>319121</v>
      </c>
      <c r="N47" s="39">
        <v>259030</v>
      </c>
      <c r="O47" s="39">
        <v>275528</v>
      </c>
      <c r="P47" s="39">
        <v>239900</v>
      </c>
      <c r="Q47" s="39">
        <v>244726</v>
      </c>
      <c r="R47" s="87">
        <v>221538</v>
      </c>
      <c r="S47" s="113">
        <f t="shared" si="0"/>
        <v>3816054</v>
      </c>
    </row>
    <row r="48" spans="1:19">
      <c r="A48" s="1" t="s">
        <v>54</v>
      </c>
      <c r="B48" s="33" t="s">
        <v>95</v>
      </c>
      <c r="C48" s="38">
        <v>216242</v>
      </c>
      <c r="D48" s="39">
        <v>260214</v>
      </c>
      <c r="E48" s="39">
        <v>293189</v>
      </c>
      <c r="F48" s="39">
        <v>300430</v>
      </c>
      <c r="G48" s="39">
        <v>0</v>
      </c>
      <c r="H48" s="39">
        <v>229232</v>
      </c>
      <c r="I48" s="39">
        <v>238706</v>
      </c>
      <c r="J48" s="39">
        <v>243187</v>
      </c>
      <c r="K48" s="39">
        <v>245858</v>
      </c>
      <c r="L48" s="39">
        <v>229153</v>
      </c>
      <c r="M48" s="39">
        <v>319121</v>
      </c>
      <c r="N48" s="39">
        <v>259030</v>
      </c>
      <c r="O48" s="39">
        <v>275528</v>
      </c>
      <c r="P48" s="39">
        <v>239900</v>
      </c>
      <c r="Q48" s="39">
        <v>244726</v>
      </c>
      <c r="R48" s="87">
        <v>221538</v>
      </c>
      <c r="S48" s="113">
        <f t="shared" si="0"/>
        <v>3816054</v>
      </c>
    </row>
    <row r="49" spans="1:19">
      <c r="A49" s="1" t="s">
        <v>54</v>
      </c>
      <c r="B49" s="33" t="s">
        <v>96</v>
      </c>
      <c r="C49" s="38">
        <v>1</v>
      </c>
      <c r="D49" s="39">
        <v>0</v>
      </c>
      <c r="E49" s="39">
        <v>1</v>
      </c>
      <c r="F49" s="39">
        <v>0</v>
      </c>
      <c r="G49" s="39">
        <v>0</v>
      </c>
      <c r="H49" s="39">
        <v>0</v>
      </c>
      <c r="I49" s="39">
        <v>1</v>
      </c>
      <c r="J49" s="39">
        <v>0</v>
      </c>
      <c r="K49" s="39">
        <v>0</v>
      </c>
      <c r="L49" s="39">
        <v>0</v>
      </c>
      <c r="M49" s="39">
        <v>4</v>
      </c>
      <c r="N49" s="39">
        <v>0</v>
      </c>
      <c r="O49" s="39">
        <v>0</v>
      </c>
      <c r="P49" s="39">
        <v>0</v>
      </c>
      <c r="Q49" s="39">
        <v>0</v>
      </c>
      <c r="R49" s="87">
        <v>0</v>
      </c>
      <c r="S49" s="113"/>
    </row>
    <row r="50" spans="1:19">
      <c r="A50" s="1" t="s">
        <v>54</v>
      </c>
      <c r="B50" s="33" t="s">
        <v>97</v>
      </c>
      <c r="C50" s="43" t="s">
        <v>98</v>
      </c>
      <c r="D50" s="44" t="s">
        <v>98</v>
      </c>
      <c r="E50" s="44" t="s">
        <v>98</v>
      </c>
      <c r="F50" s="44" t="s">
        <v>98</v>
      </c>
      <c r="G50" s="44" t="s">
        <v>98</v>
      </c>
      <c r="H50" s="44" t="s">
        <v>98</v>
      </c>
      <c r="I50" s="44" t="s">
        <v>98</v>
      </c>
      <c r="J50" s="44" t="s">
        <v>98</v>
      </c>
      <c r="K50" s="44" t="s">
        <v>98</v>
      </c>
      <c r="L50" s="44" t="s">
        <v>98</v>
      </c>
      <c r="M50" s="44" t="s">
        <v>98</v>
      </c>
      <c r="N50" s="44" t="s">
        <v>98</v>
      </c>
      <c r="O50" s="44" t="s">
        <v>98</v>
      </c>
      <c r="P50" s="44" t="s">
        <v>98</v>
      </c>
      <c r="Q50" s="44" t="s">
        <v>98</v>
      </c>
      <c r="R50" s="89" t="s">
        <v>98</v>
      </c>
      <c r="S50" s="115"/>
    </row>
    <row r="51" spans="1:19" ht="19.5" thickBot="1">
      <c r="A51" s="1" t="s">
        <v>54</v>
      </c>
      <c r="B51" s="12" t="s">
        <v>99</v>
      </c>
      <c r="C51" s="30">
        <v>3700</v>
      </c>
      <c r="D51" s="31">
        <v>7660</v>
      </c>
      <c r="E51" s="31">
        <v>7360</v>
      </c>
      <c r="F51" s="31">
        <v>10700</v>
      </c>
      <c r="G51" s="31">
        <v>0</v>
      </c>
      <c r="H51" s="31">
        <v>6500</v>
      </c>
      <c r="I51" s="31">
        <v>5040</v>
      </c>
      <c r="J51" s="31">
        <v>6980</v>
      </c>
      <c r="K51" s="31">
        <v>7110</v>
      </c>
      <c r="L51" s="31">
        <v>6380</v>
      </c>
      <c r="M51" s="31">
        <v>2640</v>
      </c>
      <c r="N51" s="31">
        <v>6730</v>
      </c>
      <c r="O51" s="31">
        <v>7950</v>
      </c>
      <c r="P51" s="31">
        <v>6530</v>
      </c>
      <c r="Q51" s="31">
        <v>6700</v>
      </c>
      <c r="R51" s="90">
        <v>5480</v>
      </c>
      <c r="S51" s="9">
        <f t="shared" si="0"/>
        <v>97460</v>
      </c>
    </row>
  </sheetData>
  <phoneticPr fontId="3"/>
  <pageMargins left="0.11811023622047245" right="0.11811023622047245" top="0.15748031496062992" bottom="0.15748031496062992" header="0.11811023622047245" footer="0.11811023622047245"/>
  <pageSetup paperSize="12" scale="7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2025-02-06T02:38:57Z</dcterms:created>
  <dcterms:modified xsi:type="dcterms:W3CDTF">2025-02-27T06:40:52Z</dcterms:modified>
  <cp:category/>
  <cp:contentStatus/>
</cp:coreProperties>
</file>