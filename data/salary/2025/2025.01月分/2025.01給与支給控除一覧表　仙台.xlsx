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1月分\"/>
    </mc:Choice>
  </mc:AlternateContent>
  <xr:revisionPtr revIDLastSave="0" documentId="13_ncr:1_{051FE78E-F2F3-4E9B-BAAB-189866AFE85A}" xr6:coauthVersionLast="47" xr6:coauthVersionMax="47" xr10:uidLastSave="{00000000-0000-0000-0000-000000000000}"/>
  <bookViews>
    <workbookView xWindow="-120" yWindow="-120" windowWidth="20730" windowHeight="11040" xr2:uid="{8CD6B16B-FCCB-4CEE-987C-F63C361DB2DF}"/>
  </bookViews>
  <sheets>
    <sheet name="2025年 1月度給与 (2)" sheetId="3" r:id="rId1"/>
  </sheets>
  <definedNames>
    <definedName name="_xlnm.Print_Area" localSheetId="0">'2025年 1月度給与 (2)'!$A$1:$O$51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3" l="1"/>
  <c r="O7" i="3"/>
  <c r="O8" i="3"/>
  <c r="O9" i="3"/>
  <c r="O18" i="3"/>
  <c r="O20" i="3"/>
  <c r="O21" i="3"/>
  <c r="O22" i="3"/>
  <c r="O31" i="3"/>
  <c r="O32" i="3"/>
  <c r="O33" i="3"/>
  <c r="O34" i="3"/>
  <c r="O43" i="3"/>
  <c r="O44" i="3"/>
  <c r="O45" i="3"/>
  <c r="O46" i="3"/>
  <c r="N6" i="3"/>
  <c r="N7" i="3"/>
  <c r="N8" i="3"/>
  <c r="N9" i="3"/>
  <c r="N10" i="3"/>
  <c r="O10" i="3" s="1"/>
  <c r="N11" i="3"/>
  <c r="O11" i="3" s="1"/>
  <c r="N12" i="3"/>
  <c r="O12" i="3" s="1"/>
  <c r="N13" i="3"/>
  <c r="O13" i="3" s="1"/>
  <c r="N14" i="3"/>
  <c r="N15" i="3"/>
  <c r="N16" i="3"/>
  <c r="N17" i="3"/>
  <c r="N18" i="3"/>
  <c r="N20" i="3"/>
  <c r="N21" i="3"/>
  <c r="N22" i="3"/>
  <c r="N23" i="3"/>
  <c r="O23" i="3" s="1"/>
  <c r="N24" i="3"/>
  <c r="O24" i="3" s="1"/>
  <c r="N25" i="3"/>
  <c r="O25" i="3" s="1"/>
  <c r="N26" i="3"/>
  <c r="O26" i="3" s="1"/>
  <c r="N27" i="3"/>
  <c r="N28" i="3"/>
  <c r="N29" i="3"/>
  <c r="N30" i="3"/>
  <c r="N31" i="3"/>
  <c r="N32" i="3"/>
  <c r="N33" i="3"/>
  <c r="N34" i="3"/>
  <c r="N35" i="3"/>
  <c r="O35" i="3" s="1"/>
  <c r="N36" i="3"/>
  <c r="O36" i="3" s="1"/>
  <c r="N37" i="3"/>
  <c r="O37" i="3" s="1"/>
  <c r="N38" i="3"/>
  <c r="O38" i="3" s="1"/>
  <c r="N39" i="3"/>
  <c r="N40" i="3"/>
  <c r="N41" i="3"/>
  <c r="N42" i="3"/>
  <c r="N43" i="3"/>
  <c r="N44" i="3"/>
  <c r="N45" i="3"/>
  <c r="N46" i="3"/>
  <c r="N47" i="3"/>
  <c r="O47" i="3" s="1"/>
  <c r="N48" i="3"/>
  <c r="O48" i="3" s="1"/>
  <c r="N51" i="3"/>
  <c r="O51" i="3" s="1"/>
  <c r="N5" i="3"/>
  <c r="O5" i="3" s="1"/>
  <c r="F6" i="3"/>
  <c r="F7" i="3"/>
  <c r="F8" i="3"/>
  <c r="F9" i="3"/>
  <c r="F10" i="3"/>
  <c r="F11" i="3"/>
  <c r="F12" i="3"/>
  <c r="F13" i="3"/>
  <c r="F14" i="3"/>
  <c r="O14" i="3" s="1"/>
  <c r="F15" i="3"/>
  <c r="O15" i="3" s="1"/>
  <c r="F16" i="3"/>
  <c r="O16" i="3" s="1"/>
  <c r="F17" i="3"/>
  <c r="O17" i="3" s="1"/>
  <c r="F18" i="3"/>
  <c r="F20" i="3"/>
  <c r="F21" i="3"/>
  <c r="F22" i="3"/>
  <c r="F23" i="3"/>
  <c r="F24" i="3"/>
  <c r="F25" i="3"/>
  <c r="F26" i="3"/>
  <c r="F27" i="3"/>
  <c r="O27" i="3" s="1"/>
  <c r="F28" i="3"/>
  <c r="O28" i="3" s="1"/>
  <c r="F29" i="3"/>
  <c r="O29" i="3" s="1"/>
  <c r="F30" i="3"/>
  <c r="O30" i="3" s="1"/>
  <c r="F31" i="3"/>
  <c r="F32" i="3"/>
  <c r="F33" i="3"/>
  <c r="F34" i="3"/>
  <c r="F35" i="3"/>
  <c r="F36" i="3"/>
  <c r="F37" i="3"/>
  <c r="F38" i="3"/>
  <c r="F39" i="3"/>
  <c r="O39" i="3" s="1"/>
  <c r="F40" i="3"/>
  <c r="O40" i="3" s="1"/>
  <c r="F41" i="3"/>
  <c r="O41" i="3" s="1"/>
  <c r="F42" i="3"/>
  <c r="O42" i="3" s="1"/>
  <c r="F43" i="3"/>
  <c r="F44" i="3"/>
  <c r="F45" i="3"/>
  <c r="F46" i="3"/>
  <c r="F47" i="3"/>
  <c r="F48" i="3"/>
  <c r="F51" i="3"/>
  <c r="F5" i="3"/>
</calcChain>
</file>

<file path=xl/sharedStrings.xml><?xml version="1.0" encoding="utf-8"?>
<sst xmlns="http://schemas.openxmlformats.org/spreadsheetml/2006/main" count="133" uniqueCount="74">
  <si>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</si>
  <si>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</si>
  <si>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</si>
  <si>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</si>
  <si>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</si>
  <si>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</si>
  <si>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</si>
  <si>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</si>
  <si>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</si>
  <si>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</si>
  <si>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1117</t>
    <phoneticPr fontId="4"/>
  </si>
  <si>
    <t>1202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</si>
  <si>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</si>
  <si>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</si>
  <si>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</si>
  <si>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</si>
  <si>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</si>
  <si>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佐藤　禎尚</t>
    <phoneticPr fontId="4"/>
  </si>
  <si>
    <t>土谷　栄</t>
    <phoneticPr fontId="4"/>
  </si>
  <si>
    <t>白井　博</t>
    <phoneticPr fontId="4"/>
  </si>
  <si>
    <t>鈴木　大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</si>
  <si>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</si>
  <si>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</si>
  <si>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</si>
  <si>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</si>
  <si>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</si>
  <si>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</si>
  <si>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</si>
  <si>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</si>
  <si>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</si>
  <si>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</si>
  <si>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</si>
  <si>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</si>
  <si>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</si>
  <si>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</si>
  <si>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</si>
  <si>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</si>
  <si>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</si>
  <si>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</si>
  <si>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</si>
  <si>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</si>
  <si>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</si>
  <si>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正月出勤手当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</si>
  <si>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</si>
  <si>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</si>
  <si>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</si>
  <si>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</si>
  <si>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</si>
  <si>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</si>
  <si>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</si>
  <si>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</si>
  <si>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</si>
  <si>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</si>
  <si>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</si>
  <si>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</si>
  <si>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</si>
  <si>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</si>
  <si>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</si>
  <si>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</si>
  <si>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</si>
  <si>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</si>
  <si>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</si>
  <si>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</si>
  <si>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</si>
  <si>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</si>
  <si>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</si>
  <si>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1月度給与</t>
    <phoneticPr fontId="4"/>
  </si>
  <si>
    <t>小田島健司</t>
    <phoneticPr fontId="4"/>
  </si>
  <si>
    <t>佐藤ゆうこ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</si>
  <si>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</si>
  <si>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</si>
  <si>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小計</t>
    <rPh sb="0" eb="2">
      <t>ショウケイ</t>
    </rPh>
    <phoneticPr fontId="4"/>
  </si>
  <si>
    <t>7名</t>
    <rPh sb="1" eb="2">
      <t>メイ</t>
    </rPh>
    <phoneticPr fontId="4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</si>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</sst>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176" fontId="2" fillId="0" borderId="9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176" fontId="2" fillId="0" borderId="18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24" xfId="1" applyNumberFormat="1" applyFont="1" applyBorder="1" applyAlignment="1">
      <alignment horizontal="center"/>
    </xf>
    <xf numFmtId="49" fontId="2" fillId="0" borderId="25" xfId="1" applyNumberFormat="1" applyFont="1" applyBorder="1" applyAlignment="1">
      <alignment horizontal="center"/>
    </xf>
    <xf numFmtId="2" fontId="2" fillId="0" borderId="26" xfId="1" applyNumberFormat="1" applyFont="1" applyBorder="1"/>
    <xf numFmtId="2" fontId="2" fillId="0" borderId="27" xfId="1" applyNumberFormat="1" applyFont="1" applyBorder="1"/>
    <xf numFmtId="176" fontId="2" fillId="0" borderId="27" xfId="1" applyNumberFormat="1" applyFont="1" applyBorder="1"/>
    <xf numFmtId="176" fontId="2" fillId="0" borderId="28" xfId="1" applyNumberFormat="1" applyFont="1" applyBorder="1"/>
    <xf numFmtId="2" fontId="2" fillId="0" borderId="29" xfId="1" applyNumberFormat="1" applyFont="1" applyBorder="1"/>
    <xf numFmtId="3" fontId="2" fillId="0" borderId="30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29" xfId="1" applyNumberFormat="1" applyFont="1" applyBorder="1"/>
    <xf numFmtId="3" fontId="2" fillId="0" borderId="25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6" xfId="1" applyNumberFormat="1" applyFont="1" applyBorder="1"/>
    <xf numFmtId="3" fontId="2" fillId="0" borderId="32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176" fontId="2" fillId="0" borderId="42" xfId="1" applyNumberFormat="1" applyFont="1" applyBorder="1"/>
    <xf numFmtId="2" fontId="2" fillId="0" borderId="43" xfId="1" applyNumberFormat="1" applyFont="1" applyBorder="1"/>
    <xf numFmtId="3" fontId="2" fillId="0" borderId="44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3" xfId="1" applyNumberFormat="1" applyFont="1" applyBorder="1"/>
    <xf numFmtId="3" fontId="2" fillId="0" borderId="39" xfId="1" applyNumberFormat="1" applyFont="1" applyBorder="1"/>
    <xf numFmtId="0" fontId="2" fillId="0" borderId="31" xfId="1" applyFont="1" applyBorder="1" applyAlignment="1">
      <alignment horizontal="center"/>
    </xf>
    <xf numFmtId="0" fontId="2" fillId="0" borderId="32" xfId="1" applyFont="1" applyBorder="1" applyAlignment="1">
      <alignment horizontal="center"/>
    </xf>
    <xf numFmtId="49" fontId="2" fillId="0" borderId="33" xfId="1" applyNumberFormat="1" applyFont="1" applyBorder="1" applyAlignment="1">
      <alignment horizontal="left"/>
    </xf>
    <xf numFmtId="49" fontId="2" fillId="0" borderId="34" xfId="1" applyNumberFormat="1" applyFont="1" applyBorder="1" applyAlignment="1">
      <alignment horizontal="left"/>
    </xf>
    <xf numFmtId="49" fontId="2" fillId="0" borderId="35" xfId="1" applyNumberFormat="1" applyFont="1" applyBorder="1" applyAlignment="1">
      <alignment horizontal="left"/>
    </xf>
    <xf numFmtId="49" fontId="2" fillId="0" borderId="36" xfId="1" applyNumberFormat="1" applyFont="1" applyBorder="1" applyAlignment="1">
      <alignment horizontal="left"/>
    </xf>
    <xf numFmtId="49" fontId="2" fillId="0" borderId="37" xfId="1" applyNumberFormat="1" applyFont="1" applyBorder="1" applyAlignment="1">
      <alignment horizontal="left"/>
    </xf>
    <xf numFmtId="49" fontId="2" fillId="0" borderId="32" xfId="1" applyNumberFormat="1" applyFont="1" applyBorder="1" applyAlignment="1">
      <alignment horizontal="left"/>
    </xf>
  </cellXfs>
  <cellStyles count="2">
    <cellStyle name="標準" xfId="0" builtinId="0"/>
    <cellStyle name="標準 2" xfId="1" xr:uid="{578C009A-1F36-4F44-8402-9A2C80CC4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B322-A4D6-46E1-9457-DC5D7C113F03}">
  <sheetPr>
    <pageSetUpPr fitToPage="1"/>
  </sheetPr>
  <dimension ref="A1:O5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5" width="11.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/>
    <col min="267" max="267" width="13.25" style="2" bestFit="1" customWidth="1"/>
    <col min="268" max="269" width="9" style="2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/>
    <col min="523" max="523" width="13.25" style="2" bestFit="1" customWidth="1"/>
    <col min="524" max="525" width="9" style="2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/>
    <col min="779" max="779" width="13.25" style="2" bestFit="1" customWidth="1"/>
    <col min="780" max="781" width="9" style="2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/>
    <col min="1035" max="1035" width="13.25" style="2" bestFit="1" customWidth="1"/>
    <col min="1036" max="1037" width="9" style="2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/>
    <col min="1291" max="1291" width="13.25" style="2" bestFit="1" customWidth="1"/>
    <col min="1292" max="1293" width="9" style="2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/>
    <col min="1547" max="1547" width="13.25" style="2" bestFit="1" customWidth="1"/>
    <col min="1548" max="1549" width="9" style="2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/>
    <col min="1803" max="1803" width="13.25" style="2" bestFit="1" customWidth="1"/>
    <col min="1804" max="1805" width="9" style="2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/>
    <col min="2059" max="2059" width="13.25" style="2" bestFit="1" customWidth="1"/>
    <col min="2060" max="2061" width="9" style="2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/>
    <col min="2315" max="2315" width="13.25" style="2" bestFit="1" customWidth="1"/>
    <col min="2316" max="2317" width="9" style="2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/>
    <col min="2571" max="2571" width="13.25" style="2" bestFit="1" customWidth="1"/>
    <col min="2572" max="2573" width="9" style="2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/>
    <col min="2827" max="2827" width="13.25" style="2" bestFit="1" customWidth="1"/>
    <col min="2828" max="2829" width="9" style="2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/>
    <col min="3083" max="3083" width="13.25" style="2" bestFit="1" customWidth="1"/>
    <col min="3084" max="3085" width="9" style="2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/>
    <col min="3339" max="3339" width="13.25" style="2" bestFit="1" customWidth="1"/>
    <col min="3340" max="3341" width="9" style="2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/>
    <col min="3595" max="3595" width="13.25" style="2" bestFit="1" customWidth="1"/>
    <col min="3596" max="3597" width="9" style="2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/>
    <col min="3851" max="3851" width="13.25" style="2" bestFit="1" customWidth="1"/>
    <col min="3852" max="3853" width="9" style="2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/>
    <col min="4107" max="4107" width="13.25" style="2" bestFit="1" customWidth="1"/>
    <col min="4108" max="4109" width="9" style="2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/>
    <col min="4363" max="4363" width="13.25" style="2" bestFit="1" customWidth="1"/>
    <col min="4364" max="4365" width="9" style="2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/>
    <col min="4619" max="4619" width="13.25" style="2" bestFit="1" customWidth="1"/>
    <col min="4620" max="4621" width="9" style="2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/>
    <col min="4875" max="4875" width="13.25" style="2" bestFit="1" customWidth="1"/>
    <col min="4876" max="4877" width="9" style="2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/>
    <col min="5131" max="5131" width="13.25" style="2" bestFit="1" customWidth="1"/>
    <col min="5132" max="5133" width="9" style="2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/>
    <col min="5387" max="5387" width="13.25" style="2" bestFit="1" customWidth="1"/>
    <col min="5388" max="5389" width="9" style="2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/>
    <col min="5643" max="5643" width="13.25" style="2" bestFit="1" customWidth="1"/>
    <col min="5644" max="5645" width="9" style="2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/>
    <col min="5899" max="5899" width="13.25" style="2" bestFit="1" customWidth="1"/>
    <col min="5900" max="5901" width="9" style="2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/>
    <col min="6155" max="6155" width="13.25" style="2" bestFit="1" customWidth="1"/>
    <col min="6156" max="6157" width="9" style="2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/>
    <col min="6411" max="6411" width="13.25" style="2" bestFit="1" customWidth="1"/>
    <col min="6412" max="6413" width="9" style="2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/>
    <col min="6667" max="6667" width="13.25" style="2" bestFit="1" customWidth="1"/>
    <col min="6668" max="6669" width="9" style="2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/>
    <col min="6923" max="6923" width="13.25" style="2" bestFit="1" customWidth="1"/>
    <col min="6924" max="6925" width="9" style="2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/>
    <col min="7179" max="7179" width="13.25" style="2" bestFit="1" customWidth="1"/>
    <col min="7180" max="7181" width="9" style="2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/>
    <col min="7435" max="7435" width="13.25" style="2" bestFit="1" customWidth="1"/>
    <col min="7436" max="7437" width="9" style="2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/>
    <col min="7691" max="7691" width="13.25" style="2" bestFit="1" customWidth="1"/>
    <col min="7692" max="7693" width="9" style="2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/>
    <col min="7947" max="7947" width="13.25" style="2" bestFit="1" customWidth="1"/>
    <col min="7948" max="7949" width="9" style="2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/>
    <col min="8203" max="8203" width="13.25" style="2" bestFit="1" customWidth="1"/>
    <col min="8204" max="8205" width="9" style="2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/>
    <col min="8459" max="8459" width="13.25" style="2" bestFit="1" customWidth="1"/>
    <col min="8460" max="8461" width="9" style="2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/>
    <col min="8715" max="8715" width="13.25" style="2" bestFit="1" customWidth="1"/>
    <col min="8716" max="8717" width="9" style="2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/>
    <col min="8971" max="8971" width="13.25" style="2" bestFit="1" customWidth="1"/>
    <col min="8972" max="8973" width="9" style="2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/>
    <col min="9227" max="9227" width="13.25" style="2" bestFit="1" customWidth="1"/>
    <col min="9228" max="9229" width="9" style="2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/>
    <col min="9483" max="9483" width="13.25" style="2" bestFit="1" customWidth="1"/>
    <col min="9484" max="9485" width="9" style="2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/>
    <col min="9739" max="9739" width="13.25" style="2" bestFit="1" customWidth="1"/>
    <col min="9740" max="9741" width="9" style="2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/>
    <col min="9995" max="9995" width="13.25" style="2" bestFit="1" customWidth="1"/>
    <col min="9996" max="9997" width="9" style="2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/>
    <col min="10251" max="10251" width="13.25" style="2" bestFit="1" customWidth="1"/>
    <col min="10252" max="10253" width="9" style="2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/>
    <col min="10507" max="10507" width="13.25" style="2" bestFit="1" customWidth="1"/>
    <col min="10508" max="10509" width="9" style="2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/>
    <col min="10763" max="10763" width="13.25" style="2" bestFit="1" customWidth="1"/>
    <col min="10764" max="10765" width="9" style="2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/>
    <col min="11019" max="11019" width="13.25" style="2" bestFit="1" customWidth="1"/>
    <col min="11020" max="11021" width="9" style="2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/>
    <col min="11275" max="11275" width="13.25" style="2" bestFit="1" customWidth="1"/>
    <col min="11276" max="11277" width="9" style="2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/>
    <col min="11531" max="11531" width="13.25" style="2" bestFit="1" customWidth="1"/>
    <col min="11532" max="11533" width="9" style="2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/>
    <col min="11787" max="11787" width="13.25" style="2" bestFit="1" customWidth="1"/>
    <col min="11788" max="11789" width="9" style="2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/>
    <col min="12043" max="12043" width="13.25" style="2" bestFit="1" customWidth="1"/>
    <col min="12044" max="12045" width="9" style="2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/>
    <col min="12299" max="12299" width="13.25" style="2" bestFit="1" customWidth="1"/>
    <col min="12300" max="12301" width="9" style="2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/>
    <col min="12555" max="12555" width="13.25" style="2" bestFit="1" customWidth="1"/>
    <col min="12556" max="12557" width="9" style="2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/>
    <col min="12811" max="12811" width="13.25" style="2" bestFit="1" customWidth="1"/>
    <col min="12812" max="12813" width="9" style="2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/>
    <col min="13067" max="13067" width="13.25" style="2" bestFit="1" customWidth="1"/>
    <col min="13068" max="13069" width="9" style="2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/>
    <col min="13323" max="13323" width="13.25" style="2" bestFit="1" customWidth="1"/>
    <col min="13324" max="13325" width="9" style="2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/>
    <col min="13579" max="13579" width="13.25" style="2" bestFit="1" customWidth="1"/>
    <col min="13580" max="13581" width="9" style="2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/>
    <col min="13835" max="13835" width="13.25" style="2" bestFit="1" customWidth="1"/>
    <col min="13836" max="13837" width="9" style="2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/>
    <col min="14091" max="14091" width="13.25" style="2" bestFit="1" customWidth="1"/>
    <col min="14092" max="14093" width="9" style="2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/>
    <col min="14347" max="14347" width="13.25" style="2" bestFit="1" customWidth="1"/>
    <col min="14348" max="14349" width="9" style="2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/>
    <col min="14603" max="14603" width="13.25" style="2" bestFit="1" customWidth="1"/>
    <col min="14604" max="14605" width="9" style="2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/>
    <col min="14859" max="14859" width="13.25" style="2" bestFit="1" customWidth="1"/>
    <col min="14860" max="14861" width="9" style="2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/>
    <col min="15115" max="15115" width="13.25" style="2" bestFit="1" customWidth="1"/>
    <col min="15116" max="15117" width="9" style="2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/>
    <col min="15371" max="15371" width="13.25" style="2" bestFit="1" customWidth="1"/>
    <col min="15372" max="15373" width="9" style="2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/>
    <col min="15627" max="15627" width="13.25" style="2" bestFit="1" customWidth="1"/>
    <col min="15628" max="15629" width="9" style="2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/>
    <col min="15883" max="15883" width="13.25" style="2" bestFit="1" customWidth="1"/>
    <col min="15884" max="15885" width="9" style="2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/>
    <col min="16139" max="16139" width="13.25" style="2" bestFit="1" customWidth="1"/>
    <col min="16140" max="16141" width="9" style="2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66</v>
      </c>
    </row>
    <row r="3" spans="1:15">
      <c r="B3" s="85"/>
      <c r="C3" s="72" t="s">
        <v>5</v>
      </c>
      <c r="D3" s="6" t="s">
        <v>7</v>
      </c>
      <c r="E3" s="46" t="s">
        <v>6</v>
      </c>
      <c r="F3" s="59" t="s">
        <v>69</v>
      </c>
      <c r="G3" s="5" t="s">
        <v>2</v>
      </c>
      <c r="H3" s="6" t="s">
        <v>3</v>
      </c>
      <c r="I3" s="6" t="s">
        <v>4</v>
      </c>
      <c r="J3" s="6" t="s">
        <v>8</v>
      </c>
      <c r="K3" s="6" t="s">
        <v>9</v>
      </c>
      <c r="L3" s="6" t="s">
        <v>10</v>
      </c>
      <c r="M3" s="7" t="s">
        <v>11</v>
      </c>
      <c r="N3" s="44" t="s">
        <v>71</v>
      </c>
      <c r="O3" s="4" t="s">
        <v>21</v>
      </c>
    </row>
    <row r="4" spans="1:15" ht="19.5" thickBot="1">
      <c r="B4" s="86" t="s">
        <v>12</v>
      </c>
      <c r="C4" s="73" t="s">
        <v>16</v>
      </c>
      <c r="D4" s="9" t="s">
        <v>17</v>
      </c>
      <c r="E4" s="47" t="s">
        <v>68</v>
      </c>
      <c r="F4" s="60" t="s">
        <v>70</v>
      </c>
      <c r="G4" s="8" t="s">
        <v>13</v>
      </c>
      <c r="H4" s="9" t="s">
        <v>14</v>
      </c>
      <c r="I4" s="9" t="s">
        <v>15</v>
      </c>
      <c r="J4" s="9" t="s">
        <v>18</v>
      </c>
      <c r="K4" s="9" t="s">
        <v>67</v>
      </c>
      <c r="L4" s="9" t="s">
        <v>19</v>
      </c>
      <c r="M4" s="10" t="s">
        <v>20</v>
      </c>
      <c r="N4" s="45" t="s">
        <v>72</v>
      </c>
      <c r="O4" s="3" t="s">
        <v>73</v>
      </c>
    </row>
    <row r="5" spans="1:15">
      <c r="A5" s="1" t="s">
        <v>1</v>
      </c>
      <c r="B5" s="87" t="s">
        <v>22</v>
      </c>
      <c r="C5" s="74">
        <v>19</v>
      </c>
      <c r="D5" s="36">
        <v>19</v>
      </c>
      <c r="E5" s="48">
        <v>20</v>
      </c>
      <c r="F5" s="61">
        <f>SUM(C5:E5)</f>
        <v>58</v>
      </c>
      <c r="G5" s="35">
        <v>19</v>
      </c>
      <c r="H5" s="36">
        <v>14</v>
      </c>
      <c r="I5" s="36">
        <v>16</v>
      </c>
      <c r="J5" s="36">
        <v>20</v>
      </c>
      <c r="K5" s="36">
        <v>20</v>
      </c>
      <c r="L5" s="36">
        <v>19</v>
      </c>
      <c r="M5" s="37">
        <v>20</v>
      </c>
      <c r="N5" s="37">
        <f>SUM(G5:M5)</f>
        <v>128</v>
      </c>
      <c r="O5" s="37">
        <f>SUM(N5,F5)</f>
        <v>186</v>
      </c>
    </row>
    <row r="6" spans="1:15">
      <c r="A6" s="1" t="s">
        <v>1</v>
      </c>
      <c r="B6" s="88" t="s">
        <v>23</v>
      </c>
      <c r="C6" s="75">
        <v>0</v>
      </c>
      <c r="D6" s="39">
        <v>0</v>
      </c>
      <c r="E6" s="49">
        <v>2</v>
      </c>
      <c r="F6" s="62">
        <f t="shared" ref="F6:F51" si="0">SUM(C6:E6)</f>
        <v>2</v>
      </c>
      <c r="G6" s="38">
        <v>3</v>
      </c>
      <c r="H6" s="39">
        <v>3</v>
      </c>
      <c r="I6" s="39">
        <v>2</v>
      </c>
      <c r="J6" s="39">
        <v>2</v>
      </c>
      <c r="K6" s="39">
        <v>3</v>
      </c>
      <c r="L6" s="39">
        <v>2</v>
      </c>
      <c r="M6" s="40">
        <v>0</v>
      </c>
      <c r="N6" s="40">
        <f t="shared" ref="N6:N51" si="1">SUM(G6:M6)</f>
        <v>15</v>
      </c>
      <c r="O6" s="40">
        <f t="shared" ref="O6:O51" si="2">SUM(N6,F6)</f>
        <v>17</v>
      </c>
    </row>
    <row r="7" spans="1:15">
      <c r="A7" s="1" t="s">
        <v>1</v>
      </c>
      <c r="B7" s="88" t="s">
        <v>24</v>
      </c>
      <c r="C7" s="75">
        <v>0</v>
      </c>
      <c r="D7" s="39">
        <v>0</v>
      </c>
      <c r="E7" s="49">
        <v>2</v>
      </c>
      <c r="F7" s="62">
        <f t="shared" si="0"/>
        <v>2</v>
      </c>
      <c r="G7" s="38">
        <v>2</v>
      </c>
      <c r="H7" s="39">
        <v>2</v>
      </c>
      <c r="I7" s="39">
        <v>3</v>
      </c>
      <c r="J7" s="39">
        <v>1</v>
      </c>
      <c r="K7" s="39">
        <v>1</v>
      </c>
      <c r="L7" s="39">
        <v>2</v>
      </c>
      <c r="M7" s="40">
        <v>1</v>
      </c>
      <c r="N7" s="40">
        <f t="shared" si="1"/>
        <v>12</v>
      </c>
      <c r="O7" s="40">
        <f t="shared" si="2"/>
        <v>14</v>
      </c>
    </row>
    <row r="8" spans="1:15">
      <c r="A8" s="1" t="s">
        <v>1</v>
      </c>
      <c r="B8" s="88" t="s">
        <v>25</v>
      </c>
      <c r="C8" s="75">
        <v>0</v>
      </c>
      <c r="D8" s="39">
        <v>0</v>
      </c>
      <c r="E8" s="49">
        <v>0</v>
      </c>
      <c r="F8" s="62">
        <f t="shared" si="0"/>
        <v>0</v>
      </c>
      <c r="G8" s="38">
        <v>0</v>
      </c>
      <c r="H8" s="39">
        <v>4</v>
      </c>
      <c r="I8" s="39">
        <v>2</v>
      </c>
      <c r="J8" s="39">
        <v>0</v>
      </c>
      <c r="K8" s="39">
        <v>0</v>
      </c>
      <c r="L8" s="39">
        <v>1</v>
      </c>
      <c r="M8" s="40">
        <v>0</v>
      </c>
      <c r="N8" s="40">
        <f t="shared" si="1"/>
        <v>7</v>
      </c>
      <c r="O8" s="40">
        <f t="shared" si="2"/>
        <v>7</v>
      </c>
    </row>
    <row r="9" spans="1:15">
      <c r="A9" s="1" t="s">
        <v>1</v>
      </c>
      <c r="B9" s="88" t="s">
        <v>26</v>
      </c>
      <c r="C9" s="75">
        <v>1</v>
      </c>
      <c r="D9" s="39">
        <v>0.5</v>
      </c>
      <c r="E9" s="49">
        <v>0.5</v>
      </c>
      <c r="F9" s="62">
        <f t="shared" si="0"/>
        <v>2</v>
      </c>
      <c r="G9" s="38">
        <v>1</v>
      </c>
      <c r="H9" s="39">
        <v>1</v>
      </c>
      <c r="I9" s="39">
        <v>2</v>
      </c>
      <c r="J9" s="39">
        <v>0</v>
      </c>
      <c r="K9" s="39">
        <v>0</v>
      </c>
      <c r="L9" s="39">
        <v>0</v>
      </c>
      <c r="M9" s="40">
        <v>0</v>
      </c>
      <c r="N9" s="40">
        <f t="shared" si="1"/>
        <v>4</v>
      </c>
      <c r="O9" s="40">
        <f t="shared" si="2"/>
        <v>6</v>
      </c>
    </row>
    <row r="10" spans="1:15">
      <c r="A10" s="1" t="s">
        <v>1</v>
      </c>
      <c r="B10" s="88" t="s">
        <v>27</v>
      </c>
      <c r="C10" s="75">
        <v>0</v>
      </c>
      <c r="D10" s="39">
        <v>0</v>
      </c>
      <c r="E10" s="49">
        <v>0</v>
      </c>
      <c r="F10" s="62">
        <f t="shared" si="0"/>
        <v>0</v>
      </c>
      <c r="G10" s="38">
        <v>0</v>
      </c>
      <c r="H10" s="39">
        <v>1</v>
      </c>
      <c r="I10" s="39">
        <v>0</v>
      </c>
      <c r="J10" s="39">
        <v>0</v>
      </c>
      <c r="K10" s="39">
        <v>0</v>
      </c>
      <c r="L10" s="39">
        <v>0</v>
      </c>
      <c r="M10" s="40">
        <v>0</v>
      </c>
      <c r="N10" s="40">
        <f t="shared" si="1"/>
        <v>1</v>
      </c>
      <c r="O10" s="40">
        <f t="shared" si="2"/>
        <v>1</v>
      </c>
    </row>
    <row r="11" spans="1:15">
      <c r="A11" s="1" t="s">
        <v>1</v>
      </c>
      <c r="B11" s="88" t="s">
        <v>28</v>
      </c>
      <c r="C11" s="76">
        <v>0</v>
      </c>
      <c r="D11" s="42">
        <v>0</v>
      </c>
      <c r="E11" s="50">
        <v>4.1666666666666664E-2</v>
      </c>
      <c r="F11" s="63">
        <f t="shared" si="0"/>
        <v>4.1666666666666664E-2</v>
      </c>
      <c r="G11" s="41">
        <v>2.3333333333333335</v>
      </c>
      <c r="H11" s="42">
        <v>0.375</v>
      </c>
      <c r="I11" s="42">
        <v>0.95833333333333337</v>
      </c>
      <c r="J11" s="42">
        <v>2.0833333333333335</v>
      </c>
      <c r="K11" s="42">
        <v>2</v>
      </c>
      <c r="L11" s="42">
        <v>1.25</v>
      </c>
      <c r="M11" s="43">
        <v>0.875</v>
      </c>
      <c r="N11" s="43">
        <f t="shared" si="1"/>
        <v>9.875</v>
      </c>
      <c r="O11" s="43">
        <f t="shared" si="2"/>
        <v>9.9166666666666661</v>
      </c>
    </row>
    <row r="12" spans="1:15">
      <c r="A12" s="1" t="s">
        <v>1</v>
      </c>
      <c r="B12" s="88" t="s">
        <v>29</v>
      </c>
      <c r="C12" s="76">
        <v>0</v>
      </c>
      <c r="D12" s="42">
        <v>0</v>
      </c>
      <c r="E12" s="50">
        <v>0.58333333333333337</v>
      </c>
      <c r="F12" s="63">
        <f t="shared" si="0"/>
        <v>0.58333333333333337</v>
      </c>
      <c r="G12" s="41">
        <v>1.25</v>
      </c>
      <c r="H12" s="42">
        <v>0.375</v>
      </c>
      <c r="I12" s="42">
        <v>0.79166666666666663</v>
      </c>
      <c r="J12" s="42">
        <v>0.875</v>
      </c>
      <c r="K12" s="42">
        <v>1.5416666666666665</v>
      </c>
      <c r="L12" s="42">
        <v>0.29166666666666669</v>
      </c>
      <c r="M12" s="43">
        <v>0</v>
      </c>
      <c r="N12" s="43">
        <f t="shared" si="1"/>
        <v>5.125</v>
      </c>
      <c r="O12" s="43">
        <f t="shared" si="2"/>
        <v>5.708333333333333</v>
      </c>
    </row>
    <row r="13" spans="1:15">
      <c r="A13" s="1" t="s">
        <v>1</v>
      </c>
      <c r="B13" s="88" t="s">
        <v>30</v>
      </c>
      <c r="C13" s="76">
        <v>0</v>
      </c>
      <c r="D13" s="42">
        <v>0</v>
      </c>
      <c r="E13" s="50">
        <v>0.5</v>
      </c>
      <c r="F13" s="63">
        <f t="shared" si="0"/>
        <v>0.5</v>
      </c>
      <c r="G13" s="41">
        <v>0.91666666666666663</v>
      </c>
      <c r="H13" s="42">
        <v>0</v>
      </c>
      <c r="I13" s="42">
        <v>0.375</v>
      </c>
      <c r="J13" s="42">
        <v>0.45833333333333331</v>
      </c>
      <c r="K13" s="42">
        <v>0.45833333333333331</v>
      </c>
      <c r="L13" s="42">
        <v>0.625</v>
      </c>
      <c r="M13" s="43">
        <v>0.41666666666666669</v>
      </c>
      <c r="N13" s="43">
        <f t="shared" si="1"/>
        <v>3.2499999999999996</v>
      </c>
      <c r="O13" s="43">
        <f t="shared" si="2"/>
        <v>3.7499999999999996</v>
      </c>
    </row>
    <row r="14" spans="1:15">
      <c r="A14" s="1" t="s">
        <v>1</v>
      </c>
      <c r="B14" s="88" t="s">
        <v>31</v>
      </c>
      <c r="C14" s="76">
        <v>0</v>
      </c>
      <c r="D14" s="42">
        <v>0</v>
      </c>
      <c r="E14" s="50">
        <v>0</v>
      </c>
      <c r="F14" s="63">
        <f t="shared" si="0"/>
        <v>0</v>
      </c>
      <c r="G14" s="41">
        <v>0</v>
      </c>
      <c r="H14" s="42">
        <v>0.70833333333333337</v>
      </c>
      <c r="I14" s="42">
        <v>0</v>
      </c>
      <c r="J14" s="42">
        <v>0</v>
      </c>
      <c r="K14" s="42">
        <v>0</v>
      </c>
      <c r="L14" s="42">
        <v>0.375</v>
      </c>
      <c r="M14" s="43">
        <v>0</v>
      </c>
      <c r="N14" s="43">
        <f t="shared" si="1"/>
        <v>1.0833333333333335</v>
      </c>
      <c r="O14" s="43">
        <f t="shared" si="2"/>
        <v>1.0833333333333335</v>
      </c>
    </row>
    <row r="15" spans="1:15">
      <c r="A15" s="1" t="s">
        <v>1</v>
      </c>
      <c r="B15" s="88" t="s">
        <v>32</v>
      </c>
      <c r="C15" s="76">
        <v>0</v>
      </c>
      <c r="D15" s="42">
        <v>0</v>
      </c>
      <c r="E15" s="50">
        <v>0</v>
      </c>
      <c r="F15" s="63">
        <f t="shared" si="0"/>
        <v>0</v>
      </c>
      <c r="G15" s="41">
        <v>0</v>
      </c>
      <c r="H15" s="42">
        <v>0.70833333333333337</v>
      </c>
      <c r="I15" s="42">
        <v>0.75</v>
      </c>
      <c r="J15" s="42">
        <v>0</v>
      </c>
      <c r="K15" s="42">
        <v>0</v>
      </c>
      <c r="L15" s="42">
        <v>0</v>
      </c>
      <c r="M15" s="43">
        <v>0</v>
      </c>
      <c r="N15" s="43">
        <f t="shared" si="1"/>
        <v>1.4583333333333335</v>
      </c>
      <c r="O15" s="43">
        <f t="shared" si="2"/>
        <v>1.4583333333333335</v>
      </c>
    </row>
    <row r="16" spans="1:15">
      <c r="A16" s="1" t="s">
        <v>1</v>
      </c>
      <c r="B16" s="88" t="s">
        <v>33</v>
      </c>
      <c r="C16" s="76">
        <v>0</v>
      </c>
      <c r="D16" s="42">
        <v>0</v>
      </c>
      <c r="E16" s="50">
        <v>0</v>
      </c>
      <c r="F16" s="63">
        <f t="shared" si="0"/>
        <v>0</v>
      </c>
      <c r="G16" s="41">
        <v>8.3333333333333329E-2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3">
        <v>0</v>
      </c>
      <c r="N16" s="43">
        <f t="shared" si="1"/>
        <v>8.3333333333333329E-2</v>
      </c>
      <c r="O16" s="43">
        <f t="shared" si="2"/>
        <v>8.3333333333333329E-2</v>
      </c>
    </row>
    <row r="17" spans="1:15">
      <c r="A17" s="1" t="s">
        <v>1</v>
      </c>
      <c r="B17" s="88" t="s">
        <v>34</v>
      </c>
      <c r="C17" s="76">
        <v>0</v>
      </c>
      <c r="D17" s="42">
        <v>0</v>
      </c>
      <c r="E17" s="50">
        <v>0.45833333333333331</v>
      </c>
      <c r="F17" s="63">
        <f t="shared" si="0"/>
        <v>0.45833333333333331</v>
      </c>
      <c r="G17" s="41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3">
        <v>0</v>
      </c>
      <c r="N17" s="43">
        <f t="shared" si="1"/>
        <v>0</v>
      </c>
      <c r="O17" s="43">
        <f t="shared" si="2"/>
        <v>0.45833333333333331</v>
      </c>
    </row>
    <row r="18" spans="1:15">
      <c r="A18" s="1" t="s">
        <v>1</v>
      </c>
      <c r="B18" s="89" t="s">
        <v>35</v>
      </c>
      <c r="C18" s="77">
        <v>0.20833333333333334</v>
      </c>
      <c r="D18" s="12">
        <v>0</v>
      </c>
      <c r="E18" s="51">
        <v>0</v>
      </c>
      <c r="F18" s="64">
        <f t="shared" si="0"/>
        <v>0.20833333333333334</v>
      </c>
      <c r="G18" s="11">
        <v>1.375</v>
      </c>
      <c r="H18" s="12">
        <v>2.7083333333333335</v>
      </c>
      <c r="I18" s="12">
        <v>2.6666666666666665</v>
      </c>
      <c r="J18" s="12">
        <v>0.41666666666666669</v>
      </c>
      <c r="K18" s="12">
        <v>1.375</v>
      </c>
      <c r="L18" s="12">
        <v>0.75</v>
      </c>
      <c r="M18" s="13">
        <v>0.41666666666666669</v>
      </c>
      <c r="N18" s="13">
        <f t="shared" si="1"/>
        <v>9.7083333333333339</v>
      </c>
      <c r="O18" s="13">
        <f t="shared" si="2"/>
        <v>9.9166666666666679</v>
      </c>
    </row>
    <row r="19" spans="1:15">
      <c r="A19" s="1" t="s">
        <v>1</v>
      </c>
      <c r="B19" s="90" t="s">
        <v>36</v>
      </c>
      <c r="C19" s="78">
        <v>35.5</v>
      </c>
      <c r="D19" s="21">
        <v>16</v>
      </c>
      <c r="E19" s="52">
        <v>21.5</v>
      </c>
      <c r="F19" s="65"/>
      <c r="G19" s="20">
        <v>28</v>
      </c>
      <c r="H19" s="21">
        <v>21</v>
      </c>
      <c r="I19" s="21">
        <v>16</v>
      </c>
      <c r="J19" s="21">
        <v>9</v>
      </c>
      <c r="K19" s="21">
        <v>5</v>
      </c>
      <c r="L19" s="21">
        <v>7</v>
      </c>
      <c r="M19" s="22">
        <v>0</v>
      </c>
      <c r="N19" s="22"/>
      <c r="O19" s="22"/>
    </row>
    <row r="20" spans="1:15">
      <c r="A20" s="1" t="s">
        <v>1</v>
      </c>
      <c r="B20" s="91" t="s">
        <v>37</v>
      </c>
      <c r="C20" s="79">
        <v>370000</v>
      </c>
      <c r="D20" s="30">
        <v>360000</v>
      </c>
      <c r="E20" s="53">
        <v>180000</v>
      </c>
      <c r="F20" s="66">
        <f t="shared" si="0"/>
        <v>910000</v>
      </c>
      <c r="G20" s="29">
        <v>187000</v>
      </c>
      <c r="H20" s="30">
        <v>187000</v>
      </c>
      <c r="I20" s="30">
        <v>182000</v>
      </c>
      <c r="J20" s="30">
        <v>182000</v>
      </c>
      <c r="K20" s="30">
        <v>182000</v>
      </c>
      <c r="L20" s="30">
        <v>175000</v>
      </c>
      <c r="M20" s="31">
        <v>175000</v>
      </c>
      <c r="N20" s="31">
        <f t="shared" si="1"/>
        <v>1270000</v>
      </c>
      <c r="O20" s="31">
        <f t="shared" si="2"/>
        <v>2180000</v>
      </c>
    </row>
    <row r="21" spans="1:15">
      <c r="A21" s="1" t="s">
        <v>1</v>
      </c>
      <c r="B21" s="88" t="s">
        <v>38</v>
      </c>
      <c r="C21" s="80">
        <v>0</v>
      </c>
      <c r="D21" s="33">
        <v>0</v>
      </c>
      <c r="E21" s="54">
        <v>0</v>
      </c>
      <c r="F21" s="67">
        <f t="shared" si="0"/>
        <v>0</v>
      </c>
      <c r="G21" s="32">
        <v>5000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4">
        <v>0</v>
      </c>
      <c r="N21" s="34">
        <f t="shared" si="1"/>
        <v>5000</v>
      </c>
      <c r="O21" s="34">
        <f t="shared" si="2"/>
        <v>5000</v>
      </c>
    </row>
    <row r="22" spans="1:15">
      <c r="A22" s="1" t="s">
        <v>1</v>
      </c>
      <c r="B22" s="88" t="s">
        <v>39</v>
      </c>
      <c r="C22" s="80">
        <v>0</v>
      </c>
      <c r="D22" s="33">
        <v>0</v>
      </c>
      <c r="E22" s="54">
        <v>6000</v>
      </c>
      <c r="F22" s="67">
        <f t="shared" si="0"/>
        <v>6000</v>
      </c>
      <c r="G22" s="32">
        <v>6000</v>
      </c>
      <c r="H22" s="33">
        <v>10000</v>
      </c>
      <c r="I22" s="33">
        <v>0</v>
      </c>
      <c r="J22" s="33">
        <v>0</v>
      </c>
      <c r="K22" s="33">
        <v>0</v>
      </c>
      <c r="L22" s="33">
        <v>0</v>
      </c>
      <c r="M22" s="34">
        <v>0</v>
      </c>
      <c r="N22" s="34">
        <f t="shared" si="1"/>
        <v>16000</v>
      </c>
      <c r="O22" s="34">
        <f t="shared" si="2"/>
        <v>22000</v>
      </c>
    </row>
    <row r="23" spans="1:15">
      <c r="A23" s="1" t="s">
        <v>1</v>
      </c>
      <c r="B23" s="88" t="s">
        <v>40</v>
      </c>
      <c r="C23" s="80">
        <v>0</v>
      </c>
      <c r="D23" s="33">
        <v>0</v>
      </c>
      <c r="E23" s="54">
        <v>0</v>
      </c>
      <c r="F23" s="67">
        <f t="shared" si="0"/>
        <v>0</v>
      </c>
      <c r="G23" s="32">
        <v>3500</v>
      </c>
      <c r="H23" s="33">
        <v>3500</v>
      </c>
      <c r="I23" s="33">
        <v>3500</v>
      </c>
      <c r="J23" s="33">
        <v>3500</v>
      </c>
      <c r="K23" s="33">
        <v>3500</v>
      </c>
      <c r="L23" s="33">
        <v>0</v>
      </c>
      <c r="M23" s="34">
        <v>0</v>
      </c>
      <c r="N23" s="34">
        <f t="shared" si="1"/>
        <v>17500</v>
      </c>
      <c r="O23" s="34">
        <f t="shared" si="2"/>
        <v>17500</v>
      </c>
    </row>
    <row r="24" spans="1:15">
      <c r="A24" s="1" t="s">
        <v>1</v>
      </c>
      <c r="B24" s="88" t="s">
        <v>41</v>
      </c>
      <c r="C24" s="80">
        <v>0</v>
      </c>
      <c r="D24" s="33">
        <v>0</v>
      </c>
      <c r="E24" s="54">
        <v>0</v>
      </c>
      <c r="F24" s="67">
        <f t="shared" si="0"/>
        <v>0</v>
      </c>
      <c r="G24" s="32">
        <v>0</v>
      </c>
      <c r="H24" s="33">
        <v>7600</v>
      </c>
      <c r="I24" s="33">
        <v>0</v>
      </c>
      <c r="J24" s="33">
        <v>0</v>
      </c>
      <c r="K24" s="33">
        <v>0</v>
      </c>
      <c r="L24" s="33">
        <v>0</v>
      </c>
      <c r="M24" s="34">
        <v>0</v>
      </c>
      <c r="N24" s="34">
        <f t="shared" si="1"/>
        <v>7600</v>
      </c>
      <c r="O24" s="34">
        <f t="shared" si="2"/>
        <v>7600</v>
      </c>
    </row>
    <row r="25" spans="1:15">
      <c r="A25" s="1" t="s">
        <v>1</v>
      </c>
      <c r="B25" s="88" t="s">
        <v>42</v>
      </c>
      <c r="C25" s="80">
        <v>0</v>
      </c>
      <c r="D25" s="33">
        <v>0</v>
      </c>
      <c r="E25" s="54">
        <v>1500</v>
      </c>
      <c r="F25" s="67">
        <f t="shared" si="0"/>
        <v>1500</v>
      </c>
      <c r="G25" s="32">
        <v>3000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4">
        <v>0</v>
      </c>
      <c r="N25" s="34">
        <f t="shared" si="1"/>
        <v>3000</v>
      </c>
      <c r="O25" s="34">
        <f t="shared" si="2"/>
        <v>4500</v>
      </c>
    </row>
    <row r="26" spans="1:15">
      <c r="A26" s="1" t="s">
        <v>1</v>
      </c>
      <c r="B26" s="88" t="s">
        <v>28</v>
      </c>
      <c r="C26" s="80">
        <v>0</v>
      </c>
      <c r="D26" s="33">
        <v>0</v>
      </c>
      <c r="E26" s="54">
        <v>1593</v>
      </c>
      <c r="F26" s="67">
        <f t="shared" si="0"/>
        <v>1593</v>
      </c>
      <c r="G26" s="32">
        <v>84504</v>
      </c>
      <c r="H26" s="33">
        <v>14022</v>
      </c>
      <c r="I26" s="33">
        <v>31947</v>
      </c>
      <c r="J26" s="33">
        <v>69450</v>
      </c>
      <c r="K26" s="33">
        <v>66672</v>
      </c>
      <c r="L26" s="33">
        <v>39300</v>
      </c>
      <c r="M26" s="34">
        <v>27510</v>
      </c>
      <c r="N26" s="34">
        <f t="shared" si="1"/>
        <v>333405</v>
      </c>
      <c r="O26" s="34">
        <f t="shared" si="2"/>
        <v>334998</v>
      </c>
    </row>
    <row r="27" spans="1:15">
      <c r="A27" s="1" t="s">
        <v>1</v>
      </c>
      <c r="B27" s="88" t="s">
        <v>43</v>
      </c>
      <c r="C27" s="80">
        <v>0</v>
      </c>
      <c r="D27" s="33">
        <v>0</v>
      </c>
      <c r="E27" s="54">
        <v>24080</v>
      </c>
      <c r="F27" s="67">
        <f t="shared" si="0"/>
        <v>24080</v>
      </c>
      <c r="G27" s="32">
        <v>48870</v>
      </c>
      <c r="H27" s="33">
        <v>15138</v>
      </c>
      <c r="I27" s="33">
        <v>28500</v>
      </c>
      <c r="J27" s="33">
        <v>31500</v>
      </c>
      <c r="K27" s="33">
        <v>55500</v>
      </c>
      <c r="L27" s="33">
        <v>9905</v>
      </c>
      <c r="M27" s="34">
        <v>0</v>
      </c>
      <c r="N27" s="34">
        <f t="shared" si="1"/>
        <v>189413</v>
      </c>
      <c r="O27" s="34">
        <f t="shared" si="2"/>
        <v>213493</v>
      </c>
    </row>
    <row r="28" spans="1:15">
      <c r="A28" s="1" t="s">
        <v>1</v>
      </c>
      <c r="B28" s="88" t="s">
        <v>44</v>
      </c>
      <c r="C28" s="80">
        <v>0</v>
      </c>
      <c r="D28" s="33">
        <v>0</v>
      </c>
      <c r="E28" s="54">
        <v>20640</v>
      </c>
      <c r="F28" s="67">
        <f t="shared" si="0"/>
        <v>20640</v>
      </c>
      <c r="G28" s="32">
        <v>35838</v>
      </c>
      <c r="H28" s="33">
        <v>0</v>
      </c>
      <c r="I28" s="33">
        <v>13500</v>
      </c>
      <c r="J28" s="33">
        <v>16500</v>
      </c>
      <c r="K28" s="33">
        <v>16500</v>
      </c>
      <c r="L28" s="33">
        <v>21225</v>
      </c>
      <c r="M28" s="34">
        <v>14150</v>
      </c>
      <c r="N28" s="34">
        <f t="shared" si="1"/>
        <v>117713</v>
      </c>
      <c r="O28" s="34">
        <f t="shared" si="2"/>
        <v>138353</v>
      </c>
    </row>
    <row r="29" spans="1:15">
      <c r="A29" s="1" t="s">
        <v>1</v>
      </c>
      <c r="B29" s="88" t="s">
        <v>45</v>
      </c>
      <c r="C29" s="80">
        <v>0</v>
      </c>
      <c r="D29" s="33">
        <v>0</v>
      </c>
      <c r="E29" s="54">
        <v>0</v>
      </c>
      <c r="F29" s="67">
        <f t="shared" si="0"/>
        <v>0</v>
      </c>
      <c r="G29" s="32">
        <v>0</v>
      </c>
      <c r="H29" s="33">
        <v>7412</v>
      </c>
      <c r="I29" s="33">
        <v>0</v>
      </c>
      <c r="J29" s="33">
        <v>0</v>
      </c>
      <c r="K29" s="33">
        <v>0</v>
      </c>
      <c r="L29" s="33">
        <v>3303</v>
      </c>
      <c r="M29" s="34">
        <v>0</v>
      </c>
      <c r="N29" s="34">
        <f t="shared" si="1"/>
        <v>10715</v>
      </c>
      <c r="O29" s="34">
        <f t="shared" si="2"/>
        <v>10715</v>
      </c>
    </row>
    <row r="30" spans="1:15">
      <c r="A30" s="1" t="s">
        <v>1</v>
      </c>
      <c r="B30" s="88" t="s">
        <v>46</v>
      </c>
      <c r="C30" s="80">
        <v>0</v>
      </c>
      <c r="D30" s="33">
        <v>0</v>
      </c>
      <c r="E30" s="54">
        <v>0</v>
      </c>
      <c r="F30" s="67">
        <f t="shared" si="0"/>
        <v>0</v>
      </c>
      <c r="G30" s="32">
        <v>0</v>
      </c>
      <c r="H30" s="33">
        <v>7412</v>
      </c>
      <c r="I30" s="33">
        <v>7002</v>
      </c>
      <c r="J30" s="33">
        <v>0</v>
      </c>
      <c r="K30" s="33">
        <v>0</v>
      </c>
      <c r="L30" s="33">
        <v>0</v>
      </c>
      <c r="M30" s="34">
        <v>0</v>
      </c>
      <c r="N30" s="34">
        <f t="shared" si="1"/>
        <v>14414</v>
      </c>
      <c r="O30" s="34">
        <f t="shared" si="2"/>
        <v>14414</v>
      </c>
    </row>
    <row r="31" spans="1:15">
      <c r="A31" s="1" t="s">
        <v>1</v>
      </c>
      <c r="B31" s="88" t="s">
        <v>33</v>
      </c>
      <c r="C31" s="80">
        <v>0</v>
      </c>
      <c r="D31" s="33">
        <v>0</v>
      </c>
      <c r="E31" s="54">
        <v>0</v>
      </c>
      <c r="F31" s="67">
        <f t="shared" si="0"/>
        <v>0</v>
      </c>
      <c r="G31" s="32">
        <v>604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4">
        <v>0</v>
      </c>
      <c r="N31" s="34">
        <f t="shared" si="1"/>
        <v>604</v>
      </c>
      <c r="O31" s="34">
        <f t="shared" si="2"/>
        <v>604</v>
      </c>
    </row>
    <row r="32" spans="1:15">
      <c r="A32" s="1" t="s">
        <v>1</v>
      </c>
      <c r="B32" s="88" t="s">
        <v>34</v>
      </c>
      <c r="C32" s="80">
        <v>0</v>
      </c>
      <c r="D32" s="33">
        <v>0</v>
      </c>
      <c r="E32" s="54">
        <v>14014</v>
      </c>
      <c r="F32" s="67">
        <f t="shared" si="0"/>
        <v>14014</v>
      </c>
      <c r="G32" s="32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4">
        <v>0</v>
      </c>
      <c r="N32" s="34">
        <f t="shared" si="1"/>
        <v>0</v>
      </c>
      <c r="O32" s="34">
        <f t="shared" si="2"/>
        <v>14014</v>
      </c>
    </row>
    <row r="33" spans="1:15">
      <c r="A33" s="1" t="s">
        <v>1</v>
      </c>
      <c r="B33" s="89" t="s">
        <v>35</v>
      </c>
      <c r="C33" s="81">
        <v>2770</v>
      </c>
      <c r="D33" s="15">
        <v>0</v>
      </c>
      <c r="E33" s="55">
        <v>0</v>
      </c>
      <c r="F33" s="68">
        <f t="shared" si="0"/>
        <v>2770</v>
      </c>
      <c r="G33" s="14">
        <v>9966</v>
      </c>
      <c r="H33" s="15">
        <v>20280</v>
      </c>
      <c r="I33" s="15">
        <v>17792</v>
      </c>
      <c r="J33" s="15">
        <v>2780</v>
      </c>
      <c r="K33" s="15">
        <v>9174</v>
      </c>
      <c r="L33" s="15">
        <v>4716</v>
      </c>
      <c r="M33" s="16">
        <v>2620</v>
      </c>
      <c r="N33" s="16">
        <f t="shared" si="1"/>
        <v>67328</v>
      </c>
      <c r="O33" s="16">
        <f t="shared" si="2"/>
        <v>70098</v>
      </c>
    </row>
    <row r="34" spans="1:15">
      <c r="A34" s="1" t="s">
        <v>1</v>
      </c>
      <c r="B34" s="90" t="s">
        <v>47</v>
      </c>
      <c r="C34" s="82">
        <v>372770</v>
      </c>
      <c r="D34" s="24">
        <v>360000</v>
      </c>
      <c r="E34" s="56">
        <v>247827</v>
      </c>
      <c r="F34" s="69">
        <f t="shared" si="0"/>
        <v>980597</v>
      </c>
      <c r="G34" s="23">
        <v>384282</v>
      </c>
      <c r="H34" s="24">
        <v>272364</v>
      </c>
      <c r="I34" s="24">
        <v>284241</v>
      </c>
      <c r="J34" s="24">
        <v>305730</v>
      </c>
      <c r="K34" s="24">
        <v>333346</v>
      </c>
      <c r="L34" s="24">
        <v>253449</v>
      </c>
      <c r="M34" s="25">
        <v>219280</v>
      </c>
      <c r="N34" s="25">
        <f t="shared" si="1"/>
        <v>2052692</v>
      </c>
      <c r="O34" s="25">
        <f t="shared" si="2"/>
        <v>3033289</v>
      </c>
    </row>
    <row r="35" spans="1:15">
      <c r="A35" s="1" t="s">
        <v>1</v>
      </c>
      <c r="B35" s="91" t="s">
        <v>48</v>
      </c>
      <c r="C35" s="79">
        <v>6335</v>
      </c>
      <c r="D35" s="30">
        <v>16414</v>
      </c>
      <c r="E35" s="53">
        <v>616</v>
      </c>
      <c r="F35" s="66">
        <f t="shared" si="0"/>
        <v>23365</v>
      </c>
      <c r="G35" s="29">
        <v>9233</v>
      </c>
      <c r="H35" s="30">
        <v>1950</v>
      </c>
      <c r="I35" s="30">
        <v>2155</v>
      </c>
      <c r="J35" s="30">
        <v>7079</v>
      </c>
      <c r="K35" s="30">
        <v>1232</v>
      </c>
      <c r="L35" s="30">
        <v>5899</v>
      </c>
      <c r="M35" s="31">
        <v>7540</v>
      </c>
      <c r="N35" s="31">
        <f t="shared" si="1"/>
        <v>35088</v>
      </c>
      <c r="O35" s="31">
        <f t="shared" si="2"/>
        <v>58453</v>
      </c>
    </row>
    <row r="36" spans="1:15">
      <c r="A36" s="1" t="s">
        <v>1</v>
      </c>
      <c r="B36" s="89" t="s">
        <v>49</v>
      </c>
      <c r="C36" s="81">
        <v>6335</v>
      </c>
      <c r="D36" s="15">
        <v>16414</v>
      </c>
      <c r="E36" s="55">
        <v>616</v>
      </c>
      <c r="F36" s="68">
        <f t="shared" si="0"/>
        <v>23365</v>
      </c>
      <c r="G36" s="14">
        <v>9233</v>
      </c>
      <c r="H36" s="15">
        <v>1950</v>
      </c>
      <c r="I36" s="15">
        <v>2155</v>
      </c>
      <c r="J36" s="15">
        <v>7079</v>
      </c>
      <c r="K36" s="15">
        <v>1232</v>
      </c>
      <c r="L36" s="15">
        <v>5899</v>
      </c>
      <c r="M36" s="16">
        <v>7540</v>
      </c>
      <c r="N36" s="16">
        <f t="shared" si="1"/>
        <v>35088</v>
      </c>
      <c r="O36" s="16">
        <f t="shared" si="2"/>
        <v>58453</v>
      </c>
    </row>
    <row r="37" spans="1:15">
      <c r="A37" s="1" t="s">
        <v>1</v>
      </c>
      <c r="B37" s="90" t="s">
        <v>50</v>
      </c>
      <c r="C37" s="82">
        <v>379105</v>
      </c>
      <c r="D37" s="24">
        <v>376414</v>
      </c>
      <c r="E37" s="56">
        <v>248443</v>
      </c>
      <c r="F37" s="69">
        <f t="shared" si="0"/>
        <v>1003962</v>
      </c>
      <c r="G37" s="23">
        <v>393515</v>
      </c>
      <c r="H37" s="24">
        <v>274314</v>
      </c>
      <c r="I37" s="24">
        <v>286396</v>
      </c>
      <c r="J37" s="24">
        <v>312809</v>
      </c>
      <c r="K37" s="24">
        <v>334578</v>
      </c>
      <c r="L37" s="24">
        <v>259348</v>
      </c>
      <c r="M37" s="25">
        <v>226820</v>
      </c>
      <c r="N37" s="25">
        <f t="shared" si="1"/>
        <v>2087780</v>
      </c>
      <c r="O37" s="25">
        <f t="shared" si="2"/>
        <v>3091742</v>
      </c>
    </row>
    <row r="38" spans="1:15">
      <c r="A38" s="1" t="s">
        <v>1</v>
      </c>
      <c r="B38" s="91" t="s">
        <v>51</v>
      </c>
      <c r="C38" s="79">
        <v>19380</v>
      </c>
      <c r="D38" s="30">
        <v>19380</v>
      </c>
      <c r="E38" s="53">
        <v>11220</v>
      </c>
      <c r="F38" s="66">
        <f t="shared" si="0"/>
        <v>49980</v>
      </c>
      <c r="G38" s="29">
        <v>18360</v>
      </c>
      <c r="H38" s="30">
        <v>15300</v>
      </c>
      <c r="I38" s="30">
        <v>16320</v>
      </c>
      <c r="J38" s="30">
        <v>15300</v>
      </c>
      <c r="K38" s="30">
        <v>17340</v>
      </c>
      <c r="L38" s="30">
        <v>13260</v>
      </c>
      <c r="M38" s="31">
        <v>13260</v>
      </c>
      <c r="N38" s="31">
        <f t="shared" si="1"/>
        <v>109140</v>
      </c>
      <c r="O38" s="31">
        <f t="shared" si="2"/>
        <v>159120</v>
      </c>
    </row>
    <row r="39" spans="1:15">
      <c r="A39" s="1" t="s">
        <v>1</v>
      </c>
      <c r="B39" s="88" t="s">
        <v>52</v>
      </c>
      <c r="C39" s="80">
        <v>3420</v>
      </c>
      <c r="D39" s="33">
        <v>3420</v>
      </c>
      <c r="E39" s="54">
        <v>0</v>
      </c>
      <c r="F39" s="67">
        <f t="shared" si="0"/>
        <v>6840</v>
      </c>
      <c r="G39" s="32">
        <v>3240</v>
      </c>
      <c r="H39" s="33">
        <v>2700</v>
      </c>
      <c r="I39" s="33">
        <v>2880</v>
      </c>
      <c r="J39" s="33">
        <v>2700</v>
      </c>
      <c r="K39" s="33">
        <v>3060</v>
      </c>
      <c r="L39" s="33">
        <v>2340</v>
      </c>
      <c r="M39" s="34">
        <v>2340</v>
      </c>
      <c r="N39" s="34">
        <f t="shared" si="1"/>
        <v>19260</v>
      </c>
      <c r="O39" s="34">
        <f t="shared" si="2"/>
        <v>26100</v>
      </c>
    </row>
    <row r="40" spans="1:15">
      <c r="A40" s="1" t="s">
        <v>1</v>
      </c>
      <c r="B40" s="88" t="s">
        <v>53</v>
      </c>
      <c r="C40" s="80">
        <v>34770</v>
      </c>
      <c r="D40" s="33">
        <v>34770</v>
      </c>
      <c r="E40" s="54">
        <v>20130</v>
      </c>
      <c r="F40" s="67">
        <f t="shared" si="0"/>
        <v>89670</v>
      </c>
      <c r="G40" s="32">
        <v>32940</v>
      </c>
      <c r="H40" s="33">
        <v>27450</v>
      </c>
      <c r="I40" s="33">
        <v>29280</v>
      </c>
      <c r="J40" s="33">
        <v>27450</v>
      </c>
      <c r="K40" s="33">
        <v>31110</v>
      </c>
      <c r="L40" s="33">
        <v>23790</v>
      </c>
      <c r="M40" s="34">
        <v>23790</v>
      </c>
      <c r="N40" s="34">
        <f t="shared" si="1"/>
        <v>195810</v>
      </c>
      <c r="O40" s="34">
        <f t="shared" si="2"/>
        <v>285480</v>
      </c>
    </row>
    <row r="41" spans="1:15">
      <c r="A41" s="1" t="s">
        <v>1</v>
      </c>
      <c r="B41" s="89" t="s">
        <v>54</v>
      </c>
      <c r="C41" s="81">
        <v>2275</v>
      </c>
      <c r="D41" s="15">
        <v>2258</v>
      </c>
      <c r="E41" s="55">
        <v>1491</v>
      </c>
      <c r="F41" s="68">
        <f t="shared" si="0"/>
        <v>6024</v>
      </c>
      <c r="G41" s="14">
        <v>2361</v>
      </c>
      <c r="H41" s="15">
        <v>1646</v>
      </c>
      <c r="I41" s="15">
        <v>1718</v>
      </c>
      <c r="J41" s="15">
        <v>1877</v>
      </c>
      <c r="K41" s="15">
        <v>2007</v>
      </c>
      <c r="L41" s="15">
        <v>1556</v>
      </c>
      <c r="M41" s="16">
        <v>1361</v>
      </c>
      <c r="N41" s="16">
        <f t="shared" si="1"/>
        <v>12526</v>
      </c>
      <c r="O41" s="16">
        <f t="shared" si="2"/>
        <v>18550</v>
      </c>
    </row>
    <row r="42" spans="1:15">
      <c r="A42" s="1" t="s">
        <v>1</v>
      </c>
      <c r="B42" s="90" t="s">
        <v>55</v>
      </c>
      <c r="C42" s="82">
        <v>59845</v>
      </c>
      <c r="D42" s="24">
        <v>59828</v>
      </c>
      <c r="E42" s="56">
        <v>32841</v>
      </c>
      <c r="F42" s="69">
        <f t="shared" si="0"/>
        <v>152514</v>
      </c>
      <c r="G42" s="23">
        <v>56901</v>
      </c>
      <c r="H42" s="24">
        <v>47096</v>
      </c>
      <c r="I42" s="24">
        <v>50198</v>
      </c>
      <c r="J42" s="24">
        <v>47327</v>
      </c>
      <c r="K42" s="24">
        <v>53517</v>
      </c>
      <c r="L42" s="24">
        <v>40946</v>
      </c>
      <c r="M42" s="25">
        <v>40751</v>
      </c>
      <c r="N42" s="25">
        <f t="shared" si="1"/>
        <v>336736</v>
      </c>
      <c r="O42" s="25">
        <f t="shared" si="2"/>
        <v>489250</v>
      </c>
    </row>
    <row r="43" spans="1:15">
      <c r="A43" s="1" t="s">
        <v>1</v>
      </c>
      <c r="B43" s="91" t="s">
        <v>56</v>
      </c>
      <c r="C43" s="79">
        <v>9440</v>
      </c>
      <c r="D43" s="30">
        <v>8390</v>
      </c>
      <c r="E43" s="53">
        <v>5300</v>
      </c>
      <c r="F43" s="66">
        <f t="shared" si="0"/>
        <v>23130</v>
      </c>
      <c r="G43" s="29">
        <v>4610</v>
      </c>
      <c r="H43" s="30">
        <v>2430</v>
      </c>
      <c r="I43" s="30">
        <v>5980</v>
      </c>
      <c r="J43" s="30">
        <v>6850</v>
      </c>
      <c r="K43" s="30">
        <v>6000</v>
      </c>
      <c r="L43" s="30">
        <v>3590</v>
      </c>
      <c r="M43" s="31">
        <v>4000</v>
      </c>
      <c r="N43" s="31">
        <f t="shared" si="1"/>
        <v>33460</v>
      </c>
      <c r="O43" s="31">
        <f t="shared" si="2"/>
        <v>56590</v>
      </c>
    </row>
    <row r="44" spans="1:15">
      <c r="A44" s="1" t="s">
        <v>1</v>
      </c>
      <c r="B44" s="89" t="s">
        <v>57</v>
      </c>
      <c r="C44" s="81">
        <v>19600</v>
      </c>
      <c r="D44" s="15">
        <v>20400</v>
      </c>
      <c r="E44" s="55">
        <v>8400</v>
      </c>
      <c r="F44" s="68">
        <f t="shared" si="0"/>
        <v>48400</v>
      </c>
      <c r="G44" s="14">
        <v>2900</v>
      </c>
      <c r="H44" s="15">
        <v>9400</v>
      </c>
      <c r="I44" s="15">
        <v>11000</v>
      </c>
      <c r="J44" s="15">
        <v>10500</v>
      </c>
      <c r="K44" s="15">
        <v>6800</v>
      </c>
      <c r="L44" s="15">
        <v>0</v>
      </c>
      <c r="M44" s="16">
        <v>0</v>
      </c>
      <c r="N44" s="16">
        <f t="shared" si="1"/>
        <v>40600</v>
      </c>
      <c r="O44" s="16">
        <f t="shared" si="2"/>
        <v>89000</v>
      </c>
    </row>
    <row r="45" spans="1:15">
      <c r="A45" s="1" t="s">
        <v>1</v>
      </c>
      <c r="B45" s="90" t="s">
        <v>58</v>
      </c>
      <c r="C45" s="82">
        <v>88885</v>
      </c>
      <c r="D45" s="24">
        <v>88618</v>
      </c>
      <c r="E45" s="56">
        <v>46541</v>
      </c>
      <c r="F45" s="69">
        <f t="shared" si="0"/>
        <v>224044</v>
      </c>
      <c r="G45" s="23">
        <v>64411</v>
      </c>
      <c r="H45" s="24">
        <v>58926</v>
      </c>
      <c r="I45" s="24">
        <v>67178</v>
      </c>
      <c r="J45" s="24">
        <v>64677</v>
      </c>
      <c r="K45" s="24">
        <v>66317</v>
      </c>
      <c r="L45" s="24">
        <v>44536</v>
      </c>
      <c r="M45" s="25">
        <v>44751</v>
      </c>
      <c r="N45" s="25">
        <f t="shared" si="1"/>
        <v>410796</v>
      </c>
      <c r="O45" s="25">
        <f t="shared" si="2"/>
        <v>634840</v>
      </c>
    </row>
    <row r="46" spans="1:15">
      <c r="A46" s="1" t="s">
        <v>1</v>
      </c>
      <c r="B46" s="90" t="s">
        <v>59</v>
      </c>
      <c r="C46" s="82">
        <v>312925</v>
      </c>
      <c r="D46" s="24">
        <v>300172</v>
      </c>
      <c r="E46" s="56">
        <v>214986</v>
      </c>
      <c r="F46" s="69">
        <f t="shared" si="0"/>
        <v>828083</v>
      </c>
      <c r="G46" s="23">
        <v>327381</v>
      </c>
      <c r="H46" s="24">
        <v>225268</v>
      </c>
      <c r="I46" s="24">
        <v>234043</v>
      </c>
      <c r="J46" s="24">
        <v>258403</v>
      </c>
      <c r="K46" s="24">
        <v>279829</v>
      </c>
      <c r="L46" s="24">
        <v>212503</v>
      </c>
      <c r="M46" s="25">
        <v>178529</v>
      </c>
      <c r="N46" s="25">
        <f t="shared" si="1"/>
        <v>1715956</v>
      </c>
      <c r="O46" s="25">
        <f t="shared" si="2"/>
        <v>2544039</v>
      </c>
    </row>
    <row r="47" spans="1:15">
      <c r="A47" s="1" t="s">
        <v>1</v>
      </c>
      <c r="B47" s="90" t="s">
        <v>60</v>
      </c>
      <c r="C47" s="82">
        <v>290220</v>
      </c>
      <c r="D47" s="24">
        <v>287796</v>
      </c>
      <c r="E47" s="56">
        <v>201902</v>
      </c>
      <c r="F47" s="69">
        <f t="shared" si="0"/>
        <v>779918</v>
      </c>
      <c r="G47" s="23">
        <v>329104</v>
      </c>
      <c r="H47" s="24">
        <v>215388</v>
      </c>
      <c r="I47" s="24">
        <v>219218</v>
      </c>
      <c r="J47" s="24">
        <v>248132</v>
      </c>
      <c r="K47" s="24">
        <v>268261</v>
      </c>
      <c r="L47" s="24">
        <v>214812</v>
      </c>
      <c r="M47" s="25">
        <v>182069</v>
      </c>
      <c r="N47" s="25">
        <f t="shared" si="1"/>
        <v>1676984</v>
      </c>
      <c r="O47" s="25">
        <f t="shared" si="2"/>
        <v>2456902</v>
      </c>
    </row>
    <row r="48" spans="1:15">
      <c r="A48" s="1" t="s">
        <v>1</v>
      </c>
      <c r="B48" s="90" t="s">
        <v>61</v>
      </c>
      <c r="C48" s="82">
        <v>290220</v>
      </c>
      <c r="D48" s="24">
        <v>287796</v>
      </c>
      <c r="E48" s="56">
        <v>201902</v>
      </c>
      <c r="F48" s="69">
        <f t="shared" si="0"/>
        <v>779918</v>
      </c>
      <c r="G48" s="23">
        <v>329104</v>
      </c>
      <c r="H48" s="24">
        <v>215388</v>
      </c>
      <c r="I48" s="24">
        <v>219218</v>
      </c>
      <c r="J48" s="24">
        <v>248132</v>
      </c>
      <c r="K48" s="24">
        <v>268261</v>
      </c>
      <c r="L48" s="24">
        <v>214812</v>
      </c>
      <c r="M48" s="25">
        <v>182069</v>
      </c>
      <c r="N48" s="25">
        <f t="shared" si="1"/>
        <v>1676984</v>
      </c>
      <c r="O48" s="25">
        <f t="shared" si="2"/>
        <v>2456902</v>
      </c>
    </row>
    <row r="49" spans="1:15">
      <c r="A49" s="1" t="s">
        <v>1</v>
      </c>
      <c r="B49" s="90" t="s">
        <v>62</v>
      </c>
      <c r="C49" s="82">
        <v>0</v>
      </c>
      <c r="D49" s="24">
        <v>0</v>
      </c>
      <c r="E49" s="56">
        <v>0</v>
      </c>
      <c r="F49" s="69"/>
      <c r="G49" s="23">
        <v>3</v>
      </c>
      <c r="H49" s="24">
        <v>2</v>
      </c>
      <c r="I49" s="24">
        <v>0</v>
      </c>
      <c r="J49" s="24">
        <v>0</v>
      </c>
      <c r="K49" s="24">
        <v>1</v>
      </c>
      <c r="L49" s="24">
        <v>1</v>
      </c>
      <c r="M49" s="25">
        <v>0</v>
      </c>
      <c r="N49" s="25"/>
      <c r="O49" s="25"/>
    </row>
    <row r="50" spans="1:15">
      <c r="A50" s="1" t="s">
        <v>1</v>
      </c>
      <c r="B50" s="90" t="s">
        <v>63</v>
      </c>
      <c r="C50" s="83" t="s">
        <v>64</v>
      </c>
      <c r="D50" s="27" t="s">
        <v>64</v>
      </c>
      <c r="E50" s="57" t="s">
        <v>64</v>
      </c>
      <c r="F50" s="70"/>
      <c r="G50" s="26" t="s">
        <v>64</v>
      </c>
      <c r="H50" s="27" t="s">
        <v>64</v>
      </c>
      <c r="I50" s="27" t="s">
        <v>64</v>
      </c>
      <c r="J50" s="27" t="s">
        <v>64</v>
      </c>
      <c r="K50" s="27" t="s">
        <v>64</v>
      </c>
      <c r="L50" s="27" t="s">
        <v>64</v>
      </c>
      <c r="M50" s="28" t="s">
        <v>64</v>
      </c>
      <c r="N50" s="28"/>
      <c r="O50" s="28"/>
    </row>
    <row r="51" spans="1:15" ht="19.5" thickBot="1">
      <c r="A51" s="1" t="s">
        <v>1</v>
      </c>
      <c r="B51" s="92" t="s">
        <v>65</v>
      </c>
      <c r="C51" s="84">
        <v>9440</v>
      </c>
      <c r="D51" s="18">
        <v>8390</v>
      </c>
      <c r="E51" s="58">
        <v>5300</v>
      </c>
      <c r="F51" s="71">
        <f t="shared" si="0"/>
        <v>23130</v>
      </c>
      <c r="G51" s="17">
        <v>4610</v>
      </c>
      <c r="H51" s="18">
        <v>2430</v>
      </c>
      <c r="I51" s="18">
        <v>5980</v>
      </c>
      <c r="J51" s="18">
        <v>6850</v>
      </c>
      <c r="K51" s="18">
        <v>6000</v>
      </c>
      <c r="L51" s="18">
        <v>3590</v>
      </c>
      <c r="M51" s="19">
        <v>4000</v>
      </c>
      <c r="N51" s="19">
        <f t="shared" si="1"/>
        <v>33460</v>
      </c>
      <c r="O51" s="19">
        <f t="shared" si="2"/>
        <v>56590</v>
      </c>
    </row>
  </sheetData>
  <phoneticPr fontId="4"/>
  <pageMargins left="0.31496062992125984" right="0.31496062992125984" top="0.15748031496062992" bottom="0.15748031496062992" header="0.11811023622047245" footer="0.11811023622047245"/>
  <pageSetup paperSize="12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2025年 1月度給与 (2)</vt:lpstr>
      <vt:lpstr>'2025年 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2025-02-07T00:41:05Z</cp:lastPrinted>
  <dcterms:created xsi:type="dcterms:W3CDTF">2025-02-06T00:44:13Z</dcterms:created>
  <dcterms:modified xsi:type="dcterms:W3CDTF">2025-02-07T00:41:08Z</dcterms:modified>
</cp:coreProperties>
</file>