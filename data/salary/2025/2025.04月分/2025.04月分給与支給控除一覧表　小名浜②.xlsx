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4月分\"/>
    </mc:Choice>
  </mc:AlternateContent>
  <xr:revisionPtr revIDLastSave="0" documentId="13_ncr:1_{7AF5B276-FDC0-4071-9842-49B4C436B8EB}" xr6:coauthVersionLast="47" xr6:coauthVersionMax="47" xr10:uidLastSave="{00000000-0000-0000-0000-000000000000}"/>
  <bookViews>
    <workbookView xWindow="-120" yWindow="-120" windowWidth="20730" windowHeight="11160" xr2:uid="{4C9A6369-3394-4E4C-9D09-CFE2978392BB}"/>
  </bookViews>
  <sheets>
    <sheet name="2025年 5月度給与" sheetId="2" r:id="rId1"/>
    <sheet name="2025年 5月度給与 (2)" sheetId="3" r:id="rId2"/>
    <sheet name="2025年 5月度給与 (3)" sheetId="4" r:id="rId3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1" i="2" l="1"/>
  <c r="Q61" i="2"/>
  <c r="P61" i="2"/>
  <c r="O61" i="2"/>
  <c r="N61" i="2"/>
  <c r="L61" i="2"/>
  <c r="J61" i="2"/>
  <c r="I61" i="2"/>
  <c r="H61" i="2"/>
  <c r="G61" i="2"/>
  <c r="F61" i="2"/>
  <c r="E61" i="2"/>
  <c r="D61" i="2"/>
  <c r="C61" i="2"/>
  <c r="AC58" i="2"/>
  <c r="AC59" i="2" s="1"/>
  <c r="AA58" i="2"/>
  <c r="AA59" i="2" s="1"/>
  <c r="Z58" i="2"/>
  <c r="Z59" i="2" s="1"/>
  <c r="W58" i="2"/>
  <c r="W59" i="2" s="1"/>
  <c r="V58" i="2"/>
  <c r="V59" i="2" s="1"/>
  <c r="U58" i="2"/>
  <c r="U59" i="2" s="1"/>
  <c r="T58" i="2"/>
  <c r="T59" i="2" s="1"/>
  <c r="S58" i="2"/>
  <c r="Q58" i="2"/>
  <c r="Q59" i="2" s="1"/>
  <c r="P58" i="2"/>
  <c r="P59" i="2" s="1"/>
  <c r="O58" i="2"/>
  <c r="O59" i="2" s="1"/>
  <c r="N58" i="2"/>
  <c r="N59" i="2" s="1"/>
  <c r="M58" i="2"/>
  <c r="M59" i="2" s="1"/>
  <c r="L58" i="2"/>
  <c r="L59" i="2" s="1"/>
  <c r="K58" i="2"/>
  <c r="K59" i="2" s="1"/>
  <c r="J58" i="2"/>
  <c r="J59" i="2" s="1"/>
  <c r="I58" i="2"/>
  <c r="I59" i="2" s="1"/>
  <c r="H58" i="2"/>
  <c r="H59" i="2" s="1"/>
  <c r="G58" i="2"/>
  <c r="G59" i="2" s="1"/>
  <c r="F58" i="2"/>
  <c r="F59" i="2" s="1"/>
  <c r="E58" i="2"/>
  <c r="E59" i="2" s="1"/>
  <c r="D58" i="2"/>
  <c r="D59" i="2" s="1"/>
  <c r="C58" i="2"/>
  <c r="R56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N56" i="3"/>
  <c r="L56" i="3"/>
  <c r="O56" i="3" s="1"/>
  <c r="N53" i="3"/>
  <c r="L53" i="3"/>
  <c r="O53" i="3" s="1"/>
  <c r="N52" i="3"/>
  <c r="L52" i="3"/>
  <c r="O52" i="3" s="1"/>
  <c r="N51" i="3"/>
  <c r="L51" i="3"/>
  <c r="O51" i="3" s="1"/>
  <c r="N50" i="3"/>
  <c r="L50" i="3"/>
  <c r="O50" i="3" s="1"/>
  <c r="N49" i="3"/>
  <c r="L49" i="3"/>
  <c r="O49" i="3" s="1"/>
  <c r="N48" i="3"/>
  <c r="L48" i="3"/>
  <c r="O48" i="3" s="1"/>
  <c r="N47" i="3"/>
  <c r="L47" i="3"/>
  <c r="O47" i="3" s="1"/>
  <c r="N46" i="3"/>
  <c r="L46" i="3"/>
  <c r="O46" i="3" s="1"/>
  <c r="N45" i="3"/>
  <c r="L45" i="3"/>
  <c r="O45" i="3" s="1"/>
  <c r="N44" i="3"/>
  <c r="L44" i="3"/>
  <c r="O44" i="3" s="1"/>
  <c r="N43" i="3"/>
  <c r="L43" i="3"/>
  <c r="O43" i="3" s="1"/>
  <c r="N42" i="3"/>
  <c r="L42" i="3"/>
  <c r="O42" i="3" s="1"/>
  <c r="N41" i="3"/>
  <c r="L41" i="3"/>
  <c r="O41" i="3" s="1"/>
  <c r="N40" i="3"/>
  <c r="L40" i="3"/>
  <c r="O40" i="3" s="1"/>
  <c r="N39" i="3"/>
  <c r="L39" i="3"/>
  <c r="O39" i="3" s="1"/>
  <c r="N38" i="3"/>
  <c r="L38" i="3"/>
  <c r="O38" i="3" s="1"/>
  <c r="N37" i="3"/>
  <c r="L37" i="3"/>
  <c r="O37" i="3" s="1"/>
  <c r="N36" i="3"/>
  <c r="L36" i="3"/>
  <c r="O36" i="3" s="1"/>
  <c r="N35" i="3"/>
  <c r="L35" i="3"/>
  <c r="O35" i="3" s="1"/>
  <c r="N34" i="3"/>
  <c r="L34" i="3"/>
  <c r="O34" i="3" s="1"/>
  <c r="N33" i="3"/>
  <c r="L33" i="3"/>
  <c r="O33" i="3" s="1"/>
  <c r="N32" i="3"/>
  <c r="L32" i="3"/>
  <c r="O32" i="3" s="1"/>
  <c r="N31" i="3"/>
  <c r="L31" i="3"/>
  <c r="O31" i="3" s="1"/>
  <c r="N30" i="3"/>
  <c r="L30" i="3"/>
  <c r="O30" i="3" s="1"/>
  <c r="N29" i="3"/>
  <c r="L29" i="3"/>
  <c r="O29" i="3" s="1"/>
  <c r="N28" i="3"/>
  <c r="L28" i="3"/>
  <c r="O28" i="3" s="1"/>
  <c r="N27" i="3"/>
  <c r="L27" i="3"/>
  <c r="O27" i="3" s="1"/>
  <c r="N26" i="3"/>
  <c r="L26" i="3"/>
  <c r="O26" i="3" s="1"/>
  <c r="N25" i="3"/>
  <c r="L25" i="3"/>
  <c r="O25" i="3" s="1"/>
  <c r="N24" i="3"/>
  <c r="L24" i="3"/>
  <c r="O24" i="3" s="1"/>
  <c r="N23" i="3"/>
  <c r="L23" i="3"/>
  <c r="O23" i="3" s="1"/>
  <c r="N21" i="3"/>
  <c r="L21" i="3"/>
  <c r="O21" i="3" s="1"/>
  <c r="N20" i="3"/>
  <c r="L20" i="3"/>
  <c r="O20" i="3" s="1"/>
  <c r="N19" i="3"/>
  <c r="L19" i="3"/>
  <c r="O19" i="3" s="1"/>
  <c r="N18" i="3"/>
  <c r="L18" i="3"/>
  <c r="O18" i="3" s="1"/>
  <c r="N17" i="3"/>
  <c r="L17" i="3"/>
  <c r="O17" i="3" s="1"/>
  <c r="N16" i="3"/>
  <c r="L16" i="3"/>
  <c r="O16" i="3" s="1"/>
  <c r="N15" i="3"/>
  <c r="L15" i="3"/>
  <c r="O15" i="3" s="1"/>
  <c r="N14" i="3"/>
  <c r="L14" i="3"/>
  <c r="O14" i="3" s="1"/>
  <c r="N13" i="3"/>
  <c r="L13" i="3"/>
  <c r="O13" i="3" s="1"/>
  <c r="N12" i="3"/>
  <c r="L12" i="3"/>
  <c r="O12" i="3" s="1"/>
  <c r="N11" i="3"/>
  <c r="L11" i="3"/>
  <c r="O11" i="3" s="1"/>
  <c r="N10" i="3"/>
  <c r="L10" i="3"/>
  <c r="O10" i="3" s="1"/>
  <c r="N9" i="3"/>
  <c r="L9" i="3"/>
  <c r="O9" i="3" s="1"/>
  <c r="AD56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B56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R56" i="2"/>
  <c r="AE56" i="2" s="1"/>
  <c r="R53" i="2"/>
  <c r="AE53" i="2" s="1"/>
  <c r="R52" i="2"/>
  <c r="AE52" i="2" s="1"/>
  <c r="R51" i="2"/>
  <c r="AE51" i="2" s="1"/>
  <c r="R50" i="2"/>
  <c r="AE50" i="2" s="1"/>
  <c r="R49" i="2"/>
  <c r="AE49" i="2" s="1"/>
  <c r="R48" i="2"/>
  <c r="AE48" i="2" s="1"/>
  <c r="R47" i="2"/>
  <c r="AE47" i="2" s="1"/>
  <c r="R46" i="2"/>
  <c r="AE46" i="2" s="1"/>
  <c r="R45" i="2"/>
  <c r="AE45" i="2" s="1"/>
  <c r="R44" i="2"/>
  <c r="AE44" i="2" s="1"/>
  <c r="R43" i="2"/>
  <c r="AE43" i="2" s="1"/>
  <c r="R42" i="2"/>
  <c r="AE42" i="2" s="1"/>
  <c r="R41" i="2"/>
  <c r="AE41" i="2" s="1"/>
  <c r="R40" i="2"/>
  <c r="AE40" i="2" s="1"/>
  <c r="R39" i="2"/>
  <c r="AE39" i="2" s="1"/>
  <c r="R38" i="2"/>
  <c r="AE38" i="2" s="1"/>
  <c r="R37" i="2"/>
  <c r="AE37" i="2" s="1"/>
  <c r="R36" i="2"/>
  <c r="AE36" i="2" s="1"/>
  <c r="R35" i="2"/>
  <c r="AE35" i="2" s="1"/>
  <c r="R34" i="2"/>
  <c r="AE34" i="2" s="1"/>
  <c r="R33" i="2"/>
  <c r="AE33" i="2" s="1"/>
  <c r="R32" i="2"/>
  <c r="AE32" i="2" s="1"/>
  <c r="R31" i="2"/>
  <c r="AE31" i="2" s="1"/>
  <c r="R30" i="2"/>
  <c r="AE30" i="2" s="1"/>
  <c r="R29" i="2"/>
  <c r="AE29" i="2" s="1"/>
  <c r="R28" i="2"/>
  <c r="AE28" i="2" s="1"/>
  <c r="R27" i="2"/>
  <c r="AE27" i="2" s="1"/>
  <c r="R26" i="2"/>
  <c r="AE26" i="2" s="1"/>
  <c r="R25" i="2"/>
  <c r="AE25" i="2" s="1"/>
  <c r="R24" i="2"/>
  <c r="AE24" i="2" s="1"/>
  <c r="R23" i="2"/>
  <c r="AE23" i="2" s="1"/>
  <c r="R21" i="2"/>
  <c r="AE21" i="2" s="1"/>
  <c r="R20" i="2"/>
  <c r="AE20" i="2" s="1"/>
  <c r="R19" i="2"/>
  <c r="AE19" i="2" s="1"/>
  <c r="R18" i="2"/>
  <c r="AE18" i="2" s="1"/>
  <c r="R17" i="2"/>
  <c r="AE17" i="2" s="1"/>
  <c r="R16" i="2"/>
  <c r="AE16" i="2" s="1"/>
  <c r="R15" i="2"/>
  <c r="AE15" i="2" s="1"/>
  <c r="R14" i="2"/>
  <c r="AE14" i="2" s="1"/>
  <c r="R13" i="2"/>
  <c r="AE13" i="2" s="1"/>
  <c r="R12" i="2"/>
  <c r="AE12" i="2" s="1"/>
  <c r="R11" i="2"/>
  <c r="AE11" i="2" s="1"/>
  <c r="R10" i="2"/>
  <c r="AE10" i="2" s="1"/>
  <c r="R9" i="2"/>
  <c r="AE9" i="2" s="1"/>
  <c r="R58" i="2" l="1"/>
  <c r="C59" i="2"/>
  <c r="R59" i="2" s="1"/>
  <c r="S59" i="2"/>
  <c r="AB59" i="2" s="1"/>
  <c r="AB58" i="2"/>
  <c r="AE59" i="2" l="1"/>
  <c r="AE58" i="2"/>
</calcChain>
</file>

<file path=xl/sharedStrings.xml><?xml version="1.0" encoding="utf-8"?>
<sst xmlns="http://schemas.openxmlformats.org/spreadsheetml/2006/main" count="474" uniqueCount="111">
  <si>
    <t>支給控除一覧表</t>
    <phoneticPr fontId="4"/>
  </si>
  <si>
    <t>若林運送株式会社</t>
    <phoneticPr fontId="4"/>
  </si>
  <si>
    <t>2025年 5月12日 作成</t>
    <phoneticPr fontId="4"/>
  </si>
  <si>
    <t/>
  </si>
  <si>
    <t>2025年 4月度給与</t>
    <phoneticPr fontId="4"/>
  </si>
  <si>
    <t>1006</t>
    <phoneticPr fontId="4"/>
  </si>
  <si>
    <t>1007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</si>
  <si>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</si>
  <si>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</si>
  <si>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</si>
  <si>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</si>
  <si>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</si>
  <si>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</si>
  <si>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</si>
  <si>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</si>
  <si>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</si>
  <si>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</si>
  <si>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</si>
  <si>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</si>
  <si>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</si>
  <si>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小計</t>
    <rPh sb="0" eb="2">
      <t>ショウケイ</t>
    </rPh>
    <phoneticPr fontId="3"/>
  </si>
  <si>
    <t>1080</t>
    <phoneticPr fontId="4"/>
  </si>
  <si>
    <t>1013</t>
    <phoneticPr fontId="4"/>
  </si>
  <si>
    <t>1119</t>
    <phoneticPr fontId="4"/>
  </si>
  <si>
    <t>1026</t>
    <phoneticPr fontId="4"/>
  </si>
  <si>
    <t>1027</t>
    <phoneticPr fontId="4"/>
  </si>
  <si>
    <t>1005</t>
    <phoneticPr fontId="4"/>
  </si>
  <si>
    <t>1085</t>
    <phoneticPr fontId="4"/>
  </si>
  <si>
    <t>1100</t>
    <phoneticPr fontId="4"/>
  </si>
  <si>
    <t>1118</t>
    <phoneticPr fontId="4"/>
  </si>
  <si>
    <t>1014</t>
    <phoneticPr fontId="4"/>
  </si>
  <si>
    <t>項目名</t>
    <phoneticPr fontId="4"/>
  </si>
  <si>
    <t>小林　啓一</t>
    <phoneticPr fontId="4"/>
  </si>
  <si>
    <t>鈴木　富雄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</si>
  <si>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</si>
  <si>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</si>
  <si>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</si>
  <si>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</si>
  <si>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</si>
  <si>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</si>
  <si>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</si>
  <si>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</si>
  <si>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</si>
  <si>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</si>
  <si>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</si>
  <si>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</si>
  <si>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</si>
  <si>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15名</t>
    <rPh sb="2" eb="3">
      <t>メイ</t>
    </rPh>
    <phoneticPr fontId="4"/>
  </si>
  <si>
    <t>若松　美宏</t>
    <phoneticPr fontId="4"/>
  </si>
  <si>
    <t>下山田　英治</t>
    <phoneticPr fontId="4"/>
  </si>
  <si>
    <t>水町　賢土</t>
    <phoneticPr fontId="4"/>
  </si>
  <si>
    <t>蛭田　孝子</t>
    <phoneticPr fontId="4"/>
  </si>
  <si>
    <t>鈴木　紀子</t>
    <phoneticPr fontId="4"/>
  </si>
  <si>
    <t>渡辺　敏男</t>
    <phoneticPr fontId="4"/>
  </si>
  <si>
    <t>佐原　三夫</t>
    <phoneticPr fontId="4"/>
  </si>
  <si>
    <t>松本　正己</t>
    <phoneticPr fontId="4"/>
  </si>
  <si>
    <t>小沼　康</t>
    <phoneticPr fontId="4"/>
  </si>
  <si>
    <t>9名</t>
    <rPh sb="1" eb="2">
      <t>メイ</t>
    </rPh>
    <phoneticPr fontId="4"/>
  </si>
  <si>
    <t>金山　岳夫</t>
    <phoneticPr fontId="4"/>
  </si>
  <si>
    <t>1名</t>
    <rPh sb="1" eb="2">
      <t>メイ</t>
    </rPh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</si>
  <si>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</si>
  <si>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</si>
  <si>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</si>
  <si>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</si>
  <si>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</si>
  <si>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</si>
  <si>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</si>
  <si>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</si>
  <si>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</si>
  <si>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</si>
  <si>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</si>
  <si>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</si>
  <si>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</si>
  <si>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</si>
  <si>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</si>
  <si>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</si>
  <si>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</si>
  <si>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</si>
  <si>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</si>
  <si>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</si>
  <si>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</si>
  <si>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</si>
  <si>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</si>
  <si>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</si>
  <si>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</si>
  <si>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</si>
  <si>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</si>
  <si>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</si>
  <si>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</si>
  <si>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</si>
  <si>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</si>
  <si>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</si>
  <si>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</si>
  <si>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</si>
  <si>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</si>
  <si>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</si>
  <si>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</si>
  <si>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</si>
  <si>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</si>
  <si>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</si>
  <si>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</si>
  <si>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</si>
  <si>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</si>
  <si>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</si>
  <si>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</si>
  <si>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</si>
  <si>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</si>
  <si>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雇用保険再計算</t>
    <rPh sb="0" eb="2">
      <t>コヨウ</t>
    </rPh>
    <rPh sb="2" eb="4">
      <t>ホケン</t>
    </rPh>
    <rPh sb="4" eb="7">
      <t>サイケイサン</t>
    </rPh>
    <phoneticPr fontId="3"/>
  </si>
  <si>
    <t>過剰徴収額</t>
    <rPh sb="0" eb="2">
      <t>カジョウ</t>
    </rPh>
    <rPh sb="2" eb="4">
      <t>チョウシュウ</t>
    </rPh>
    <rPh sb="4" eb="5">
      <t>ガク</t>
    </rPh>
    <phoneticPr fontId="3"/>
  </si>
  <si>
    <t>ﾁｬﾚﾝｼﾞ控除後支給総額</t>
    <rPh sb="6" eb="8">
      <t>コウジョ</t>
    </rPh>
    <rPh sb="8" eb="9">
      <t>ゴ</t>
    </rPh>
    <rPh sb="9" eb="11">
      <t>シキュウ</t>
    </rPh>
    <rPh sb="11" eb="13">
      <t>ソウガク</t>
    </rPh>
    <phoneticPr fontId="3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</si>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</sst>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#,##0_);[Red]\(#,##0\)"/>
    <numFmt numFmtId="178" formatCode="#,##0_ 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0" fontId="2" fillId="0" borderId="8" xfId="1" applyFont="1" applyBorder="1"/>
    <xf numFmtId="2" fontId="2" fillId="0" borderId="9" xfId="1" applyNumberFormat="1" applyFont="1" applyBorder="1"/>
    <xf numFmtId="176" fontId="2" fillId="0" borderId="9" xfId="1" applyNumberFormat="1" applyFont="1" applyBorder="1"/>
    <xf numFmtId="3" fontId="2" fillId="0" borderId="9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11" xfId="1" applyNumberFormat="1" applyFont="1" applyBorder="1" applyAlignment="1">
      <alignment horizontal="left"/>
    </xf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17" xfId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49" fontId="2" fillId="0" borderId="22" xfId="1" applyNumberFormat="1" applyFont="1" applyBorder="1" applyAlignment="1">
      <alignment horizontal="left"/>
    </xf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31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8" xfId="1" applyNumberFormat="1" applyFont="1" applyBorder="1"/>
    <xf numFmtId="49" fontId="2" fillId="0" borderId="29" xfId="1" applyNumberFormat="1" applyFont="1" applyBorder="1"/>
    <xf numFmtId="49" fontId="2" fillId="0" borderId="30" xfId="1" applyNumberFormat="1" applyFont="1" applyBorder="1"/>
    <xf numFmtId="49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176" fontId="2" fillId="0" borderId="41" xfId="1" applyNumberFormat="1" applyFont="1" applyBorder="1"/>
    <xf numFmtId="2" fontId="2" fillId="0" borderId="42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49" fontId="2" fillId="0" borderId="42" xfId="1" applyNumberFormat="1" applyFont="1" applyBorder="1"/>
    <xf numFmtId="3" fontId="2" fillId="0" borderId="43" xfId="1" applyNumberFormat="1" applyFont="1" applyBorder="1"/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176" fontId="2" fillId="0" borderId="48" xfId="1" applyNumberFormat="1" applyFont="1" applyBorder="1"/>
    <xf numFmtId="2" fontId="2" fillId="0" borderId="49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49" fontId="2" fillId="0" borderId="49" xfId="1" applyNumberFormat="1" applyFont="1" applyBorder="1"/>
    <xf numFmtId="3" fontId="2" fillId="0" borderId="50" xfId="1" applyNumberFormat="1" applyFont="1" applyBorder="1"/>
    <xf numFmtId="0" fontId="2" fillId="0" borderId="8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49" fontId="2" fillId="0" borderId="51" xfId="1" applyNumberFormat="1" applyFont="1" applyBorder="1"/>
    <xf numFmtId="49" fontId="2" fillId="0" borderId="52" xfId="1" applyNumberFormat="1" applyFont="1" applyBorder="1" applyAlignment="1">
      <alignment horizontal="center"/>
    </xf>
    <xf numFmtId="49" fontId="2" fillId="0" borderId="53" xfId="1" applyNumberFormat="1" applyFont="1" applyBorder="1" applyAlignment="1">
      <alignment horizontal="center"/>
    </xf>
    <xf numFmtId="2" fontId="2" fillId="0" borderId="54" xfId="1" applyNumberFormat="1" applyFont="1" applyBorder="1"/>
    <xf numFmtId="2" fontId="2" fillId="0" borderId="55" xfId="1" applyNumberFormat="1" applyFont="1" applyBorder="1"/>
    <xf numFmtId="176" fontId="2" fillId="0" borderId="55" xfId="1" applyNumberFormat="1" applyFont="1" applyBorder="1"/>
    <xf numFmtId="176" fontId="2" fillId="0" borderId="56" xfId="1" applyNumberFormat="1" applyFont="1" applyBorder="1"/>
    <xf numFmtId="2" fontId="2" fillId="0" borderId="57" xfId="1" applyNumberFormat="1" applyFont="1" applyBorder="1"/>
    <xf numFmtId="3" fontId="2" fillId="0" borderId="54" xfId="1" applyNumberFormat="1" applyFont="1" applyBorder="1"/>
    <xf numFmtId="3" fontId="2" fillId="0" borderId="55" xfId="1" applyNumberFormat="1" applyFont="1" applyBorder="1"/>
    <xf numFmtId="3" fontId="2" fillId="0" borderId="56" xfId="1" applyNumberFormat="1" applyFont="1" applyBorder="1"/>
    <xf numFmtId="3" fontId="2" fillId="0" borderId="57" xfId="1" applyNumberFormat="1" applyFont="1" applyBorder="1"/>
    <xf numFmtId="49" fontId="2" fillId="0" borderId="57" xfId="1" applyNumberFormat="1" applyFont="1" applyBorder="1"/>
    <xf numFmtId="3" fontId="2" fillId="0" borderId="58" xfId="1" applyNumberFormat="1" applyFont="1" applyBorder="1"/>
    <xf numFmtId="49" fontId="2" fillId="0" borderId="46" xfId="1" applyNumberFormat="1" applyFont="1" applyBorder="1" applyAlignment="1">
      <alignment horizontal="left"/>
    </xf>
    <xf numFmtId="49" fontId="2" fillId="0" borderId="47" xfId="1" applyNumberFormat="1" applyFont="1" applyBorder="1" applyAlignment="1">
      <alignment horizontal="left"/>
    </xf>
    <xf numFmtId="49" fontId="2" fillId="0" borderId="48" xfId="1" applyNumberFormat="1" applyFont="1" applyBorder="1" applyAlignment="1">
      <alignment horizontal="left"/>
    </xf>
    <xf numFmtId="49" fontId="2" fillId="0" borderId="49" xfId="1" applyNumberFormat="1" applyFont="1" applyBorder="1" applyAlignment="1">
      <alignment horizontal="left"/>
    </xf>
    <xf numFmtId="49" fontId="2" fillId="0" borderId="50" xfId="1" applyNumberFormat="1" applyFont="1" applyBorder="1" applyAlignment="1">
      <alignment horizontal="left"/>
    </xf>
    <xf numFmtId="177" fontId="2" fillId="0" borderId="0" xfId="1" applyNumberFormat="1" applyFont="1"/>
    <xf numFmtId="178" fontId="2" fillId="0" borderId="0" xfId="1" applyNumberFormat="1" applyFont="1"/>
    <xf numFmtId="3" fontId="2" fillId="0" borderId="0" xfId="1" applyNumberFormat="1" applyFont="1"/>
    <xf numFmtId="3" fontId="2" fillId="2" borderId="5" xfId="1" applyNumberFormat="1" applyFont="1" applyFill="1" applyBorder="1"/>
    <xf numFmtId="3" fontId="2" fillId="2" borderId="6" xfId="1" applyNumberFormat="1" applyFont="1" applyFill="1" applyBorder="1"/>
    <xf numFmtId="3" fontId="2" fillId="2" borderId="40" xfId="1" applyNumberFormat="1" applyFont="1" applyFill="1" applyBorder="1"/>
    <xf numFmtId="49" fontId="2" fillId="2" borderId="19" xfId="1" applyNumberFormat="1" applyFont="1" applyFill="1" applyBorder="1" applyAlignment="1">
      <alignment horizontal="center"/>
    </xf>
  </cellXfs>
  <cellStyles count="2">
    <cellStyle name="標準" xfId="0" builtinId="0"/>
    <cellStyle name="標準 2" xfId="1" xr:uid="{1C03E5C7-ED4C-4756-9540-D5EB0D46AE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E5A0-752D-488B-AB04-A570D2FEAFB0}">
  <dimension ref="A1:AE61"/>
  <sheetViews>
    <sheetView showZeros="0" tabSelected="1" workbookViewId="0">
      <pane xSplit="2" ySplit="8" topLeftCell="J9" activePane="bottomRight" state="frozen"/>
      <selection pane="bottomRight" activeCell="T28" sqref="T28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8" width="9.625" style="2" bestFit="1" customWidth="1"/>
    <col min="19" max="19" width="11.125" style="2" bestFit="1" customWidth="1"/>
    <col min="20" max="20" width="13.25" style="2" bestFit="1" customWidth="1"/>
    <col min="21" max="26" width="11.125" style="2" bestFit="1" customWidth="1"/>
    <col min="27" max="27" width="9" style="2" bestFit="1" customWidth="1"/>
    <col min="28" max="28" width="9.625" style="2" bestFit="1" customWidth="1"/>
    <col min="29" max="29" width="11.125" style="2" bestFit="1" customWidth="1"/>
    <col min="30" max="31" width="9.625" style="2" bestFit="1" customWidth="1"/>
    <col min="32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 bestFit="1"/>
    <col min="267" max="277" width="11.125" style="2" bestFit="1" customWidth="1"/>
    <col min="278" max="278" width="9" style="2" bestFit="1"/>
    <col min="279" max="285" width="11.125" style="2" bestFit="1" customWidth="1"/>
    <col min="286" max="286" width="9" style="2" bestFit="1"/>
    <col min="287" max="287" width="9.625" style="2" bestFit="1" customWidth="1"/>
    <col min="288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 bestFit="1"/>
    <col min="523" max="533" width="11.125" style="2" bestFit="1" customWidth="1"/>
    <col min="534" max="534" width="9" style="2" bestFit="1"/>
    <col min="535" max="541" width="11.125" style="2" bestFit="1" customWidth="1"/>
    <col min="542" max="542" width="9" style="2" bestFit="1"/>
    <col min="543" max="543" width="9.625" style="2" bestFit="1" customWidth="1"/>
    <col min="544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 bestFit="1"/>
    <col min="779" max="789" width="11.125" style="2" bestFit="1" customWidth="1"/>
    <col min="790" max="790" width="9" style="2" bestFit="1"/>
    <col min="791" max="797" width="11.125" style="2" bestFit="1" customWidth="1"/>
    <col min="798" max="798" width="9" style="2" bestFit="1"/>
    <col min="799" max="799" width="9.625" style="2" bestFit="1" customWidth="1"/>
    <col min="800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 bestFit="1"/>
    <col min="1035" max="1045" width="11.125" style="2" bestFit="1" customWidth="1"/>
    <col min="1046" max="1046" width="9" style="2" bestFit="1"/>
    <col min="1047" max="1053" width="11.125" style="2" bestFit="1" customWidth="1"/>
    <col min="1054" max="1054" width="9" style="2" bestFit="1"/>
    <col min="1055" max="1055" width="9.625" style="2" bestFit="1" customWidth="1"/>
    <col min="1056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 bestFit="1"/>
    <col min="1291" max="1301" width="11.125" style="2" bestFit="1" customWidth="1"/>
    <col min="1302" max="1302" width="9" style="2" bestFit="1"/>
    <col min="1303" max="1309" width="11.125" style="2" bestFit="1" customWidth="1"/>
    <col min="1310" max="1310" width="9" style="2" bestFit="1"/>
    <col min="1311" max="1311" width="9.625" style="2" bestFit="1" customWidth="1"/>
    <col min="1312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 bestFit="1"/>
    <col min="1547" max="1557" width="11.125" style="2" bestFit="1" customWidth="1"/>
    <col min="1558" max="1558" width="9" style="2" bestFit="1"/>
    <col min="1559" max="1565" width="11.125" style="2" bestFit="1" customWidth="1"/>
    <col min="1566" max="1566" width="9" style="2" bestFit="1"/>
    <col min="1567" max="1567" width="9.625" style="2" bestFit="1" customWidth="1"/>
    <col min="1568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 bestFit="1"/>
    <col min="1803" max="1813" width="11.125" style="2" bestFit="1" customWidth="1"/>
    <col min="1814" max="1814" width="9" style="2" bestFit="1"/>
    <col min="1815" max="1821" width="11.125" style="2" bestFit="1" customWidth="1"/>
    <col min="1822" max="1822" width="9" style="2" bestFit="1"/>
    <col min="1823" max="1823" width="9.625" style="2" bestFit="1" customWidth="1"/>
    <col min="1824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 bestFit="1"/>
    <col min="2059" max="2069" width="11.125" style="2" bestFit="1" customWidth="1"/>
    <col min="2070" max="2070" width="9" style="2" bestFit="1"/>
    <col min="2071" max="2077" width="11.125" style="2" bestFit="1" customWidth="1"/>
    <col min="2078" max="2078" width="9" style="2" bestFit="1"/>
    <col min="2079" max="2079" width="9.625" style="2" bestFit="1" customWidth="1"/>
    <col min="2080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 bestFit="1"/>
    <col min="2315" max="2325" width="11.125" style="2" bestFit="1" customWidth="1"/>
    <col min="2326" max="2326" width="9" style="2" bestFit="1"/>
    <col min="2327" max="2333" width="11.125" style="2" bestFit="1" customWidth="1"/>
    <col min="2334" max="2334" width="9" style="2" bestFit="1"/>
    <col min="2335" max="2335" width="9.625" style="2" bestFit="1" customWidth="1"/>
    <col min="2336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 bestFit="1"/>
    <col min="2571" max="2581" width="11.125" style="2" bestFit="1" customWidth="1"/>
    <col min="2582" max="2582" width="9" style="2" bestFit="1"/>
    <col min="2583" max="2589" width="11.125" style="2" bestFit="1" customWidth="1"/>
    <col min="2590" max="2590" width="9" style="2" bestFit="1"/>
    <col min="2591" max="2591" width="9.625" style="2" bestFit="1" customWidth="1"/>
    <col min="2592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 bestFit="1"/>
    <col min="2827" max="2837" width="11.125" style="2" bestFit="1" customWidth="1"/>
    <col min="2838" max="2838" width="9" style="2" bestFit="1"/>
    <col min="2839" max="2845" width="11.125" style="2" bestFit="1" customWidth="1"/>
    <col min="2846" max="2846" width="9" style="2" bestFit="1"/>
    <col min="2847" max="2847" width="9.625" style="2" bestFit="1" customWidth="1"/>
    <col min="2848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 bestFit="1"/>
    <col min="3083" max="3093" width="11.125" style="2" bestFit="1" customWidth="1"/>
    <col min="3094" max="3094" width="9" style="2" bestFit="1"/>
    <col min="3095" max="3101" width="11.125" style="2" bestFit="1" customWidth="1"/>
    <col min="3102" max="3102" width="9" style="2" bestFit="1"/>
    <col min="3103" max="3103" width="9.625" style="2" bestFit="1" customWidth="1"/>
    <col min="3104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 bestFit="1"/>
    <col min="3339" max="3349" width="11.125" style="2" bestFit="1" customWidth="1"/>
    <col min="3350" max="3350" width="9" style="2" bestFit="1"/>
    <col min="3351" max="3357" width="11.125" style="2" bestFit="1" customWidth="1"/>
    <col min="3358" max="3358" width="9" style="2" bestFit="1"/>
    <col min="3359" max="3359" width="9.625" style="2" bestFit="1" customWidth="1"/>
    <col min="3360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 bestFit="1"/>
    <col min="3595" max="3605" width="11.125" style="2" bestFit="1" customWidth="1"/>
    <col min="3606" max="3606" width="9" style="2" bestFit="1"/>
    <col min="3607" max="3613" width="11.125" style="2" bestFit="1" customWidth="1"/>
    <col min="3614" max="3614" width="9" style="2" bestFit="1"/>
    <col min="3615" max="3615" width="9.625" style="2" bestFit="1" customWidth="1"/>
    <col min="3616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 bestFit="1"/>
    <col min="3851" max="3861" width="11.125" style="2" bestFit="1" customWidth="1"/>
    <col min="3862" max="3862" width="9" style="2" bestFit="1"/>
    <col min="3863" max="3869" width="11.125" style="2" bestFit="1" customWidth="1"/>
    <col min="3870" max="3870" width="9" style="2" bestFit="1"/>
    <col min="3871" max="3871" width="9.625" style="2" bestFit="1" customWidth="1"/>
    <col min="3872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 bestFit="1"/>
    <col min="4107" max="4117" width="11.125" style="2" bestFit="1" customWidth="1"/>
    <col min="4118" max="4118" width="9" style="2" bestFit="1"/>
    <col min="4119" max="4125" width="11.125" style="2" bestFit="1" customWidth="1"/>
    <col min="4126" max="4126" width="9" style="2" bestFit="1"/>
    <col min="4127" max="4127" width="9.625" style="2" bestFit="1" customWidth="1"/>
    <col min="4128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 bestFit="1"/>
    <col min="4363" max="4373" width="11.125" style="2" bestFit="1" customWidth="1"/>
    <col min="4374" max="4374" width="9" style="2" bestFit="1"/>
    <col min="4375" max="4381" width="11.125" style="2" bestFit="1" customWidth="1"/>
    <col min="4382" max="4382" width="9" style="2" bestFit="1"/>
    <col min="4383" max="4383" width="9.625" style="2" bestFit="1" customWidth="1"/>
    <col min="4384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 bestFit="1"/>
    <col min="4619" max="4629" width="11.125" style="2" bestFit="1" customWidth="1"/>
    <col min="4630" max="4630" width="9" style="2" bestFit="1"/>
    <col min="4631" max="4637" width="11.125" style="2" bestFit="1" customWidth="1"/>
    <col min="4638" max="4638" width="9" style="2" bestFit="1"/>
    <col min="4639" max="4639" width="9.625" style="2" bestFit="1" customWidth="1"/>
    <col min="4640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 bestFit="1"/>
    <col min="4875" max="4885" width="11.125" style="2" bestFit="1" customWidth="1"/>
    <col min="4886" max="4886" width="9" style="2" bestFit="1"/>
    <col min="4887" max="4893" width="11.125" style="2" bestFit="1" customWidth="1"/>
    <col min="4894" max="4894" width="9" style="2" bestFit="1"/>
    <col min="4895" max="4895" width="9.625" style="2" bestFit="1" customWidth="1"/>
    <col min="4896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 bestFit="1"/>
    <col min="5131" max="5141" width="11.125" style="2" bestFit="1" customWidth="1"/>
    <col min="5142" max="5142" width="9" style="2" bestFit="1"/>
    <col min="5143" max="5149" width="11.125" style="2" bestFit="1" customWidth="1"/>
    <col min="5150" max="5150" width="9" style="2" bestFit="1"/>
    <col min="5151" max="5151" width="9.625" style="2" bestFit="1" customWidth="1"/>
    <col min="5152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 bestFit="1"/>
    <col min="5387" max="5397" width="11.125" style="2" bestFit="1" customWidth="1"/>
    <col min="5398" max="5398" width="9" style="2" bestFit="1"/>
    <col min="5399" max="5405" width="11.125" style="2" bestFit="1" customWidth="1"/>
    <col min="5406" max="5406" width="9" style="2" bestFit="1"/>
    <col min="5407" max="5407" width="9.625" style="2" bestFit="1" customWidth="1"/>
    <col min="5408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 bestFit="1"/>
    <col min="5643" max="5653" width="11.125" style="2" bestFit="1" customWidth="1"/>
    <col min="5654" max="5654" width="9" style="2" bestFit="1"/>
    <col min="5655" max="5661" width="11.125" style="2" bestFit="1" customWidth="1"/>
    <col min="5662" max="5662" width="9" style="2" bestFit="1"/>
    <col min="5663" max="5663" width="9.625" style="2" bestFit="1" customWidth="1"/>
    <col min="5664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 bestFit="1"/>
    <col min="5899" max="5909" width="11.125" style="2" bestFit="1" customWidth="1"/>
    <col min="5910" max="5910" width="9" style="2" bestFit="1"/>
    <col min="5911" max="5917" width="11.125" style="2" bestFit="1" customWidth="1"/>
    <col min="5918" max="5918" width="9" style="2" bestFit="1"/>
    <col min="5919" max="5919" width="9.625" style="2" bestFit="1" customWidth="1"/>
    <col min="5920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 bestFit="1"/>
    <col min="6155" max="6165" width="11.125" style="2" bestFit="1" customWidth="1"/>
    <col min="6166" max="6166" width="9" style="2" bestFit="1"/>
    <col min="6167" max="6173" width="11.125" style="2" bestFit="1" customWidth="1"/>
    <col min="6174" max="6174" width="9" style="2" bestFit="1"/>
    <col min="6175" max="6175" width="9.625" style="2" bestFit="1" customWidth="1"/>
    <col min="6176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 bestFit="1"/>
    <col min="6411" max="6421" width="11.125" style="2" bestFit="1" customWidth="1"/>
    <col min="6422" max="6422" width="9" style="2" bestFit="1"/>
    <col min="6423" max="6429" width="11.125" style="2" bestFit="1" customWidth="1"/>
    <col min="6430" max="6430" width="9" style="2" bestFit="1"/>
    <col min="6431" max="6431" width="9.625" style="2" bestFit="1" customWidth="1"/>
    <col min="6432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 bestFit="1"/>
    <col min="6667" max="6677" width="11.125" style="2" bestFit="1" customWidth="1"/>
    <col min="6678" max="6678" width="9" style="2" bestFit="1"/>
    <col min="6679" max="6685" width="11.125" style="2" bestFit="1" customWidth="1"/>
    <col min="6686" max="6686" width="9" style="2" bestFit="1"/>
    <col min="6687" max="6687" width="9.625" style="2" bestFit="1" customWidth="1"/>
    <col min="6688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 bestFit="1"/>
    <col min="6923" max="6933" width="11.125" style="2" bestFit="1" customWidth="1"/>
    <col min="6934" max="6934" width="9" style="2" bestFit="1"/>
    <col min="6935" max="6941" width="11.125" style="2" bestFit="1" customWidth="1"/>
    <col min="6942" max="6942" width="9" style="2" bestFit="1"/>
    <col min="6943" max="6943" width="9.625" style="2" bestFit="1" customWidth="1"/>
    <col min="6944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 bestFit="1"/>
    <col min="7179" max="7189" width="11.125" style="2" bestFit="1" customWidth="1"/>
    <col min="7190" max="7190" width="9" style="2" bestFit="1"/>
    <col min="7191" max="7197" width="11.125" style="2" bestFit="1" customWidth="1"/>
    <col min="7198" max="7198" width="9" style="2" bestFit="1"/>
    <col min="7199" max="7199" width="9.625" style="2" bestFit="1" customWidth="1"/>
    <col min="7200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 bestFit="1"/>
    <col min="7435" max="7445" width="11.125" style="2" bestFit="1" customWidth="1"/>
    <col min="7446" max="7446" width="9" style="2" bestFit="1"/>
    <col min="7447" max="7453" width="11.125" style="2" bestFit="1" customWidth="1"/>
    <col min="7454" max="7454" width="9" style="2" bestFit="1"/>
    <col min="7455" max="7455" width="9.625" style="2" bestFit="1" customWidth="1"/>
    <col min="7456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 bestFit="1"/>
    <col min="7691" max="7701" width="11.125" style="2" bestFit="1" customWidth="1"/>
    <col min="7702" max="7702" width="9" style="2" bestFit="1"/>
    <col min="7703" max="7709" width="11.125" style="2" bestFit="1" customWidth="1"/>
    <col min="7710" max="7710" width="9" style="2" bestFit="1"/>
    <col min="7711" max="7711" width="9.625" style="2" bestFit="1" customWidth="1"/>
    <col min="7712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 bestFit="1"/>
    <col min="7947" max="7957" width="11.125" style="2" bestFit="1" customWidth="1"/>
    <col min="7958" max="7958" width="9" style="2" bestFit="1"/>
    <col min="7959" max="7965" width="11.125" style="2" bestFit="1" customWidth="1"/>
    <col min="7966" max="7966" width="9" style="2" bestFit="1"/>
    <col min="7967" max="7967" width="9.625" style="2" bestFit="1" customWidth="1"/>
    <col min="7968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 bestFit="1"/>
    <col min="8203" max="8213" width="11.125" style="2" bestFit="1" customWidth="1"/>
    <col min="8214" max="8214" width="9" style="2" bestFit="1"/>
    <col min="8215" max="8221" width="11.125" style="2" bestFit="1" customWidth="1"/>
    <col min="8222" max="8222" width="9" style="2" bestFit="1"/>
    <col min="8223" max="8223" width="9.625" style="2" bestFit="1" customWidth="1"/>
    <col min="8224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 bestFit="1"/>
    <col min="8459" max="8469" width="11.125" style="2" bestFit="1" customWidth="1"/>
    <col min="8470" max="8470" width="9" style="2" bestFit="1"/>
    <col min="8471" max="8477" width="11.125" style="2" bestFit="1" customWidth="1"/>
    <col min="8478" max="8478" width="9" style="2" bestFit="1"/>
    <col min="8479" max="8479" width="9.625" style="2" bestFit="1" customWidth="1"/>
    <col min="8480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 bestFit="1"/>
    <col min="8715" max="8725" width="11.125" style="2" bestFit="1" customWidth="1"/>
    <col min="8726" max="8726" width="9" style="2" bestFit="1"/>
    <col min="8727" max="8733" width="11.125" style="2" bestFit="1" customWidth="1"/>
    <col min="8734" max="8734" width="9" style="2" bestFit="1"/>
    <col min="8735" max="8735" width="9.625" style="2" bestFit="1" customWidth="1"/>
    <col min="8736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 bestFit="1"/>
    <col min="8971" max="8981" width="11.125" style="2" bestFit="1" customWidth="1"/>
    <col min="8982" max="8982" width="9" style="2" bestFit="1"/>
    <col min="8983" max="8989" width="11.125" style="2" bestFit="1" customWidth="1"/>
    <col min="8990" max="8990" width="9" style="2" bestFit="1"/>
    <col min="8991" max="8991" width="9.625" style="2" bestFit="1" customWidth="1"/>
    <col min="8992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 bestFit="1"/>
    <col min="9227" max="9237" width="11.125" style="2" bestFit="1" customWidth="1"/>
    <col min="9238" max="9238" width="9" style="2" bestFit="1"/>
    <col min="9239" max="9245" width="11.125" style="2" bestFit="1" customWidth="1"/>
    <col min="9246" max="9246" width="9" style="2" bestFit="1"/>
    <col min="9247" max="9247" width="9.625" style="2" bestFit="1" customWidth="1"/>
    <col min="9248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 bestFit="1"/>
    <col min="9483" max="9493" width="11.125" style="2" bestFit="1" customWidth="1"/>
    <col min="9494" max="9494" width="9" style="2" bestFit="1"/>
    <col min="9495" max="9501" width="11.125" style="2" bestFit="1" customWidth="1"/>
    <col min="9502" max="9502" width="9" style="2" bestFit="1"/>
    <col min="9503" max="9503" width="9.625" style="2" bestFit="1" customWidth="1"/>
    <col min="9504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 bestFit="1"/>
    <col min="9739" max="9749" width="11.125" style="2" bestFit="1" customWidth="1"/>
    <col min="9750" max="9750" width="9" style="2" bestFit="1"/>
    <col min="9751" max="9757" width="11.125" style="2" bestFit="1" customWidth="1"/>
    <col min="9758" max="9758" width="9" style="2" bestFit="1"/>
    <col min="9759" max="9759" width="9.625" style="2" bestFit="1" customWidth="1"/>
    <col min="9760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 bestFit="1"/>
    <col min="9995" max="10005" width="11.125" style="2" bestFit="1" customWidth="1"/>
    <col min="10006" max="10006" width="9" style="2" bestFit="1"/>
    <col min="10007" max="10013" width="11.125" style="2" bestFit="1" customWidth="1"/>
    <col min="10014" max="10014" width="9" style="2" bestFit="1"/>
    <col min="10015" max="10015" width="9.625" style="2" bestFit="1" customWidth="1"/>
    <col min="10016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 bestFit="1"/>
    <col min="10251" max="10261" width="11.125" style="2" bestFit="1" customWidth="1"/>
    <col min="10262" max="10262" width="9" style="2" bestFit="1"/>
    <col min="10263" max="10269" width="11.125" style="2" bestFit="1" customWidth="1"/>
    <col min="10270" max="10270" width="9" style="2" bestFit="1"/>
    <col min="10271" max="10271" width="9.625" style="2" bestFit="1" customWidth="1"/>
    <col min="10272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 bestFit="1"/>
    <col min="10507" max="10517" width="11.125" style="2" bestFit="1" customWidth="1"/>
    <col min="10518" max="10518" width="9" style="2" bestFit="1"/>
    <col min="10519" max="10525" width="11.125" style="2" bestFit="1" customWidth="1"/>
    <col min="10526" max="10526" width="9" style="2" bestFit="1"/>
    <col min="10527" max="10527" width="9.625" style="2" bestFit="1" customWidth="1"/>
    <col min="10528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 bestFit="1"/>
    <col min="10763" max="10773" width="11.125" style="2" bestFit="1" customWidth="1"/>
    <col min="10774" max="10774" width="9" style="2" bestFit="1"/>
    <col min="10775" max="10781" width="11.125" style="2" bestFit="1" customWidth="1"/>
    <col min="10782" max="10782" width="9" style="2" bestFit="1"/>
    <col min="10783" max="10783" width="9.625" style="2" bestFit="1" customWidth="1"/>
    <col min="10784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 bestFit="1"/>
    <col min="11019" max="11029" width="11.125" style="2" bestFit="1" customWidth="1"/>
    <col min="11030" max="11030" width="9" style="2" bestFit="1"/>
    <col min="11031" max="11037" width="11.125" style="2" bestFit="1" customWidth="1"/>
    <col min="11038" max="11038" width="9" style="2" bestFit="1"/>
    <col min="11039" max="11039" width="9.625" style="2" bestFit="1" customWidth="1"/>
    <col min="11040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 bestFit="1"/>
    <col min="11275" max="11285" width="11.125" style="2" bestFit="1" customWidth="1"/>
    <col min="11286" max="11286" width="9" style="2" bestFit="1"/>
    <col min="11287" max="11293" width="11.125" style="2" bestFit="1" customWidth="1"/>
    <col min="11294" max="11294" width="9" style="2" bestFit="1"/>
    <col min="11295" max="11295" width="9.625" style="2" bestFit="1" customWidth="1"/>
    <col min="11296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 bestFit="1"/>
    <col min="11531" max="11541" width="11.125" style="2" bestFit="1" customWidth="1"/>
    <col min="11542" max="11542" width="9" style="2" bestFit="1"/>
    <col min="11543" max="11549" width="11.125" style="2" bestFit="1" customWidth="1"/>
    <col min="11550" max="11550" width="9" style="2" bestFit="1"/>
    <col min="11551" max="11551" width="9.625" style="2" bestFit="1" customWidth="1"/>
    <col min="11552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 bestFit="1"/>
    <col min="11787" max="11797" width="11.125" style="2" bestFit="1" customWidth="1"/>
    <col min="11798" max="11798" width="9" style="2" bestFit="1"/>
    <col min="11799" max="11805" width="11.125" style="2" bestFit="1" customWidth="1"/>
    <col min="11806" max="11806" width="9" style="2" bestFit="1"/>
    <col min="11807" max="11807" width="9.625" style="2" bestFit="1" customWidth="1"/>
    <col min="11808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 bestFit="1"/>
    <col min="12043" max="12053" width="11.125" style="2" bestFit="1" customWidth="1"/>
    <col min="12054" max="12054" width="9" style="2" bestFit="1"/>
    <col min="12055" max="12061" width="11.125" style="2" bestFit="1" customWidth="1"/>
    <col min="12062" max="12062" width="9" style="2" bestFit="1"/>
    <col min="12063" max="12063" width="9.625" style="2" bestFit="1" customWidth="1"/>
    <col min="12064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 bestFit="1"/>
    <col min="12299" max="12309" width="11.125" style="2" bestFit="1" customWidth="1"/>
    <col min="12310" max="12310" width="9" style="2" bestFit="1"/>
    <col min="12311" max="12317" width="11.125" style="2" bestFit="1" customWidth="1"/>
    <col min="12318" max="12318" width="9" style="2" bestFit="1"/>
    <col min="12319" max="12319" width="9.625" style="2" bestFit="1" customWidth="1"/>
    <col min="12320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 bestFit="1"/>
    <col min="12555" max="12565" width="11.125" style="2" bestFit="1" customWidth="1"/>
    <col min="12566" max="12566" width="9" style="2" bestFit="1"/>
    <col min="12567" max="12573" width="11.125" style="2" bestFit="1" customWidth="1"/>
    <col min="12574" max="12574" width="9" style="2" bestFit="1"/>
    <col min="12575" max="12575" width="9.625" style="2" bestFit="1" customWidth="1"/>
    <col min="12576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 bestFit="1"/>
    <col min="12811" max="12821" width="11.125" style="2" bestFit="1" customWidth="1"/>
    <col min="12822" max="12822" width="9" style="2" bestFit="1"/>
    <col min="12823" max="12829" width="11.125" style="2" bestFit="1" customWidth="1"/>
    <col min="12830" max="12830" width="9" style="2" bestFit="1"/>
    <col min="12831" max="12831" width="9.625" style="2" bestFit="1" customWidth="1"/>
    <col min="12832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 bestFit="1"/>
    <col min="13067" max="13077" width="11.125" style="2" bestFit="1" customWidth="1"/>
    <col min="13078" max="13078" width="9" style="2" bestFit="1"/>
    <col min="13079" max="13085" width="11.125" style="2" bestFit="1" customWidth="1"/>
    <col min="13086" max="13086" width="9" style="2" bestFit="1"/>
    <col min="13087" max="13087" width="9.625" style="2" bestFit="1" customWidth="1"/>
    <col min="13088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 bestFit="1"/>
    <col min="13323" max="13333" width="11.125" style="2" bestFit="1" customWidth="1"/>
    <col min="13334" max="13334" width="9" style="2" bestFit="1"/>
    <col min="13335" max="13341" width="11.125" style="2" bestFit="1" customWidth="1"/>
    <col min="13342" max="13342" width="9" style="2" bestFit="1"/>
    <col min="13343" max="13343" width="9.625" style="2" bestFit="1" customWidth="1"/>
    <col min="13344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 bestFit="1"/>
    <col min="13579" max="13589" width="11.125" style="2" bestFit="1" customWidth="1"/>
    <col min="13590" max="13590" width="9" style="2" bestFit="1"/>
    <col min="13591" max="13597" width="11.125" style="2" bestFit="1" customWidth="1"/>
    <col min="13598" max="13598" width="9" style="2" bestFit="1"/>
    <col min="13599" max="13599" width="9.625" style="2" bestFit="1" customWidth="1"/>
    <col min="13600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 bestFit="1"/>
    <col min="13835" max="13845" width="11.125" style="2" bestFit="1" customWidth="1"/>
    <col min="13846" max="13846" width="9" style="2" bestFit="1"/>
    <col min="13847" max="13853" width="11.125" style="2" bestFit="1" customWidth="1"/>
    <col min="13854" max="13854" width="9" style="2" bestFit="1"/>
    <col min="13855" max="13855" width="9.625" style="2" bestFit="1" customWidth="1"/>
    <col min="13856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 bestFit="1"/>
    <col min="14091" max="14101" width="11.125" style="2" bestFit="1" customWidth="1"/>
    <col min="14102" max="14102" width="9" style="2" bestFit="1"/>
    <col min="14103" max="14109" width="11.125" style="2" bestFit="1" customWidth="1"/>
    <col min="14110" max="14110" width="9" style="2" bestFit="1"/>
    <col min="14111" max="14111" width="9.625" style="2" bestFit="1" customWidth="1"/>
    <col min="14112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 bestFit="1"/>
    <col min="14347" max="14357" width="11.125" style="2" bestFit="1" customWidth="1"/>
    <col min="14358" max="14358" width="9" style="2" bestFit="1"/>
    <col min="14359" max="14365" width="11.125" style="2" bestFit="1" customWidth="1"/>
    <col min="14366" max="14366" width="9" style="2" bestFit="1"/>
    <col min="14367" max="14367" width="9.625" style="2" bestFit="1" customWidth="1"/>
    <col min="14368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 bestFit="1"/>
    <col min="14603" max="14613" width="11.125" style="2" bestFit="1" customWidth="1"/>
    <col min="14614" max="14614" width="9" style="2" bestFit="1"/>
    <col min="14615" max="14621" width="11.125" style="2" bestFit="1" customWidth="1"/>
    <col min="14622" max="14622" width="9" style="2" bestFit="1"/>
    <col min="14623" max="14623" width="9.625" style="2" bestFit="1" customWidth="1"/>
    <col min="14624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 bestFit="1"/>
    <col min="14859" max="14869" width="11.125" style="2" bestFit="1" customWidth="1"/>
    <col min="14870" max="14870" width="9" style="2" bestFit="1"/>
    <col min="14871" max="14877" width="11.125" style="2" bestFit="1" customWidth="1"/>
    <col min="14878" max="14878" width="9" style="2" bestFit="1"/>
    <col min="14879" max="14879" width="9.625" style="2" bestFit="1" customWidth="1"/>
    <col min="14880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 bestFit="1"/>
    <col min="15115" max="15125" width="11.125" style="2" bestFit="1" customWidth="1"/>
    <col min="15126" max="15126" width="9" style="2" bestFit="1"/>
    <col min="15127" max="15133" width="11.125" style="2" bestFit="1" customWidth="1"/>
    <col min="15134" max="15134" width="9" style="2" bestFit="1"/>
    <col min="15135" max="15135" width="9.625" style="2" bestFit="1" customWidth="1"/>
    <col min="15136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 bestFit="1"/>
    <col min="15371" max="15381" width="11.125" style="2" bestFit="1" customWidth="1"/>
    <col min="15382" max="15382" width="9" style="2" bestFit="1"/>
    <col min="15383" max="15389" width="11.125" style="2" bestFit="1" customWidth="1"/>
    <col min="15390" max="15390" width="9" style="2" bestFit="1"/>
    <col min="15391" max="15391" width="9.625" style="2" bestFit="1" customWidth="1"/>
    <col min="15392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 bestFit="1"/>
    <col min="15627" max="15637" width="11.125" style="2" bestFit="1" customWidth="1"/>
    <col min="15638" max="15638" width="9" style="2" bestFit="1"/>
    <col min="15639" max="15645" width="11.125" style="2" bestFit="1" customWidth="1"/>
    <col min="15646" max="15646" width="9" style="2" bestFit="1"/>
    <col min="15647" max="15647" width="9.625" style="2" bestFit="1" customWidth="1"/>
    <col min="15648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 bestFit="1"/>
    <col min="15883" max="15893" width="11.125" style="2" bestFit="1" customWidth="1"/>
    <col min="15894" max="15894" width="9" style="2" bestFit="1"/>
    <col min="15895" max="15901" width="11.125" style="2" bestFit="1" customWidth="1"/>
    <col min="15902" max="15902" width="9" style="2" bestFit="1"/>
    <col min="15903" max="15903" width="9.625" style="2" bestFit="1" customWidth="1"/>
    <col min="15904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 bestFit="1"/>
    <col min="16139" max="16149" width="11.125" style="2" bestFit="1" customWidth="1"/>
    <col min="16150" max="16150" width="9" style="2" bestFit="1"/>
    <col min="16151" max="16157" width="11.125" style="2" bestFit="1" customWidth="1"/>
    <col min="16158" max="16158" width="9" style="2" bestFit="1"/>
    <col min="16159" max="16159" width="9.625" style="2" bestFit="1" customWidth="1"/>
    <col min="16160" max="16384" width="9" style="2"/>
  </cols>
  <sheetData>
    <row r="1" spans="1:31">
      <c r="A1" s="1" t="s">
        <v>0</v>
      </c>
    </row>
    <row r="2" spans="1:31">
      <c r="A2" s="1"/>
    </row>
    <row r="3" spans="1:31">
      <c r="A3" s="1" t="s">
        <v>1</v>
      </c>
    </row>
    <row r="4" spans="1:31">
      <c r="A4" s="1" t="s">
        <v>2</v>
      </c>
    </row>
    <row r="5" spans="1:31">
      <c r="A5" s="1" t="s">
        <v>3</v>
      </c>
    </row>
    <row r="6" spans="1:31" ht="19.5" thickBot="1">
      <c r="A6" s="1" t="s">
        <v>4</v>
      </c>
    </row>
    <row r="7" spans="1:31">
      <c r="B7" s="20"/>
      <c r="C7" s="15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63" t="s">
        <v>18</v>
      </c>
      <c r="Q7" s="4" t="s">
        <v>19</v>
      </c>
      <c r="R7" s="89" t="s">
        <v>20</v>
      </c>
      <c r="S7" s="4" t="s">
        <v>21</v>
      </c>
      <c r="T7" s="4" t="s">
        <v>22</v>
      </c>
      <c r="U7" s="4" t="s">
        <v>23</v>
      </c>
      <c r="V7" s="4" t="s">
        <v>24</v>
      </c>
      <c r="W7" s="4" t="s">
        <v>25</v>
      </c>
      <c r="X7" s="4" t="s">
        <v>26</v>
      </c>
      <c r="Y7" s="4" t="s">
        <v>27</v>
      </c>
      <c r="Z7" s="4" t="s">
        <v>28</v>
      </c>
      <c r="AA7" s="16" t="s">
        <v>29</v>
      </c>
      <c r="AB7" s="88" t="s">
        <v>20</v>
      </c>
      <c r="AC7" s="63" t="s">
        <v>30</v>
      </c>
      <c r="AD7" s="89" t="s">
        <v>20</v>
      </c>
      <c r="AE7" s="11"/>
    </row>
    <row r="8" spans="1:31" ht="19.5" thickBot="1">
      <c r="A8" s="3"/>
      <c r="B8" s="27" t="s">
        <v>31</v>
      </c>
      <c r="C8" s="28" t="s">
        <v>32</v>
      </c>
      <c r="D8" s="29" t="s">
        <v>33</v>
      </c>
      <c r="E8" s="29" t="s">
        <v>34</v>
      </c>
      <c r="F8" s="29" t="s">
        <v>35</v>
      </c>
      <c r="G8" s="29" t="s">
        <v>36</v>
      </c>
      <c r="H8" s="29" t="s">
        <v>37</v>
      </c>
      <c r="I8" s="29" t="s">
        <v>38</v>
      </c>
      <c r="J8" s="29" t="s">
        <v>39</v>
      </c>
      <c r="K8" s="115" t="s">
        <v>40</v>
      </c>
      <c r="L8" s="29" t="s">
        <v>41</v>
      </c>
      <c r="M8" s="115" t="s">
        <v>42</v>
      </c>
      <c r="N8" s="29" t="s">
        <v>43</v>
      </c>
      <c r="O8" s="29" t="s">
        <v>44</v>
      </c>
      <c r="P8" s="64" t="s">
        <v>45</v>
      </c>
      <c r="Q8" s="29" t="s">
        <v>46</v>
      </c>
      <c r="R8" s="76" t="s">
        <v>47</v>
      </c>
      <c r="S8" s="29" t="s">
        <v>48</v>
      </c>
      <c r="T8" s="29" t="s">
        <v>49</v>
      </c>
      <c r="U8" s="29" t="s">
        <v>50</v>
      </c>
      <c r="V8" s="29" t="s">
        <v>51</v>
      </c>
      <c r="W8" s="29" t="s">
        <v>52</v>
      </c>
      <c r="X8" s="29" t="s">
        <v>53</v>
      </c>
      <c r="Y8" s="29" t="s">
        <v>54</v>
      </c>
      <c r="Z8" s="29" t="s">
        <v>55</v>
      </c>
      <c r="AA8" s="30" t="s">
        <v>56</v>
      </c>
      <c r="AB8" s="31" t="s">
        <v>57</v>
      </c>
      <c r="AC8" s="64" t="s">
        <v>58</v>
      </c>
      <c r="AD8" s="76" t="s">
        <v>59</v>
      </c>
      <c r="AE8" s="31" t="s">
        <v>60</v>
      </c>
    </row>
    <row r="9" spans="1:31">
      <c r="A9" s="1" t="s">
        <v>3</v>
      </c>
      <c r="B9" s="22" t="s">
        <v>61</v>
      </c>
      <c r="C9" s="23">
        <v>21</v>
      </c>
      <c r="D9" s="24">
        <v>19</v>
      </c>
      <c r="E9" s="24">
        <v>22</v>
      </c>
      <c r="F9" s="24">
        <v>21</v>
      </c>
      <c r="G9" s="24">
        <v>21</v>
      </c>
      <c r="H9" s="24">
        <v>22</v>
      </c>
      <c r="I9" s="24">
        <v>20</v>
      </c>
      <c r="J9" s="24">
        <v>22</v>
      </c>
      <c r="K9" s="24">
        <v>21</v>
      </c>
      <c r="L9" s="24">
        <v>19</v>
      </c>
      <c r="M9" s="24">
        <v>21</v>
      </c>
      <c r="N9" s="24">
        <v>21</v>
      </c>
      <c r="O9" s="24">
        <v>20</v>
      </c>
      <c r="P9" s="65">
        <v>21</v>
      </c>
      <c r="Q9" s="24">
        <v>22</v>
      </c>
      <c r="R9" s="77">
        <f>SUM(C9:Q9)</f>
        <v>313</v>
      </c>
      <c r="S9" s="24">
        <v>21</v>
      </c>
      <c r="T9" s="24">
        <v>22</v>
      </c>
      <c r="U9" s="24">
        <v>21</v>
      </c>
      <c r="V9" s="24">
        <v>14</v>
      </c>
      <c r="W9" s="24">
        <v>19</v>
      </c>
      <c r="X9" s="24">
        <v>10</v>
      </c>
      <c r="Y9" s="24">
        <v>6</v>
      </c>
      <c r="Z9" s="24">
        <v>10</v>
      </c>
      <c r="AA9" s="25">
        <v>13</v>
      </c>
      <c r="AB9" s="26">
        <f>SUM(S9:AA9)</f>
        <v>136</v>
      </c>
      <c r="AC9" s="65">
        <v>20</v>
      </c>
      <c r="AD9" s="77">
        <f>AC9</f>
        <v>20</v>
      </c>
      <c r="AE9" s="26">
        <f>R9+AB9+AD9</f>
        <v>469</v>
      </c>
    </row>
    <row r="10" spans="1:31">
      <c r="A10" s="1" t="s">
        <v>3</v>
      </c>
      <c r="B10" s="21" t="s">
        <v>62</v>
      </c>
      <c r="C10" s="17">
        <v>2</v>
      </c>
      <c r="D10" s="5">
        <v>3</v>
      </c>
      <c r="E10" s="5">
        <v>2</v>
      </c>
      <c r="F10" s="5">
        <v>1</v>
      </c>
      <c r="G10" s="5">
        <v>0</v>
      </c>
      <c r="H10" s="5">
        <v>1</v>
      </c>
      <c r="I10" s="5">
        <v>3</v>
      </c>
      <c r="J10" s="5">
        <v>2</v>
      </c>
      <c r="K10" s="5">
        <v>2</v>
      </c>
      <c r="L10" s="5">
        <v>4</v>
      </c>
      <c r="M10" s="5">
        <v>3</v>
      </c>
      <c r="N10" s="5">
        <v>2</v>
      </c>
      <c r="O10" s="5">
        <v>2</v>
      </c>
      <c r="P10" s="66">
        <v>1</v>
      </c>
      <c r="Q10" s="5">
        <v>1</v>
      </c>
      <c r="R10" s="78">
        <f t="shared" ref="R10:R21" si="0">SUM(C10:Q10)</f>
        <v>29</v>
      </c>
      <c r="S10" s="5">
        <v>0</v>
      </c>
      <c r="T10" s="5">
        <v>2</v>
      </c>
      <c r="U10" s="5">
        <v>2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6">
        <v>0</v>
      </c>
      <c r="AB10" s="12">
        <f t="shared" ref="AB10:AB21" si="1">SUM(S10:AA10)</f>
        <v>4</v>
      </c>
      <c r="AC10" s="66">
        <v>0</v>
      </c>
      <c r="AD10" s="78">
        <f t="shared" ref="AD10:AD21" si="2">AC10</f>
        <v>0</v>
      </c>
      <c r="AE10" s="12">
        <f t="shared" ref="AE10:AE21" si="3">R10+AB10+AD10</f>
        <v>33</v>
      </c>
    </row>
    <row r="11" spans="1:31">
      <c r="A11" s="1" t="s">
        <v>3</v>
      </c>
      <c r="B11" s="21" t="s">
        <v>63</v>
      </c>
      <c r="C11" s="17">
        <v>3</v>
      </c>
      <c r="D11" s="5">
        <v>1</v>
      </c>
      <c r="E11" s="5">
        <v>1</v>
      </c>
      <c r="F11" s="5">
        <v>2</v>
      </c>
      <c r="G11" s="5">
        <v>1</v>
      </c>
      <c r="H11" s="5">
        <v>3</v>
      </c>
      <c r="I11" s="5">
        <v>1</v>
      </c>
      <c r="J11" s="5">
        <v>1</v>
      </c>
      <c r="K11" s="5">
        <v>3</v>
      </c>
      <c r="L11" s="5">
        <v>2</v>
      </c>
      <c r="M11" s="5">
        <v>1</v>
      </c>
      <c r="N11" s="5">
        <v>1</v>
      </c>
      <c r="O11" s="5">
        <v>1</v>
      </c>
      <c r="P11" s="66">
        <v>2</v>
      </c>
      <c r="Q11" s="5">
        <v>2</v>
      </c>
      <c r="R11" s="78">
        <f t="shared" si="0"/>
        <v>25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6">
        <v>0</v>
      </c>
      <c r="AB11" s="12">
        <f t="shared" si="1"/>
        <v>0</v>
      </c>
      <c r="AC11" s="66">
        <v>0</v>
      </c>
      <c r="AD11" s="78">
        <f t="shared" si="2"/>
        <v>0</v>
      </c>
      <c r="AE11" s="12">
        <f t="shared" si="3"/>
        <v>25</v>
      </c>
    </row>
    <row r="12" spans="1:31">
      <c r="A12" s="1" t="s">
        <v>3</v>
      </c>
      <c r="B12" s="21" t="s">
        <v>64</v>
      </c>
      <c r="C12" s="17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0</v>
      </c>
      <c r="P12" s="66">
        <v>0</v>
      </c>
      <c r="Q12" s="5">
        <v>0</v>
      </c>
      <c r="R12" s="78">
        <f t="shared" si="0"/>
        <v>1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6">
        <v>0</v>
      </c>
      <c r="AB12" s="12">
        <f t="shared" si="1"/>
        <v>0</v>
      </c>
      <c r="AC12" s="66">
        <v>0</v>
      </c>
      <c r="AD12" s="78">
        <f t="shared" si="2"/>
        <v>0</v>
      </c>
      <c r="AE12" s="12">
        <f t="shared" si="3"/>
        <v>1</v>
      </c>
    </row>
    <row r="13" spans="1:31">
      <c r="A13" s="1" t="s">
        <v>3</v>
      </c>
      <c r="B13" s="21" t="s">
        <v>65</v>
      </c>
      <c r="C13" s="17">
        <v>1</v>
      </c>
      <c r="D13" s="5">
        <v>3</v>
      </c>
      <c r="E13" s="5">
        <v>0</v>
      </c>
      <c r="F13" s="5">
        <v>1</v>
      </c>
      <c r="G13" s="5">
        <v>1</v>
      </c>
      <c r="H13" s="5">
        <v>0</v>
      </c>
      <c r="I13" s="5">
        <v>2</v>
      </c>
      <c r="J13" s="5">
        <v>0</v>
      </c>
      <c r="K13" s="5">
        <v>1</v>
      </c>
      <c r="L13" s="5">
        <v>3</v>
      </c>
      <c r="M13" s="5">
        <v>1</v>
      </c>
      <c r="N13" s="5">
        <v>0</v>
      </c>
      <c r="O13" s="5">
        <v>2</v>
      </c>
      <c r="P13" s="66">
        <v>1</v>
      </c>
      <c r="Q13" s="5">
        <v>0</v>
      </c>
      <c r="R13" s="78">
        <f t="shared" si="0"/>
        <v>16</v>
      </c>
      <c r="S13" s="5">
        <v>1.5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6">
        <v>9</v>
      </c>
      <c r="AB13" s="12">
        <f t="shared" si="1"/>
        <v>11.5</v>
      </c>
      <c r="AC13" s="66">
        <v>2</v>
      </c>
      <c r="AD13" s="78">
        <f t="shared" si="2"/>
        <v>2</v>
      </c>
      <c r="AE13" s="12">
        <f t="shared" si="3"/>
        <v>29.5</v>
      </c>
    </row>
    <row r="14" spans="1:31">
      <c r="A14" s="1" t="s">
        <v>3</v>
      </c>
      <c r="B14" s="21" t="s">
        <v>66</v>
      </c>
      <c r="C14" s="18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67">
        <v>0</v>
      </c>
      <c r="Q14" s="7">
        <v>0</v>
      </c>
      <c r="R14" s="79">
        <f t="shared" si="0"/>
        <v>0</v>
      </c>
      <c r="S14" s="7">
        <v>0</v>
      </c>
      <c r="T14" s="7">
        <v>0</v>
      </c>
      <c r="U14" s="7">
        <v>0</v>
      </c>
      <c r="V14" s="7">
        <v>3.5416666666666665</v>
      </c>
      <c r="W14" s="7">
        <v>4.25</v>
      </c>
      <c r="X14" s="7">
        <v>2.9166666666666665</v>
      </c>
      <c r="Y14" s="7">
        <v>1.9166666666666665</v>
      </c>
      <c r="Z14" s="7">
        <v>2.9166666666666665</v>
      </c>
      <c r="AA14" s="8">
        <v>3.625</v>
      </c>
      <c r="AB14" s="13">
        <f t="shared" si="1"/>
        <v>19.166666666666664</v>
      </c>
      <c r="AC14" s="67">
        <v>0</v>
      </c>
      <c r="AD14" s="79">
        <f t="shared" si="2"/>
        <v>0</v>
      </c>
      <c r="AE14" s="13">
        <f t="shared" si="3"/>
        <v>19.166666666666664</v>
      </c>
    </row>
    <row r="15" spans="1:31">
      <c r="A15" s="1" t="s">
        <v>3</v>
      </c>
      <c r="B15" s="21" t="s">
        <v>67</v>
      </c>
      <c r="C15" s="18">
        <v>0.95833333333333337</v>
      </c>
      <c r="D15" s="7">
        <v>1.1666666666666667</v>
      </c>
      <c r="E15" s="7">
        <v>1.7916666666666665</v>
      </c>
      <c r="F15" s="7">
        <v>2.2916666666666665</v>
      </c>
      <c r="G15" s="7">
        <v>2.7916666666666665</v>
      </c>
      <c r="H15" s="7">
        <v>1.875</v>
      </c>
      <c r="I15" s="7">
        <v>1.375</v>
      </c>
      <c r="J15" s="7">
        <v>1.25</v>
      </c>
      <c r="K15" s="7">
        <v>0.95833333333333337</v>
      </c>
      <c r="L15" s="7">
        <v>0.70833333333333337</v>
      </c>
      <c r="M15" s="7">
        <v>0.875</v>
      </c>
      <c r="N15" s="7">
        <v>1.4166666666666667</v>
      </c>
      <c r="O15" s="7">
        <v>1.9166666666666665</v>
      </c>
      <c r="P15" s="67">
        <v>2.5833333333333335</v>
      </c>
      <c r="Q15" s="7">
        <v>1.875</v>
      </c>
      <c r="R15" s="79">
        <f t="shared" si="0"/>
        <v>23.833333333333336</v>
      </c>
      <c r="S15" s="7">
        <v>0</v>
      </c>
      <c r="T15" s="7">
        <v>1.2916666666666667</v>
      </c>
      <c r="U15" s="7">
        <v>0.33333333333333331</v>
      </c>
      <c r="V15" s="7">
        <v>0</v>
      </c>
      <c r="W15" s="7">
        <v>0</v>
      </c>
      <c r="X15" s="7">
        <v>0</v>
      </c>
      <c r="Y15" s="7">
        <v>8.3333333333333329E-2</v>
      </c>
      <c r="Z15" s="7">
        <v>0</v>
      </c>
      <c r="AA15" s="8">
        <v>4.1666666666666664E-2</v>
      </c>
      <c r="AB15" s="13">
        <f t="shared" si="1"/>
        <v>1.75</v>
      </c>
      <c r="AC15" s="67">
        <v>0</v>
      </c>
      <c r="AD15" s="79">
        <f t="shared" si="2"/>
        <v>0</v>
      </c>
      <c r="AE15" s="13">
        <f t="shared" si="3"/>
        <v>25.583333333333336</v>
      </c>
    </row>
    <row r="16" spans="1:31">
      <c r="A16" s="1" t="s">
        <v>3</v>
      </c>
      <c r="B16" s="21" t="s">
        <v>68</v>
      </c>
      <c r="C16" s="18">
        <v>0.5</v>
      </c>
      <c r="D16" s="7">
        <v>0.95833333333333337</v>
      </c>
      <c r="E16" s="7">
        <v>0.5</v>
      </c>
      <c r="F16" s="7">
        <v>0.29166666666666669</v>
      </c>
      <c r="G16" s="7">
        <v>0</v>
      </c>
      <c r="H16" s="7">
        <v>0.33333333333333331</v>
      </c>
      <c r="I16" s="7">
        <v>1.0833333333333333</v>
      </c>
      <c r="J16" s="7">
        <v>0.70833333333333337</v>
      </c>
      <c r="K16" s="7">
        <v>0.79166666666666663</v>
      </c>
      <c r="L16" s="7">
        <v>1.0833333333333333</v>
      </c>
      <c r="M16" s="7">
        <v>0.91666666666666663</v>
      </c>
      <c r="N16" s="7">
        <v>0.33333333333333331</v>
      </c>
      <c r="O16" s="7">
        <v>0.91666666666666663</v>
      </c>
      <c r="P16" s="67">
        <v>0.25</v>
      </c>
      <c r="Q16" s="7">
        <v>0.41666666666666669</v>
      </c>
      <c r="R16" s="79">
        <f t="shared" si="0"/>
        <v>9.0833333333333321</v>
      </c>
      <c r="S16" s="7">
        <v>0</v>
      </c>
      <c r="T16" s="7">
        <v>0.5</v>
      </c>
      <c r="U16" s="7">
        <v>0.54166666666666663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8">
        <v>0</v>
      </c>
      <c r="AB16" s="13">
        <f t="shared" si="1"/>
        <v>1.0416666666666665</v>
      </c>
      <c r="AC16" s="67">
        <v>0</v>
      </c>
      <c r="AD16" s="79">
        <f t="shared" si="2"/>
        <v>0</v>
      </c>
      <c r="AE16" s="13">
        <f t="shared" si="3"/>
        <v>10.124999999999998</v>
      </c>
    </row>
    <row r="17" spans="1:31">
      <c r="A17" s="1" t="s">
        <v>3</v>
      </c>
      <c r="B17" s="21" t="s">
        <v>69</v>
      </c>
      <c r="C17" s="18">
        <v>1</v>
      </c>
      <c r="D17" s="7">
        <v>0.45833333333333331</v>
      </c>
      <c r="E17" s="7">
        <v>0.125</v>
      </c>
      <c r="F17" s="7">
        <v>0.625</v>
      </c>
      <c r="G17" s="7">
        <v>0.25</v>
      </c>
      <c r="H17" s="7">
        <v>1</v>
      </c>
      <c r="I17" s="7">
        <v>0.5</v>
      </c>
      <c r="J17" s="7">
        <v>0.45833333333333331</v>
      </c>
      <c r="K17" s="7">
        <v>1.0833333333333333</v>
      </c>
      <c r="L17" s="7">
        <v>0.875</v>
      </c>
      <c r="M17" s="7">
        <v>0.29166666666666669</v>
      </c>
      <c r="N17" s="7">
        <v>0.375</v>
      </c>
      <c r="O17" s="7">
        <v>0.5</v>
      </c>
      <c r="P17" s="67">
        <v>0.625</v>
      </c>
      <c r="Q17" s="7">
        <v>0.66666666666666663</v>
      </c>
      <c r="R17" s="79">
        <f t="shared" si="0"/>
        <v>8.8333333333333321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8">
        <v>0</v>
      </c>
      <c r="AB17" s="13">
        <f t="shared" si="1"/>
        <v>0</v>
      </c>
      <c r="AC17" s="67">
        <v>0</v>
      </c>
      <c r="AD17" s="79">
        <f t="shared" si="2"/>
        <v>0</v>
      </c>
      <c r="AE17" s="13">
        <f t="shared" si="3"/>
        <v>8.8333333333333321</v>
      </c>
    </row>
    <row r="18" spans="1:31">
      <c r="A18" s="1" t="s">
        <v>3</v>
      </c>
      <c r="B18" s="21" t="s">
        <v>70</v>
      </c>
      <c r="C18" s="18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0.375</v>
      </c>
      <c r="O18" s="7">
        <v>0</v>
      </c>
      <c r="P18" s="67">
        <v>0</v>
      </c>
      <c r="Q18" s="7">
        <v>0</v>
      </c>
      <c r="R18" s="79">
        <f t="shared" si="0"/>
        <v>0.375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8">
        <v>0</v>
      </c>
      <c r="AB18" s="13">
        <f t="shared" si="1"/>
        <v>0</v>
      </c>
      <c r="AC18" s="67">
        <v>0</v>
      </c>
      <c r="AD18" s="79">
        <f t="shared" si="2"/>
        <v>0</v>
      </c>
      <c r="AE18" s="13">
        <f t="shared" si="3"/>
        <v>0.375</v>
      </c>
    </row>
    <row r="19" spans="1:31">
      <c r="A19" s="1" t="s">
        <v>3</v>
      </c>
      <c r="B19" s="21" t="s">
        <v>71</v>
      </c>
      <c r="C19" s="18">
        <v>0</v>
      </c>
      <c r="D19" s="7">
        <v>0</v>
      </c>
      <c r="E19" s="7">
        <v>0</v>
      </c>
      <c r="F19" s="7">
        <v>0</v>
      </c>
      <c r="G19" s="7">
        <v>0.29166666666666669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67">
        <v>0.20833333333333334</v>
      </c>
      <c r="Q19" s="7">
        <v>0</v>
      </c>
      <c r="R19" s="79">
        <f t="shared" si="0"/>
        <v>0.5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8">
        <v>0</v>
      </c>
      <c r="AB19" s="13">
        <f t="shared" si="1"/>
        <v>0</v>
      </c>
      <c r="AC19" s="67">
        <v>0</v>
      </c>
      <c r="AD19" s="79">
        <f t="shared" si="2"/>
        <v>0</v>
      </c>
      <c r="AE19" s="13">
        <f t="shared" si="3"/>
        <v>0.5</v>
      </c>
    </row>
    <row r="20" spans="1:31">
      <c r="A20" s="1" t="s">
        <v>3</v>
      </c>
      <c r="B20" s="21" t="s">
        <v>72</v>
      </c>
      <c r="C20" s="18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67">
        <v>0</v>
      </c>
      <c r="Q20" s="7">
        <v>0</v>
      </c>
      <c r="R20" s="79">
        <f t="shared" si="0"/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8">
        <v>1.875</v>
      </c>
      <c r="AB20" s="13">
        <f t="shared" si="1"/>
        <v>1.875</v>
      </c>
      <c r="AC20" s="67">
        <v>0</v>
      </c>
      <c r="AD20" s="79">
        <f t="shared" si="2"/>
        <v>0</v>
      </c>
      <c r="AE20" s="13">
        <f t="shared" si="3"/>
        <v>1.875</v>
      </c>
    </row>
    <row r="21" spans="1:31">
      <c r="A21" s="1" t="s">
        <v>3</v>
      </c>
      <c r="B21" s="32" t="s">
        <v>73</v>
      </c>
      <c r="C21" s="33">
        <v>0.29166666666666669</v>
      </c>
      <c r="D21" s="34">
        <v>0.16666666666666666</v>
      </c>
      <c r="E21" s="34">
        <v>0.29166666666666669</v>
      </c>
      <c r="F21" s="34">
        <v>0.75</v>
      </c>
      <c r="G21" s="34">
        <v>1.0416666666666667</v>
      </c>
      <c r="H21" s="34">
        <v>0.33333333333333331</v>
      </c>
      <c r="I21" s="34">
        <v>0.375</v>
      </c>
      <c r="J21" s="34">
        <v>0.20833333333333334</v>
      </c>
      <c r="K21" s="34">
        <v>0.79166666666666663</v>
      </c>
      <c r="L21" s="34">
        <v>0.91666666666666663</v>
      </c>
      <c r="M21" s="34">
        <v>0.125</v>
      </c>
      <c r="N21" s="34">
        <v>2.8333333333333335</v>
      </c>
      <c r="O21" s="34">
        <v>1</v>
      </c>
      <c r="P21" s="68">
        <v>1.0416666666666667</v>
      </c>
      <c r="Q21" s="34">
        <v>3.25</v>
      </c>
      <c r="R21" s="80">
        <f t="shared" si="0"/>
        <v>13.416666666666668</v>
      </c>
      <c r="S21" s="34">
        <v>4.1666666666666664E-2</v>
      </c>
      <c r="T21" s="34">
        <v>0</v>
      </c>
      <c r="U21" s="34">
        <v>0</v>
      </c>
      <c r="V21" s="34">
        <v>0</v>
      </c>
      <c r="W21" s="34">
        <v>0</v>
      </c>
      <c r="X21" s="34">
        <v>2.0833333333333335</v>
      </c>
      <c r="Y21" s="34">
        <v>0.41666666666666669</v>
      </c>
      <c r="Z21" s="34">
        <v>2.0833333333333335</v>
      </c>
      <c r="AA21" s="35">
        <v>1.625</v>
      </c>
      <c r="AB21" s="36">
        <f t="shared" si="1"/>
        <v>6.25</v>
      </c>
      <c r="AC21" s="68">
        <v>0.20833333333333334</v>
      </c>
      <c r="AD21" s="80">
        <f t="shared" si="2"/>
        <v>0.20833333333333334</v>
      </c>
      <c r="AE21" s="36">
        <f t="shared" si="3"/>
        <v>19.875</v>
      </c>
    </row>
    <row r="22" spans="1:31">
      <c r="A22" s="1" t="s">
        <v>3</v>
      </c>
      <c r="B22" s="41" t="s">
        <v>74</v>
      </c>
      <c r="C22" s="42">
        <v>19</v>
      </c>
      <c r="D22" s="43">
        <v>20</v>
      </c>
      <c r="E22" s="43">
        <v>35</v>
      </c>
      <c r="F22" s="43">
        <v>39</v>
      </c>
      <c r="G22" s="43">
        <v>34</v>
      </c>
      <c r="H22" s="43">
        <v>28</v>
      </c>
      <c r="I22" s="43">
        <v>37</v>
      </c>
      <c r="J22" s="43">
        <v>35.5</v>
      </c>
      <c r="K22" s="43">
        <v>35.5</v>
      </c>
      <c r="L22" s="43">
        <v>35</v>
      </c>
      <c r="M22" s="43">
        <v>32</v>
      </c>
      <c r="N22" s="43">
        <v>34.5</v>
      </c>
      <c r="O22" s="43">
        <v>14</v>
      </c>
      <c r="P22" s="69">
        <v>19</v>
      </c>
      <c r="Q22" s="43">
        <v>24</v>
      </c>
      <c r="R22" s="81"/>
      <c r="S22" s="43">
        <v>31</v>
      </c>
      <c r="T22" s="43">
        <v>40</v>
      </c>
      <c r="U22" s="43">
        <v>15</v>
      </c>
      <c r="V22" s="43">
        <v>21</v>
      </c>
      <c r="W22" s="43">
        <v>22</v>
      </c>
      <c r="X22" s="43">
        <v>7</v>
      </c>
      <c r="Y22" s="43">
        <v>6</v>
      </c>
      <c r="Z22" s="43">
        <v>20</v>
      </c>
      <c r="AA22" s="44">
        <v>7</v>
      </c>
      <c r="AB22" s="45"/>
      <c r="AC22" s="69">
        <v>38</v>
      </c>
      <c r="AD22" s="81"/>
      <c r="AE22" s="45"/>
    </row>
    <row r="23" spans="1:31">
      <c r="A23" s="1" t="s">
        <v>3</v>
      </c>
      <c r="B23" s="22" t="s">
        <v>75</v>
      </c>
      <c r="C23" s="37">
        <v>182000</v>
      </c>
      <c r="D23" s="38">
        <v>192000</v>
      </c>
      <c r="E23" s="38">
        <v>197000</v>
      </c>
      <c r="F23" s="38">
        <v>197000</v>
      </c>
      <c r="G23" s="38">
        <v>197000</v>
      </c>
      <c r="H23" s="38">
        <v>182000</v>
      </c>
      <c r="I23" s="38">
        <v>187000</v>
      </c>
      <c r="J23" s="38">
        <v>182000</v>
      </c>
      <c r="K23" s="38">
        <v>197000</v>
      </c>
      <c r="L23" s="38">
        <v>192000</v>
      </c>
      <c r="M23" s="38">
        <v>192000</v>
      </c>
      <c r="N23" s="38">
        <v>182000</v>
      </c>
      <c r="O23" s="38">
        <v>175000</v>
      </c>
      <c r="P23" s="70">
        <v>175000</v>
      </c>
      <c r="Q23" s="38">
        <v>180000</v>
      </c>
      <c r="R23" s="82">
        <f t="shared" ref="R23:R53" si="4">SUM(C23:Q23)</f>
        <v>2809000</v>
      </c>
      <c r="S23" s="38">
        <v>370000</v>
      </c>
      <c r="T23" s="38">
        <v>285000</v>
      </c>
      <c r="U23" s="38">
        <v>225000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9">
        <v>0</v>
      </c>
      <c r="AB23" s="40">
        <f t="shared" ref="AB23:AB53" si="5">SUM(S23:AA23)</f>
        <v>880000</v>
      </c>
      <c r="AC23" s="70">
        <v>390000</v>
      </c>
      <c r="AD23" s="82">
        <f t="shared" ref="AD23:AD53" si="6">AC23</f>
        <v>390000</v>
      </c>
      <c r="AE23" s="40">
        <f t="shared" ref="AE23:AE53" si="7">R23+AB23+AD23</f>
        <v>4079000</v>
      </c>
    </row>
    <row r="24" spans="1:31">
      <c r="A24" s="1" t="s">
        <v>3</v>
      </c>
      <c r="B24" s="21" t="s">
        <v>76</v>
      </c>
      <c r="C24" s="19">
        <v>0</v>
      </c>
      <c r="D24" s="9">
        <v>0</v>
      </c>
      <c r="E24" s="9">
        <v>20000</v>
      </c>
      <c r="F24" s="9">
        <v>20000</v>
      </c>
      <c r="G24" s="9">
        <v>0</v>
      </c>
      <c r="H24" s="9">
        <v>0</v>
      </c>
      <c r="I24" s="9">
        <v>5000</v>
      </c>
      <c r="J24" s="9">
        <v>0</v>
      </c>
      <c r="K24" s="9">
        <v>0</v>
      </c>
      <c r="L24" s="9">
        <v>0</v>
      </c>
      <c r="M24" s="9">
        <v>5000</v>
      </c>
      <c r="N24" s="9">
        <v>0</v>
      </c>
      <c r="O24" s="9">
        <v>0</v>
      </c>
      <c r="P24" s="71">
        <v>0</v>
      </c>
      <c r="Q24" s="9">
        <v>0</v>
      </c>
      <c r="R24" s="83">
        <f t="shared" si="4"/>
        <v>50000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10">
        <v>0</v>
      </c>
      <c r="AB24" s="14">
        <f t="shared" si="5"/>
        <v>0</v>
      </c>
      <c r="AC24" s="71">
        <v>0</v>
      </c>
      <c r="AD24" s="83">
        <f t="shared" si="6"/>
        <v>0</v>
      </c>
      <c r="AE24" s="14">
        <f t="shared" si="7"/>
        <v>50000</v>
      </c>
    </row>
    <row r="25" spans="1:31">
      <c r="A25" s="1" t="s">
        <v>3</v>
      </c>
      <c r="B25" s="21" t="s">
        <v>77</v>
      </c>
      <c r="C25" s="19">
        <v>0</v>
      </c>
      <c r="D25" s="9">
        <v>0</v>
      </c>
      <c r="E25" s="9">
        <v>3000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71">
        <v>0</v>
      </c>
      <c r="Q25" s="9">
        <v>0</v>
      </c>
      <c r="R25" s="83">
        <f t="shared" si="4"/>
        <v>3000</v>
      </c>
      <c r="S25" s="9">
        <v>0</v>
      </c>
      <c r="T25" s="9">
        <v>3000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10">
        <v>0</v>
      </c>
      <c r="AB25" s="14">
        <f t="shared" si="5"/>
        <v>3000</v>
      </c>
      <c r="AC25" s="71">
        <v>0</v>
      </c>
      <c r="AD25" s="83">
        <f t="shared" si="6"/>
        <v>0</v>
      </c>
      <c r="AE25" s="14">
        <f t="shared" si="7"/>
        <v>6000</v>
      </c>
    </row>
    <row r="26" spans="1:31">
      <c r="A26" s="1" t="s">
        <v>3</v>
      </c>
      <c r="B26" s="21" t="s">
        <v>78</v>
      </c>
      <c r="C26" s="19">
        <v>0</v>
      </c>
      <c r="D26" s="9">
        <v>0</v>
      </c>
      <c r="E26" s="9">
        <v>0</v>
      </c>
      <c r="F26" s="9">
        <v>7069</v>
      </c>
      <c r="G26" s="9">
        <v>6264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84511</v>
      </c>
      <c r="N26" s="9">
        <v>9000</v>
      </c>
      <c r="O26" s="9">
        <v>0</v>
      </c>
      <c r="P26" s="71">
        <v>0</v>
      </c>
      <c r="Q26" s="9">
        <v>13248</v>
      </c>
      <c r="R26" s="83">
        <f t="shared" si="4"/>
        <v>120092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10">
        <v>0</v>
      </c>
      <c r="AB26" s="14">
        <f t="shared" si="5"/>
        <v>0</v>
      </c>
      <c r="AC26" s="71">
        <v>0</v>
      </c>
      <c r="AD26" s="83">
        <f t="shared" si="6"/>
        <v>0</v>
      </c>
      <c r="AE26" s="14">
        <f t="shared" si="7"/>
        <v>120092</v>
      </c>
    </row>
    <row r="27" spans="1:31">
      <c r="A27" s="1" t="s">
        <v>3</v>
      </c>
      <c r="B27" s="21" t="s">
        <v>79</v>
      </c>
      <c r="C27" s="1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71">
        <v>0</v>
      </c>
      <c r="Q27" s="9">
        <v>0</v>
      </c>
      <c r="R27" s="83">
        <f t="shared" si="4"/>
        <v>0</v>
      </c>
      <c r="S27" s="9">
        <v>0</v>
      </c>
      <c r="T27" s="9">
        <v>0</v>
      </c>
      <c r="U27" s="9">
        <v>0</v>
      </c>
      <c r="V27" s="9">
        <v>87975</v>
      </c>
      <c r="W27" s="9">
        <v>109140</v>
      </c>
      <c r="X27" s="9">
        <v>68250</v>
      </c>
      <c r="Y27" s="9">
        <v>44850</v>
      </c>
      <c r="Z27" s="9">
        <v>68250</v>
      </c>
      <c r="AA27" s="10">
        <v>84825</v>
      </c>
      <c r="AB27" s="14">
        <f t="shared" si="5"/>
        <v>463290</v>
      </c>
      <c r="AC27" s="71">
        <v>0</v>
      </c>
      <c r="AD27" s="83">
        <f t="shared" si="6"/>
        <v>0</v>
      </c>
      <c r="AE27" s="14">
        <f t="shared" si="7"/>
        <v>463290</v>
      </c>
    </row>
    <row r="28" spans="1:31">
      <c r="A28" s="1" t="s">
        <v>3</v>
      </c>
      <c r="B28" s="21" t="s">
        <v>80</v>
      </c>
      <c r="C28" s="112">
        <v>28600</v>
      </c>
      <c r="D28" s="113">
        <v>15300</v>
      </c>
      <c r="E28" s="113">
        <v>26800</v>
      </c>
      <c r="F28" s="113">
        <v>28200</v>
      </c>
      <c r="G28" s="113">
        <v>7000</v>
      </c>
      <c r="H28" s="113">
        <v>29200</v>
      </c>
      <c r="I28" s="113">
        <v>28200</v>
      </c>
      <c r="J28" s="113">
        <v>28800</v>
      </c>
      <c r="K28" s="9">
        <v>0</v>
      </c>
      <c r="L28" s="113">
        <v>27000</v>
      </c>
      <c r="M28" s="9">
        <v>0</v>
      </c>
      <c r="N28" s="113">
        <v>29000</v>
      </c>
      <c r="O28" s="113">
        <v>14800</v>
      </c>
      <c r="P28" s="114">
        <v>29400</v>
      </c>
      <c r="Q28" s="113">
        <v>29200</v>
      </c>
      <c r="R28" s="83">
        <f t="shared" si="4"/>
        <v>321500</v>
      </c>
      <c r="S28" s="9">
        <v>0</v>
      </c>
      <c r="T28" s="113">
        <v>27200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10">
        <v>0</v>
      </c>
      <c r="AB28" s="14">
        <f t="shared" si="5"/>
        <v>27200</v>
      </c>
      <c r="AC28" s="71">
        <v>0</v>
      </c>
      <c r="AD28" s="83">
        <f t="shared" si="6"/>
        <v>0</v>
      </c>
      <c r="AE28" s="14">
        <f t="shared" si="7"/>
        <v>348700</v>
      </c>
    </row>
    <row r="29" spans="1:31">
      <c r="A29" s="1" t="s">
        <v>3</v>
      </c>
      <c r="B29" s="21" t="s">
        <v>81</v>
      </c>
      <c r="C29" s="19">
        <v>3500</v>
      </c>
      <c r="D29" s="9">
        <v>1000</v>
      </c>
      <c r="E29" s="9">
        <v>3500</v>
      </c>
      <c r="F29" s="9">
        <v>3500</v>
      </c>
      <c r="G29" s="9">
        <v>3500</v>
      </c>
      <c r="H29" s="9">
        <v>3500</v>
      </c>
      <c r="I29" s="9">
        <v>3500</v>
      </c>
      <c r="J29" s="9">
        <v>3500</v>
      </c>
      <c r="K29" s="9">
        <v>3500</v>
      </c>
      <c r="L29" s="9">
        <v>3500</v>
      </c>
      <c r="M29" s="9">
        <v>2000</v>
      </c>
      <c r="N29" s="9">
        <v>3500</v>
      </c>
      <c r="O29" s="9">
        <v>1000</v>
      </c>
      <c r="P29" s="71">
        <v>2000</v>
      </c>
      <c r="Q29" s="9">
        <v>2000</v>
      </c>
      <c r="R29" s="83">
        <f t="shared" si="4"/>
        <v>43000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10">
        <v>0</v>
      </c>
      <c r="AB29" s="14">
        <f t="shared" si="5"/>
        <v>0</v>
      </c>
      <c r="AC29" s="71">
        <v>0</v>
      </c>
      <c r="AD29" s="83">
        <f t="shared" si="6"/>
        <v>0</v>
      </c>
      <c r="AE29" s="14">
        <f t="shared" si="7"/>
        <v>43000</v>
      </c>
    </row>
    <row r="30" spans="1:31">
      <c r="A30" s="1" t="s">
        <v>3</v>
      </c>
      <c r="B30" s="21" t="s">
        <v>82</v>
      </c>
      <c r="C30" s="1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71">
        <v>0</v>
      </c>
      <c r="Q30" s="9">
        <v>0</v>
      </c>
      <c r="R30" s="83">
        <f t="shared" si="4"/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10">
        <v>43875</v>
      </c>
      <c r="AB30" s="14">
        <f t="shared" si="5"/>
        <v>43875</v>
      </c>
      <c r="AC30" s="71">
        <v>0</v>
      </c>
      <c r="AD30" s="83">
        <f t="shared" si="6"/>
        <v>0</v>
      </c>
      <c r="AE30" s="14">
        <f t="shared" si="7"/>
        <v>43875</v>
      </c>
    </row>
    <row r="31" spans="1:31">
      <c r="A31" s="1" t="s">
        <v>3</v>
      </c>
      <c r="B31" s="21" t="s">
        <v>67</v>
      </c>
      <c r="C31" s="19">
        <v>31947</v>
      </c>
      <c r="D31" s="9">
        <v>40460</v>
      </c>
      <c r="E31" s="9">
        <v>71939</v>
      </c>
      <c r="F31" s="9">
        <v>90750</v>
      </c>
      <c r="G31" s="9">
        <v>100567</v>
      </c>
      <c r="H31" s="9">
        <v>62505</v>
      </c>
      <c r="I31" s="9">
        <v>48312</v>
      </c>
      <c r="J31" s="9">
        <v>41670</v>
      </c>
      <c r="K31" s="9">
        <v>34523</v>
      </c>
      <c r="L31" s="9">
        <v>24888</v>
      </c>
      <c r="M31" s="9">
        <v>31290</v>
      </c>
      <c r="N31" s="9">
        <v>47226</v>
      </c>
      <c r="O31" s="9">
        <v>60628</v>
      </c>
      <c r="P31" s="71">
        <v>82150</v>
      </c>
      <c r="Q31" s="9">
        <v>61335</v>
      </c>
      <c r="R31" s="83">
        <f t="shared" si="4"/>
        <v>830190</v>
      </c>
      <c r="S31" s="9">
        <v>0</v>
      </c>
      <c r="T31" s="9">
        <v>66836</v>
      </c>
      <c r="U31" s="9">
        <v>13472</v>
      </c>
      <c r="V31" s="9">
        <v>0</v>
      </c>
      <c r="W31" s="9">
        <v>0</v>
      </c>
      <c r="X31" s="9">
        <v>0</v>
      </c>
      <c r="Y31" s="9">
        <v>2438</v>
      </c>
      <c r="Z31" s="9">
        <v>0</v>
      </c>
      <c r="AA31" s="10">
        <v>1219</v>
      </c>
      <c r="AB31" s="14">
        <f t="shared" si="5"/>
        <v>83965</v>
      </c>
      <c r="AC31" s="71">
        <v>0</v>
      </c>
      <c r="AD31" s="83">
        <f t="shared" si="6"/>
        <v>0</v>
      </c>
      <c r="AE31" s="14">
        <f t="shared" si="7"/>
        <v>914155</v>
      </c>
    </row>
    <row r="32" spans="1:31">
      <c r="A32" s="1" t="s">
        <v>3</v>
      </c>
      <c r="B32" s="21" t="s">
        <v>83</v>
      </c>
      <c r="C32" s="19">
        <v>18000</v>
      </c>
      <c r="D32" s="9">
        <v>35903</v>
      </c>
      <c r="E32" s="9">
        <v>21672</v>
      </c>
      <c r="F32" s="9">
        <v>12474</v>
      </c>
      <c r="G32" s="9">
        <v>0</v>
      </c>
      <c r="H32" s="9">
        <v>12000</v>
      </c>
      <c r="I32" s="9">
        <v>41106</v>
      </c>
      <c r="J32" s="9">
        <v>25500</v>
      </c>
      <c r="K32" s="9">
        <v>30799</v>
      </c>
      <c r="L32" s="9">
        <v>41106</v>
      </c>
      <c r="M32" s="9">
        <v>35398</v>
      </c>
      <c r="N32" s="9">
        <v>12000</v>
      </c>
      <c r="O32" s="9">
        <v>31306</v>
      </c>
      <c r="P32" s="71">
        <v>8586</v>
      </c>
      <c r="Q32" s="9">
        <v>14720</v>
      </c>
      <c r="R32" s="83">
        <f t="shared" si="4"/>
        <v>340570</v>
      </c>
      <c r="S32" s="9">
        <v>0</v>
      </c>
      <c r="T32" s="9">
        <v>27948</v>
      </c>
      <c r="U32" s="9">
        <v>23634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10">
        <v>0</v>
      </c>
      <c r="AB32" s="14">
        <f t="shared" si="5"/>
        <v>51582</v>
      </c>
      <c r="AC32" s="71">
        <v>0</v>
      </c>
      <c r="AD32" s="83">
        <f t="shared" si="6"/>
        <v>0</v>
      </c>
      <c r="AE32" s="14">
        <f t="shared" si="7"/>
        <v>392152</v>
      </c>
    </row>
    <row r="33" spans="1:31">
      <c r="A33" s="1" t="s">
        <v>3</v>
      </c>
      <c r="B33" s="21" t="s">
        <v>84</v>
      </c>
      <c r="C33" s="19">
        <v>36000</v>
      </c>
      <c r="D33" s="9">
        <v>17171</v>
      </c>
      <c r="E33" s="9">
        <v>5418</v>
      </c>
      <c r="F33" s="9">
        <v>26730</v>
      </c>
      <c r="G33" s="9">
        <v>9726</v>
      </c>
      <c r="H33" s="9">
        <v>36000</v>
      </c>
      <c r="I33" s="9">
        <v>18972</v>
      </c>
      <c r="J33" s="9">
        <v>16500</v>
      </c>
      <c r="K33" s="9">
        <v>42146</v>
      </c>
      <c r="L33" s="9">
        <v>33201</v>
      </c>
      <c r="M33" s="9">
        <v>11263</v>
      </c>
      <c r="N33" s="9">
        <v>13500</v>
      </c>
      <c r="O33" s="9">
        <v>17076</v>
      </c>
      <c r="P33" s="71">
        <v>21465</v>
      </c>
      <c r="Q33" s="9">
        <v>23552</v>
      </c>
      <c r="R33" s="83">
        <f t="shared" si="4"/>
        <v>328720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10">
        <v>0</v>
      </c>
      <c r="AB33" s="14">
        <f t="shared" si="5"/>
        <v>0</v>
      </c>
      <c r="AC33" s="71">
        <v>0</v>
      </c>
      <c r="AD33" s="83">
        <f t="shared" si="6"/>
        <v>0</v>
      </c>
      <c r="AE33" s="14">
        <f t="shared" si="7"/>
        <v>328720</v>
      </c>
    </row>
    <row r="34" spans="1:31">
      <c r="A34" s="1" t="s">
        <v>3</v>
      </c>
      <c r="B34" s="21" t="s">
        <v>85</v>
      </c>
      <c r="C34" s="1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3501</v>
      </c>
      <c r="O34" s="9">
        <v>0</v>
      </c>
      <c r="P34" s="71">
        <v>0</v>
      </c>
      <c r="Q34" s="9">
        <v>0</v>
      </c>
      <c r="R34" s="83">
        <f t="shared" si="4"/>
        <v>3501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10">
        <v>0</v>
      </c>
      <c r="AB34" s="14">
        <f t="shared" si="5"/>
        <v>0</v>
      </c>
      <c r="AC34" s="71">
        <v>0</v>
      </c>
      <c r="AD34" s="83">
        <f t="shared" si="6"/>
        <v>0</v>
      </c>
      <c r="AE34" s="14">
        <f t="shared" si="7"/>
        <v>3501</v>
      </c>
    </row>
    <row r="35" spans="1:31">
      <c r="A35" s="1" t="s">
        <v>3</v>
      </c>
      <c r="B35" s="21" t="s">
        <v>71</v>
      </c>
      <c r="C35" s="19">
        <v>0</v>
      </c>
      <c r="D35" s="9">
        <v>0</v>
      </c>
      <c r="E35" s="9">
        <v>0</v>
      </c>
      <c r="F35" s="9">
        <v>0</v>
      </c>
      <c r="G35" s="9">
        <v>2100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71">
        <v>1325</v>
      </c>
      <c r="Q35" s="9">
        <v>0</v>
      </c>
      <c r="R35" s="83">
        <f t="shared" si="4"/>
        <v>3425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10">
        <v>0</v>
      </c>
      <c r="AB35" s="14">
        <f t="shared" si="5"/>
        <v>0</v>
      </c>
      <c r="AC35" s="71">
        <v>0</v>
      </c>
      <c r="AD35" s="83">
        <f t="shared" si="6"/>
        <v>0</v>
      </c>
      <c r="AE35" s="14">
        <f t="shared" si="7"/>
        <v>3425</v>
      </c>
    </row>
    <row r="36" spans="1:31">
      <c r="A36" s="1" t="s">
        <v>3</v>
      </c>
      <c r="B36" s="32" t="s">
        <v>73</v>
      </c>
      <c r="C36" s="46">
        <v>1946</v>
      </c>
      <c r="D36" s="47">
        <v>1156</v>
      </c>
      <c r="E36" s="47">
        <v>2345</v>
      </c>
      <c r="F36" s="47">
        <v>5940</v>
      </c>
      <c r="G36" s="47">
        <v>7500</v>
      </c>
      <c r="H36" s="47">
        <v>2224</v>
      </c>
      <c r="I36" s="47">
        <v>2637</v>
      </c>
      <c r="J36" s="47">
        <v>1390</v>
      </c>
      <c r="K36" s="47">
        <v>5700</v>
      </c>
      <c r="L36" s="47">
        <v>6446</v>
      </c>
      <c r="M36" s="47">
        <v>894</v>
      </c>
      <c r="N36" s="47">
        <v>18904</v>
      </c>
      <c r="O36" s="47">
        <v>6336</v>
      </c>
      <c r="P36" s="72">
        <v>6625</v>
      </c>
      <c r="Q36" s="47">
        <v>21294</v>
      </c>
      <c r="R36" s="84">
        <f t="shared" si="4"/>
        <v>91337</v>
      </c>
      <c r="S36" s="47">
        <v>554</v>
      </c>
      <c r="T36" s="47">
        <v>0</v>
      </c>
      <c r="U36" s="47">
        <v>0</v>
      </c>
      <c r="V36" s="47">
        <v>0</v>
      </c>
      <c r="W36" s="47">
        <v>0</v>
      </c>
      <c r="X36" s="47">
        <v>12200</v>
      </c>
      <c r="Y36" s="47">
        <v>2440</v>
      </c>
      <c r="Z36" s="47">
        <v>12200</v>
      </c>
      <c r="AA36" s="48">
        <v>9516</v>
      </c>
      <c r="AB36" s="49">
        <f t="shared" si="5"/>
        <v>36910</v>
      </c>
      <c r="AC36" s="72">
        <v>2920</v>
      </c>
      <c r="AD36" s="84">
        <f t="shared" si="6"/>
        <v>2920</v>
      </c>
      <c r="AE36" s="49">
        <f t="shared" si="7"/>
        <v>131167</v>
      </c>
    </row>
    <row r="37" spans="1:31">
      <c r="A37" s="1" t="s">
        <v>3</v>
      </c>
      <c r="B37" s="41" t="s">
        <v>86</v>
      </c>
      <c r="C37" s="50">
        <v>301993</v>
      </c>
      <c r="D37" s="51">
        <v>302990</v>
      </c>
      <c r="E37" s="51">
        <v>351674</v>
      </c>
      <c r="F37" s="51">
        <v>391663</v>
      </c>
      <c r="G37" s="51">
        <v>333657</v>
      </c>
      <c r="H37" s="51">
        <v>327429</v>
      </c>
      <c r="I37" s="51">
        <v>334727</v>
      </c>
      <c r="J37" s="51">
        <v>299360</v>
      </c>
      <c r="K37" s="51">
        <v>313668</v>
      </c>
      <c r="L37" s="51">
        <v>328141</v>
      </c>
      <c r="M37" s="51">
        <v>362356</v>
      </c>
      <c r="N37" s="51">
        <v>318631</v>
      </c>
      <c r="O37" s="51">
        <v>306146</v>
      </c>
      <c r="P37" s="73">
        <v>326551</v>
      </c>
      <c r="Q37" s="51">
        <v>345349</v>
      </c>
      <c r="R37" s="85">
        <f t="shared" si="4"/>
        <v>4944335</v>
      </c>
      <c r="S37" s="51">
        <v>370554</v>
      </c>
      <c r="T37" s="51">
        <v>409984</v>
      </c>
      <c r="U37" s="51">
        <v>262106</v>
      </c>
      <c r="V37" s="51">
        <v>87975</v>
      </c>
      <c r="W37" s="51">
        <v>109140</v>
      </c>
      <c r="X37" s="51">
        <v>80450</v>
      </c>
      <c r="Y37" s="51">
        <v>49728</v>
      </c>
      <c r="Z37" s="51">
        <v>80450</v>
      </c>
      <c r="AA37" s="52">
        <v>139435</v>
      </c>
      <c r="AB37" s="53">
        <f t="shared" si="5"/>
        <v>1589822</v>
      </c>
      <c r="AC37" s="73">
        <v>392920</v>
      </c>
      <c r="AD37" s="85">
        <f t="shared" si="6"/>
        <v>392920</v>
      </c>
      <c r="AE37" s="53">
        <f t="shared" si="7"/>
        <v>6927077</v>
      </c>
    </row>
    <row r="38" spans="1:31">
      <c r="A38" s="1" t="s">
        <v>3</v>
      </c>
      <c r="B38" s="41" t="s">
        <v>87</v>
      </c>
      <c r="C38" s="50">
        <v>14888</v>
      </c>
      <c r="D38" s="51">
        <v>3293</v>
      </c>
      <c r="E38" s="51">
        <v>6442</v>
      </c>
      <c r="F38" s="51">
        <v>3436</v>
      </c>
      <c r="G38" s="51">
        <v>2520</v>
      </c>
      <c r="H38" s="51">
        <v>2978</v>
      </c>
      <c r="I38" s="51">
        <v>1375</v>
      </c>
      <c r="J38" s="51">
        <v>3579</v>
      </c>
      <c r="K38" s="51">
        <v>5956</v>
      </c>
      <c r="L38" s="51">
        <v>8590</v>
      </c>
      <c r="M38" s="51">
        <v>7158</v>
      </c>
      <c r="N38" s="51">
        <v>11682</v>
      </c>
      <c r="O38" s="51">
        <v>8561</v>
      </c>
      <c r="P38" s="73">
        <v>8933</v>
      </c>
      <c r="Q38" s="51">
        <v>2864</v>
      </c>
      <c r="R38" s="85">
        <f t="shared" si="4"/>
        <v>92255</v>
      </c>
      <c r="S38" s="51">
        <v>3436</v>
      </c>
      <c r="T38" s="51">
        <v>6185</v>
      </c>
      <c r="U38" s="51">
        <v>7903</v>
      </c>
      <c r="V38" s="51">
        <v>3207</v>
      </c>
      <c r="W38" s="51">
        <v>2720</v>
      </c>
      <c r="X38" s="51">
        <v>4581</v>
      </c>
      <c r="Y38" s="51">
        <v>2234</v>
      </c>
      <c r="Z38" s="51">
        <v>4009</v>
      </c>
      <c r="AA38" s="52">
        <v>8561</v>
      </c>
      <c r="AB38" s="53">
        <f t="shared" si="5"/>
        <v>42836</v>
      </c>
      <c r="AC38" s="73">
        <v>7444</v>
      </c>
      <c r="AD38" s="85">
        <f t="shared" si="6"/>
        <v>7444</v>
      </c>
      <c r="AE38" s="53">
        <f t="shared" si="7"/>
        <v>142535</v>
      </c>
    </row>
    <row r="39" spans="1:31">
      <c r="A39" s="1" t="s">
        <v>3</v>
      </c>
      <c r="B39" s="41" t="s">
        <v>88</v>
      </c>
      <c r="C39" s="50">
        <v>14888</v>
      </c>
      <c r="D39" s="51">
        <v>3293</v>
      </c>
      <c r="E39" s="51">
        <v>6442</v>
      </c>
      <c r="F39" s="51">
        <v>3436</v>
      </c>
      <c r="G39" s="51">
        <v>2520</v>
      </c>
      <c r="H39" s="51">
        <v>2978</v>
      </c>
      <c r="I39" s="51">
        <v>1375</v>
      </c>
      <c r="J39" s="51">
        <v>3579</v>
      </c>
      <c r="K39" s="51">
        <v>5956</v>
      </c>
      <c r="L39" s="51">
        <v>8590</v>
      </c>
      <c r="M39" s="51">
        <v>7158</v>
      </c>
      <c r="N39" s="51">
        <v>11682</v>
      </c>
      <c r="O39" s="51">
        <v>8561</v>
      </c>
      <c r="P39" s="73">
        <v>8933</v>
      </c>
      <c r="Q39" s="51">
        <v>2864</v>
      </c>
      <c r="R39" s="85">
        <f t="shared" si="4"/>
        <v>92255</v>
      </c>
      <c r="S39" s="51">
        <v>3436</v>
      </c>
      <c r="T39" s="51">
        <v>6185</v>
      </c>
      <c r="U39" s="51">
        <v>7903</v>
      </c>
      <c r="V39" s="51">
        <v>3207</v>
      </c>
      <c r="W39" s="51">
        <v>2720</v>
      </c>
      <c r="X39" s="51">
        <v>4581</v>
      </c>
      <c r="Y39" s="51">
        <v>2234</v>
      </c>
      <c r="Z39" s="51">
        <v>4009</v>
      </c>
      <c r="AA39" s="52">
        <v>8561</v>
      </c>
      <c r="AB39" s="53">
        <f t="shared" si="5"/>
        <v>42836</v>
      </c>
      <c r="AC39" s="73">
        <v>7444</v>
      </c>
      <c r="AD39" s="85">
        <f t="shared" si="6"/>
        <v>7444</v>
      </c>
      <c r="AE39" s="53">
        <f t="shared" si="7"/>
        <v>142535</v>
      </c>
    </row>
    <row r="40" spans="1:31">
      <c r="A40" s="1" t="s">
        <v>3</v>
      </c>
      <c r="B40" s="41" t="s">
        <v>89</v>
      </c>
      <c r="C40" s="50">
        <v>316881</v>
      </c>
      <c r="D40" s="51">
        <v>306283</v>
      </c>
      <c r="E40" s="51">
        <v>358116</v>
      </c>
      <c r="F40" s="51">
        <v>395099</v>
      </c>
      <c r="G40" s="51">
        <v>336177</v>
      </c>
      <c r="H40" s="51">
        <v>330407</v>
      </c>
      <c r="I40" s="51">
        <v>336102</v>
      </c>
      <c r="J40" s="51">
        <v>302939</v>
      </c>
      <c r="K40" s="51">
        <v>319624</v>
      </c>
      <c r="L40" s="51">
        <v>336731</v>
      </c>
      <c r="M40" s="51">
        <v>369514</v>
      </c>
      <c r="N40" s="51">
        <v>330313</v>
      </c>
      <c r="O40" s="51">
        <v>314707</v>
      </c>
      <c r="P40" s="73">
        <v>335484</v>
      </c>
      <c r="Q40" s="51">
        <v>348213</v>
      </c>
      <c r="R40" s="85">
        <f t="shared" si="4"/>
        <v>5036590</v>
      </c>
      <c r="S40" s="51">
        <v>373990</v>
      </c>
      <c r="T40" s="51">
        <v>416169</v>
      </c>
      <c r="U40" s="51">
        <v>270009</v>
      </c>
      <c r="V40" s="51">
        <v>91182</v>
      </c>
      <c r="W40" s="51">
        <v>111860</v>
      </c>
      <c r="X40" s="51">
        <v>85031</v>
      </c>
      <c r="Y40" s="51">
        <v>51962</v>
      </c>
      <c r="Z40" s="51">
        <v>84459</v>
      </c>
      <c r="AA40" s="52">
        <v>147996</v>
      </c>
      <c r="AB40" s="53">
        <f t="shared" si="5"/>
        <v>1632658</v>
      </c>
      <c r="AC40" s="73">
        <v>400364</v>
      </c>
      <c r="AD40" s="85">
        <f t="shared" si="6"/>
        <v>400364</v>
      </c>
      <c r="AE40" s="53">
        <f t="shared" si="7"/>
        <v>7069612</v>
      </c>
    </row>
    <row r="41" spans="1:31">
      <c r="A41" s="1" t="s">
        <v>3</v>
      </c>
      <c r="B41" s="22" t="s">
        <v>90</v>
      </c>
      <c r="C41" s="37">
        <v>15300</v>
      </c>
      <c r="D41" s="38">
        <v>16320</v>
      </c>
      <c r="E41" s="38">
        <v>19380</v>
      </c>
      <c r="F41" s="38">
        <v>19380</v>
      </c>
      <c r="G41" s="38">
        <v>19380</v>
      </c>
      <c r="H41" s="38">
        <v>16320</v>
      </c>
      <c r="I41" s="38">
        <v>15300</v>
      </c>
      <c r="J41" s="38">
        <v>15300</v>
      </c>
      <c r="K41" s="38">
        <v>19380</v>
      </c>
      <c r="L41" s="38">
        <v>18360</v>
      </c>
      <c r="M41" s="38">
        <v>19380</v>
      </c>
      <c r="N41" s="38">
        <v>15300</v>
      </c>
      <c r="O41" s="38">
        <v>16320</v>
      </c>
      <c r="P41" s="70">
        <v>14280</v>
      </c>
      <c r="Q41" s="38">
        <v>16320</v>
      </c>
      <c r="R41" s="82">
        <f t="shared" si="4"/>
        <v>256020</v>
      </c>
      <c r="S41" s="38">
        <v>18360</v>
      </c>
      <c r="T41" s="38">
        <v>20910</v>
      </c>
      <c r="U41" s="38">
        <v>13260</v>
      </c>
      <c r="V41" s="38">
        <v>0</v>
      </c>
      <c r="W41" s="38">
        <v>0</v>
      </c>
      <c r="X41" s="38">
        <v>0</v>
      </c>
      <c r="Y41" s="38">
        <v>0</v>
      </c>
      <c r="Z41" s="38">
        <v>0</v>
      </c>
      <c r="AA41" s="39">
        <v>6834</v>
      </c>
      <c r="AB41" s="40">
        <f t="shared" si="5"/>
        <v>59364</v>
      </c>
      <c r="AC41" s="70">
        <v>19380</v>
      </c>
      <c r="AD41" s="82">
        <f t="shared" si="6"/>
        <v>19380</v>
      </c>
      <c r="AE41" s="40">
        <f t="shared" si="7"/>
        <v>334764</v>
      </c>
    </row>
    <row r="42" spans="1:31">
      <c r="A42" s="1" t="s">
        <v>3</v>
      </c>
      <c r="B42" s="21" t="s">
        <v>91</v>
      </c>
      <c r="C42" s="19">
        <v>2700</v>
      </c>
      <c r="D42" s="9">
        <v>2880</v>
      </c>
      <c r="E42" s="9">
        <v>3420</v>
      </c>
      <c r="F42" s="9">
        <v>3420</v>
      </c>
      <c r="G42" s="9">
        <v>3420</v>
      </c>
      <c r="H42" s="9">
        <v>2880</v>
      </c>
      <c r="I42" s="9">
        <v>2700</v>
      </c>
      <c r="J42" s="9">
        <v>2700</v>
      </c>
      <c r="K42" s="9">
        <v>3420</v>
      </c>
      <c r="L42" s="9">
        <v>3240</v>
      </c>
      <c r="M42" s="9">
        <v>3420</v>
      </c>
      <c r="N42" s="9">
        <v>2700</v>
      </c>
      <c r="O42" s="9">
        <v>2880</v>
      </c>
      <c r="P42" s="71">
        <v>2520</v>
      </c>
      <c r="Q42" s="9">
        <v>2880</v>
      </c>
      <c r="R42" s="83">
        <f t="shared" si="4"/>
        <v>45180</v>
      </c>
      <c r="S42" s="9">
        <v>3240</v>
      </c>
      <c r="T42" s="9">
        <v>3690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10">
        <v>0</v>
      </c>
      <c r="AB42" s="14">
        <f t="shared" si="5"/>
        <v>6930</v>
      </c>
      <c r="AC42" s="71">
        <v>3420</v>
      </c>
      <c r="AD42" s="83">
        <f t="shared" si="6"/>
        <v>3420</v>
      </c>
      <c r="AE42" s="14">
        <f t="shared" si="7"/>
        <v>55530</v>
      </c>
    </row>
    <row r="43" spans="1:31">
      <c r="A43" s="1" t="s">
        <v>3</v>
      </c>
      <c r="B43" s="21" t="s">
        <v>92</v>
      </c>
      <c r="C43" s="19">
        <v>27450</v>
      </c>
      <c r="D43" s="9">
        <v>29280</v>
      </c>
      <c r="E43" s="9">
        <v>34770</v>
      </c>
      <c r="F43" s="9">
        <v>34770</v>
      </c>
      <c r="G43" s="9">
        <v>34770</v>
      </c>
      <c r="H43" s="9">
        <v>29280</v>
      </c>
      <c r="I43" s="9">
        <v>27450</v>
      </c>
      <c r="J43" s="9">
        <v>27450</v>
      </c>
      <c r="K43" s="9">
        <v>34770</v>
      </c>
      <c r="L43" s="9">
        <v>32940</v>
      </c>
      <c r="M43" s="9">
        <v>34770</v>
      </c>
      <c r="N43" s="9">
        <v>27450</v>
      </c>
      <c r="O43" s="9">
        <v>29280</v>
      </c>
      <c r="P43" s="71">
        <v>25620</v>
      </c>
      <c r="Q43" s="9">
        <v>29280</v>
      </c>
      <c r="R43" s="83">
        <f t="shared" si="4"/>
        <v>459330</v>
      </c>
      <c r="S43" s="9">
        <v>32940</v>
      </c>
      <c r="T43" s="9">
        <v>37515</v>
      </c>
      <c r="U43" s="9">
        <v>23790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10">
        <v>12261</v>
      </c>
      <c r="AB43" s="14">
        <f t="shared" si="5"/>
        <v>106506</v>
      </c>
      <c r="AC43" s="71">
        <v>34770</v>
      </c>
      <c r="AD43" s="83">
        <f t="shared" si="6"/>
        <v>34770</v>
      </c>
      <c r="AE43" s="14">
        <f t="shared" si="7"/>
        <v>600606</v>
      </c>
    </row>
    <row r="44" spans="1:31">
      <c r="A44" s="1" t="s">
        <v>3</v>
      </c>
      <c r="B44" s="32" t="s">
        <v>93</v>
      </c>
      <c r="C44" s="46">
        <v>1901</v>
      </c>
      <c r="D44" s="47">
        <v>1838</v>
      </c>
      <c r="E44" s="47">
        <v>2149</v>
      </c>
      <c r="F44" s="47">
        <v>2371</v>
      </c>
      <c r="G44" s="47">
        <v>2017</v>
      </c>
      <c r="H44" s="47">
        <v>1982</v>
      </c>
      <c r="I44" s="47">
        <v>2017</v>
      </c>
      <c r="J44" s="47">
        <v>1818</v>
      </c>
      <c r="K44" s="47">
        <v>1918</v>
      </c>
      <c r="L44" s="47">
        <v>2020</v>
      </c>
      <c r="M44" s="47">
        <v>2217</v>
      </c>
      <c r="N44" s="47">
        <v>1982</v>
      </c>
      <c r="O44" s="47">
        <v>1888</v>
      </c>
      <c r="P44" s="72">
        <v>2013</v>
      </c>
      <c r="Q44" s="47">
        <v>2089</v>
      </c>
      <c r="R44" s="84">
        <f t="shared" si="4"/>
        <v>30220</v>
      </c>
      <c r="S44" s="47">
        <v>2244</v>
      </c>
      <c r="T44" s="47">
        <v>2497</v>
      </c>
      <c r="U44" s="47">
        <v>1620</v>
      </c>
      <c r="V44" s="47">
        <v>547</v>
      </c>
      <c r="W44" s="47">
        <v>671</v>
      </c>
      <c r="X44" s="47">
        <v>0</v>
      </c>
      <c r="Y44" s="47">
        <v>0</v>
      </c>
      <c r="Z44" s="47">
        <v>507</v>
      </c>
      <c r="AA44" s="48">
        <v>888</v>
      </c>
      <c r="AB44" s="49">
        <f t="shared" si="5"/>
        <v>8974</v>
      </c>
      <c r="AC44" s="72">
        <v>2402</v>
      </c>
      <c r="AD44" s="84">
        <f t="shared" si="6"/>
        <v>2402</v>
      </c>
      <c r="AE44" s="49">
        <f t="shared" si="7"/>
        <v>41596</v>
      </c>
    </row>
    <row r="45" spans="1:31">
      <c r="A45" s="1" t="s">
        <v>3</v>
      </c>
      <c r="B45" s="41" t="s">
        <v>94</v>
      </c>
      <c r="C45" s="50">
        <v>47351</v>
      </c>
      <c r="D45" s="51">
        <v>50318</v>
      </c>
      <c r="E45" s="51">
        <v>59719</v>
      </c>
      <c r="F45" s="51">
        <v>59941</v>
      </c>
      <c r="G45" s="51">
        <v>59587</v>
      </c>
      <c r="H45" s="51">
        <v>50462</v>
      </c>
      <c r="I45" s="51">
        <v>47467</v>
      </c>
      <c r="J45" s="51">
        <v>47268</v>
      </c>
      <c r="K45" s="51">
        <v>59488</v>
      </c>
      <c r="L45" s="51">
        <v>56560</v>
      </c>
      <c r="M45" s="51">
        <v>59787</v>
      </c>
      <c r="N45" s="51">
        <v>47432</v>
      </c>
      <c r="O45" s="51">
        <v>50368</v>
      </c>
      <c r="P45" s="73">
        <v>44433</v>
      </c>
      <c r="Q45" s="51">
        <v>50569</v>
      </c>
      <c r="R45" s="85">
        <f t="shared" si="4"/>
        <v>790750</v>
      </c>
      <c r="S45" s="51">
        <v>56784</v>
      </c>
      <c r="T45" s="51">
        <v>64612</v>
      </c>
      <c r="U45" s="51">
        <v>38670</v>
      </c>
      <c r="V45" s="51">
        <v>547</v>
      </c>
      <c r="W45" s="51">
        <v>671</v>
      </c>
      <c r="X45" s="51">
        <v>0</v>
      </c>
      <c r="Y45" s="51">
        <v>0</v>
      </c>
      <c r="Z45" s="51">
        <v>507</v>
      </c>
      <c r="AA45" s="52">
        <v>19983</v>
      </c>
      <c r="AB45" s="53">
        <f t="shared" si="5"/>
        <v>181774</v>
      </c>
      <c r="AC45" s="73">
        <v>59972</v>
      </c>
      <c r="AD45" s="85">
        <f t="shared" si="6"/>
        <v>59972</v>
      </c>
      <c r="AE45" s="53">
        <f t="shared" si="7"/>
        <v>1032496</v>
      </c>
    </row>
    <row r="46" spans="1:31">
      <c r="A46" s="1" t="s">
        <v>3</v>
      </c>
      <c r="B46" s="22" t="s">
        <v>95</v>
      </c>
      <c r="C46" s="37">
        <v>5100</v>
      </c>
      <c r="D46" s="38">
        <v>6650</v>
      </c>
      <c r="E46" s="38">
        <v>6430</v>
      </c>
      <c r="F46" s="38">
        <v>10970</v>
      </c>
      <c r="G46" s="38">
        <v>7410</v>
      </c>
      <c r="H46" s="38">
        <v>7520</v>
      </c>
      <c r="I46" s="38">
        <v>6270</v>
      </c>
      <c r="J46" s="38">
        <v>6630</v>
      </c>
      <c r="K46" s="38">
        <v>6700</v>
      </c>
      <c r="L46" s="38">
        <v>7320</v>
      </c>
      <c r="M46" s="38">
        <v>1980</v>
      </c>
      <c r="N46" s="38">
        <v>7310</v>
      </c>
      <c r="O46" s="38">
        <v>6760</v>
      </c>
      <c r="P46" s="70">
        <v>7700</v>
      </c>
      <c r="Q46" s="38">
        <v>8150</v>
      </c>
      <c r="R46" s="82">
        <f t="shared" si="4"/>
        <v>102900</v>
      </c>
      <c r="S46" s="38">
        <v>7280</v>
      </c>
      <c r="T46" s="38">
        <v>8850</v>
      </c>
      <c r="U46" s="38">
        <v>5600</v>
      </c>
      <c r="V46" s="38">
        <v>80</v>
      </c>
      <c r="W46" s="38">
        <v>1160</v>
      </c>
      <c r="X46" s="38">
        <v>0</v>
      </c>
      <c r="Y46" s="38">
        <v>0</v>
      </c>
      <c r="Z46" s="38">
        <v>0</v>
      </c>
      <c r="AA46" s="39">
        <v>100</v>
      </c>
      <c r="AB46" s="40">
        <f t="shared" si="5"/>
        <v>23070</v>
      </c>
      <c r="AC46" s="70">
        <v>11070</v>
      </c>
      <c r="AD46" s="82">
        <f t="shared" si="6"/>
        <v>11070</v>
      </c>
      <c r="AE46" s="40">
        <f t="shared" si="7"/>
        <v>137040</v>
      </c>
    </row>
    <row r="47" spans="1:31">
      <c r="A47" s="1" t="s">
        <v>3</v>
      </c>
      <c r="B47" s="21" t="s">
        <v>96</v>
      </c>
      <c r="C47" s="19">
        <v>1300</v>
      </c>
      <c r="D47" s="9">
        <v>1300</v>
      </c>
      <c r="E47" s="9">
        <v>1300</v>
      </c>
      <c r="F47" s="9">
        <v>0</v>
      </c>
      <c r="G47" s="9">
        <v>1300</v>
      </c>
      <c r="H47" s="9">
        <v>1300</v>
      </c>
      <c r="I47" s="9">
        <v>1300</v>
      </c>
      <c r="J47" s="9">
        <v>1300</v>
      </c>
      <c r="K47" s="9">
        <v>1300</v>
      </c>
      <c r="L47" s="9">
        <v>1300</v>
      </c>
      <c r="M47" s="9">
        <v>1300</v>
      </c>
      <c r="N47" s="9">
        <v>1300</v>
      </c>
      <c r="O47" s="9">
        <v>1300</v>
      </c>
      <c r="P47" s="71">
        <v>1300</v>
      </c>
      <c r="Q47" s="9">
        <v>0</v>
      </c>
      <c r="R47" s="83">
        <f t="shared" si="4"/>
        <v>16900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10">
        <v>0</v>
      </c>
      <c r="AB47" s="14">
        <f t="shared" si="5"/>
        <v>0</v>
      </c>
      <c r="AC47" s="71">
        <v>0</v>
      </c>
      <c r="AD47" s="83">
        <f t="shared" si="6"/>
        <v>0</v>
      </c>
      <c r="AE47" s="14">
        <f t="shared" si="7"/>
        <v>16900</v>
      </c>
    </row>
    <row r="48" spans="1:31">
      <c r="A48" s="1" t="s">
        <v>3</v>
      </c>
      <c r="B48" s="21" t="s">
        <v>97</v>
      </c>
      <c r="C48" s="19">
        <v>6700</v>
      </c>
      <c r="D48" s="9">
        <v>15100</v>
      </c>
      <c r="E48" s="9">
        <v>18200</v>
      </c>
      <c r="F48" s="9">
        <v>20200</v>
      </c>
      <c r="G48" s="9">
        <v>19000</v>
      </c>
      <c r="H48" s="9">
        <v>13900</v>
      </c>
      <c r="I48" s="9">
        <v>9200</v>
      </c>
      <c r="J48" s="9">
        <v>13900</v>
      </c>
      <c r="K48" s="9">
        <v>16500</v>
      </c>
      <c r="L48" s="9">
        <v>14300</v>
      </c>
      <c r="M48" s="9">
        <v>1900</v>
      </c>
      <c r="N48" s="9">
        <v>0</v>
      </c>
      <c r="O48" s="9">
        <v>12900</v>
      </c>
      <c r="P48" s="71">
        <v>10500</v>
      </c>
      <c r="Q48" s="9">
        <v>5300</v>
      </c>
      <c r="R48" s="83">
        <f t="shared" si="4"/>
        <v>177600</v>
      </c>
      <c r="S48" s="9">
        <v>18600</v>
      </c>
      <c r="T48" s="9">
        <v>17000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2700</v>
      </c>
      <c r="AA48" s="10">
        <v>10700</v>
      </c>
      <c r="AB48" s="14">
        <f t="shared" si="5"/>
        <v>49000</v>
      </c>
      <c r="AC48" s="71">
        <v>21700</v>
      </c>
      <c r="AD48" s="83">
        <f t="shared" si="6"/>
        <v>21700</v>
      </c>
      <c r="AE48" s="14">
        <f t="shared" si="7"/>
        <v>248300</v>
      </c>
    </row>
    <row r="49" spans="1:31">
      <c r="A49" s="1" t="s">
        <v>3</v>
      </c>
      <c r="B49" s="32" t="s">
        <v>98</v>
      </c>
      <c r="C49" s="46">
        <v>28600</v>
      </c>
      <c r="D49" s="47">
        <v>15300</v>
      </c>
      <c r="E49" s="47">
        <v>26800</v>
      </c>
      <c r="F49" s="47">
        <v>28200</v>
      </c>
      <c r="G49" s="47">
        <v>7000</v>
      </c>
      <c r="H49" s="47">
        <v>29200</v>
      </c>
      <c r="I49" s="47">
        <v>28200</v>
      </c>
      <c r="J49" s="47">
        <v>28800</v>
      </c>
      <c r="K49" s="47">
        <v>0</v>
      </c>
      <c r="L49" s="47">
        <v>27000</v>
      </c>
      <c r="M49" s="47">
        <v>0</v>
      </c>
      <c r="N49" s="47">
        <v>29000</v>
      </c>
      <c r="O49" s="47">
        <v>14800</v>
      </c>
      <c r="P49" s="72">
        <v>29400</v>
      </c>
      <c r="Q49" s="47">
        <v>29200</v>
      </c>
      <c r="R49" s="84">
        <f t="shared" si="4"/>
        <v>321500</v>
      </c>
      <c r="S49" s="47">
        <v>0</v>
      </c>
      <c r="T49" s="47">
        <v>27200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8">
        <v>0</v>
      </c>
      <c r="AB49" s="49">
        <f t="shared" si="5"/>
        <v>27200</v>
      </c>
      <c r="AC49" s="72">
        <v>0</v>
      </c>
      <c r="AD49" s="84">
        <f t="shared" si="6"/>
        <v>0</v>
      </c>
      <c r="AE49" s="49">
        <f t="shared" si="7"/>
        <v>348700</v>
      </c>
    </row>
    <row r="50" spans="1:31">
      <c r="A50" s="1" t="s">
        <v>3</v>
      </c>
      <c r="B50" s="41" t="s">
        <v>99</v>
      </c>
      <c r="C50" s="50">
        <v>89051</v>
      </c>
      <c r="D50" s="51">
        <v>88668</v>
      </c>
      <c r="E50" s="51">
        <v>112449</v>
      </c>
      <c r="F50" s="51">
        <v>119311</v>
      </c>
      <c r="G50" s="51">
        <v>94297</v>
      </c>
      <c r="H50" s="51">
        <v>102382</v>
      </c>
      <c r="I50" s="51">
        <v>92437</v>
      </c>
      <c r="J50" s="51">
        <v>97898</v>
      </c>
      <c r="K50" s="51">
        <v>83988</v>
      </c>
      <c r="L50" s="51">
        <v>106480</v>
      </c>
      <c r="M50" s="51">
        <v>64967</v>
      </c>
      <c r="N50" s="51">
        <v>85042</v>
      </c>
      <c r="O50" s="51">
        <v>86128</v>
      </c>
      <c r="P50" s="73">
        <v>93333</v>
      </c>
      <c r="Q50" s="51">
        <v>93219</v>
      </c>
      <c r="R50" s="85">
        <f t="shared" si="4"/>
        <v>1409650</v>
      </c>
      <c r="S50" s="51">
        <v>82664</v>
      </c>
      <c r="T50" s="51">
        <v>117662</v>
      </c>
      <c r="U50" s="51">
        <v>44270</v>
      </c>
      <c r="V50" s="51">
        <v>627</v>
      </c>
      <c r="W50" s="51">
        <v>1831</v>
      </c>
      <c r="X50" s="51">
        <v>0</v>
      </c>
      <c r="Y50" s="51">
        <v>0</v>
      </c>
      <c r="Z50" s="51">
        <v>3207</v>
      </c>
      <c r="AA50" s="52">
        <v>30783</v>
      </c>
      <c r="AB50" s="53">
        <f t="shared" si="5"/>
        <v>281044</v>
      </c>
      <c r="AC50" s="73">
        <v>92742</v>
      </c>
      <c r="AD50" s="85">
        <f t="shared" si="6"/>
        <v>92742</v>
      </c>
      <c r="AE50" s="53">
        <f t="shared" si="7"/>
        <v>1783436</v>
      </c>
    </row>
    <row r="51" spans="1:31">
      <c r="A51" s="1" t="s">
        <v>3</v>
      </c>
      <c r="B51" s="41" t="s">
        <v>100</v>
      </c>
      <c r="C51" s="50">
        <v>254642</v>
      </c>
      <c r="D51" s="51">
        <v>252672</v>
      </c>
      <c r="E51" s="51">
        <v>291955</v>
      </c>
      <c r="F51" s="51">
        <v>331722</v>
      </c>
      <c r="G51" s="51">
        <v>274070</v>
      </c>
      <c r="H51" s="51">
        <v>276967</v>
      </c>
      <c r="I51" s="51">
        <v>287260</v>
      </c>
      <c r="J51" s="51">
        <v>252092</v>
      </c>
      <c r="K51" s="51">
        <v>254180</v>
      </c>
      <c r="L51" s="51">
        <v>271581</v>
      </c>
      <c r="M51" s="51">
        <v>302569</v>
      </c>
      <c r="N51" s="51">
        <v>271199</v>
      </c>
      <c r="O51" s="51">
        <v>255778</v>
      </c>
      <c r="P51" s="73">
        <v>282118</v>
      </c>
      <c r="Q51" s="51">
        <v>294780</v>
      </c>
      <c r="R51" s="85">
        <f t="shared" si="4"/>
        <v>4153585</v>
      </c>
      <c r="S51" s="51">
        <v>313770</v>
      </c>
      <c r="T51" s="51">
        <v>345372</v>
      </c>
      <c r="U51" s="51">
        <v>223436</v>
      </c>
      <c r="V51" s="51">
        <v>87428</v>
      </c>
      <c r="W51" s="51">
        <v>108469</v>
      </c>
      <c r="X51" s="51">
        <v>80450</v>
      </c>
      <c r="Y51" s="51">
        <v>49728</v>
      </c>
      <c r="Z51" s="51">
        <v>79943</v>
      </c>
      <c r="AA51" s="52">
        <v>119452</v>
      </c>
      <c r="AB51" s="53">
        <f t="shared" si="5"/>
        <v>1408048</v>
      </c>
      <c r="AC51" s="73">
        <v>332948</v>
      </c>
      <c r="AD51" s="85">
        <f t="shared" si="6"/>
        <v>332948</v>
      </c>
      <c r="AE51" s="53">
        <f t="shared" si="7"/>
        <v>5894581</v>
      </c>
    </row>
    <row r="52" spans="1:31">
      <c r="A52" s="1" t="s">
        <v>3</v>
      </c>
      <c r="B52" s="41" t="s">
        <v>101</v>
      </c>
      <c r="C52" s="50">
        <v>227830</v>
      </c>
      <c r="D52" s="51">
        <v>217615</v>
      </c>
      <c r="E52" s="51">
        <v>245667</v>
      </c>
      <c r="F52" s="51">
        <v>275788</v>
      </c>
      <c r="G52" s="51">
        <v>241880</v>
      </c>
      <c r="H52" s="51">
        <v>228025</v>
      </c>
      <c r="I52" s="51">
        <v>243665</v>
      </c>
      <c r="J52" s="51">
        <v>205041</v>
      </c>
      <c r="K52" s="51">
        <v>235636</v>
      </c>
      <c r="L52" s="51">
        <v>230251</v>
      </c>
      <c r="M52" s="51">
        <v>304547</v>
      </c>
      <c r="N52" s="51">
        <v>245271</v>
      </c>
      <c r="O52" s="51">
        <v>228579</v>
      </c>
      <c r="P52" s="73">
        <v>242151</v>
      </c>
      <c r="Q52" s="51">
        <v>254994</v>
      </c>
      <c r="R52" s="85">
        <f t="shared" si="4"/>
        <v>3626940</v>
      </c>
      <c r="S52" s="51">
        <v>291326</v>
      </c>
      <c r="T52" s="51">
        <v>298507</v>
      </c>
      <c r="U52" s="51">
        <v>225739</v>
      </c>
      <c r="V52" s="51">
        <v>90555</v>
      </c>
      <c r="W52" s="51">
        <v>110029</v>
      </c>
      <c r="X52" s="51">
        <v>85031</v>
      </c>
      <c r="Y52" s="51">
        <v>51962</v>
      </c>
      <c r="Z52" s="51">
        <v>81252</v>
      </c>
      <c r="AA52" s="52">
        <v>117213</v>
      </c>
      <c r="AB52" s="53">
        <f t="shared" si="5"/>
        <v>1351614</v>
      </c>
      <c r="AC52" s="73">
        <v>307622</v>
      </c>
      <c r="AD52" s="85">
        <f t="shared" si="6"/>
        <v>307622</v>
      </c>
      <c r="AE52" s="53">
        <f t="shared" si="7"/>
        <v>5286176</v>
      </c>
    </row>
    <row r="53" spans="1:31">
      <c r="A53" s="1" t="s">
        <v>3</v>
      </c>
      <c r="B53" s="41" t="s">
        <v>102</v>
      </c>
      <c r="C53" s="50">
        <v>227830</v>
      </c>
      <c r="D53" s="51">
        <v>217615</v>
      </c>
      <c r="E53" s="51">
        <v>245667</v>
      </c>
      <c r="F53" s="51">
        <v>275788</v>
      </c>
      <c r="G53" s="51">
        <v>241880</v>
      </c>
      <c r="H53" s="51">
        <v>228025</v>
      </c>
      <c r="I53" s="51">
        <v>243665</v>
      </c>
      <c r="J53" s="51">
        <v>205041</v>
      </c>
      <c r="K53" s="51">
        <v>235636</v>
      </c>
      <c r="L53" s="51">
        <v>230251</v>
      </c>
      <c r="M53" s="51">
        <v>304547</v>
      </c>
      <c r="N53" s="51">
        <v>245271</v>
      </c>
      <c r="O53" s="51">
        <v>228579</v>
      </c>
      <c r="P53" s="73">
        <v>242151</v>
      </c>
      <c r="Q53" s="51">
        <v>254994</v>
      </c>
      <c r="R53" s="85">
        <f t="shared" si="4"/>
        <v>3626940</v>
      </c>
      <c r="S53" s="51">
        <v>291326</v>
      </c>
      <c r="T53" s="51">
        <v>298507</v>
      </c>
      <c r="U53" s="51">
        <v>225739</v>
      </c>
      <c r="V53" s="51">
        <v>90555</v>
      </c>
      <c r="W53" s="51">
        <v>110029</v>
      </c>
      <c r="X53" s="51">
        <v>85031</v>
      </c>
      <c r="Y53" s="51">
        <v>51962</v>
      </c>
      <c r="Z53" s="51">
        <v>81252</v>
      </c>
      <c r="AA53" s="52">
        <v>117213</v>
      </c>
      <c r="AB53" s="53">
        <f t="shared" si="5"/>
        <v>1351614</v>
      </c>
      <c r="AC53" s="73">
        <v>307622</v>
      </c>
      <c r="AD53" s="85">
        <f t="shared" si="6"/>
        <v>307622</v>
      </c>
      <c r="AE53" s="53">
        <f t="shared" si="7"/>
        <v>5286176</v>
      </c>
    </row>
    <row r="54" spans="1:31">
      <c r="A54" s="1" t="s">
        <v>3</v>
      </c>
      <c r="B54" s="41" t="s">
        <v>103</v>
      </c>
      <c r="C54" s="50">
        <v>1</v>
      </c>
      <c r="D54" s="51">
        <v>0</v>
      </c>
      <c r="E54" s="51">
        <v>1</v>
      </c>
      <c r="F54" s="51">
        <v>0</v>
      </c>
      <c r="G54" s="51">
        <v>0</v>
      </c>
      <c r="H54" s="51">
        <v>0</v>
      </c>
      <c r="I54" s="51">
        <v>1</v>
      </c>
      <c r="J54" s="51">
        <v>0</v>
      </c>
      <c r="K54" s="51">
        <v>0</v>
      </c>
      <c r="L54" s="51">
        <v>0</v>
      </c>
      <c r="M54" s="51">
        <v>4</v>
      </c>
      <c r="N54" s="51">
        <v>0</v>
      </c>
      <c r="O54" s="51">
        <v>0</v>
      </c>
      <c r="P54" s="73">
        <v>0</v>
      </c>
      <c r="Q54" s="51">
        <v>0</v>
      </c>
      <c r="R54" s="85"/>
      <c r="S54" s="51">
        <v>1</v>
      </c>
      <c r="T54" s="51">
        <v>1</v>
      </c>
      <c r="U54" s="51">
        <v>0</v>
      </c>
      <c r="V54" s="51">
        <v>0</v>
      </c>
      <c r="W54" s="51">
        <v>0</v>
      </c>
      <c r="X54" s="51">
        <v>1</v>
      </c>
      <c r="Y54" s="51">
        <v>1</v>
      </c>
      <c r="Z54" s="51">
        <v>1</v>
      </c>
      <c r="AA54" s="52">
        <v>1</v>
      </c>
      <c r="AB54" s="53"/>
      <c r="AC54" s="73">
        <v>0</v>
      </c>
      <c r="AD54" s="85"/>
      <c r="AE54" s="53"/>
    </row>
    <row r="55" spans="1:31">
      <c r="A55" s="1" t="s">
        <v>3</v>
      </c>
      <c r="B55" s="41" t="s">
        <v>104</v>
      </c>
      <c r="C55" s="54" t="s">
        <v>105</v>
      </c>
      <c r="D55" s="55" t="s">
        <v>105</v>
      </c>
      <c r="E55" s="55" t="s">
        <v>105</v>
      </c>
      <c r="F55" s="55" t="s">
        <v>105</v>
      </c>
      <c r="G55" s="55" t="s">
        <v>105</v>
      </c>
      <c r="H55" s="55" t="s">
        <v>105</v>
      </c>
      <c r="I55" s="55" t="s">
        <v>105</v>
      </c>
      <c r="J55" s="55" t="s">
        <v>105</v>
      </c>
      <c r="K55" s="55" t="s">
        <v>105</v>
      </c>
      <c r="L55" s="55" t="s">
        <v>105</v>
      </c>
      <c r="M55" s="55" t="s">
        <v>105</v>
      </c>
      <c r="N55" s="55" t="s">
        <v>105</v>
      </c>
      <c r="O55" s="55" t="s">
        <v>105</v>
      </c>
      <c r="P55" s="74" t="s">
        <v>105</v>
      </c>
      <c r="Q55" s="55" t="s">
        <v>105</v>
      </c>
      <c r="R55" s="86"/>
      <c r="S55" s="55" t="s">
        <v>105</v>
      </c>
      <c r="T55" s="55" t="s">
        <v>105</v>
      </c>
      <c r="U55" s="55" t="s">
        <v>105</v>
      </c>
      <c r="V55" s="55" t="s">
        <v>105</v>
      </c>
      <c r="W55" s="55" t="s">
        <v>105</v>
      </c>
      <c r="X55" s="55" t="s">
        <v>105</v>
      </c>
      <c r="Y55" s="55" t="s">
        <v>105</v>
      </c>
      <c r="Z55" s="55" t="s">
        <v>105</v>
      </c>
      <c r="AA55" s="56" t="s">
        <v>105</v>
      </c>
      <c r="AB55" s="57"/>
      <c r="AC55" s="74" t="s">
        <v>105</v>
      </c>
      <c r="AD55" s="86"/>
      <c r="AE55" s="57"/>
    </row>
    <row r="56" spans="1:31" ht="19.5" thickBot="1">
      <c r="A56" s="1" t="s">
        <v>3</v>
      </c>
      <c r="B56" s="58" t="s">
        <v>106</v>
      </c>
      <c r="C56" s="59">
        <v>5100</v>
      </c>
      <c r="D56" s="60">
        <v>6650</v>
      </c>
      <c r="E56" s="60">
        <v>6430</v>
      </c>
      <c r="F56" s="60">
        <v>10970</v>
      </c>
      <c r="G56" s="60">
        <v>7410</v>
      </c>
      <c r="H56" s="60">
        <v>7520</v>
      </c>
      <c r="I56" s="60">
        <v>6270</v>
      </c>
      <c r="J56" s="60">
        <v>6630</v>
      </c>
      <c r="K56" s="60">
        <v>6700</v>
      </c>
      <c r="L56" s="60">
        <v>7320</v>
      </c>
      <c r="M56" s="60">
        <v>1980</v>
      </c>
      <c r="N56" s="60">
        <v>7310</v>
      </c>
      <c r="O56" s="60">
        <v>6760</v>
      </c>
      <c r="P56" s="75">
        <v>7700</v>
      </c>
      <c r="Q56" s="60">
        <v>8150</v>
      </c>
      <c r="R56" s="87">
        <f>SUM(C56:Q56)</f>
        <v>102900</v>
      </c>
      <c r="S56" s="60">
        <v>7280</v>
      </c>
      <c r="T56" s="60">
        <v>8850</v>
      </c>
      <c r="U56" s="60">
        <v>5600</v>
      </c>
      <c r="V56" s="60">
        <v>80</v>
      </c>
      <c r="W56" s="60">
        <v>1160</v>
      </c>
      <c r="X56" s="60">
        <v>0</v>
      </c>
      <c r="Y56" s="60">
        <v>0</v>
      </c>
      <c r="Z56" s="60">
        <v>0</v>
      </c>
      <c r="AA56" s="61">
        <v>100</v>
      </c>
      <c r="AB56" s="62">
        <f>SUM(S56:AA56)</f>
        <v>23070</v>
      </c>
      <c r="AC56" s="75">
        <v>11070</v>
      </c>
      <c r="AD56" s="87">
        <f>AC56</f>
        <v>11070</v>
      </c>
      <c r="AE56" s="62">
        <f>R56+AB56+AD56</f>
        <v>137040</v>
      </c>
    </row>
    <row r="58" spans="1:31">
      <c r="B58" s="2" t="s">
        <v>107</v>
      </c>
      <c r="C58" s="109">
        <f>C40*5.5/1000</f>
        <v>1742.8454999999999</v>
      </c>
      <c r="D58" s="109">
        <f t="shared" ref="D58:Q58" si="8">D40*5.5/1000</f>
        <v>1684.5564999999999</v>
      </c>
      <c r="E58" s="109">
        <f t="shared" si="8"/>
        <v>1969.6379999999999</v>
      </c>
      <c r="F58" s="109">
        <f t="shared" si="8"/>
        <v>2173.0445</v>
      </c>
      <c r="G58" s="109">
        <f t="shared" si="8"/>
        <v>1848.9735000000001</v>
      </c>
      <c r="H58" s="109">
        <f t="shared" si="8"/>
        <v>1817.2384999999999</v>
      </c>
      <c r="I58" s="109">
        <f t="shared" si="8"/>
        <v>1848.5609999999999</v>
      </c>
      <c r="J58" s="109">
        <f t="shared" si="8"/>
        <v>1666.1645000000001</v>
      </c>
      <c r="K58" s="109">
        <f t="shared" si="8"/>
        <v>1757.932</v>
      </c>
      <c r="L58" s="109">
        <f t="shared" si="8"/>
        <v>1852.0205000000001</v>
      </c>
      <c r="M58" s="109">
        <f t="shared" si="8"/>
        <v>2032.327</v>
      </c>
      <c r="N58" s="109">
        <f t="shared" si="8"/>
        <v>1816.7215000000001</v>
      </c>
      <c r="O58" s="109">
        <f t="shared" si="8"/>
        <v>1730.8885</v>
      </c>
      <c r="P58" s="109">
        <f t="shared" si="8"/>
        <v>1845.162</v>
      </c>
      <c r="Q58" s="109">
        <f t="shared" si="8"/>
        <v>1915.1714999999999</v>
      </c>
      <c r="R58" s="110">
        <f>SUM(C58:Q58)</f>
        <v>27701.245000000003</v>
      </c>
      <c r="S58" s="109">
        <f t="shared" ref="S58:W58" si="9">S40*5.5/1000</f>
        <v>2056.9450000000002</v>
      </c>
      <c r="T58" s="109">
        <f t="shared" si="9"/>
        <v>2288.9295000000002</v>
      </c>
      <c r="U58" s="109">
        <f t="shared" si="9"/>
        <v>1485.0495000000001</v>
      </c>
      <c r="V58" s="109">
        <f t="shared" si="9"/>
        <v>501.50099999999998</v>
      </c>
      <c r="W58" s="109">
        <f t="shared" si="9"/>
        <v>615.23</v>
      </c>
      <c r="X58" s="109"/>
      <c r="Y58" s="109"/>
      <c r="Z58" s="109">
        <f t="shared" ref="Z58" si="10">Z40*5.5/1000</f>
        <v>464.52449999999999</v>
      </c>
      <c r="AA58" s="109">
        <f>AA40*5.5/1000</f>
        <v>813.97799999999995</v>
      </c>
      <c r="AB58" s="109">
        <f>SUM(S58:AA58)</f>
        <v>8226.1574999999993</v>
      </c>
      <c r="AC58" s="110">
        <f t="shared" ref="AC58" si="11">AC40*5.5/1000</f>
        <v>2202.002</v>
      </c>
      <c r="AE58" s="110">
        <f>R58+AB58+AC58</f>
        <v>38129.404500000004</v>
      </c>
    </row>
    <row r="59" spans="1:31">
      <c r="B59" s="2" t="s">
        <v>108</v>
      </c>
      <c r="C59" s="109">
        <f>C44-C58</f>
        <v>158.1545000000001</v>
      </c>
      <c r="D59" s="109">
        <f t="shared" ref="D59:Q59" si="12">D44-D58</f>
        <v>153.44350000000009</v>
      </c>
      <c r="E59" s="109">
        <f t="shared" si="12"/>
        <v>179.36200000000008</v>
      </c>
      <c r="F59" s="109">
        <f t="shared" si="12"/>
        <v>197.95550000000003</v>
      </c>
      <c r="G59" s="109">
        <f t="shared" si="12"/>
        <v>168.02649999999994</v>
      </c>
      <c r="H59" s="109">
        <f t="shared" si="12"/>
        <v>164.76150000000007</v>
      </c>
      <c r="I59" s="109">
        <f t="shared" si="12"/>
        <v>168.43900000000008</v>
      </c>
      <c r="J59" s="109">
        <f t="shared" si="12"/>
        <v>151.83549999999991</v>
      </c>
      <c r="K59" s="109">
        <f t="shared" si="12"/>
        <v>160.06799999999998</v>
      </c>
      <c r="L59" s="109">
        <f t="shared" si="12"/>
        <v>167.97949999999992</v>
      </c>
      <c r="M59" s="109">
        <f t="shared" si="12"/>
        <v>184.673</v>
      </c>
      <c r="N59" s="109">
        <f t="shared" si="12"/>
        <v>165.27849999999989</v>
      </c>
      <c r="O59" s="109">
        <f t="shared" si="12"/>
        <v>157.11149999999998</v>
      </c>
      <c r="P59" s="109">
        <f t="shared" si="12"/>
        <v>167.83799999999997</v>
      </c>
      <c r="Q59" s="109">
        <f t="shared" si="12"/>
        <v>173.82850000000008</v>
      </c>
      <c r="R59" s="109">
        <f>SUM(C59:Q59)</f>
        <v>2518.7549999999997</v>
      </c>
      <c r="S59" s="109">
        <f t="shared" ref="S59:W59" si="13">S44-S58</f>
        <v>187.05499999999984</v>
      </c>
      <c r="T59" s="109">
        <f t="shared" si="13"/>
        <v>208.07049999999981</v>
      </c>
      <c r="U59" s="109">
        <f t="shared" si="13"/>
        <v>134.95049999999992</v>
      </c>
      <c r="V59" s="109">
        <f t="shared" si="13"/>
        <v>45.499000000000024</v>
      </c>
      <c r="W59" s="109">
        <f t="shared" si="13"/>
        <v>55.769999999999982</v>
      </c>
      <c r="X59" s="109"/>
      <c r="Y59" s="109"/>
      <c r="Z59" s="109">
        <f t="shared" ref="Z59:AC59" si="14">Z44-Z58</f>
        <v>42.475500000000011</v>
      </c>
      <c r="AA59" s="109">
        <f>AA44-AA58</f>
        <v>74.022000000000048</v>
      </c>
      <c r="AB59" s="109">
        <f>SUM(S59:AA59)</f>
        <v>747.84249999999963</v>
      </c>
      <c r="AC59" s="110">
        <f t="shared" si="14"/>
        <v>199.99800000000005</v>
      </c>
      <c r="AE59" s="109">
        <f>R59+AB59+AC59</f>
        <v>3466.5954999999994</v>
      </c>
    </row>
    <row r="61" spans="1:31">
      <c r="B61" s="2" t="s">
        <v>109</v>
      </c>
      <c r="C61" s="111">
        <f>C40-C28</f>
        <v>288281</v>
      </c>
      <c r="D61" s="110">
        <f t="shared" ref="D61:Q61" si="15">D40-D28</f>
        <v>290983</v>
      </c>
      <c r="E61" s="110">
        <f t="shared" si="15"/>
        <v>331316</v>
      </c>
      <c r="F61" s="110">
        <f t="shared" si="15"/>
        <v>366899</v>
      </c>
      <c r="G61" s="110">
        <f t="shared" si="15"/>
        <v>329177</v>
      </c>
      <c r="H61" s="110">
        <f t="shared" si="15"/>
        <v>301207</v>
      </c>
      <c r="I61" s="110">
        <f t="shared" si="15"/>
        <v>307902</v>
      </c>
      <c r="J61" s="110">
        <f t="shared" si="15"/>
        <v>274139</v>
      </c>
      <c r="K61" s="110"/>
      <c r="L61" s="110">
        <f t="shared" si="15"/>
        <v>309731</v>
      </c>
      <c r="M61" s="110"/>
      <c r="N61" s="110">
        <f t="shared" si="15"/>
        <v>301313</v>
      </c>
      <c r="O61" s="110">
        <f t="shared" si="15"/>
        <v>299907</v>
      </c>
      <c r="P61" s="110">
        <f t="shared" si="15"/>
        <v>306084</v>
      </c>
      <c r="Q61" s="110">
        <f t="shared" si="15"/>
        <v>319013</v>
      </c>
      <c r="R61" s="110"/>
      <c r="S61" s="110"/>
      <c r="T61" s="110">
        <f>T40-T28</f>
        <v>388969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6BC6-17B8-474C-B7AD-38E558F12D2D}">
  <sheetPr>
    <pageSetUpPr fitToPage="1"/>
  </sheetPr>
  <dimension ref="A1:O56"/>
  <sheetViews>
    <sheetView showZeros="0" workbookViewId="0">
      <pane xSplit="2" ySplit="8" topLeftCell="C9" activePane="bottomRight" state="frozen"/>
      <selection pane="bottomRight" activeCell="A2" sqref="A2:XFD5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13.25" style="2" bestFit="1" customWidth="1"/>
    <col min="5" max="10" width="11.125" style="2" bestFit="1" customWidth="1"/>
    <col min="11" max="11" width="9" style="2" bestFit="1" customWidth="1"/>
    <col min="12" max="12" width="9.625" style="2" bestFit="1" customWidth="1"/>
    <col min="13" max="13" width="11.125" style="2" bestFit="1" customWidth="1"/>
    <col min="14" max="15" width="9.625" style="2" bestFit="1" customWidth="1"/>
    <col min="16" max="243" width="9" style="2"/>
    <col min="244" max="244" width="2.375" style="2" customWidth="1"/>
    <col min="245" max="245" width="13.25" style="2" bestFit="1" customWidth="1"/>
    <col min="246" max="247" width="11.125" style="2" bestFit="1" customWidth="1"/>
    <col min="248" max="248" width="13.25" style="2" bestFit="1" customWidth="1"/>
    <col min="249" max="249" width="11.125" style="2" bestFit="1" customWidth="1"/>
    <col min="250" max="250" width="9" style="2"/>
    <col min="251" max="261" width="11.125" style="2" bestFit="1" customWidth="1"/>
    <col min="262" max="262" width="9" style="2"/>
    <col min="263" max="269" width="11.125" style="2" bestFit="1" customWidth="1"/>
    <col min="270" max="270" width="9" style="2"/>
    <col min="271" max="271" width="9.625" style="2" bestFit="1" customWidth="1"/>
    <col min="272" max="499" width="9" style="2"/>
    <col min="500" max="500" width="2.375" style="2" customWidth="1"/>
    <col min="501" max="501" width="13.25" style="2" bestFit="1" customWidth="1"/>
    <col min="502" max="503" width="11.125" style="2" bestFit="1" customWidth="1"/>
    <col min="504" max="504" width="13.25" style="2" bestFit="1" customWidth="1"/>
    <col min="505" max="505" width="11.125" style="2" bestFit="1" customWidth="1"/>
    <col min="506" max="506" width="9" style="2"/>
    <col min="507" max="517" width="11.125" style="2" bestFit="1" customWidth="1"/>
    <col min="518" max="518" width="9" style="2"/>
    <col min="519" max="525" width="11.125" style="2" bestFit="1" customWidth="1"/>
    <col min="526" max="526" width="9" style="2"/>
    <col min="527" max="527" width="9.625" style="2" bestFit="1" customWidth="1"/>
    <col min="528" max="755" width="9" style="2"/>
    <col min="756" max="756" width="2.375" style="2" customWidth="1"/>
    <col min="757" max="757" width="13.25" style="2" bestFit="1" customWidth="1"/>
    <col min="758" max="759" width="11.125" style="2" bestFit="1" customWidth="1"/>
    <col min="760" max="760" width="13.25" style="2" bestFit="1" customWidth="1"/>
    <col min="761" max="761" width="11.125" style="2" bestFit="1" customWidth="1"/>
    <col min="762" max="762" width="9" style="2"/>
    <col min="763" max="773" width="11.125" style="2" bestFit="1" customWidth="1"/>
    <col min="774" max="774" width="9" style="2"/>
    <col min="775" max="781" width="11.125" style="2" bestFit="1" customWidth="1"/>
    <col min="782" max="782" width="9" style="2"/>
    <col min="783" max="783" width="9.625" style="2" bestFit="1" customWidth="1"/>
    <col min="784" max="1011" width="9" style="2"/>
    <col min="1012" max="1012" width="2.375" style="2" customWidth="1"/>
    <col min="1013" max="1013" width="13.25" style="2" bestFit="1" customWidth="1"/>
    <col min="1014" max="1015" width="11.125" style="2" bestFit="1" customWidth="1"/>
    <col min="1016" max="1016" width="13.25" style="2" bestFit="1" customWidth="1"/>
    <col min="1017" max="1017" width="11.125" style="2" bestFit="1" customWidth="1"/>
    <col min="1018" max="1018" width="9" style="2"/>
    <col min="1019" max="1029" width="11.125" style="2" bestFit="1" customWidth="1"/>
    <col min="1030" max="1030" width="9" style="2"/>
    <col min="1031" max="1037" width="11.125" style="2" bestFit="1" customWidth="1"/>
    <col min="1038" max="1038" width="9" style="2"/>
    <col min="1039" max="1039" width="9.625" style="2" bestFit="1" customWidth="1"/>
    <col min="1040" max="1267" width="9" style="2"/>
    <col min="1268" max="1268" width="2.375" style="2" customWidth="1"/>
    <col min="1269" max="1269" width="13.25" style="2" bestFit="1" customWidth="1"/>
    <col min="1270" max="1271" width="11.125" style="2" bestFit="1" customWidth="1"/>
    <col min="1272" max="1272" width="13.25" style="2" bestFit="1" customWidth="1"/>
    <col min="1273" max="1273" width="11.125" style="2" bestFit="1" customWidth="1"/>
    <col min="1274" max="1274" width="9" style="2"/>
    <col min="1275" max="1285" width="11.125" style="2" bestFit="1" customWidth="1"/>
    <col min="1286" max="1286" width="9" style="2"/>
    <col min="1287" max="1293" width="11.125" style="2" bestFit="1" customWidth="1"/>
    <col min="1294" max="1294" width="9" style="2"/>
    <col min="1295" max="1295" width="9.625" style="2" bestFit="1" customWidth="1"/>
    <col min="1296" max="1523" width="9" style="2"/>
    <col min="1524" max="1524" width="2.375" style="2" customWidth="1"/>
    <col min="1525" max="1525" width="13.25" style="2" bestFit="1" customWidth="1"/>
    <col min="1526" max="1527" width="11.125" style="2" bestFit="1" customWidth="1"/>
    <col min="1528" max="1528" width="13.25" style="2" bestFit="1" customWidth="1"/>
    <col min="1529" max="1529" width="11.125" style="2" bestFit="1" customWidth="1"/>
    <col min="1530" max="1530" width="9" style="2"/>
    <col min="1531" max="1541" width="11.125" style="2" bestFit="1" customWidth="1"/>
    <col min="1542" max="1542" width="9" style="2"/>
    <col min="1543" max="1549" width="11.125" style="2" bestFit="1" customWidth="1"/>
    <col min="1550" max="1550" width="9" style="2"/>
    <col min="1551" max="1551" width="9.625" style="2" bestFit="1" customWidth="1"/>
    <col min="1552" max="1779" width="9" style="2"/>
    <col min="1780" max="1780" width="2.375" style="2" customWidth="1"/>
    <col min="1781" max="1781" width="13.25" style="2" bestFit="1" customWidth="1"/>
    <col min="1782" max="1783" width="11.125" style="2" bestFit="1" customWidth="1"/>
    <col min="1784" max="1784" width="13.25" style="2" bestFit="1" customWidth="1"/>
    <col min="1785" max="1785" width="11.125" style="2" bestFit="1" customWidth="1"/>
    <col min="1786" max="1786" width="9" style="2"/>
    <col min="1787" max="1797" width="11.125" style="2" bestFit="1" customWidth="1"/>
    <col min="1798" max="1798" width="9" style="2"/>
    <col min="1799" max="1805" width="11.125" style="2" bestFit="1" customWidth="1"/>
    <col min="1806" max="1806" width="9" style="2"/>
    <col min="1807" max="1807" width="9.625" style="2" bestFit="1" customWidth="1"/>
    <col min="1808" max="2035" width="9" style="2"/>
    <col min="2036" max="2036" width="2.375" style="2" customWidth="1"/>
    <col min="2037" max="2037" width="13.25" style="2" bestFit="1" customWidth="1"/>
    <col min="2038" max="2039" width="11.125" style="2" bestFit="1" customWidth="1"/>
    <col min="2040" max="2040" width="13.25" style="2" bestFit="1" customWidth="1"/>
    <col min="2041" max="2041" width="11.125" style="2" bestFit="1" customWidth="1"/>
    <col min="2042" max="2042" width="9" style="2"/>
    <col min="2043" max="2053" width="11.125" style="2" bestFit="1" customWidth="1"/>
    <col min="2054" max="2054" width="9" style="2"/>
    <col min="2055" max="2061" width="11.125" style="2" bestFit="1" customWidth="1"/>
    <col min="2062" max="2062" width="9" style="2"/>
    <col min="2063" max="2063" width="9.625" style="2" bestFit="1" customWidth="1"/>
    <col min="2064" max="2291" width="9" style="2"/>
    <col min="2292" max="2292" width="2.375" style="2" customWidth="1"/>
    <col min="2293" max="2293" width="13.25" style="2" bestFit="1" customWidth="1"/>
    <col min="2294" max="2295" width="11.125" style="2" bestFit="1" customWidth="1"/>
    <col min="2296" max="2296" width="13.25" style="2" bestFit="1" customWidth="1"/>
    <col min="2297" max="2297" width="11.125" style="2" bestFit="1" customWidth="1"/>
    <col min="2298" max="2298" width="9" style="2"/>
    <col min="2299" max="2309" width="11.125" style="2" bestFit="1" customWidth="1"/>
    <col min="2310" max="2310" width="9" style="2"/>
    <col min="2311" max="2317" width="11.125" style="2" bestFit="1" customWidth="1"/>
    <col min="2318" max="2318" width="9" style="2"/>
    <col min="2319" max="2319" width="9.625" style="2" bestFit="1" customWidth="1"/>
    <col min="2320" max="2547" width="9" style="2"/>
    <col min="2548" max="2548" width="2.375" style="2" customWidth="1"/>
    <col min="2549" max="2549" width="13.25" style="2" bestFit="1" customWidth="1"/>
    <col min="2550" max="2551" width="11.125" style="2" bestFit="1" customWidth="1"/>
    <col min="2552" max="2552" width="13.25" style="2" bestFit="1" customWidth="1"/>
    <col min="2553" max="2553" width="11.125" style="2" bestFit="1" customWidth="1"/>
    <col min="2554" max="2554" width="9" style="2"/>
    <col min="2555" max="2565" width="11.125" style="2" bestFit="1" customWidth="1"/>
    <col min="2566" max="2566" width="9" style="2"/>
    <col min="2567" max="2573" width="11.125" style="2" bestFit="1" customWidth="1"/>
    <col min="2574" max="2574" width="9" style="2"/>
    <col min="2575" max="2575" width="9.625" style="2" bestFit="1" customWidth="1"/>
    <col min="2576" max="2803" width="9" style="2"/>
    <col min="2804" max="2804" width="2.375" style="2" customWidth="1"/>
    <col min="2805" max="2805" width="13.25" style="2" bestFit="1" customWidth="1"/>
    <col min="2806" max="2807" width="11.125" style="2" bestFit="1" customWidth="1"/>
    <col min="2808" max="2808" width="13.25" style="2" bestFit="1" customWidth="1"/>
    <col min="2809" max="2809" width="11.125" style="2" bestFit="1" customWidth="1"/>
    <col min="2810" max="2810" width="9" style="2"/>
    <col min="2811" max="2821" width="11.125" style="2" bestFit="1" customWidth="1"/>
    <col min="2822" max="2822" width="9" style="2"/>
    <col min="2823" max="2829" width="11.125" style="2" bestFit="1" customWidth="1"/>
    <col min="2830" max="2830" width="9" style="2"/>
    <col min="2831" max="2831" width="9.625" style="2" bestFit="1" customWidth="1"/>
    <col min="2832" max="3059" width="9" style="2"/>
    <col min="3060" max="3060" width="2.375" style="2" customWidth="1"/>
    <col min="3061" max="3061" width="13.25" style="2" bestFit="1" customWidth="1"/>
    <col min="3062" max="3063" width="11.125" style="2" bestFit="1" customWidth="1"/>
    <col min="3064" max="3064" width="13.25" style="2" bestFit="1" customWidth="1"/>
    <col min="3065" max="3065" width="11.125" style="2" bestFit="1" customWidth="1"/>
    <col min="3066" max="3066" width="9" style="2"/>
    <col min="3067" max="3077" width="11.125" style="2" bestFit="1" customWidth="1"/>
    <col min="3078" max="3078" width="9" style="2"/>
    <col min="3079" max="3085" width="11.125" style="2" bestFit="1" customWidth="1"/>
    <col min="3086" max="3086" width="9" style="2"/>
    <col min="3087" max="3087" width="9.625" style="2" bestFit="1" customWidth="1"/>
    <col min="3088" max="3315" width="9" style="2"/>
    <col min="3316" max="3316" width="2.375" style="2" customWidth="1"/>
    <col min="3317" max="3317" width="13.25" style="2" bestFit="1" customWidth="1"/>
    <col min="3318" max="3319" width="11.125" style="2" bestFit="1" customWidth="1"/>
    <col min="3320" max="3320" width="13.25" style="2" bestFit="1" customWidth="1"/>
    <col min="3321" max="3321" width="11.125" style="2" bestFit="1" customWidth="1"/>
    <col min="3322" max="3322" width="9" style="2"/>
    <col min="3323" max="3333" width="11.125" style="2" bestFit="1" customWidth="1"/>
    <col min="3334" max="3334" width="9" style="2"/>
    <col min="3335" max="3341" width="11.125" style="2" bestFit="1" customWidth="1"/>
    <col min="3342" max="3342" width="9" style="2"/>
    <col min="3343" max="3343" width="9.625" style="2" bestFit="1" customWidth="1"/>
    <col min="3344" max="3571" width="9" style="2"/>
    <col min="3572" max="3572" width="2.375" style="2" customWidth="1"/>
    <col min="3573" max="3573" width="13.25" style="2" bestFit="1" customWidth="1"/>
    <col min="3574" max="3575" width="11.125" style="2" bestFit="1" customWidth="1"/>
    <col min="3576" max="3576" width="13.25" style="2" bestFit="1" customWidth="1"/>
    <col min="3577" max="3577" width="11.125" style="2" bestFit="1" customWidth="1"/>
    <col min="3578" max="3578" width="9" style="2"/>
    <col min="3579" max="3589" width="11.125" style="2" bestFit="1" customWidth="1"/>
    <col min="3590" max="3590" width="9" style="2"/>
    <col min="3591" max="3597" width="11.125" style="2" bestFit="1" customWidth="1"/>
    <col min="3598" max="3598" width="9" style="2"/>
    <col min="3599" max="3599" width="9.625" style="2" bestFit="1" customWidth="1"/>
    <col min="3600" max="3827" width="9" style="2"/>
    <col min="3828" max="3828" width="2.375" style="2" customWidth="1"/>
    <col min="3829" max="3829" width="13.25" style="2" bestFit="1" customWidth="1"/>
    <col min="3830" max="3831" width="11.125" style="2" bestFit="1" customWidth="1"/>
    <col min="3832" max="3832" width="13.25" style="2" bestFit="1" customWidth="1"/>
    <col min="3833" max="3833" width="11.125" style="2" bestFit="1" customWidth="1"/>
    <col min="3834" max="3834" width="9" style="2"/>
    <col min="3835" max="3845" width="11.125" style="2" bestFit="1" customWidth="1"/>
    <col min="3846" max="3846" width="9" style="2"/>
    <col min="3847" max="3853" width="11.125" style="2" bestFit="1" customWidth="1"/>
    <col min="3854" max="3854" width="9" style="2"/>
    <col min="3855" max="3855" width="9.625" style="2" bestFit="1" customWidth="1"/>
    <col min="3856" max="4083" width="9" style="2"/>
    <col min="4084" max="4084" width="2.375" style="2" customWidth="1"/>
    <col min="4085" max="4085" width="13.25" style="2" bestFit="1" customWidth="1"/>
    <col min="4086" max="4087" width="11.125" style="2" bestFit="1" customWidth="1"/>
    <col min="4088" max="4088" width="13.25" style="2" bestFit="1" customWidth="1"/>
    <col min="4089" max="4089" width="11.125" style="2" bestFit="1" customWidth="1"/>
    <col min="4090" max="4090" width="9" style="2"/>
    <col min="4091" max="4101" width="11.125" style="2" bestFit="1" customWidth="1"/>
    <col min="4102" max="4102" width="9" style="2"/>
    <col min="4103" max="4109" width="11.125" style="2" bestFit="1" customWidth="1"/>
    <col min="4110" max="4110" width="9" style="2"/>
    <col min="4111" max="4111" width="9.625" style="2" bestFit="1" customWidth="1"/>
    <col min="4112" max="4339" width="9" style="2"/>
    <col min="4340" max="4340" width="2.375" style="2" customWidth="1"/>
    <col min="4341" max="4341" width="13.25" style="2" bestFit="1" customWidth="1"/>
    <col min="4342" max="4343" width="11.125" style="2" bestFit="1" customWidth="1"/>
    <col min="4344" max="4344" width="13.25" style="2" bestFit="1" customWidth="1"/>
    <col min="4345" max="4345" width="11.125" style="2" bestFit="1" customWidth="1"/>
    <col min="4346" max="4346" width="9" style="2"/>
    <col min="4347" max="4357" width="11.125" style="2" bestFit="1" customWidth="1"/>
    <col min="4358" max="4358" width="9" style="2"/>
    <col min="4359" max="4365" width="11.125" style="2" bestFit="1" customWidth="1"/>
    <col min="4366" max="4366" width="9" style="2"/>
    <col min="4367" max="4367" width="9.625" style="2" bestFit="1" customWidth="1"/>
    <col min="4368" max="4595" width="9" style="2"/>
    <col min="4596" max="4596" width="2.375" style="2" customWidth="1"/>
    <col min="4597" max="4597" width="13.25" style="2" bestFit="1" customWidth="1"/>
    <col min="4598" max="4599" width="11.125" style="2" bestFit="1" customWidth="1"/>
    <col min="4600" max="4600" width="13.25" style="2" bestFit="1" customWidth="1"/>
    <col min="4601" max="4601" width="11.125" style="2" bestFit="1" customWidth="1"/>
    <col min="4602" max="4602" width="9" style="2"/>
    <col min="4603" max="4613" width="11.125" style="2" bestFit="1" customWidth="1"/>
    <col min="4614" max="4614" width="9" style="2"/>
    <col min="4615" max="4621" width="11.125" style="2" bestFit="1" customWidth="1"/>
    <col min="4622" max="4622" width="9" style="2"/>
    <col min="4623" max="4623" width="9.625" style="2" bestFit="1" customWidth="1"/>
    <col min="4624" max="4851" width="9" style="2"/>
    <col min="4852" max="4852" width="2.375" style="2" customWidth="1"/>
    <col min="4853" max="4853" width="13.25" style="2" bestFit="1" customWidth="1"/>
    <col min="4854" max="4855" width="11.125" style="2" bestFit="1" customWidth="1"/>
    <col min="4856" max="4856" width="13.25" style="2" bestFit="1" customWidth="1"/>
    <col min="4857" max="4857" width="11.125" style="2" bestFit="1" customWidth="1"/>
    <col min="4858" max="4858" width="9" style="2"/>
    <col min="4859" max="4869" width="11.125" style="2" bestFit="1" customWidth="1"/>
    <col min="4870" max="4870" width="9" style="2"/>
    <col min="4871" max="4877" width="11.125" style="2" bestFit="1" customWidth="1"/>
    <col min="4878" max="4878" width="9" style="2"/>
    <col min="4879" max="4879" width="9.625" style="2" bestFit="1" customWidth="1"/>
    <col min="4880" max="5107" width="9" style="2"/>
    <col min="5108" max="5108" width="2.375" style="2" customWidth="1"/>
    <col min="5109" max="5109" width="13.25" style="2" bestFit="1" customWidth="1"/>
    <col min="5110" max="5111" width="11.125" style="2" bestFit="1" customWidth="1"/>
    <col min="5112" max="5112" width="13.25" style="2" bestFit="1" customWidth="1"/>
    <col min="5113" max="5113" width="11.125" style="2" bestFit="1" customWidth="1"/>
    <col min="5114" max="5114" width="9" style="2"/>
    <col min="5115" max="5125" width="11.125" style="2" bestFit="1" customWidth="1"/>
    <col min="5126" max="5126" width="9" style="2"/>
    <col min="5127" max="5133" width="11.125" style="2" bestFit="1" customWidth="1"/>
    <col min="5134" max="5134" width="9" style="2"/>
    <col min="5135" max="5135" width="9.625" style="2" bestFit="1" customWidth="1"/>
    <col min="5136" max="5363" width="9" style="2"/>
    <col min="5364" max="5364" width="2.375" style="2" customWidth="1"/>
    <col min="5365" max="5365" width="13.25" style="2" bestFit="1" customWidth="1"/>
    <col min="5366" max="5367" width="11.125" style="2" bestFit="1" customWidth="1"/>
    <col min="5368" max="5368" width="13.25" style="2" bestFit="1" customWidth="1"/>
    <col min="5369" max="5369" width="11.125" style="2" bestFit="1" customWidth="1"/>
    <col min="5370" max="5370" width="9" style="2"/>
    <col min="5371" max="5381" width="11.125" style="2" bestFit="1" customWidth="1"/>
    <col min="5382" max="5382" width="9" style="2"/>
    <col min="5383" max="5389" width="11.125" style="2" bestFit="1" customWidth="1"/>
    <col min="5390" max="5390" width="9" style="2"/>
    <col min="5391" max="5391" width="9.625" style="2" bestFit="1" customWidth="1"/>
    <col min="5392" max="5619" width="9" style="2"/>
    <col min="5620" max="5620" width="2.375" style="2" customWidth="1"/>
    <col min="5621" max="5621" width="13.25" style="2" bestFit="1" customWidth="1"/>
    <col min="5622" max="5623" width="11.125" style="2" bestFit="1" customWidth="1"/>
    <col min="5624" max="5624" width="13.25" style="2" bestFit="1" customWidth="1"/>
    <col min="5625" max="5625" width="11.125" style="2" bestFit="1" customWidth="1"/>
    <col min="5626" max="5626" width="9" style="2"/>
    <col min="5627" max="5637" width="11.125" style="2" bestFit="1" customWidth="1"/>
    <col min="5638" max="5638" width="9" style="2"/>
    <col min="5639" max="5645" width="11.125" style="2" bestFit="1" customWidth="1"/>
    <col min="5646" max="5646" width="9" style="2"/>
    <col min="5647" max="5647" width="9.625" style="2" bestFit="1" customWidth="1"/>
    <col min="5648" max="5875" width="9" style="2"/>
    <col min="5876" max="5876" width="2.375" style="2" customWidth="1"/>
    <col min="5877" max="5877" width="13.25" style="2" bestFit="1" customWidth="1"/>
    <col min="5878" max="5879" width="11.125" style="2" bestFit="1" customWidth="1"/>
    <col min="5880" max="5880" width="13.25" style="2" bestFit="1" customWidth="1"/>
    <col min="5881" max="5881" width="11.125" style="2" bestFit="1" customWidth="1"/>
    <col min="5882" max="5882" width="9" style="2"/>
    <col min="5883" max="5893" width="11.125" style="2" bestFit="1" customWidth="1"/>
    <col min="5894" max="5894" width="9" style="2"/>
    <col min="5895" max="5901" width="11.125" style="2" bestFit="1" customWidth="1"/>
    <col min="5902" max="5902" width="9" style="2"/>
    <col min="5903" max="5903" width="9.625" style="2" bestFit="1" customWidth="1"/>
    <col min="5904" max="6131" width="9" style="2"/>
    <col min="6132" max="6132" width="2.375" style="2" customWidth="1"/>
    <col min="6133" max="6133" width="13.25" style="2" bestFit="1" customWidth="1"/>
    <col min="6134" max="6135" width="11.125" style="2" bestFit="1" customWidth="1"/>
    <col min="6136" max="6136" width="13.25" style="2" bestFit="1" customWidth="1"/>
    <col min="6137" max="6137" width="11.125" style="2" bestFit="1" customWidth="1"/>
    <col min="6138" max="6138" width="9" style="2"/>
    <col min="6139" max="6149" width="11.125" style="2" bestFit="1" customWidth="1"/>
    <col min="6150" max="6150" width="9" style="2"/>
    <col min="6151" max="6157" width="11.125" style="2" bestFit="1" customWidth="1"/>
    <col min="6158" max="6158" width="9" style="2"/>
    <col min="6159" max="6159" width="9.625" style="2" bestFit="1" customWidth="1"/>
    <col min="6160" max="6387" width="9" style="2"/>
    <col min="6388" max="6388" width="2.375" style="2" customWidth="1"/>
    <col min="6389" max="6389" width="13.25" style="2" bestFit="1" customWidth="1"/>
    <col min="6390" max="6391" width="11.125" style="2" bestFit="1" customWidth="1"/>
    <col min="6392" max="6392" width="13.25" style="2" bestFit="1" customWidth="1"/>
    <col min="6393" max="6393" width="11.125" style="2" bestFit="1" customWidth="1"/>
    <col min="6394" max="6394" width="9" style="2"/>
    <col min="6395" max="6405" width="11.125" style="2" bestFit="1" customWidth="1"/>
    <col min="6406" max="6406" width="9" style="2"/>
    <col min="6407" max="6413" width="11.125" style="2" bestFit="1" customWidth="1"/>
    <col min="6414" max="6414" width="9" style="2"/>
    <col min="6415" max="6415" width="9.625" style="2" bestFit="1" customWidth="1"/>
    <col min="6416" max="6643" width="9" style="2"/>
    <col min="6644" max="6644" width="2.375" style="2" customWidth="1"/>
    <col min="6645" max="6645" width="13.25" style="2" bestFit="1" customWidth="1"/>
    <col min="6646" max="6647" width="11.125" style="2" bestFit="1" customWidth="1"/>
    <col min="6648" max="6648" width="13.25" style="2" bestFit="1" customWidth="1"/>
    <col min="6649" max="6649" width="11.125" style="2" bestFit="1" customWidth="1"/>
    <col min="6650" max="6650" width="9" style="2"/>
    <col min="6651" max="6661" width="11.125" style="2" bestFit="1" customWidth="1"/>
    <col min="6662" max="6662" width="9" style="2"/>
    <col min="6663" max="6669" width="11.125" style="2" bestFit="1" customWidth="1"/>
    <col min="6670" max="6670" width="9" style="2"/>
    <col min="6671" max="6671" width="9.625" style="2" bestFit="1" customWidth="1"/>
    <col min="6672" max="6899" width="9" style="2"/>
    <col min="6900" max="6900" width="2.375" style="2" customWidth="1"/>
    <col min="6901" max="6901" width="13.25" style="2" bestFit="1" customWidth="1"/>
    <col min="6902" max="6903" width="11.125" style="2" bestFit="1" customWidth="1"/>
    <col min="6904" max="6904" width="13.25" style="2" bestFit="1" customWidth="1"/>
    <col min="6905" max="6905" width="11.125" style="2" bestFit="1" customWidth="1"/>
    <col min="6906" max="6906" width="9" style="2"/>
    <col min="6907" max="6917" width="11.125" style="2" bestFit="1" customWidth="1"/>
    <col min="6918" max="6918" width="9" style="2"/>
    <col min="6919" max="6925" width="11.125" style="2" bestFit="1" customWidth="1"/>
    <col min="6926" max="6926" width="9" style="2"/>
    <col min="6927" max="6927" width="9.625" style="2" bestFit="1" customWidth="1"/>
    <col min="6928" max="7155" width="9" style="2"/>
    <col min="7156" max="7156" width="2.375" style="2" customWidth="1"/>
    <col min="7157" max="7157" width="13.25" style="2" bestFit="1" customWidth="1"/>
    <col min="7158" max="7159" width="11.125" style="2" bestFit="1" customWidth="1"/>
    <col min="7160" max="7160" width="13.25" style="2" bestFit="1" customWidth="1"/>
    <col min="7161" max="7161" width="11.125" style="2" bestFit="1" customWidth="1"/>
    <col min="7162" max="7162" width="9" style="2"/>
    <col min="7163" max="7173" width="11.125" style="2" bestFit="1" customWidth="1"/>
    <col min="7174" max="7174" width="9" style="2"/>
    <col min="7175" max="7181" width="11.125" style="2" bestFit="1" customWidth="1"/>
    <col min="7182" max="7182" width="9" style="2"/>
    <col min="7183" max="7183" width="9.625" style="2" bestFit="1" customWidth="1"/>
    <col min="7184" max="7411" width="9" style="2"/>
    <col min="7412" max="7412" width="2.375" style="2" customWidth="1"/>
    <col min="7413" max="7413" width="13.25" style="2" bestFit="1" customWidth="1"/>
    <col min="7414" max="7415" width="11.125" style="2" bestFit="1" customWidth="1"/>
    <col min="7416" max="7416" width="13.25" style="2" bestFit="1" customWidth="1"/>
    <col min="7417" max="7417" width="11.125" style="2" bestFit="1" customWidth="1"/>
    <col min="7418" max="7418" width="9" style="2"/>
    <col min="7419" max="7429" width="11.125" style="2" bestFit="1" customWidth="1"/>
    <col min="7430" max="7430" width="9" style="2"/>
    <col min="7431" max="7437" width="11.125" style="2" bestFit="1" customWidth="1"/>
    <col min="7438" max="7438" width="9" style="2"/>
    <col min="7439" max="7439" width="9.625" style="2" bestFit="1" customWidth="1"/>
    <col min="7440" max="7667" width="9" style="2"/>
    <col min="7668" max="7668" width="2.375" style="2" customWidth="1"/>
    <col min="7669" max="7669" width="13.25" style="2" bestFit="1" customWidth="1"/>
    <col min="7670" max="7671" width="11.125" style="2" bestFit="1" customWidth="1"/>
    <col min="7672" max="7672" width="13.25" style="2" bestFit="1" customWidth="1"/>
    <col min="7673" max="7673" width="11.125" style="2" bestFit="1" customWidth="1"/>
    <col min="7674" max="7674" width="9" style="2"/>
    <col min="7675" max="7685" width="11.125" style="2" bestFit="1" customWidth="1"/>
    <col min="7686" max="7686" width="9" style="2"/>
    <col min="7687" max="7693" width="11.125" style="2" bestFit="1" customWidth="1"/>
    <col min="7694" max="7694" width="9" style="2"/>
    <col min="7695" max="7695" width="9.625" style="2" bestFit="1" customWidth="1"/>
    <col min="7696" max="7923" width="9" style="2"/>
    <col min="7924" max="7924" width="2.375" style="2" customWidth="1"/>
    <col min="7925" max="7925" width="13.25" style="2" bestFit="1" customWidth="1"/>
    <col min="7926" max="7927" width="11.125" style="2" bestFit="1" customWidth="1"/>
    <col min="7928" max="7928" width="13.25" style="2" bestFit="1" customWidth="1"/>
    <col min="7929" max="7929" width="11.125" style="2" bestFit="1" customWidth="1"/>
    <col min="7930" max="7930" width="9" style="2"/>
    <col min="7931" max="7941" width="11.125" style="2" bestFit="1" customWidth="1"/>
    <col min="7942" max="7942" width="9" style="2"/>
    <col min="7943" max="7949" width="11.125" style="2" bestFit="1" customWidth="1"/>
    <col min="7950" max="7950" width="9" style="2"/>
    <col min="7951" max="7951" width="9.625" style="2" bestFit="1" customWidth="1"/>
    <col min="7952" max="8179" width="9" style="2"/>
    <col min="8180" max="8180" width="2.375" style="2" customWidth="1"/>
    <col min="8181" max="8181" width="13.25" style="2" bestFit="1" customWidth="1"/>
    <col min="8182" max="8183" width="11.125" style="2" bestFit="1" customWidth="1"/>
    <col min="8184" max="8184" width="13.25" style="2" bestFit="1" customWidth="1"/>
    <col min="8185" max="8185" width="11.125" style="2" bestFit="1" customWidth="1"/>
    <col min="8186" max="8186" width="9" style="2"/>
    <col min="8187" max="8197" width="11.125" style="2" bestFit="1" customWidth="1"/>
    <col min="8198" max="8198" width="9" style="2"/>
    <col min="8199" max="8205" width="11.125" style="2" bestFit="1" customWidth="1"/>
    <col min="8206" max="8206" width="9" style="2"/>
    <col min="8207" max="8207" width="9.625" style="2" bestFit="1" customWidth="1"/>
    <col min="8208" max="8435" width="9" style="2"/>
    <col min="8436" max="8436" width="2.375" style="2" customWidth="1"/>
    <col min="8437" max="8437" width="13.25" style="2" bestFit="1" customWidth="1"/>
    <col min="8438" max="8439" width="11.125" style="2" bestFit="1" customWidth="1"/>
    <col min="8440" max="8440" width="13.25" style="2" bestFit="1" customWidth="1"/>
    <col min="8441" max="8441" width="11.125" style="2" bestFit="1" customWidth="1"/>
    <col min="8442" max="8442" width="9" style="2"/>
    <col min="8443" max="8453" width="11.125" style="2" bestFit="1" customWidth="1"/>
    <col min="8454" max="8454" width="9" style="2"/>
    <col min="8455" max="8461" width="11.125" style="2" bestFit="1" customWidth="1"/>
    <col min="8462" max="8462" width="9" style="2"/>
    <col min="8463" max="8463" width="9.625" style="2" bestFit="1" customWidth="1"/>
    <col min="8464" max="8691" width="9" style="2"/>
    <col min="8692" max="8692" width="2.375" style="2" customWidth="1"/>
    <col min="8693" max="8693" width="13.25" style="2" bestFit="1" customWidth="1"/>
    <col min="8694" max="8695" width="11.125" style="2" bestFit="1" customWidth="1"/>
    <col min="8696" max="8696" width="13.25" style="2" bestFit="1" customWidth="1"/>
    <col min="8697" max="8697" width="11.125" style="2" bestFit="1" customWidth="1"/>
    <col min="8698" max="8698" width="9" style="2"/>
    <col min="8699" max="8709" width="11.125" style="2" bestFit="1" customWidth="1"/>
    <col min="8710" max="8710" width="9" style="2"/>
    <col min="8711" max="8717" width="11.125" style="2" bestFit="1" customWidth="1"/>
    <col min="8718" max="8718" width="9" style="2"/>
    <col min="8719" max="8719" width="9.625" style="2" bestFit="1" customWidth="1"/>
    <col min="8720" max="8947" width="9" style="2"/>
    <col min="8948" max="8948" width="2.375" style="2" customWidth="1"/>
    <col min="8949" max="8949" width="13.25" style="2" bestFit="1" customWidth="1"/>
    <col min="8950" max="8951" width="11.125" style="2" bestFit="1" customWidth="1"/>
    <col min="8952" max="8952" width="13.25" style="2" bestFit="1" customWidth="1"/>
    <col min="8953" max="8953" width="11.125" style="2" bestFit="1" customWidth="1"/>
    <col min="8954" max="8954" width="9" style="2"/>
    <col min="8955" max="8965" width="11.125" style="2" bestFit="1" customWidth="1"/>
    <col min="8966" max="8966" width="9" style="2"/>
    <col min="8967" max="8973" width="11.125" style="2" bestFit="1" customWidth="1"/>
    <col min="8974" max="8974" width="9" style="2"/>
    <col min="8975" max="8975" width="9.625" style="2" bestFit="1" customWidth="1"/>
    <col min="8976" max="9203" width="9" style="2"/>
    <col min="9204" max="9204" width="2.375" style="2" customWidth="1"/>
    <col min="9205" max="9205" width="13.25" style="2" bestFit="1" customWidth="1"/>
    <col min="9206" max="9207" width="11.125" style="2" bestFit="1" customWidth="1"/>
    <col min="9208" max="9208" width="13.25" style="2" bestFit="1" customWidth="1"/>
    <col min="9209" max="9209" width="11.125" style="2" bestFit="1" customWidth="1"/>
    <col min="9210" max="9210" width="9" style="2"/>
    <col min="9211" max="9221" width="11.125" style="2" bestFit="1" customWidth="1"/>
    <col min="9222" max="9222" width="9" style="2"/>
    <col min="9223" max="9229" width="11.125" style="2" bestFit="1" customWidth="1"/>
    <col min="9230" max="9230" width="9" style="2"/>
    <col min="9231" max="9231" width="9.625" style="2" bestFit="1" customWidth="1"/>
    <col min="9232" max="9459" width="9" style="2"/>
    <col min="9460" max="9460" width="2.375" style="2" customWidth="1"/>
    <col min="9461" max="9461" width="13.25" style="2" bestFit="1" customWidth="1"/>
    <col min="9462" max="9463" width="11.125" style="2" bestFit="1" customWidth="1"/>
    <col min="9464" max="9464" width="13.25" style="2" bestFit="1" customWidth="1"/>
    <col min="9465" max="9465" width="11.125" style="2" bestFit="1" customWidth="1"/>
    <col min="9466" max="9466" width="9" style="2"/>
    <col min="9467" max="9477" width="11.125" style="2" bestFit="1" customWidth="1"/>
    <col min="9478" max="9478" width="9" style="2"/>
    <col min="9479" max="9485" width="11.125" style="2" bestFit="1" customWidth="1"/>
    <col min="9486" max="9486" width="9" style="2"/>
    <col min="9487" max="9487" width="9.625" style="2" bestFit="1" customWidth="1"/>
    <col min="9488" max="9715" width="9" style="2"/>
    <col min="9716" max="9716" width="2.375" style="2" customWidth="1"/>
    <col min="9717" max="9717" width="13.25" style="2" bestFit="1" customWidth="1"/>
    <col min="9718" max="9719" width="11.125" style="2" bestFit="1" customWidth="1"/>
    <col min="9720" max="9720" width="13.25" style="2" bestFit="1" customWidth="1"/>
    <col min="9721" max="9721" width="11.125" style="2" bestFit="1" customWidth="1"/>
    <col min="9722" max="9722" width="9" style="2"/>
    <col min="9723" max="9733" width="11.125" style="2" bestFit="1" customWidth="1"/>
    <col min="9734" max="9734" width="9" style="2"/>
    <col min="9735" max="9741" width="11.125" style="2" bestFit="1" customWidth="1"/>
    <col min="9742" max="9742" width="9" style="2"/>
    <col min="9743" max="9743" width="9.625" style="2" bestFit="1" customWidth="1"/>
    <col min="9744" max="9971" width="9" style="2"/>
    <col min="9972" max="9972" width="2.375" style="2" customWidth="1"/>
    <col min="9973" max="9973" width="13.25" style="2" bestFit="1" customWidth="1"/>
    <col min="9974" max="9975" width="11.125" style="2" bestFit="1" customWidth="1"/>
    <col min="9976" max="9976" width="13.25" style="2" bestFit="1" customWidth="1"/>
    <col min="9977" max="9977" width="11.125" style="2" bestFit="1" customWidth="1"/>
    <col min="9978" max="9978" width="9" style="2"/>
    <col min="9979" max="9989" width="11.125" style="2" bestFit="1" customWidth="1"/>
    <col min="9990" max="9990" width="9" style="2"/>
    <col min="9991" max="9997" width="11.125" style="2" bestFit="1" customWidth="1"/>
    <col min="9998" max="9998" width="9" style="2"/>
    <col min="9999" max="9999" width="9.625" style="2" bestFit="1" customWidth="1"/>
    <col min="10000" max="10227" width="9" style="2"/>
    <col min="10228" max="10228" width="2.375" style="2" customWidth="1"/>
    <col min="10229" max="10229" width="13.25" style="2" bestFit="1" customWidth="1"/>
    <col min="10230" max="10231" width="11.125" style="2" bestFit="1" customWidth="1"/>
    <col min="10232" max="10232" width="13.25" style="2" bestFit="1" customWidth="1"/>
    <col min="10233" max="10233" width="11.125" style="2" bestFit="1" customWidth="1"/>
    <col min="10234" max="10234" width="9" style="2"/>
    <col min="10235" max="10245" width="11.125" style="2" bestFit="1" customWidth="1"/>
    <col min="10246" max="10246" width="9" style="2"/>
    <col min="10247" max="10253" width="11.125" style="2" bestFit="1" customWidth="1"/>
    <col min="10254" max="10254" width="9" style="2"/>
    <col min="10255" max="10255" width="9.625" style="2" bestFit="1" customWidth="1"/>
    <col min="10256" max="10483" width="9" style="2"/>
    <col min="10484" max="10484" width="2.375" style="2" customWidth="1"/>
    <col min="10485" max="10485" width="13.25" style="2" bestFit="1" customWidth="1"/>
    <col min="10486" max="10487" width="11.125" style="2" bestFit="1" customWidth="1"/>
    <col min="10488" max="10488" width="13.25" style="2" bestFit="1" customWidth="1"/>
    <col min="10489" max="10489" width="11.125" style="2" bestFit="1" customWidth="1"/>
    <col min="10490" max="10490" width="9" style="2"/>
    <col min="10491" max="10501" width="11.125" style="2" bestFit="1" customWidth="1"/>
    <col min="10502" max="10502" width="9" style="2"/>
    <col min="10503" max="10509" width="11.125" style="2" bestFit="1" customWidth="1"/>
    <col min="10510" max="10510" width="9" style="2"/>
    <col min="10511" max="10511" width="9.625" style="2" bestFit="1" customWidth="1"/>
    <col min="10512" max="10739" width="9" style="2"/>
    <col min="10740" max="10740" width="2.375" style="2" customWidth="1"/>
    <col min="10741" max="10741" width="13.25" style="2" bestFit="1" customWidth="1"/>
    <col min="10742" max="10743" width="11.125" style="2" bestFit="1" customWidth="1"/>
    <col min="10744" max="10744" width="13.25" style="2" bestFit="1" customWidth="1"/>
    <col min="10745" max="10745" width="11.125" style="2" bestFit="1" customWidth="1"/>
    <col min="10746" max="10746" width="9" style="2"/>
    <col min="10747" max="10757" width="11.125" style="2" bestFit="1" customWidth="1"/>
    <col min="10758" max="10758" width="9" style="2"/>
    <col min="10759" max="10765" width="11.125" style="2" bestFit="1" customWidth="1"/>
    <col min="10766" max="10766" width="9" style="2"/>
    <col min="10767" max="10767" width="9.625" style="2" bestFit="1" customWidth="1"/>
    <col min="10768" max="10995" width="9" style="2"/>
    <col min="10996" max="10996" width="2.375" style="2" customWidth="1"/>
    <col min="10997" max="10997" width="13.25" style="2" bestFit="1" customWidth="1"/>
    <col min="10998" max="10999" width="11.125" style="2" bestFit="1" customWidth="1"/>
    <col min="11000" max="11000" width="13.25" style="2" bestFit="1" customWidth="1"/>
    <col min="11001" max="11001" width="11.125" style="2" bestFit="1" customWidth="1"/>
    <col min="11002" max="11002" width="9" style="2"/>
    <col min="11003" max="11013" width="11.125" style="2" bestFit="1" customWidth="1"/>
    <col min="11014" max="11014" width="9" style="2"/>
    <col min="11015" max="11021" width="11.125" style="2" bestFit="1" customWidth="1"/>
    <col min="11022" max="11022" width="9" style="2"/>
    <col min="11023" max="11023" width="9.625" style="2" bestFit="1" customWidth="1"/>
    <col min="11024" max="11251" width="9" style="2"/>
    <col min="11252" max="11252" width="2.375" style="2" customWidth="1"/>
    <col min="11253" max="11253" width="13.25" style="2" bestFit="1" customWidth="1"/>
    <col min="11254" max="11255" width="11.125" style="2" bestFit="1" customWidth="1"/>
    <col min="11256" max="11256" width="13.25" style="2" bestFit="1" customWidth="1"/>
    <col min="11257" max="11257" width="11.125" style="2" bestFit="1" customWidth="1"/>
    <col min="11258" max="11258" width="9" style="2"/>
    <col min="11259" max="11269" width="11.125" style="2" bestFit="1" customWidth="1"/>
    <col min="11270" max="11270" width="9" style="2"/>
    <col min="11271" max="11277" width="11.125" style="2" bestFit="1" customWidth="1"/>
    <col min="11278" max="11278" width="9" style="2"/>
    <col min="11279" max="11279" width="9.625" style="2" bestFit="1" customWidth="1"/>
    <col min="11280" max="11507" width="9" style="2"/>
    <col min="11508" max="11508" width="2.375" style="2" customWidth="1"/>
    <col min="11509" max="11509" width="13.25" style="2" bestFit="1" customWidth="1"/>
    <col min="11510" max="11511" width="11.125" style="2" bestFit="1" customWidth="1"/>
    <col min="11512" max="11512" width="13.25" style="2" bestFit="1" customWidth="1"/>
    <col min="11513" max="11513" width="11.125" style="2" bestFit="1" customWidth="1"/>
    <col min="11514" max="11514" width="9" style="2"/>
    <col min="11515" max="11525" width="11.125" style="2" bestFit="1" customWidth="1"/>
    <col min="11526" max="11526" width="9" style="2"/>
    <col min="11527" max="11533" width="11.125" style="2" bestFit="1" customWidth="1"/>
    <col min="11534" max="11534" width="9" style="2"/>
    <col min="11535" max="11535" width="9.625" style="2" bestFit="1" customWidth="1"/>
    <col min="11536" max="11763" width="9" style="2"/>
    <col min="11764" max="11764" width="2.375" style="2" customWidth="1"/>
    <col min="11765" max="11765" width="13.25" style="2" bestFit="1" customWidth="1"/>
    <col min="11766" max="11767" width="11.125" style="2" bestFit="1" customWidth="1"/>
    <col min="11768" max="11768" width="13.25" style="2" bestFit="1" customWidth="1"/>
    <col min="11769" max="11769" width="11.125" style="2" bestFit="1" customWidth="1"/>
    <col min="11770" max="11770" width="9" style="2"/>
    <col min="11771" max="11781" width="11.125" style="2" bestFit="1" customWidth="1"/>
    <col min="11782" max="11782" width="9" style="2"/>
    <col min="11783" max="11789" width="11.125" style="2" bestFit="1" customWidth="1"/>
    <col min="11790" max="11790" width="9" style="2"/>
    <col min="11791" max="11791" width="9.625" style="2" bestFit="1" customWidth="1"/>
    <col min="11792" max="12019" width="9" style="2"/>
    <col min="12020" max="12020" width="2.375" style="2" customWidth="1"/>
    <col min="12021" max="12021" width="13.25" style="2" bestFit="1" customWidth="1"/>
    <col min="12022" max="12023" width="11.125" style="2" bestFit="1" customWidth="1"/>
    <col min="12024" max="12024" width="13.25" style="2" bestFit="1" customWidth="1"/>
    <col min="12025" max="12025" width="11.125" style="2" bestFit="1" customWidth="1"/>
    <col min="12026" max="12026" width="9" style="2"/>
    <col min="12027" max="12037" width="11.125" style="2" bestFit="1" customWidth="1"/>
    <col min="12038" max="12038" width="9" style="2"/>
    <col min="12039" max="12045" width="11.125" style="2" bestFit="1" customWidth="1"/>
    <col min="12046" max="12046" width="9" style="2"/>
    <col min="12047" max="12047" width="9.625" style="2" bestFit="1" customWidth="1"/>
    <col min="12048" max="12275" width="9" style="2"/>
    <col min="12276" max="12276" width="2.375" style="2" customWidth="1"/>
    <col min="12277" max="12277" width="13.25" style="2" bestFit="1" customWidth="1"/>
    <col min="12278" max="12279" width="11.125" style="2" bestFit="1" customWidth="1"/>
    <col min="12280" max="12280" width="13.25" style="2" bestFit="1" customWidth="1"/>
    <col min="12281" max="12281" width="11.125" style="2" bestFit="1" customWidth="1"/>
    <col min="12282" max="12282" width="9" style="2"/>
    <col min="12283" max="12293" width="11.125" style="2" bestFit="1" customWidth="1"/>
    <col min="12294" max="12294" width="9" style="2"/>
    <col min="12295" max="12301" width="11.125" style="2" bestFit="1" customWidth="1"/>
    <col min="12302" max="12302" width="9" style="2"/>
    <col min="12303" max="12303" width="9.625" style="2" bestFit="1" customWidth="1"/>
    <col min="12304" max="12531" width="9" style="2"/>
    <col min="12532" max="12532" width="2.375" style="2" customWidth="1"/>
    <col min="12533" max="12533" width="13.25" style="2" bestFit="1" customWidth="1"/>
    <col min="12534" max="12535" width="11.125" style="2" bestFit="1" customWidth="1"/>
    <col min="12536" max="12536" width="13.25" style="2" bestFit="1" customWidth="1"/>
    <col min="12537" max="12537" width="11.125" style="2" bestFit="1" customWidth="1"/>
    <col min="12538" max="12538" width="9" style="2"/>
    <col min="12539" max="12549" width="11.125" style="2" bestFit="1" customWidth="1"/>
    <col min="12550" max="12550" width="9" style="2"/>
    <col min="12551" max="12557" width="11.125" style="2" bestFit="1" customWidth="1"/>
    <col min="12558" max="12558" width="9" style="2"/>
    <col min="12559" max="12559" width="9.625" style="2" bestFit="1" customWidth="1"/>
    <col min="12560" max="12787" width="9" style="2"/>
    <col min="12788" max="12788" width="2.375" style="2" customWidth="1"/>
    <col min="12789" max="12789" width="13.25" style="2" bestFit="1" customWidth="1"/>
    <col min="12790" max="12791" width="11.125" style="2" bestFit="1" customWidth="1"/>
    <col min="12792" max="12792" width="13.25" style="2" bestFit="1" customWidth="1"/>
    <col min="12793" max="12793" width="11.125" style="2" bestFit="1" customWidth="1"/>
    <col min="12794" max="12794" width="9" style="2"/>
    <col min="12795" max="12805" width="11.125" style="2" bestFit="1" customWidth="1"/>
    <col min="12806" max="12806" width="9" style="2"/>
    <col min="12807" max="12813" width="11.125" style="2" bestFit="1" customWidth="1"/>
    <col min="12814" max="12814" width="9" style="2"/>
    <col min="12815" max="12815" width="9.625" style="2" bestFit="1" customWidth="1"/>
    <col min="12816" max="13043" width="9" style="2"/>
    <col min="13044" max="13044" width="2.375" style="2" customWidth="1"/>
    <col min="13045" max="13045" width="13.25" style="2" bestFit="1" customWidth="1"/>
    <col min="13046" max="13047" width="11.125" style="2" bestFit="1" customWidth="1"/>
    <col min="13048" max="13048" width="13.25" style="2" bestFit="1" customWidth="1"/>
    <col min="13049" max="13049" width="11.125" style="2" bestFit="1" customWidth="1"/>
    <col min="13050" max="13050" width="9" style="2"/>
    <col min="13051" max="13061" width="11.125" style="2" bestFit="1" customWidth="1"/>
    <col min="13062" max="13062" width="9" style="2"/>
    <col min="13063" max="13069" width="11.125" style="2" bestFit="1" customWidth="1"/>
    <col min="13070" max="13070" width="9" style="2"/>
    <col min="13071" max="13071" width="9.625" style="2" bestFit="1" customWidth="1"/>
    <col min="13072" max="13299" width="9" style="2"/>
    <col min="13300" max="13300" width="2.375" style="2" customWidth="1"/>
    <col min="13301" max="13301" width="13.25" style="2" bestFit="1" customWidth="1"/>
    <col min="13302" max="13303" width="11.125" style="2" bestFit="1" customWidth="1"/>
    <col min="13304" max="13304" width="13.25" style="2" bestFit="1" customWidth="1"/>
    <col min="13305" max="13305" width="11.125" style="2" bestFit="1" customWidth="1"/>
    <col min="13306" max="13306" width="9" style="2"/>
    <col min="13307" max="13317" width="11.125" style="2" bestFit="1" customWidth="1"/>
    <col min="13318" max="13318" width="9" style="2"/>
    <col min="13319" max="13325" width="11.125" style="2" bestFit="1" customWidth="1"/>
    <col min="13326" max="13326" width="9" style="2"/>
    <col min="13327" max="13327" width="9.625" style="2" bestFit="1" customWidth="1"/>
    <col min="13328" max="13555" width="9" style="2"/>
    <col min="13556" max="13556" width="2.375" style="2" customWidth="1"/>
    <col min="13557" max="13557" width="13.25" style="2" bestFit="1" customWidth="1"/>
    <col min="13558" max="13559" width="11.125" style="2" bestFit="1" customWidth="1"/>
    <col min="13560" max="13560" width="13.25" style="2" bestFit="1" customWidth="1"/>
    <col min="13561" max="13561" width="11.125" style="2" bestFit="1" customWidth="1"/>
    <col min="13562" max="13562" width="9" style="2"/>
    <col min="13563" max="13573" width="11.125" style="2" bestFit="1" customWidth="1"/>
    <col min="13574" max="13574" width="9" style="2"/>
    <col min="13575" max="13581" width="11.125" style="2" bestFit="1" customWidth="1"/>
    <col min="13582" max="13582" width="9" style="2"/>
    <col min="13583" max="13583" width="9.625" style="2" bestFit="1" customWidth="1"/>
    <col min="13584" max="13811" width="9" style="2"/>
    <col min="13812" max="13812" width="2.375" style="2" customWidth="1"/>
    <col min="13813" max="13813" width="13.25" style="2" bestFit="1" customWidth="1"/>
    <col min="13814" max="13815" width="11.125" style="2" bestFit="1" customWidth="1"/>
    <col min="13816" max="13816" width="13.25" style="2" bestFit="1" customWidth="1"/>
    <col min="13817" max="13817" width="11.125" style="2" bestFit="1" customWidth="1"/>
    <col min="13818" max="13818" width="9" style="2"/>
    <col min="13819" max="13829" width="11.125" style="2" bestFit="1" customWidth="1"/>
    <col min="13830" max="13830" width="9" style="2"/>
    <col min="13831" max="13837" width="11.125" style="2" bestFit="1" customWidth="1"/>
    <col min="13838" max="13838" width="9" style="2"/>
    <col min="13839" max="13839" width="9.625" style="2" bestFit="1" customWidth="1"/>
    <col min="13840" max="14067" width="9" style="2"/>
    <col min="14068" max="14068" width="2.375" style="2" customWidth="1"/>
    <col min="14069" max="14069" width="13.25" style="2" bestFit="1" customWidth="1"/>
    <col min="14070" max="14071" width="11.125" style="2" bestFit="1" customWidth="1"/>
    <col min="14072" max="14072" width="13.25" style="2" bestFit="1" customWidth="1"/>
    <col min="14073" max="14073" width="11.125" style="2" bestFit="1" customWidth="1"/>
    <col min="14074" max="14074" width="9" style="2"/>
    <col min="14075" max="14085" width="11.125" style="2" bestFit="1" customWidth="1"/>
    <col min="14086" max="14086" width="9" style="2"/>
    <col min="14087" max="14093" width="11.125" style="2" bestFit="1" customWidth="1"/>
    <col min="14094" max="14094" width="9" style="2"/>
    <col min="14095" max="14095" width="9.625" style="2" bestFit="1" customWidth="1"/>
    <col min="14096" max="14323" width="9" style="2"/>
    <col min="14324" max="14324" width="2.375" style="2" customWidth="1"/>
    <col min="14325" max="14325" width="13.25" style="2" bestFit="1" customWidth="1"/>
    <col min="14326" max="14327" width="11.125" style="2" bestFit="1" customWidth="1"/>
    <col min="14328" max="14328" width="13.25" style="2" bestFit="1" customWidth="1"/>
    <col min="14329" max="14329" width="11.125" style="2" bestFit="1" customWidth="1"/>
    <col min="14330" max="14330" width="9" style="2"/>
    <col min="14331" max="14341" width="11.125" style="2" bestFit="1" customWidth="1"/>
    <col min="14342" max="14342" width="9" style="2"/>
    <col min="14343" max="14349" width="11.125" style="2" bestFit="1" customWidth="1"/>
    <col min="14350" max="14350" width="9" style="2"/>
    <col min="14351" max="14351" width="9.625" style="2" bestFit="1" customWidth="1"/>
    <col min="14352" max="14579" width="9" style="2"/>
    <col min="14580" max="14580" width="2.375" style="2" customWidth="1"/>
    <col min="14581" max="14581" width="13.25" style="2" bestFit="1" customWidth="1"/>
    <col min="14582" max="14583" width="11.125" style="2" bestFit="1" customWidth="1"/>
    <col min="14584" max="14584" width="13.25" style="2" bestFit="1" customWidth="1"/>
    <col min="14585" max="14585" width="11.125" style="2" bestFit="1" customWidth="1"/>
    <col min="14586" max="14586" width="9" style="2"/>
    <col min="14587" max="14597" width="11.125" style="2" bestFit="1" customWidth="1"/>
    <col min="14598" max="14598" width="9" style="2"/>
    <col min="14599" max="14605" width="11.125" style="2" bestFit="1" customWidth="1"/>
    <col min="14606" max="14606" width="9" style="2"/>
    <col min="14607" max="14607" width="9.625" style="2" bestFit="1" customWidth="1"/>
    <col min="14608" max="14835" width="9" style="2"/>
    <col min="14836" max="14836" width="2.375" style="2" customWidth="1"/>
    <col min="14837" max="14837" width="13.25" style="2" bestFit="1" customWidth="1"/>
    <col min="14838" max="14839" width="11.125" style="2" bestFit="1" customWidth="1"/>
    <col min="14840" max="14840" width="13.25" style="2" bestFit="1" customWidth="1"/>
    <col min="14841" max="14841" width="11.125" style="2" bestFit="1" customWidth="1"/>
    <col min="14842" max="14842" width="9" style="2"/>
    <col min="14843" max="14853" width="11.125" style="2" bestFit="1" customWidth="1"/>
    <col min="14854" max="14854" width="9" style="2"/>
    <col min="14855" max="14861" width="11.125" style="2" bestFit="1" customWidth="1"/>
    <col min="14862" max="14862" width="9" style="2"/>
    <col min="14863" max="14863" width="9.625" style="2" bestFit="1" customWidth="1"/>
    <col min="14864" max="15091" width="9" style="2"/>
    <col min="15092" max="15092" width="2.375" style="2" customWidth="1"/>
    <col min="15093" max="15093" width="13.25" style="2" bestFit="1" customWidth="1"/>
    <col min="15094" max="15095" width="11.125" style="2" bestFit="1" customWidth="1"/>
    <col min="15096" max="15096" width="13.25" style="2" bestFit="1" customWidth="1"/>
    <col min="15097" max="15097" width="11.125" style="2" bestFit="1" customWidth="1"/>
    <col min="15098" max="15098" width="9" style="2"/>
    <col min="15099" max="15109" width="11.125" style="2" bestFit="1" customWidth="1"/>
    <col min="15110" max="15110" width="9" style="2"/>
    <col min="15111" max="15117" width="11.125" style="2" bestFit="1" customWidth="1"/>
    <col min="15118" max="15118" width="9" style="2"/>
    <col min="15119" max="15119" width="9.625" style="2" bestFit="1" customWidth="1"/>
    <col min="15120" max="15347" width="9" style="2"/>
    <col min="15348" max="15348" width="2.375" style="2" customWidth="1"/>
    <col min="15349" max="15349" width="13.25" style="2" bestFit="1" customWidth="1"/>
    <col min="15350" max="15351" width="11.125" style="2" bestFit="1" customWidth="1"/>
    <col min="15352" max="15352" width="13.25" style="2" bestFit="1" customWidth="1"/>
    <col min="15353" max="15353" width="11.125" style="2" bestFit="1" customWidth="1"/>
    <col min="15354" max="15354" width="9" style="2"/>
    <col min="15355" max="15365" width="11.125" style="2" bestFit="1" customWidth="1"/>
    <col min="15366" max="15366" width="9" style="2"/>
    <col min="15367" max="15373" width="11.125" style="2" bestFit="1" customWidth="1"/>
    <col min="15374" max="15374" width="9" style="2"/>
    <col min="15375" max="15375" width="9.625" style="2" bestFit="1" customWidth="1"/>
    <col min="15376" max="15603" width="9" style="2"/>
    <col min="15604" max="15604" width="2.375" style="2" customWidth="1"/>
    <col min="15605" max="15605" width="13.25" style="2" bestFit="1" customWidth="1"/>
    <col min="15606" max="15607" width="11.125" style="2" bestFit="1" customWidth="1"/>
    <col min="15608" max="15608" width="13.25" style="2" bestFit="1" customWidth="1"/>
    <col min="15609" max="15609" width="11.125" style="2" bestFit="1" customWidth="1"/>
    <col min="15610" max="15610" width="9" style="2"/>
    <col min="15611" max="15621" width="11.125" style="2" bestFit="1" customWidth="1"/>
    <col min="15622" max="15622" width="9" style="2"/>
    <col min="15623" max="15629" width="11.125" style="2" bestFit="1" customWidth="1"/>
    <col min="15630" max="15630" width="9" style="2"/>
    <col min="15631" max="15631" width="9.625" style="2" bestFit="1" customWidth="1"/>
    <col min="15632" max="15859" width="9" style="2"/>
    <col min="15860" max="15860" width="2.375" style="2" customWidth="1"/>
    <col min="15861" max="15861" width="13.25" style="2" bestFit="1" customWidth="1"/>
    <col min="15862" max="15863" width="11.125" style="2" bestFit="1" customWidth="1"/>
    <col min="15864" max="15864" width="13.25" style="2" bestFit="1" customWidth="1"/>
    <col min="15865" max="15865" width="11.125" style="2" bestFit="1" customWidth="1"/>
    <col min="15866" max="15866" width="9" style="2"/>
    <col min="15867" max="15877" width="11.125" style="2" bestFit="1" customWidth="1"/>
    <col min="15878" max="15878" width="9" style="2"/>
    <col min="15879" max="15885" width="11.125" style="2" bestFit="1" customWidth="1"/>
    <col min="15886" max="15886" width="9" style="2"/>
    <col min="15887" max="15887" width="9.625" style="2" bestFit="1" customWidth="1"/>
    <col min="15888" max="16115" width="9" style="2"/>
    <col min="16116" max="16116" width="2.375" style="2" customWidth="1"/>
    <col min="16117" max="16117" width="13.25" style="2" bestFit="1" customWidth="1"/>
    <col min="16118" max="16119" width="11.125" style="2" bestFit="1" customWidth="1"/>
    <col min="16120" max="16120" width="13.25" style="2" bestFit="1" customWidth="1"/>
    <col min="16121" max="16121" width="11.125" style="2" bestFit="1" customWidth="1"/>
    <col min="16122" max="16122" width="9" style="2"/>
    <col min="16123" max="16133" width="11.125" style="2" bestFit="1" customWidth="1"/>
    <col min="16134" max="16134" width="9" style="2"/>
    <col min="16135" max="16141" width="11.125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 hidden="1">
      <c r="A2" s="1"/>
    </row>
    <row r="3" spans="1:15" hidden="1">
      <c r="A3" s="1" t="s">
        <v>1</v>
      </c>
    </row>
    <row r="4" spans="1:15" hidden="1">
      <c r="A4" s="1" t="s">
        <v>2</v>
      </c>
    </row>
    <row r="5" spans="1:15" hidden="1">
      <c r="A5" s="1" t="s">
        <v>3</v>
      </c>
    </row>
    <row r="6" spans="1:15" ht="19.5" thickBot="1">
      <c r="A6" s="1" t="s">
        <v>4</v>
      </c>
    </row>
    <row r="7" spans="1:15">
      <c r="B7" s="89"/>
      <c r="C7" s="91" t="s">
        <v>21</v>
      </c>
      <c r="D7" s="4" t="s">
        <v>22</v>
      </c>
      <c r="E7" s="4" t="s">
        <v>23</v>
      </c>
      <c r="F7" s="4" t="s">
        <v>24</v>
      </c>
      <c r="G7" s="4" t="s">
        <v>25</v>
      </c>
      <c r="H7" s="4" t="s">
        <v>26</v>
      </c>
      <c r="I7" s="4" t="s">
        <v>27</v>
      </c>
      <c r="J7" s="4" t="s">
        <v>28</v>
      </c>
      <c r="K7" s="16" t="s">
        <v>29</v>
      </c>
      <c r="L7" s="88" t="s">
        <v>20</v>
      </c>
      <c r="M7" s="63" t="s">
        <v>30</v>
      </c>
      <c r="N7" s="89" t="s">
        <v>20</v>
      </c>
      <c r="O7" s="88" t="s">
        <v>60</v>
      </c>
    </row>
    <row r="8" spans="1:15">
      <c r="B8" s="76" t="s">
        <v>31</v>
      </c>
      <c r="C8" s="92" t="s">
        <v>48</v>
      </c>
      <c r="D8" s="29" t="s">
        <v>49</v>
      </c>
      <c r="E8" s="29" t="s">
        <v>50</v>
      </c>
      <c r="F8" s="29" t="s">
        <v>51</v>
      </c>
      <c r="G8" s="29" t="s">
        <v>52</v>
      </c>
      <c r="H8" s="29" t="s">
        <v>53</v>
      </c>
      <c r="I8" s="29" t="s">
        <v>54</v>
      </c>
      <c r="J8" s="29" t="s">
        <v>55</v>
      </c>
      <c r="K8" s="30" t="s">
        <v>56</v>
      </c>
      <c r="L8" s="31" t="s">
        <v>57</v>
      </c>
      <c r="M8" s="64" t="s">
        <v>58</v>
      </c>
      <c r="N8" s="76" t="s">
        <v>59</v>
      </c>
      <c r="O8" s="31" t="s">
        <v>110</v>
      </c>
    </row>
    <row r="9" spans="1:15">
      <c r="A9" s="90" t="s">
        <v>3</v>
      </c>
      <c r="B9" s="104" t="s">
        <v>61</v>
      </c>
      <c r="C9" s="93">
        <v>21</v>
      </c>
      <c r="D9" s="24">
        <v>22</v>
      </c>
      <c r="E9" s="24">
        <v>21</v>
      </c>
      <c r="F9" s="24">
        <v>14</v>
      </c>
      <c r="G9" s="24">
        <v>19</v>
      </c>
      <c r="H9" s="24">
        <v>10</v>
      </c>
      <c r="I9" s="24">
        <v>6</v>
      </c>
      <c r="J9" s="24">
        <v>10</v>
      </c>
      <c r="K9" s="25">
        <v>13</v>
      </c>
      <c r="L9" s="26">
        <f>SUM(C9:K9)</f>
        <v>136</v>
      </c>
      <c r="M9" s="65">
        <v>20</v>
      </c>
      <c r="N9" s="77">
        <f>M9</f>
        <v>20</v>
      </c>
      <c r="O9" s="26">
        <f>L9+N9</f>
        <v>156</v>
      </c>
    </row>
    <row r="10" spans="1:15">
      <c r="A10" s="1" t="s">
        <v>3</v>
      </c>
      <c r="B10" s="105" t="s">
        <v>62</v>
      </c>
      <c r="C10" s="94">
        <v>0</v>
      </c>
      <c r="D10" s="5">
        <v>2</v>
      </c>
      <c r="E10" s="5">
        <v>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6">
        <v>0</v>
      </c>
      <c r="L10" s="12">
        <f t="shared" ref="L10:L21" si="0">SUM(C10:K10)</f>
        <v>4</v>
      </c>
      <c r="M10" s="66">
        <v>0</v>
      </c>
      <c r="N10" s="78">
        <f t="shared" ref="N10:N21" si="1">M10</f>
        <v>0</v>
      </c>
      <c r="O10" s="12">
        <f t="shared" ref="O10:O21" si="2">L10+N10</f>
        <v>4</v>
      </c>
    </row>
    <row r="11" spans="1:15">
      <c r="A11" s="1" t="s">
        <v>3</v>
      </c>
      <c r="B11" s="105" t="s">
        <v>63</v>
      </c>
      <c r="C11" s="94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6">
        <v>0</v>
      </c>
      <c r="L11" s="12">
        <f t="shared" si="0"/>
        <v>0</v>
      </c>
      <c r="M11" s="66">
        <v>0</v>
      </c>
      <c r="N11" s="78">
        <f t="shared" si="1"/>
        <v>0</v>
      </c>
      <c r="O11" s="12">
        <f t="shared" si="2"/>
        <v>0</v>
      </c>
    </row>
    <row r="12" spans="1:15">
      <c r="A12" s="1" t="s">
        <v>3</v>
      </c>
      <c r="B12" s="105" t="s">
        <v>64</v>
      </c>
      <c r="C12" s="94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6">
        <v>0</v>
      </c>
      <c r="L12" s="12">
        <f t="shared" si="0"/>
        <v>0</v>
      </c>
      <c r="M12" s="66">
        <v>0</v>
      </c>
      <c r="N12" s="78">
        <f t="shared" si="1"/>
        <v>0</v>
      </c>
      <c r="O12" s="12">
        <f t="shared" si="2"/>
        <v>0</v>
      </c>
    </row>
    <row r="13" spans="1:15">
      <c r="A13" s="1" t="s">
        <v>3</v>
      </c>
      <c r="B13" s="105" t="s">
        <v>65</v>
      </c>
      <c r="C13" s="94">
        <v>1.5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6">
        <v>9</v>
      </c>
      <c r="L13" s="12">
        <f t="shared" si="0"/>
        <v>11.5</v>
      </c>
      <c r="M13" s="66">
        <v>2</v>
      </c>
      <c r="N13" s="78">
        <f t="shared" si="1"/>
        <v>2</v>
      </c>
      <c r="O13" s="12">
        <f t="shared" si="2"/>
        <v>13.5</v>
      </c>
    </row>
    <row r="14" spans="1:15">
      <c r="A14" s="1" t="s">
        <v>3</v>
      </c>
      <c r="B14" s="105" t="s">
        <v>66</v>
      </c>
      <c r="C14" s="95">
        <v>0</v>
      </c>
      <c r="D14" s="7">
        <v>0</v>
      </c>
      <c r="E14" s="7">
        <v>0</v>
      </c>
      <c r="F14" s="7">
        <v>3.5416666666666665</v>
      </c>
      <c r="G14" s="7">
        <v>4.25</v>
      </c>
      <c r="H14" s="7">
        <v>2.9166666666666665</v>
      </c>
      <c r="I14" s="7">
        <v>1.9166666666666665</v>
      </c>
      <c r="J14" s="7">
        <v>2.9166666666666665</v>
      </c>
      <c r="K14" s="8">
        <v>3.625</v>
      </c>
      <c r="L14" s="13">
        <f t="shared" si="0"/>
        <v>19.166666666666664</v>
      </c>
      <c r="M14" s="67">
        <v>0</v>
      </c>
      <c r="N14" s="79">
        <f t="shared" si="1"/>
        <v>0</v>
      </c>
      <c r="O14" s="13">
        <f t="shared" si="2"/>
        <v>19.166666666666664</v>
      </c>
    </row>
    <row r="15" spans="1:15">
      <c r="A15" s="1" t="s">
        <v>3</v>
      </c>
      <c r="B15" s="105" t="s">
        <v>67</v>
      </c>
      <c r="C15" s="95">
        <v>0</v>
      </c>
      <c r="D15" s="7">
        <v>1.2916666666666667</v>
      </c>
      <c r="E15" s="7">
        <v>0.33333333333333331</v>
      </c>
      <c r="F15" s="7">
        <v>0</v>
      </c>
      <c r="G15" s="7">
        <v>0</v>
      </c>
      <c r="H15" s="7">
        <v>0</v>
      </c>
      <c r="I15" s="7">
        <v>8.3333333333333329E-2</v>
      </c>
      <c r="J15" s="7">
        <v>0</v>
      </c>
      <c r="K15" s="8">
        <v>4.1666666666666664E-2</v>
      </c>
      <c r="L15" s="13">
        <f t="shared" si="0"/>
        <v>1.75</v>
      </c>
      <c r="M15" s="67">
        <v>0</v>
      </c>
      <c r="N15" s="79">
        <f t="shared" si="1"/>
        <v>0</v>
      </c>
      <c r="O15" s="13">
        <f t="shared" si="2"/>
        <v>1.75</v>
      </c>
    </row>
    <row r="16" spans="1:15">
      <c r="A16" s="1" t="s">
        <v>3</v>
      </c>
      <c r="B16" s="105" t="s">
        <v>68</v>
      </c>
      <c r="C16" s="95">
        <v>0</v>
      </c>
      <c r="D16" s="7">
        <v>0.5</v>
      </c>
      <c r="E16" s="7">
        <v>0.54166666666666663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8">
        <v>0</v>
      </c>
      <c r="L16" s="13">
        <f t="shared" si="0"/>
        <v>1.0416666666666665</v>
      </c>
      <c r="M16" s="67">
        <v>0</v>
      </c>
      <c r="N16" s="79">
        <f t="shared" si="1"/>
        <v>0</v>
      </c>
      <c r="O16" s="13">
        <f t="shared" si="2"/>
        <v>1.0416666666666665</v>
      </c>
    </row>
    <row r="17" spans="1:15">
      <c r="A17" s="1" t="s">
        <v>3</v>
      </c>
      <c r="B17" s="105" t="s">
        <v>69</v>
      </c>
      <c r="C17" s="95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0</v>
      </c>
      <c r="L17" s="13">
        <f t="shared" si="0"/>
        <v>0</v>
      </c>
      <c r="M17" s="67">
        <v>0</v>
      </c>
      <c r="N17" s="79">
        <f t="shared" si="1"/>
        <v>0</v>
      </c>
      <c r="O17" s="13">
        <f t="shared" si="2"/>
        <v>0</v>
      </c>
    </row>
    <row r="18" spans="1:15">
      <c r="A18" s="1" t="s">
        <v>3</v>
      </c>
      <c r="B18" s="105" t="s">
        <v>70</v>
      </c>
      <c r="C18" s="95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8">
        <v>0</v>
      </c>
      <c r="L18" s="13">
        <f t="shared" si="0"/>
        <v>0</v>
      </c>
      <c r="M18" s="67">
        <v>0</v>
      </c>
      <c r="N18" s="79">
        <f t="shared" si="1"/>
        <v>0</v>
      </c>
      <c r="O18" s="13">
        <f t="shared" si="2"/>
        <v>0</v>
      </c>
    </row>
    <row r="19" spans="1:15">
      <c r="A19" s="1" t="s">
        <v>3</v>
      </c>
      <c r="B19" s="105" t="s">
        <v>71</v>
      </c>
      <c r="C19" s="95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8">
        <v>0</v>
      </c>
      <c r="L19" s="13">
        <f t="shared" si="0"/>
        <v>0</v>
      </c>
      <c r="M19" s="67">
        <v>0</v>
      </c>
      <c r="N19" s="79">
        <f t="shared" si="1"/>
        <v>0</v>
      </c>
      <c r="O19" s="13">
        <f t="shared" si="2"/>
        <v>0</v>
      </c>
    </row>
    <row r="20" spans="1:15">
      <c r="A20" s="1" t="s">
        <v>3</v>
      </c>
      <c r="B20" s="105" t="s">
        <v>72</v>
      </c>
      <c r="C20" s="95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8">
        <v>1.875</v>
      </c>
      <c r="L20" s="13">
        <f t="shared" si="0"/>
        <v>1.875</v>
      </c>
      <c r="M20" s="67">
        <v>0</v>
      </c>
      <c r="N20" s="79">
        <f t="shared" si="1"/>
        <v>0</v>
      </c>
      <c r="O20" s="13">
        <f t="shared" si="2"/>
        <v>1.875</v>
      </c>
    </row>
    <row r="21" spans="1:15">
      <c r="A21" s="1" t="s">
        <v>3</v>
      </c>
      <c r="B21" s="106" t="s">
        <v>73</v>
      </c>
      <c r="C21" s="96">
        <v>4.1666666666666664E-2</v>
      </c>
      <c r="D21" s="34">
        <v>0</v>
      </c>
      <c r="E21" s="34">
        <v>0</v>
      </c>
      <c r="F21" s="34">
        <v>0</v>
      </c>
      <c r="G21" s="34">
        <v>0</v>
      </c>
      <c r="H21" s="34">
        <v>2.0833333333333335</v>
      </c>
      <c r="I21" s="34">
        <v>0.41666666666666669</v>
      </c>
      <c r="J21" s="34">
        <v>2.0833333333333335</v>
      </c>
      <c r="K21" s="35">
        <v>1.625</v>
      </c>
      <c r="L21" s="36">
        <f t="shared" si="0"/>
        <v>6.25</v>
      </c>
      <c r="M21" s="68">
        <v>0.20833333333333334</v>
      </c>
      <c r="N21" s="80">
        <f t="shared" si="1"/>
        <v>0.20833333333333334</v>
      </c>
      <c r="O21" s="36">
        <f t="shared" si="2"/>
        <v>6.458333333333333</v>
      </c>
    </row>
    <row r="22" spans="1:15">
      <c r="A22" s="1" t="s">
        <v>3</v>
      </c>
      <c r="B22" s="107" t="s">
        <v>74</v>
      </c>
      <c r="C22" s="97">
        <v>31</v>
      </c>
      <c r="D22" s="43">
        <v>40</v>
      </c>
      <c r="E22" s="43">
        <v>15</v>
      </c>
      <c r="F22" s="43">
        <v>21</v>
      </c>
      <c r="G22" s="43">
        <v>22</v>
      </c>
      <c r="H22" s="43">
        <v>7</v>
      </c>
      <c r="I22" s="43">
        <v>6</v>
      </c>
      <c r="J22" s="43">
        <v>20</v>
      </c>
      <c r="K22" s="44">
        <v>7</v>
      </c>
      <c r="L22" s="45"/>
      <c r="M22" s="69">
        <v>38</v>
      </c>
      <c r="N22" s="81"/>
      <c r="O22" s="45"/>
    </row>
    <row r="23" spans="1:15">
      <c r="A23" s="1" t="s">
        <v>3</v>
      </c>
      <c r="B23" s="104" t="s">
        <v>75</v>
      </c>
      <c r="C23" s="98">
        <v>370000</v>
      </c>
      <c r="D23" s="38">
        <v>285000</v>
      </c>
      <c r="E23" s="38">
        <v>225000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9">
        <v>0</v>
      </c>
      <c r="L23" s="40">
        <f t="shared" ref="L23:L53" si="3">SUM(C23:K23)</f>
        <v>880000</v>
      </c>
      <c r="M23" s="70">
        <v>390000</v>
      </c>
      <c r="N23" s="82">
        <f t="shared" ref="N23:N53" si="4">M23</f>
        <v>390000</v>
      </c>
      <c r="O23" s="40">
        <f t="shared" ref="O23:O53" si="5">L23+N23</f>
        <v>1270000</v>
      </c>
    </row>
    <row r="24" spans="1:15">
      <c r="A24" s="1" t="s">
        <v>3</v>
      </c>
      <c r="B24" s="105" t="s">
        <v>76</v>
      </c>
      <c r="C24" s="9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10">
        <v>0</v>
      </c>
      <c r="L24" s="14">
        <f t="shared" si="3"/>
        <v>0</v>
      </c>
      <c r="M24" s="71">
        <v>0</v>
      </c>
      <c r="N24" s="83">
        <f t="shared" si="4"/>
        <v>0</v>
      </c>
      <c r="O24" s="14">
        <f t="shared" si="5"/>
        <v>0</v>
      </c>
    </row>
    <row r="25" spans="1:15">
      <c r="A25" s="1" t="s">
        <v>3</v>
      </c>
      <c r="B25" s="105" t="s">
        <v>77</v>
      </c>
      <c r="C25" s="99">
        <v>0</v>
      </c>
      <c r="D25" s="9">
        <v>3000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10">
        <v>0</v>
      </c>
      <c r="L25" s="14">
        <f t="shared" si="3"/>
        <v>3000</v>
      </c>
      <c r="M25" s="71">
        <v>0</v>
      </c>
      <c r="N25" s="83">
        <f t="shared" si="4"/>
        <v>0</v>
      </c>
      <c r="O25" s="14">
        <f t="shared" si="5"/>
        <v>3000</v>
      </c>
    </row>
    <row r="26" spans="1:15">
      <c r="A26" s="1" t="s">
        <v>3</v>
      </c>
      <c r="B26" s="105" t="s">
        <v>78</v>
      </c>
      <c r="C26" s="9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10">
        <v>0</v>
      </c>
      <c r="L26" s="14">
        <f t="shared" si="3"/>
        <v>0</v>
      </c>
      <c r="M26" s="71">
        <v>0</v>
      </c>
      <c r="N26" s="83">
        <f t="shared" si="4"/>
        <v>0</v>
      </c>
      <c r="O26" s="14">
        <f t="shared" si="5"/>
        <v>0</v>
      </c>
    </row>
    <row r="27" spans="1:15">
      <c r="A27" s="1" t="s">
        <v>3</v>
      </c>
      <c r="B27" s="105" t="s">
        <v>79</v>
      </c>
      <c r="C27" s="99">
        <v>0</v>
      </c>
      <c r="D27" s="9">
        <v>0</v>
      </c>
      <c r="E27" s="9">
        <v>0</v>
      </c>
      <c r="F27" s="9">
        <v>87975</v>
      </c>
      <c r="G27" s="9">
        <v>109140</v>
      </c>
      <c r="H27" s="9">
        <v>68250</v>
      </c>
      <c r="I27" s="9">
        <v>44850</v>
      </c>
      <c r="J27" s="9">
        <v>68250</v>
      </c>
      <c r="K27" s="10">
        <v>84825</v>
      </c>
      <c r="L27" s="14">
        <f t="shared" si="3"/>
        <v>463290</v>
      </c>
      <c r="M27" s="71">
        <v>0</v>
      </c>
      <c r="N27" s="83">
        <f t="shared" si="4"/>
        <v>0</v>
      </c>
      <c r="O27" s="14">
        <f t="shared" si="5"/>
        <v>463290</v>
      </c>
    </row>
    <row r="28" spans="1:15">
      <c r="A28" s="1" t="s">
        <v>3</v>
      </c>
      <c r="B28" s="105" t="s">
        <v>80</v>
      </c>
      <c r="C28" s="99">
        <v>0</v>
      </c>
      <c r="D28" s="9">
        <v>27200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10">
        <v>0</v>
      </c>
      <c r="L28" s="14">
        <f t="shared" si="3"/>
        <v>27200</v>
      </c>
      <c r="M28" s="71">
        <v>0</v>
      </c>
      <c r="N28" s="83">
        <f t="shared" si="4"/>
        <v>0</v>
      </c>
      <c r="O28" s="14">
        <f t="shared" si="5"/>
        <v>27200</v>
      </c>
    </row>
    <row r="29" spans="1:15">
      <c r="A29" s="1" t="s">
        <v>3</v>
      </c>
      <c r="B29" s="105" t="s">
        <v>81</v>
      </c>
      <c r="C29" s="9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10">
        <v>0</v>
      </c>
      <c r="L29" s="14">
        <f t="shared" si="3"/>
        <v>0</v>
      </c>
      <c r="M29" s="71">
        <v>0</v>
      </c>
      <c r="N29" s="83">
        <f t="shared" si="4"/>
        <v>0</v>
      </c>
      <c r="O29" s="14">
        <f t="shared" si="5"/>
        <v>0</v>
      </c>
    </row>
    <row r="30" spans="1:15">
      <c r="A30" s="1" t="s">
        <v>3</v>
      </c>
      <c r="B30" s="105" t="s">
        <v>82</v>
      </c>
      <c r="C30" s="9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10">
        <v>43875</v>
      </c>
      <c r="L30" s="14">
        <f t="shared" si="3"/>
        <v>43875</v>
      </c>
      <c r="M30" s="71">
        <v>0</v>
      </c>
      <c r="N30" s="83">
        <f t="shared" si="4"/>
        <v>0</v>
      </c>
      <c r="O30" s="14">
        <f t="shared" si="5"/>
        <v>43875</v>
      </c>
    </row>
    <row r="31" spans="1:15">
      <c r="A31" s="1" t="s">
        <v>3</v>
      </c>
      <c r="B31" s="105" t="s">
        <v>67</v>
      </c>
      <c r="C31" s="99">
        <v>0</v>
      </c>
      <c r="D31" s="9">
        <v>66836</v>
      </c>
      <c r="E31" s="9">
        <v>13472</v>
      </c>
      <c r="F31" s="9">
        <v>0</v>
      </c>
      <c r="G31" s="9">
        <v>0</v>
      </c>
      <c r="H31" s="9">
        <v>0</v>
      </c>
      <c r="I31" s="9">
        <v>2438</v>
      </c>
      <c r="J31" s="9">
        <v>0</v>
      </c>
      <c r="K31" s="10">
        <v>1219</v>
      </c>
      <c r="L31" s="14">
        <f t="shared" si="3"/>
        <v>83965</v>
      </c>
      <c r="M31" s="71">
        <v>0</v>
      </c>
      <c r="N31" s="83">
        <f t="shared" si="4"/>
        <v>0</v>
      </c>
      <c r="O31" s="14">
        <f t="shared" si="5"/>
        <v>83965</v>
      </c>
    </row>
    <row r="32" spans="1:15">
      <c r="A32" s="1" t="s">
        <v>3</v>
      </c>
      <c r="B32" s="105" t="s">
        <v>83</v>
      </c>
      <c r="C32" s="99">
        <v>0</v>
      </c>
      <c r="D32" s="9">
        <v>27948</v>
      </c>
      <c r="E32" s="9">
        <v>23634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10">
        <v>0</v>
      </c>
      <c r="L32" s="14">
        <f t="shared" si="3"/>
        <v>51582</v>
      </c>
      <c r="M32" s="71">
        <v>0</v>
      </c>
      <c r="N32" s="83">
        <f t="shared" si="4"/>
        <v>0</v>
      </c>
      <c r="O32" s="14">
        <f t="shared" si="5"/>
        <v>51582</v>
      </c>
    </row>
    <row r="33" spans="1:15">
      <c r="A33" s="1" t="s">
        <v>3</v>
      </c>
      <c r="B33" s="105" t="s">
        <v>84</v>
      </c>
      <c r="C33" s="9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10">
        <v>0</v>
      </c>
      <c r="L33" s="14">
        <f t="shared" si="3"/>
        <v>0</v>
      </c>
      <c r="M33" s="71">
        <v>0</v>
      </c>
      <c r="N33" s="83">
        <f t="shared" si="4"/>
        <v>0</v>
      </c>
      <c r="O33" s="14">
        <f t="shared" si="5"/>
        <v>0</v>
      </c>
    </row>
    <row r="34" spans="1:15">
      <c r="A34" s="1" t="s">
        <v>3</v>
      </c>
      <c r="B34" s="105" t="s">
        <v>85</v>
      </c>
      <c r="C34" s="9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10">
        <v>0</v>
      </c>
      <c r="L34" s="14">
        <f t="shared" si="3"/>
        <v>0</v>
      </c>
      <c r="M34" s="71">
        <v>0</v>
      </c>
      <c r="N34" s="83">
        <f t="shared" si="4"/>
        <v>0</v>
      </c>
      <c r="O34" s="14">
        <f t="shared" si="5"/>
        <v>0</v>
      </c>
    </row>
    <row r="35" spans="1:15">
      <c r="A35" s="1" t="s">
        <v>3</v>
      </c>
      <c r="B35" s="105" t="s">
        <v>71</v>
      </c>
      <c r="C35" s="9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10">
        <v>0</v>
      </c>
      <c r="L35" s="14">
        <f t="shared" si="3"/>
        <v>0</v>
      </c>
      <c r="M35" s="71">
        <v>0</v>
      </c>
      <c r="N35" s="83">
        <f t="shared" si="4"/>
        <v>0</v>
      </c>
      <c r="O35" s="14">
        <f t="shared" si="5"/>
        <v>0</v>
      </c>
    </row>
    <row r="36" spans="1:15">
      <c r="A36" s="1" t="s">
        <v>3</v>
      </c>
      <c r="B36" s="106" t="s">
        <v>73</v>
      </c>
      <c r="C36" s="100">
        <v>554</v>
      </c>
      <c r="D36" s="47">
        <v>0</v>
      </c>
      <c r="E36" s="47">
        <v>0</v>
      </c>
      <c r="F36" s="47">
        <v>0</v>
      </c>
      <c r="G36" s="47">
        <v>0</v>
      </c>
      <c r="H36" s="47">
        <v>12200</v>
      </c>
      <c r="I36" s="47">
        <v>2440</v>
      </c>
      <c r="J36" s="47">
        <v>12200</v>
      </c>
      <c r="K36" s="48">
        <v>9516</v>
      </c>
      <c r="L36" s="49">
        <f t="shared" si="3"/>
        <v>36910</v>
      </c>
      <c r="M36" s="72">
        <v>2920</v>
      </c>
      <c r="N36" s="84">
        <f t="shared" si="4"/>
        <v>2920</v>
      </c>
      <c r="O36" s="49">
        <f t="shared" si="5"/>
        <v>39830</v>
      </c>
    </row>
    <row r="37" spans="1:15">
      <c r="A37" s="1" t="s">
        <v>3</v>
      </c>
      <c r="B37" s="107" t="s">
        <v>86</v>
      </c>
      <c r="C37" s="101">
        <v>370554</v>
      </c>
      <c r="D37" s="51">
        <v>409984</v>
      </c>
      <c r="E37" s="51">
        <v>262106</v>
      </c>
      <c r="F37" s="51">
        <v>87975</v>
      </c>
      <c r="G37" s="51">
        <v>109140</v>
      </c>
      <c r="H37" s="51">
        <v>80450</v>
      </c>
      <c r="I37" s="51">
        <v>49728</v>
      </c>
      <c r="J37" s="51">
        <v>80450</v>
      </c>
      <c r="K37" s="52">
        <v>139435</v>
      </c>
      <c r="L37" s="53">
        <f t="shared" si="3"/>
        <v>1589822</v>
      </c>
      <c r="M37" s="73">
        <v>392920</v>
      </c>
      <c r="N37" s="85">
        <f t="shared" si="4"/>
        <v>392920</v>
      </c>
      <c r="O37" s="53">
        <f t="shared" si="5"/>
        <v>1982742</v>
      </c>
    </row>
    <row r="38" spans="1:15">
      <c r="A38" s="1" t="s">
        <v>3</v>
      </c>
      <c r="B38" s="107" t="s">
        <v>87</v>
      </c>
      <c r="C38" s="101">
        <v>3436</v>
      </c>
      <c r="D38" s="51">
        <v>6185</v>
      </c>
      <c r="E38" s="51">
        <v>7903</v>
      </c>
      <c r="F38" s="51">
        <v>3207</v>
      </c>
      <c r="G38" s="51">
        <v>2720</v>
      </c>
      <c r="H38" s="51">
        <v>4581</v>
      </c>
      <c r="I38" s="51">
        <v>2234</v>
      </c>
      <c r="J38" s="51">
        <v>4009</v>
      </c>
      <c r="K38" s="52">
        <v>8561</v>
      </c>
      <c r="L38" s="53">
        <f t="shared" si="3"/>
        <v>42836</v>
      </c>
      <c r="M38" s="73">
        <v>7444</v>
      </c>
      <c r="N38" s="85">
        <f t="shared" si="4"/>
        <v>7444</v>
      </c>
      <c r="O38" s="53">
        <f t="shared" si="5"/>
        <v>50280</v>
      </c>
    </row>
    <row r="39" spans="1:15">
      <c r="A39" s="1" t="s">
        <v>3</v>
      </c>
      <c r="B39" s="107" t="s">
        <v>88</v>
      </c>
      <c r="C39" s="101">
        <v>3436</v>
      </c>
      <c r="D39" s="51">
        <v>6185</v>
      </c>
      <c r="E39" s="51">
        <v>7903</v>
      </c>
      <c r="F39" s="51">
        <v>3207</v>
      </c>
      <c r="G39" s="51">
        <v>2720</v>
      </c>
      <c r="H39" s="51">
        <v>4581</v>
      </c>
      <c r="I39" s="51">
        <v>2234</v>
      </c>
      <c r="J39" s="51">
        <v>4009</v>
      </c>
      <c r="K39" s="52">
        <v>8561</v>
      </c>
      <c r="L39" s="53">
        <f t="shared" si="3"/>
        <v>42836</v>
      </c>
      <c r="M39" s="73">
        <v>7444</v>
      </c>
      <c r="N39" s="85">
        <f t="shared" si="4"/>
        <v>7444</v>
      </c>
      <c r="O39" s="53">
        <f t="shared" si="5"/>
        <v>50280</v>
      </c>
    </row>
    <row r="40" spans="1:15">
      <c r="A40" s="1" t="s">
        <v>3</v>
      </c>
      <c r="B40" s="107" t="s">
        <v>89</v>
      </c>
      <c r="C40" s="101">
        <v>373990</v>
      </c>
      <c r="D40" s="51">
        <v>416169</v>
      </c>
      <c r="E40" s="51">
        <v>270009</v>
      </c>
      <c r="F40" s="51">
        <v>91182</v>
      </c>
      <c r="G40" s="51">
        <v>111860</v>
      </c>
      <c r="H40" s="51">
        <v>85031</v>
      </c>
      <c r="I40" s="51">
        <v>51962</v>
      </c>
      <c r="J40" s="51">
        <v>84459</v>
      </c>
      <c r="K40" s="52">
        <v>147996</v>
      </c>
      <c r="L40" s="53">
        <f t="shared" si="3"/>
        <v>1632658</v>
      </c>
      <c r="M40" s="73">
        <v>400364</v>
      </c>
      <c r="N40" s="85">
        <f t="shared" si="4"/>
        <v>400364</v>
      </c>
      <c r="O40" s="53">
        <f t="shared" si="5"/>
        <v>2033022</v>
      </c>
    </row>
    <row r="41" spans="1:15">
      <c r="A41" s="1" t="s">
        <v>3</v>
      </c>
      <c r="B41" s="104" t="s">
        <v>90</v>
      </c>
      <c r="C41" s="98">
        <v>18360</v>
      </c>
      <c r="D41" s="38">
        <v>20910</v>
      </c>
      <c r="E41" s="38">
        <v>13260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9">
        <v>6834</v>
      </c>
      <c r="L41" s="40">
        <f t="shared" si="3"/>
        <v>59364</v>
      </c>
      <c r="M41" s="70">
        <v>19380</v>
      </c>
      <c r="N41" s="82">
        <f t="shared" si="4"/>
        <v>19380</v>
      </c>
      <c r="O41" s="40">
        <f t="shared" si="5"/>
        <v>78744</v>
      </c>
    </row>
    <row r="42" spans="1:15">
      <c r="A42" s="1" t="s">
        <v>3</v>
      </c>
      <c r="B42" s="105" t="s">
        <v>91</v>
      </c>
      <c r="C42" s="99">
        <v>3240</v>
      </c>
      <c r="D42" s="9">
        <v>3690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10">
        <v>0</v>
      </c>
      <c r="L42" s="14">
        <f t="shared" si="3"/>
        <v>6930</v>
      </c>
      <c r="M42" s="71">
        <v>3420</v>
      </c>
      <c r="N42" s="83">
        <f t="shared" si="4"/>
        <v>3420</v>
      </c>
      <c r="O42" s="14">
        <f t="shared" si="5"/>
        <v>10350</v>
      </c>
    </row>
    <row r="43" spans="1:15">
      <c r="A43" s="1" t="s">
        <v>3</v>
      </c>
      <c r="B43" s="105" t="s">
        <v>92</v>
      </c>
      <c r="C43" s="99">
        <v>32940</v>
      </c>
      <c r="D43" s="9">
        <v>37515</v>
      </c>
      <c r="E43" s="9">
        <v>23790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10">
        <v>12261</v>
      </c>
      <c r="L43" s="14">
        <f t="shared" si="3"/>
        <v>106506</v>
      </c>
      <c r="M43" s="71">
        <v>34770</v>
      </c>
      <c r="N43" s="83">
        <f t="shared" si="4"/>
        <v>34770</v>
      </c>
      <c r="O43" s="14">
        <f t="shared" si="5"/>
        <v>141276</v>
      </c>
    </row>
    <row r="44" spans="1:15">
      <c r="A44" s="1" t="s">
        <v>3</v>
      </c>
      <c r="B44" s="106" t="s">
        <v>93</v>
      </c>
      <c r="C44" s="100">
        <v>2244</v>
      </c>
      <c r="D44" s="47">
        <v>2497</v>
      </c>
      <c r="E44" s="47">
        <v>1620</v>
      </c>
      <c r="F44" s="47">
        <v>547</v>
      </c>
      <c r="G44" s="47">
        <v>671</v>
      </c>
      <c r="H44" s="47">
        <v>0</v>
      </c>
      <c r="I44" s="47">
        <v>0</v>
      </c>
      <c r="J44" s="47">
        <v>507</v>
      </c>
      <c r="K44" s="48">
        <v>888</v>
      </c>
      <c r="L44" s="49">
        <f t="shared" si="3"/>
        <v>8974</v>
      </c>
      <c r="M44" s="72">
        <v>2402</v>
      </c>
      <c r="N44" s="84">
        <f t="shared" si="4"/>
        <v>2402</v>
      </c>
      <c r="O44" s="49">
        <f t="shared" si="5"/>
        <v>11376</v>
      </c>
    </row>
    <row r="45" spans="1:15">
      <c r="A45" s="1" t="s">
        <v>3</v>
      </c>
      <c r="B45" s="107" t="s">
        <v>94</v>
      </c>
      <c r="C45" s="101">
        <v>56784</v>
      </c>
      <c r="D45" s="51">
        <v>64612</v>
      </c>
      <c r="E45" s="51">
        <v>38670</v>
      </c>
      <c r="F45" s="51">
        <v>547</v>
      </c>
      <c r="G45" s="51">
        <v>671</v>
      </c>
      <c r="H45" s="51">
        <v>0</v>
      </c>
      <c r="I45" s="51">
        <v>0</v>
      </c>
      <c r="J45" s="51">
        <v>507</v>
      </c>
      <c r="K45" s="52">
        <v>19983</v>
      </c>
      <c r="L45" s="53">
        <f t="shared" si="3"/>
        <v>181774</v>
      </c>
      <c r="M45" s="73">
        <v>59972</v>
      </c>
      <c r="N45" s="85">
        <f t="shared" si="4"/>
        <v>59972</v>
      </c>
      <c r="O45" s="53">
        <f t="shared" si="5"/>
        <v>241746</v>
      </c>
    </row>
    <row r="46" spans="1:15">
      <c r="A46" s="1" t="s">
        <v>3</v>
      </c>
      <c r="B46" s="104" t="s">
        <v>95</v>
      </c>
      <c r="C46" s="98">
        <v>7280</v>
      </c>
      <c r="D46" s="38">
        <v>8850</v>
      </c>
      <c r="E46" s="38">
        <v>5600</v>
      </c>
      <c r="F46" s="38">
        <v>80</v>
      </c>
      <c r="G46" s="38">
        <v>1160</v>
      </c>
      <c r="H46" s="38">
        <v>0</v>
      </c>
      <c r="I46" s="38">
        <v>0</v>
      </c>
      <c r="J46" s="38">
        <v>0</v>
      </c>
      <c r="K46" s="39">
        <v>100</v>
      </c>
      <c r="L46" s="40">
        <f t="shared" si="3"/>
        <v>23070</v>
      </c>
      <c r="M46" s="70">
        <v>11070</v>
      </c>
      <c r="N46" s="82">
        <f t="shared" si="4"/>
        <v>11070</v>
      </c>
      <c r="O46" s="40">
        <f t="shared" si="5"/>
        <v>34140</v>
      </c>
    </row>
    <row r="47" spans="1:15">
      <c r="A47" s="1" t="s">
        <v>3</v>
      </c>
      <c r="B47" s="105" t="s">
        <v>96</v>
      </c>
      <c r="C47" s="9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10">
        <v>0</v>
      </c>
      <c r="L47" s="14">
        <f t="shared" si="3"/>
        <v>0</v>
      </c>
      <c r="M47" s="71">
        <v>0</v>
      </c>
      <c r="N47" s="83">
        <f t="shared" si="4"/>
        <v>0</v>
      </c>
      <c r="O47" s="14">
        <f t="shared" si="5"/>
        <v>0</v>
      </c>
    </row>
    <row r="48" spans="1:15">
      <c r="A48" s="1" t="s">
        <v>3</v>
      </c>
      <c r="B48" s="105" t="s">
        <v>97</v>
      </c>
      <c r="C48" s="99">
        <v>18600</v>
      </c>
      <c r="D48" s="9">
        <v>17000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2700</v>
      </c>
      <c r="K48" s="10">
        <v>10700</v>
      </c>
      <c r="L48" s="14">
        <f t="shared" si="3"/>
        <v>49000</v>
      </c>
      <c r="M48" s="71">
        <v>21700</v>
      </c>
      <c r="N48" s="83">
        <f t="shared" si="4"/>
        <v>21700</v>
      </c>
      <c r="O48" s="14">
        <f t="shared" si="5"/>
        <v>70700</v>
      </c>
    </row>
    <row r="49" spans="1:15">
      <c r="A49" s="1" t="s">
        <v>3</v>
      </c>
      <c r="B49" s="106" t="s">
        <v>98</v>
      </c>
      <c r="C49" s="100">
        <v>0</v>
      </c>
      <c r="D49" s="47">
        <v>27200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8">
        <v>0</v>
      </c>
      <c r="L49" s="49">
        <f t="shared" si="3"/>
        <v>27200</v>
      </c>
      <c r="M49" s="72">
        <v>0</v>
      </c>
      <c r="N49" s="84">
        <f t="shared" si="4"/>
        <v>0</v>
      </c>
      <c r="O49" s="49">
        <f t="shared" si="5"/>
        <v>27200</v>
      </c>
    </row>
    <row r="50" spans="1:15">
      <c r="A50" s="1" t="s">
        <v>3</v>
      </c>
      <c r="B50" s="107" t="s">
        <v>99</v>
      </c>
      <c r="C50" s="101">
        <v>82664</v>
      </c>
      <c r="D50" s="51">
        <v>117662</v>
      </c>
      <c r="E50" s="51">
        <v>44270</v>
      </c>
      <c r="F50" s="51">
        <v>627</v>
      </c>
      <c r="G50" s="51">
        <v>1831</v>
      </c>
      <c r="H50" s="51">
        <v>0</v>
      </c>
      <c r="I50" s="51">
        <v>0</v>
      </c>
      <c r="J50" s="51">
        <v>3207</v>
      </c>
      <c r="K50" s="52">
        <v>30783</v>
      </c>
      <c r="L50" s="53">
        <f t="shared" si="3"/>
        <v>281044</v>
      </c>
      <c r="M50" s="73">
        <v>92742</v>
      </c>
      <c r="N50" s="85">
        <f t="shared" si="4"/>
        <v>92742</v>
      </c>
      <c r="O50" s="53">
        <f t="shared" si="5"/>
        <v>373786</v>
      </c>
    </row>
    <row r="51" spans="1:15">
      <c r="A51" s="1" t="s">
        <v>3</v>
      </c>
      <c r="B51" s="107" t="s">
        <v>100</v>
      </c>
      <c r="C51" s="101">
        <v>313770</v>
      </c>
      <c r="D51" s="51">
        <v>345372</v>
      </c>
      <c r="E51" s="51">
        <v>223436</v>
      </c>
      <c r="F51" s="51">
        <v>87428</v>
      </c>
      <c r="G51" s="51">
        <v>108469</v>
      </c>
      <c r="H51" s="51">
        <v>80450</v>
      </c>
      <c r="I51" s="51">
        <v>49728</v>
      </c>
      <c r="J51" s="51">
        <v>79943</v>
      </c>
      <c r="K51" s="52">
        <v>119452</v>
      </c>
      <c r="L51" s="53">
        <f t="shared" si="3"/>
        <v>1408048</v>
      </c>
      <c r="M51" s="73">
        <v>332948</v>
      </c>
      <c r="N51" s="85">
        <f t="shared" si="4"/>
        <v>332948</v>
      </c>
      <c r="O51" s="53">
        <f t="shared" si="5"/>
        <v>1740996</v>
      </c>
    </row>
    <row r="52" spans="1:15">
      <c r="A52" s="1" t="s">
        <v>3</v>
      </c>
      <c r="B52" s="107" t="s">
        <v>101</v>
      </c>
      <c r="C52" s="101">
        <v>291326</v>
      </c>
      <c r="D52" s="51">
        <v>298507</v>
      </c>
      <c r="E52" s="51">
        <v>225739</v>
      </c>
      <c r="F52" s="51">
        <v>90555</v>
      </c>
      <c r="G52" s="51">
        <v>110029</v>
      </c>
      <c r="H52" s="51">
        <v>85031</v>
      </c>
      <c r="I52" s="51">
        <v>51962</v>
      </c>
      <c r="J52" s="51">
        <v>81252</v>
      </c>
      <c r="K52" s="52">
        <v>117213</v>
      </c>
      <c r="L52" s="53">
        <f t="shared" si="3"/>
        <v>1351614</v>
      </c>
      <c r="M52" s="73">
        <v>307622</v>
      </c>
      <c r="N52" s="85">
        <f t="shared" si="4"/>
        <v>307622</v>
      </c>
      <c r="O52" s="53">
        <f t="shared" si="5"/>
        <v>1659236</v>
      </c>
    </row>
    <row r="53" spans="1:15">
      <c r="A53" s="1" t="s">
        <v>3</v>
      </c>
      <c r="B53" s="107" t="s">
        <v>102</v>
      </c>
      <c r="C53" s="101">
        <v>291326</v>
      </c>
      <c r="D53" s="51">
        <v>298507</v>
      </c>
      <c r="E53" s="51">
        <v>225739</v>
      </c>
      <c r="F53" s="51">
        <v>90555</v>
      </c>
      <c r="G53" s="51">
        <v>110029</v>
      </c>
      <c r="H53" s="51">
        <v>85031</v>
      </c>
      <c r="I53" s="51">
        <v>51962</v>
      </c>
      <c r="J53" s="51">
        <v>81252</v>
      </c>
      <c r="K53" s="52">
        <v>117213</v>
      </c>
      <c r="L53" s="53">
        <f t="shared" si="3"/>
        <v>1351614</v>
      </c>
      <c r="M53" s="73">
        <v>307622</v>
      </c>
      <c r="N53" s="85">
        <f t="shared" si="4"/>
        <v>307622</v>
      </c>
      <c r="O53" s="53">
        <f t="shared" si="5"/>
        <v>1659236</v>
      </c>
    </row>
    <row r="54" spans="1:15">
      <c r="A54" s="1" t="s">
        <v>3</v>
      </c>
      <c r="B54" s="107" t="s">
        <v>103</v>
      </c>
      <c r="C54" s="101">
        <v>1</v>
      </c>
      <c r="D54" s="51">
        <v>1</v>
      </c>
      <c r="E54" s="51">
        <v>0</v>
      </c>
      <c r="F54" s="51">
        <v>0</v>
      </c>
      <c r="G54" s="51">
        <v>0</v>
      </c>
      <c r="H54" s="51">
        <v>1</v>
      </c>
      <c r="I54" s="51">
        <v>1</v>
      </c>
      <c r="J54" s="51">
        <v>1</v>
      </c>
      <c r="K54" s="52">
        <v>1</v>
      </c>
      <c r="L54" s="53"/>
      <c r="M54" s="73">
        <v>0</v>
      </c>
      <c r="N54" s="85"/>
      <c r="O54" s="53"/>
    </row>
    <row r="55" spans="1:15">
      <c r="A55" s="1" t="s">
        <v>3</v>
      </c>
      <c r="B55" s="107" t="s">
        <v>104</v>
      </c>
      <c r="C55" s="102" t="s">
        <v>105</v>
      </c>
      <c r="D55" s="55" t="s">
        <v>105</v>
      </c>
      <c r="E55" s="55" t="s">
        <v>105</v>
      </c>
      <c r="F55" s="55" t="s">
        <v>105</v>
      </c>
      <c r="G55" s="55" t="s">
        <v>105</v>
      </c>
      <c r="H55" s="55" t="s">
        <v>105</v>
      </c>
      <c r="I55" s="55" t="s">
        <v>105</v>
      </c>
      <c r="J55" s="55" t="s">
        <v>105</v>
      </c>
      <c r="K55" s="56" t="s">
        <v>105</v>
      </c>
      <c r="L55" s="57"/>
      <c r="M55" s="74" t="s">
        <v>105</v>
      </c>
      <c r="N55" s="86"/>
      <c r="O55" s="57"/>
    </row>
    <row r="56" spans="1:15" ht="19.5" thickBot="1">
      <c r="A56" s="1" t="s">
        <v>3</v>
      </c>
      <c r="B56" s="108" t="s">
        <v>106</v>
      </c>
      <c r="C56" s="103">
        <v>7280</v>
      </c>
      <c r="D56" s="60">
        <v>8850</v>
      </c>
      <c r="E56" s="60">
        <v>5600</v>
      </c>
      <c r="F56" s="60">
        <v>80</v>
      </c>
      <c r="G56" s="60">
        <v>1160</v>
      </c>
      <c r="H56" s="60">
        <v>0</v>
      </c>
      <c r="I56" s="60">
        <v>0</v>
      </c>
      <c r="J56" s="60">
        <v>0</v>
      </c>
      <c r="K56" s="61">
        <v>100</v>
      </c>
      <c r="L56" s="62">
        <f>SUM(C56:K56)</f>
        <v>23070</v>
      </c>
      <c r="M56" s="75">
        <v>11070</v>
      </c>
      <c r="N56" s="87">
        <f>M56</f>
        <v>11070</v>
      </c>
      <c r="O56" s="62">
        <f>L56+N56</f>
        <v>34140</v>
      </c>
    </row>
  </sheetData>
  <phoneticPr fontId="3"/>
  <pageMargins left="0.7" right="0.7" top="0.75" bottom="0.75" header="0.3" footer="0.3"/>
  <pageSetup paperSize="12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849C-45CA-4EFC-BCDC-0B0C9FB1F456}">
  <sheetPr>
    <pageSetUpPr fitToPage="1"/>
  </sheetPr>
  <dimension ref="A1:R56"/>
  <sheetViews>
    <sheetView showZeros="0" workbookViewId="0">
      <pane xSplit="2" ySplit="8" topLeftCell="C9" activePane="bottomRight" state="frozen"/>
      <selection pane="bottomRight" activeCell="H18" sqref="H18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8" width="9.625" style="2" bestFit="1" customWidth="1"/>
    <col min="19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64" width="11.125" style="2" bestFit="1" customWidth="1"/>
    <col min="265" max="265" width="9" style="2"/>
    <col min="266" max="272" width="11.125" style="2" bestFit="1" customWidth="1"/>
    <col min="273" max="273" width="9" style="2"/>
    <col min="274" max="274" width="9.625" style="2" bestFit="1" customWidth="1"/>
    <col min="275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20" width="11.125" style="2" bestFit="1" customWidth="1"/>
    <col min="521" max="521" width="9" style="2"/>
    <col min="522" max="528" width="11.125" style="2" bestFit="1" customWidth="1"/>
    <col min="529" max="529" width="9" style="2"/>
    <col min="530" max="530" width="9.625" style="2" bestFit="1" customWidth="1"/>
    <col min="531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76" width="11.125" style="2" bestFit="1" customWidth="1"/>
    <col min="777" max="777" width="9" style="2"/>
    <col min="778" max="784" width="11.125" style="2" bestFit="1" customWidth="1"/>
    <col min="785" max="785" width="9" style="2"/>
    <col min="786" max="786" width="9.625" style="2" bestFit="1" customWidth="1"/>
    <col min="787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32" width="11.125" style="2" bestFit="1" customWidth="1"/>
    <col min="1033" max="1033" width="9" style="2"/>
    <col min="1034" max="1040" width="11.125" style="2" bestFit="1" customWidth="1"/>
    <col min="1041" max="1041" width="9" style="2"/>
    <col min="1042" max="1042" width="9.625" style="2" bestFit="1" customWidth="1"/>
    <col min="1043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88" width="11.125" style="2" bestFit="1" customWidth="1"/>
    <col min="1289" max="1289" width="9" style="2"/>
    <col min="1290" max="1296" width="11.125" style="2" bestFit="1" customWidth="1"/>
    <col min="1297" max="1297" width="9" style="2"/>
    <col min="1298" max="1298" width="9.625" style="2" bestFit="1" customWidth="1"/>
    <col min="1299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44" width="11.125" style="2" bestFit="1" customWidth="1"/>
    <col min="1545" max="1545" width="9" style="2"/>
    <col min="1546" max="1552" width="11.125" style="2" bestFit="1" customWidth="1"/>
    <col min="1553" max="1553" width="9" style="2"/>
    <col min="1554" max="1554" width="9.625" style="2" bestFit="1" customWidth="1"/>
    <col min="1555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800" width="11.125" style="2" bestFit="1" customWidth="1"/>
    <col min="1801" max="1801" width="9" style="2"/>
    <col min="1802" max="1808" width="11.125" style="2" bestFit="1" customWidth="1"/>
    <col min="1809" max="1809" width="9" style="2"/>
    <col min="1810" max="1810" width="9.625" style="2" bestFit="1" customWidth="1"/>
    <col min="1811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56" width="11.125" style="2" bestFit="1" customWidth="1"/>
    <col min="2057" max="2057" width="9" style="2"/>
    <col min="2058" max="2064" width="11.125" style="2" bestFit="1" customWidth="1"/>
    <col min="2065" max="2065" width="9" style="2"/>
    <col min="2066" max="2066" width="9.625" style="2" bestFit="1" customWidth="1"/>
    <col min="2067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12" width="11.125" style="2" bestFit="1" customWidth="1"/>
    <col min="2313" max="2313" width="9" style="2"/>
    <col min="2314" max="2320" width="11.125" style="2" bestFit="1" customWidth="1"/>
    <col min="2321" max="2321" width="9" style="2"/>
    <col min="2322" max="2322" width="9.625" style="2" bestFit="1" customWidth="1"/>
    <col min="2323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68" width="11.125" style="2" bestFit="1" customWidth="1"/>
    <col min="2569" max="2569" width="9" style="2"/>
    <col min="2570" max="2576" width="11.125" style="2" bestFit="1" customWidth="1"/>
    <col min="2577" max="2577" width="9" style="2"/>
    <col min="2578" max="2578" width="9.625" style="2" bestFit="1" customWidth="1"/>
    <col min="2579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24" width="11.125" style="2" bestFit="1" customWidth="1"/>
    <col min="2825" max="2825" width="9" style="2"/>
    <col min="2826" max="2832" width="11.125" style="2" bestFit="1" customWidth="1"/>
    <col min="2833" max="2833" width="9" style="2"/>
    <col min="2834" max="2834" width="9.625" style="2" bestFit="1" customWidth="1"/>
    <col min="2835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80" width="11.125" style="2" bestFit="1" customWidth="1"/>
    <col min="3081" max="3081" width="9" style="2"/>
    <col min="3082" max="3088" width="11.125" style="2" bestFit="1" customWidth="1"/>
    <col min="3089" max="3089" width="9" style="2"/>
    <col min="3090" max="3090" width="9.625" style="2" bestFit="1" customWidth="1"/>
    <col min="3091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36" width="11.125" style="2" bestFit="1" customWidth="1"/>
    <col min="3337" max="3337" width="9" style="2"/>
    <col min="3338" max="3344" width="11.125" style="2" bestFit="1" customWidth="1"/>
    <col min="3345" max="3345" width="9" style="2"/>
    <col min="3346" max="3346" width="9.625" style="2" bestFit="1" customWidth="1"/>
    <col min="3347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92" width="11.125" style="2" bestFit="1" customWidth="1"/>
    <col min="3593" max="3593" width="9" style="2"/>
    <col min="3594" max="3600" width="11.125" style="2" bestFit="1" customWidth="1"/>
    <col min="3601" max="3601" width="9" style="2"/>
    <col min="3602" max="3602" width="9.625" style="2" bestFit="1" customWidth="1"/>
    <col min="3603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48" width="11.125" style="2" bestFit="1" customWidth="1"/>
    <col min="3849" max="3849" width="9" style="2"/>
    <col min="3850" max="3856" width="11.125" style="2" bestFit="1" customWidth="1"/>
    <col min="3857" max="3857" width="9" style="2"/>
    <col min="3858" max="3858" width="9.625" style="2" bestFit="1" customWidth="1"/>
    <col min="3859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104" width="11.125" style="2" bestFit="1" customWidth="1"/>
    <col min="4105" max="4105" width="9" style="2"/>
    <col min="4106" max="4112" width="11.125" style="2" bestFit="1" customWidth="1"/>
    <col min="4113" max="4113" width="9" style="2"/>
    <col min="4114" max="4114" width="9.625" style="2" bestFit="1" customWidth="1"/>
    <col min="4115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60" width="11.125" style="2" bestFit="1" customWidth="1"/>
    <col min="4361" max="4361" width="9" style="2"/>
    <col min="4362" max="4368" width="11.125" style="2" bestFit="1" customWidth="1"/>
    <col min="4369" max="4369" width="9" style="2"/>
    <col min="4370" max="4370" width="9.625" style="2" bestFit="1" customWidth="1"/>
    <col min="4371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16" width="11.125" style="2" bestFit="1" customWidth="1"/>
    <col min="4617" max="4617" width="9" style="2"/>
    <col min="4618" max="4624" width="11.125" style="2" bestFit="1" customWidth="1"/>
    <col min="4625" max="4625" width="9" style="2"/>
    <col min="4626" max="4626" width="9.625" style="2" bestFit="1" customWidth="1"/>
    <col min="4627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72" width="11.125" style="2" bestFit="1" customWidth="1"/>
    <col min="4873" max="4873" width="9" style="2"/>
    <col min="4874" max="4880" width="11.125" style="2" bestFit="1" customWidth="1"/>
    <col min="4881" max="4881" width="9" style="2"/>
    <col min="4882" max="4882" width="9.625" style="2" bestFit="1" customWidth="1"/>
    <col min="4883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28" width="11.125" style="2" bestFit="1" customWidth="1"/>
    <col min="5129" max="5129" width="9" style="2"/>
    <col min="5130" max="5136" width="11.125" style="2" bestFit="1" customWidth="1"/>
    <col min="5137" max="5137" width="9" style="2"/>
    <col min="5138" max="5138" width="9.625" style="2" bestFit="1" customWidth="1"/>
    <col min="5139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84" width="11.125" style="2" bestFit="1" customWidth="1"/>
    <col min="5385" max="5385" width="9" style="2"/>
    <col min="5386" max="5392" width="11.125" style="2" bestFit="1" customWidth="1"/>
    <col min="5393" max="5393" width="9" style="2"/>
    <col min="5394" max="5394" width="9.625" style="2" bestFit="1" customWidth="1"/>
    <col min="5395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40" width="11.125" style="2" bestFit="1" customWidth="1"/>
    <col min="5641" max="5641" width="9" style="2"/>
    <col min="5642" max="5648" width="11.125" style="2" bestFit="1" customWidth="1"/>
    <col min="5649" max="5649" width="9" style="2"/>
    <col min="5650" max="5650" width="9.625" style="2" bestFit="1" customWidth="1"/>
    <col min="5651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96" width="11.125" style="2" bestFit="1" customWidth="1"/>
    <col min="5897" max="5897" width="9" style="2"/>
    <col min="5898" max="5904" width="11.125" style="2" bestFit="1" customWidth="1"/>
    <col min="5905" max="5905" width="9" style="2"/>
    <col min="5906" max="5906" width="9.625" style="2" bestFit="1" customWidth="1"/>
    <col min="5907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52" width="11.125" style="2" bestFit="1" customWidth="1"/>
    <col min="6153" max="6153" width="9" style="2"/>
    <col min="6154" max="6160" width="11.125" style="2" bestFit="1" customWidth="1"/>
    <col min="6161" max="6161" width="9" style="2"/>
    <col min="6162" max="6162" width="9.625" style="2" bestFit="1" customWidth="1"/>
    <col min="6163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408" width="11.125" style="2" bestFit="1" customWidth="1"/>
    <col min="6409" max="6409" width="9" style="2"/>
    <col min="6410" max="6416" width="11.125" style="2" bestFit="1" customWidth="1"/>
    <col min="6417" max="6417" width="9" style="2"/>
    <col min="6418" max="6418" width="9.625" style="2" bestFit="1" customWidth="1"/>
    <col min="6419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64" width="11.125" style="2" bestFit="1" customWidth="1"/>
    <col min="6665" max="6665" width="9" style="2"/>
    <col min="6666" max="6672" width="11.125" style="2" bestFit="1" customWidth="1"/>
    <col min="6673" max="6673" width="9" style="2"/>
    <col min="6674" max="6674" width="9.625" style="2" bestFit="1" customWidth="1"/>
    <col min="6675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20" width="11.125" style="2" bestFit="1" customWidth="1"/>
    <col min="6921" max="6921" width="9" style="2"/>
    <col min="6922" max="6928" width="11.125" style="2" bestFit="1" customWidth="1"/>
    <col min="6929" max="6929" width="9" style="2"/>
    <col min="6930" max="6930" width="9.625" style="2" bestFit="1" customWidth="1"/>
    <col min="6931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76" width="11.125" style="2" bestFit="1" customWidth="1"/>
    <col min="7177" max="7177" width="9" style="2"/>
    <col min="7178" max="7184" width="11.125" style="2" bestFit="1" customWidth="1"/>
    <col min="7185" max="7185" width="9" style="2"/>
    <col min="7186" max="7186" width="9.625" style="2" bestFit="1" customWidth="1"/>
    <col min="7187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32" width="11.125" style="2" bestFit="1" customWidth="1"/>
    <col min="7433" max="7433" width="9" style="2"/>
    <col min="7434" max="7440" width="11.125" style="2" bestFit="1" customWidth="1"/>
    <col min="7441" max="7441" width="9" style="2"/>
    <col min="7442" max="7442" width="9.625" style="2" bestFit="1" customWidth="1"/>
    <col min="7443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88" width="11.125" style="2" bestFit="1" customWidth="1"/>
    <col min="7689" max="7689" width="9" style="2"/>
    <col min="7690" max="7696" width="11.125" style="2" bestFit="1" customWidth="1"/>
    <col min="7697" max="7697" width="9" style="2"/>
    <col min="7698" max="7698" width="9.625" style="2" bestFit="1" customWidth="1"/>
    <col min="7699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44" width="11.125" style="2" bestFit="1" customWidth="1"/>
    <col min="7945" max="7945" width="9" style="2"/>
    <col min="7946" max="7952" width="11.125" style="2" bestFit="1" customWidth="1"/>
    <col min="7953" max="7953" width="9" style="2"/>
    <col min="7954" max="7954" width="9.625" style="2" bestFit="1" customWidth="1"/>
    <col min="7955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200" width="11.125" style="2" bestFit="1" customWidth="1"/>
    <col min="8201" max="8201" width="9" style="2"/>
    <col min="8202" max="8208" width="11.125" style="2" bestFit="1" customWidth="1"/>
    <col min="8209" max="8209" width="9" style="2"/>
    <col min="8210" max="8210" width="9.625" style="2" bestFit="1" customWidth="1"/>
    <col min="8211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56" width="11.125" style="2" bestFit="1" customWidth="1"/>
    <col min="8457" max="8457" width="9" style="2"/>
    <col min="8458" max="8464" width="11.125" style="2" bestFit="1" customWidth="1"/>
    <col min="8465" max="8465" width="9" style="2"/>
    <col min="8466" max="8466" width="9.625" style="2" bestFit="1" customWidth="1"/>
    <col min="8467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12" width="11.125" style="2" bestFit="1" customWidth="1"/>
    <col min="8713" max="8713" width="9" style="2"/>
    <col min="8714" max="8720" width="11.125" style="2" bestFit="1" customWidth="1"/>
    <col min="8721" max="8721" width="9" style="2"/>
    <col min="8722" max="8722" width="9.625" style="2" bestFit="1" customWidth="1"/>
    <col min="8723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68" width="11.125" style="2" bestFit="1" customWidth="1"/>
    <col min="8969" max="8969" width="9" style="2"/>
    <col min="8970" max="8976" width="11.125" style="2" bestFit="1" customWidth="1"/>
    <col min="8977" max="8977" width="9" style="2"/>
    <col min="8978" max="8978" width="9.625" style="2" bestFit="1" customWidth="1"/>
    <col min="8979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24" width="11.125" style="2" bestFit="1" customWidth="1"/>
    <col min="9225" max="9225" width="9" style="2"/>
    <col min="9226" max="9232" width="11.125" style="2" bestFit="1" customWidth="1"/>
    <col min="9233" max="9233" width="9" style="2"/>
    <col min="9234" max="9234" width="9.625" style="2" bestFit="1" customWidth="1"/>
    <col min="9235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80" width="11.125" style="2" bestFit="1" customWidth="1"/>
    <col min="9481" max="9481" width="9" style="2"/>
    <col min="9482" max="9488" width="11.125" style="2" bestFit="1" customWidth="1"/>
    <col min="9489" max="9489" width="9" style="2"/>
    <col min="9490" max="9490" width="9.625" style="2" bestFit="1" customWidth="1"/>
    <col min="9491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36" width="11.125" style="2" bestFit="1" customWidth="1"/>
    <col min="9737" max="9737" width="9" style="2"/>
    <col min="9738" max="9744" width="11.125" style="2" bestFit="1" customWidth="1"/>
    <col min="9745" max="9745" width="9" style="2"/>
    <col min="9746" max="9746" width="9.625" style="2" bestFit="1" customWidth="1"/>
    <col min="9747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92" width="11.125" style="2" bestFit="1" customWidth="1"/>
    <col min="9993" max="9993" width="9" style="2"/>
    <col min="9994" max="10000" width="11.125" style="2" bestFit="1" customWidth="1"/>
    <col min="10001" max="10001" width="9" style="2"/>
    <col min="10002" max="10002" width="9.625" style="2" bestFit="1" customWidth="1"/>
    <col min="10003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48" width="11.125" style="2" bestFit="1" customWidth="1"/>
    <col min="10249" max="10249" width="9" style="2"/>
    <col min="10250" max="10256" width="11.125" style="2" bestFit="1" customWidth="1"/>
    <col min="10257" max="10257" width="9" style="2"/>
    <col min="10258" max="10258" width="9.625" style="2" bestFit="1" customWidth="1"/>
    <col min="10259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504" width="11.125" style="2" bestFit="1" customWidth="1"/>
    <col min="10505" max="10505" width="9" style="2"/>
    <col min="10506" max="10512" width="11.125" style="2" bestFit="1" customWidth="1"/>
    <col min="10513" max="10513" width="9" style="2"/>
    <col min="10514" max="10514" width="9.625" style="2" bestFit="1" customWidth="1"/>
    <col min="10515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60" width="11.125" style="2" bestFit="1" customWidth="1"/>
    <col min="10761" max="10761" width="9" style="2"/>
    <col min="10762" max="10768" width="11.125" style="2" bestFit="1" customWidth="1"/>
    <col min="10769" max="10769" width="9" style="2"/>
    <col min="10770" max="10770" width="9.625" style="2" bestFit="1" customWidth="1"/>
    <col min="10771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16" width="11.125" style="2" bestFit="1" customWidth="1"/>
    <col min="11017" max="11017" width="9" style="2"/>
    <col min="11018" max="11024" width="11.125" style="2" bestFit="1" customWidth="1"/>
    <col min="11025" max="11025" width="9" style="2"/>
    <col min="11026" max="11026" width="9.625" style="2" bestFit="1" customWidth="1"/>
    <col min="11027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72" width="11.125" style="2" bestFit="1" customWidth="1"/>
    <col min="11273" max="11273" width="9" style="2"/>
    <col min="11274" max="11280" width="11.125" style="2" bestFit="1" customWidth="1"/>
    <col min="11281" max="11281" width="9" style="2"/>
    <col min="11282" max="11282" width="9.625" style="2" bestFit="1" customWidth="1"/>
    <col min="11283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28" width="11.125" style="2" bestFit="1" customWidth="1"/>
    <col min="11529" max="11529" width="9" style="2"/>
    <col min="11530" max="11536" width="11.125" style="2" bestFit="1" customWidth="1"/>
    <col min="11537" max="11537" width="9" style="2"/>
    <col min="11538" max="11538" width="9.625" style="2" bestFit="1" customWidth="1"/>
    <col min="11539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84" width="11.125" style="2" bestFit="1" customWidth="1"/>
    <col min="11785" max="11785" width="9" style="2"/>
    <col min="11786" max="11792" width="11.125" style="2" bestFit="1" customWidth="1"/>
    <col min="11793" max="11793" width="9" style="2"/>
    <col min="11794" max="11794" width="9.625" style="2" bestFit="1" customWidth="1"/>
    <col min="11795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40" width="11.125" style="2" bestFit="1" customWidth="1"/>
    <col min="12041" max="12041" width="9" style="2"/>
    <col min="12042" max="12048" width="11.125" style="2" bestFit="1" customWidth="1"/>
    <col min="12049" max="12049" width="9" style="2"/>
    <col min="12050" max="12050" width="9.625" style="2" bestFit="1" customWidth="1"/>
    <col min="12051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96" width="11.125" style="2" bestFit="1" customWidth="1"/>
    <col min="12297" max="12297" width="9" style="2"/>
    <col min="12298" max="12304" width="11.125" style="2" bestFit="1" customWidth="1"/>
    <col min="12305" max="12305" width="9" style="2"/>
    <col min="12306" max="12306" width="9.625" style="2" bestFit="1" customWidth="1"/>
    <col min="12307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52" width="11.125" style="2" bestFit="1" customWidth="1"/>
    <col min="12553" max="12553" width="9" style="2"/>
    <col min="12554" max="12560" width="11.125" style="2" bestFit="1" customWidth="1"/>
    <col min="12561" max="12561" width="9" style="2"/>
    <col min="12562" max="12562" width="9.625" style="2" bestFit="1" customWidth="1"/>
    <col min="12563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808" width="11.125" style="2" bestFit="1" customWidth="1"/>
    <col min="12809" max="12809" width="9" style="2"/>
    <col min="12810" max="12816" width="11.125" style="2" bestFit="1" customWidth="1"/>
    <col min="12817" max="12817" width="9" style="2"/>
    <col min="12818" max="12818" width="9.625" style="2" bestFit="1" customWidth="1"/>
    <col min="12819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64" width="11.125" style="2" bestFit="1" customWidth="1"/>
    <col min="13065" max="13065" width="9" style="2"/>
    <col min="13066" max="13072" width="11.125" style="2" bestFit="1" customWidth="1"/>
    <col min="13073" max="13073" width="9" style="2"/>
    <col min="13074" max="13074" width="9.625" style="2" bestFit="1" customWidth="1"/>
    <col min="13075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20" width="11.125" style="2" bestFit="1" customWidth="1"/>
    <col min="13321" max="13321" width="9" style="2"/>
    <col min="13322" max="13328" width="11.125" style="2" bestFit="1" customWidth="1"/>
    <col min="13329" max="13329" width="9" style="2"/>
    <col min="13330" max="13330" width="9.625" style="2" bestFit="1" customWidth="1"/>
    <col min="13331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76" width="11.125" style="2" bestFit="1" customWidth="1"/>
    <col min="13577" max="13577" width="9" style="2"/>
    <col min="13578" max="13584" width="11.125" style="2" bestFit="1" customWidth="1"/>
    <col min="13585" max="13585" width="9" style="2"/>
    <col min="13586" max="13586" width="9.625" style="2" bestFit="1" customWidth="1"/>
    <col min="13587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32" width="11.125" style="2" bestFit="1" customWidth="1"/>
    <col min="13833" max="13833" width="9" style="2"/>
    <col min="13834" max="13840" width="11.125" style="2" bestFit="1" customWidth="1"/>
    <col min="13841" max="13841" width="9" style="2"/>
    <col min="13842" max="13842" width="9.625" style="2" bestFit="1" customWidth="1"/>
    <col min="13843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88" width="11.125" style="2" bestFit="1" customWidth="1"/>
    <col min="14089" max="14089" width="9" style="2"/>
    <col min="14090" max="14096" width="11.125" style="2" bestFit="1" customWidth="1"/>
    <col min="14097" max="14097" width="9" style="2"/>
    <col min="14098" max="14098" width="9.625" style="2" bestFit="1" customWidth="1"/>
    <col min="14099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44" width="11.125" style="2" bestFit="1" customWidth="1"/>
    <col min="14345" max="14345" width="9" style="2"/>
    <col min="14346" max="14352" width="11.125" style="2" bestFit="1" customWidth="1"/>
    <col min="14353" max="14353" width="9" style="2"/>
    <col min="14354" max="14354" width="9.625" style="2" bestFit="1" customWidth="1"/>
    <col min="14355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600" width="11.125" style="2" bestFit="1" customWidth="1"/>
    <col min="14601" max="14601" width="9" style="2"/>
    <col min="14602" max="14608" width="11.125" style="2" bestFit="1" customWidth="1"/>
    <col min="14609" max="14609" width="9" style="2"/>
    <col min="14610" max="14610" width="9.625" style="2" bestFit="1" customWidth="1"/>
    <col min="14611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56" width="11.125" style="2" bestFit="1" customWidth="1"/>
    <col min="14857" max="14857" width="9" style="2"/>
    <col min="14858" max="14864" width="11.125" style="2" bestFit="1" customWidth="1"/>
    <col min="14865" max="14865" width="9" style="2"/>
    <col min="14866" max="14866" width="9.625" style="2" bestFit="1" customWidth="1"/>
    <col min="14867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12" width="11.125" style="2" bestFit="1" customWidth="1"/>
    <col min="15113" max="15113" width="9" style="2"/>
    <col min="15114" max="15120" width="11.125" style="2" bestFit="1" customWidth="1"/>
    <col min="15121" max="15121" width="9" style="2"/>
    <col min="15122" max="15122" width="9.625" style="2" bestFit="1" customWidth="1"/>
    <col min="15123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68" width="11.125" style="2" bestFit="1" customWidth="1"/>
    <col min="15369" max="15369" width="9" style="2"/>
    <col min="15370" max="15376" width="11.125" style="2" bestFit="1" customWidth="1"/>
    <col min="15377" max="15377" width="9" style="2"/>
    <col min="15378" max="15378" width="9.625" style="2" bestFit="1" customWidth="1"/>
    <col min="15379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24" width="11.125" style="2" bestFit="1" customWidth="1"/>
    <col min="15625" max="15625" width="9" style="2"/>
    <col min="15626" max="15632" width="11.125" style="2" bestFit="1" customWidth="1"/>
    <col min="15633" max="15633" width="9" style="2"/>
    <col min="15634" max="15634" width="9.625" style="2" bestFit="1" customWidth="1"/>
    <col min="15635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80" width="11.125" style="2" bestFit="1" customWidth="1"/>
    <col min="15881" max="15881" width="9" style="2"/>
    <col min="15882" max="15888" width="11.125" style="2" bestFit="1" customWidth="1"/>
    <col min="15889" max="15889" width="9" style="2"/>
    <col min="15890" max="15890" width="9.625" style="2" bestFit="1" customWidth="1"/>
    <col min="15891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36" width="11.125" style="2" bestFit="1" customWidth="1"/>
    <col min="16137" max="16137" width="9" style="2"/>
    <col min="16138" max="16144" width="11.125" style="2" bestFit="1" customWidth="1"/>
    <col min="16145" max="16145" width="9" style="2"/>
    <col min="16146" max="16146" width="9.625" style="2" bestFit="1" customWidth="1"/>
    <col min="16147" max="16384" width="9" style="2"/>
  </cols>
  <sheetData>
    <row r="1" spans="1:18">
      <c r="A1" s="1" t="s">
        <v>0</v>
      </c>
    </row>
    <row r="2" spans="1:18" hidden="1">
      <c r="A2" s="1"/>
    </row>
    <row r="3" spans="1:18" hidden="1">
      <c r="A3" s="1" t="s">
        <v>1</v>
      </c>
    </row>
    <row r="4" spans="1:18" hidden="1">
      <c r="A4" s="1" t="s">
        <v>2</v>
      </c>
    </row>
    <row r="5" spans="1:18" hidden="1">
      <c r="A5" s="1" t="s">
        <v>3</v>
      </c>
    </row>
    <row r="6" spans="1:18" ht="19.5" thickBot="1">
      <c r="A6" s="1" t="s">
        <v>4</v>
      </c>
    </row>
    <row r="7" spans="1:18">
      <c r="B7" s="20"/>
      <c r="C7" s="15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63" t="s">
        <v>18</v>
      </c>
      <c r="Q7" s="4" t="s">
        <v>19</v>
      </c>
      <c r="R7" s="89" t="s">
        <v>20</v>
      </c>
    </row>
    <row r="8" spans="1:18">
      <c r="B8" s="27" t="s">
        <v>31</v>
      </c>
      <c r="C8" s="28" t="s">
        <v>32</v>
      </c>
      <c r="D8" s="29" t="s">
        <v>33</v>
      </c>
      <c r="E8" s="29" t="s">
        <v>34</v>
      </c>
      <c r="F8" s="29" t="s">
        <v>35</v>
      </c>
      <c r="G8" s="29" t="s">
        <v>36</v>
      </c>
      <c r="H8" s="29" t="s">
        <v>37</v>
      </c>
      <c r="I8" s="29" t="s">
        <v>38</v>
      </c>
      <c r="J8" s="29" t="s">
        <v>39</v>
      </c>
      <c r="K8" s="29" t="s">
        <v>40</v>
      </c>
      <c r="L8" s="29" t="s">
        <v>41</v>
      </c>
      <c r="M8" s="29" t="s">
        <v>42</v>
      </c>
      <c r="N8" s="29" t="s">
        <v>43</v>
      </c>
      <c r="O8" s="29" t="s">
        <v>44</v>
      </c>
      <c r="P8" s="64" t="s">
        <v>45</v>
      </c>
      <c r="Q8" s="29" t="s">
        <v>46</v>
      </c>
      <c r="R8" s="76" t="s">
        <v>47</v>
      </c>
    </row>
    <row r="9" spans="1:18">
      <c r="A9" s="90" t="s">
        <v>3</v>
      </c>
      <c r="B9" s="22" t="s">
        <v>61</v>
      </c>
      <c r="C9" s="23">
        <v>21</v>
      </c>
      <c r="D9" s="24">
        <v>19</v>
      </c>
      <c r="E9" s="24">
        <v>22</v>
      </c>
      <c r="F9" s="24">
        <v>21</v>
      </c>
      <c r="G9" s="24">
        <v>21</v>
      </c>
      <c r="H9" s="24">
        <v>22</v>
      </c>
      <c r="I9" s="24">
        <v>20</v>
      </c>
      <c r="J9" s="24">
        <v>22</v>
      </c>
      <c r="K9" s="24">
        <v>21</v>
      </c>
      <c r="L9" s="24">
        <v>19</v>
      </c>
      <c r="M9" s="24">
        <v>21</v>
      </c>
      <c r="N9" s="24">
        <v>21</v>
      </c>
      <c r="O9" s="24">
        <v>20</v>
      </c>
      <c r="P9" s="65">
        <v>21</v>
      </c>
      <c r="Q9" s="24">
        <v>22</v>
      </c>
      <c r="R9" s="77">
        <f>SUM(C9:Q9)</f>
        <v>313</v>
      </c>
    </row>
    <row r="10" spans="1:18">
      <c r="A10" s="1" t="s">
        <v>3</v>
      </c>
      <c r="B10" s="21" t="s">
        <v>62</v>
      </c>
      <c r="C10" s="17">
        <v>2</v>
      </c>
      <c r="D10" s="5">
        <v>3</v>
      </c>
      <c r="E10" s="5">
        <v>2</v>
      </c>
      <c r="F10" s="5">
        <v>1</v>
      </c>
      <c r="G10" s="5">
        <v>0</v>
      </c>
      <c r="H10" s="5">
        <v>1</v>
      </c>
      <c r="I10" s="5">
        <v>3</v>
      </c>
      <c r="J10" s="5">
        <v>2</v>
      </c>
      <c r="K10" s="5">
        <v>2</v>
      </c>
      <c r="L10" s="5">
        <v>4</v>
      </c>
      <c r="M10" s="5">
        <v>3</v>
      </c>
      <c r="N10" s="5">
        <v>2</v>
      </c>
      <c r="O10" s="5">
        <v>2</v>
      </c>
      <c r="P10" s="66">
        <v>1</v>
      </c>
      <c r="Q10" s="5">
        <v>1</v>
      </c>
      <c r="R10" s="78">
        <f t="shared" ref="R10:R21" si="0">SUM(C10:Q10)</f>
        <v>29</v>
      </c>
    </row>
    <row r="11" spans="1:18">
      <c r="A11" s="1" t="s">
        <v>3</v>
      </c>
      <c r="B11" s="21" t="s">
        <v>63</v>
      </c>
      <c r="C11" s="17">
        <v>3</v>
      </c>
      <c r="D11" s="5">
        <v>1</v>
      </c>
      <c r="E11" s="5">
        <v>1</v>
      </c>
      <c r="F11" s="5">
        <v>2</v>
      </c>
      <c r="G11" s="5">
        <v>1</v>
      </c>
      <c r="H11" s="5">
        <v>3</v>
      </c>
      <c r="I11" s="5">
        <v>1</v>
      </c>
      <c r="J11" s="5">
        <v>1</v>
      </c>
      <c r="K11" s="5">
        <v>3</v>
      </c>
      <c r="L11" s="5">
        <v>2</v>
      </c>
      <c r="M11" s="5">
        <v>1</v>
      </c>
      <c r="N11" s="5">
        <v>1</v>
      </c>
      <c r="O11" s="5">
        <v>1</v>
      </c>
      <c r="P11" s="66">
        <v>2</v>
      </c>
      <c r="Q11" s="5">
        <v>2</v>
      </c>
      <c r="R11" s="78">
        <f t="shared" si="0"/>
        <v>25</v>
      </c>
    </row>
    <row r="12" spans="1:18">
      <c r="A12" s="1" t="s">
        <v>3</v>
      </c>
      <c r="B12" s="21" t="s">
        <v>64</v>
      </c>
      <c r="C12" s="17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0</v>
      </c>
      <c r="P12" s="66">
        <v>0</v>
      </c>
      <c r="Q12" s="5">
        <v>0</v>
      </c>
      <c r="R12" s="78">
        <f t="shared" si="0"/>
        <v>1</v>
      </c>
    </row>
    <row r="13" spans="1:18">
      <c r="A13" s="1" t="s">
        <v>3</v>
      </c>
      <c r="B13" s="21" t="s">
        <v>65</v>
      </c>
      <c r="C13" s="17">
        <v>1</v>
      </c>
      <c r="D13" s="5">
        <v>3</v>
      </c>
      <c r="E13" s="5">
        <v>0</v>
      </c>
      <c r="F13" s="5">
        <v>1</v>
      </c>
      <c r="G13" s="5">
        <v>1</v>
      </c>
      <c r="H13" s="5">
        <v>0</v>
      </c>
      <c r="I13" s="5">
        <v>2</v>
      </c>
      <c r="J13" s="5">
        <v>0</v>
      </c>
      <c r="K13" s="5">
        <v>1</v>
      </c>
      <c r="L13" s="5">
        <v>3</v>
      </c>
      <c r="M13" s="5">
        <v>1</v>
      </c>
      <c r="N13" s="5">
        <v>0</v>
      </c>
      <c r="O13" s="5">
        <v>2</v>
      </c>
      <c r="P13" s="66">
        <v>1</v>
      </c>
      <c r="Q13" s="5">
        <v>0</v>
      </c>
      <c r="R13" s="78">
        <f t="shared" si="0"/>
        <v>16</v>
      </c>
    </row>
    <row r="14" spans="1:18">
      <c r="A14" s="1" t="s">
        <v>3</v>
      </c>
      <c r="B14" s="21" t="s">
        <v>66</v>
      </c>
      <c r="C14" s="18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67">
        <v>0</v>
      </c>
      <c r="Q14" s="7">
        <v>0</v>
      </c>
      <c r="R14" s="79">
        <f t="shared" si="0"/>
        <v>0</v>
      </c>
    </row>
    <row r="15" spans="1:18">
      <c r="A15" s="1" t="s">
        <v>3</v>
      </c>
      <c r="B15" s="21" t="s">
        <v>67</v>
      </c>
      <c r="C15" s="18">
        <v>0.95833333333333337</v>
      </c>
      <c r="D15" s="7">
        <v>1.1666666666666667</v>
      </c>
      <c r="E15" s="7">
        <v>1.7916666666666665</v>
      </c>
      <c r="F15" s="7">
        <v>2.2916666666666665</v>
      </c>
      <c r="G15" s="7">
        <v>2.7916666666666665</v>
      </c>
      <c r="H15" s="7">
        <v>1.875</v>
      </c>
      <c r="I15" s="7">
        <v>1.375</v>
      </c>
      <c r="J15" s="7">
        <v>1.25</v>
      </c>
      <c r="K15" s="7">
        <v>0.95833333333333337</v>
      </c>
      <c r="L15" s="7">
        <v>0.70833333333333337</v>
      </c>
      <c r="M15" s="7">
        <v>0.875</v>
      </c>
      <c r="N15" s="7">
        <v>1.4166666666666667</v>
      </c>
      <c r="O15" s="7">
        <v>1.9166666666666665</v>
      </c>
      <c r="P15" s="67">
        <v>2.5833333333333335</v>
      </c>
      <c r="Q15" s="7">
        <v>1.875</v>
      </c>
      <c r="R15" s="79">
        <f t="shared" si="0"/>
        <v>23.833333333333336</v>
      </c>
    </row>
    <row r="16" spans="1:18">
      <c r="A16" s="1" t="s">
        <v>3</v>
      </c>
      <c r="B16" s="21" t="s">
        <v>68</v>
      </c>
      <c r="C16" s="18">
        <v>0.5</v>
      </c>
      <c r="D16" s="7">
        <v>0.95833333333333337</v>
      </c>
      <c r="E16" s="7">
        <v>0.5</v>
      </c>
      <c r="F16" s="7">
        <v>0.29166666666666669</v>
      </c>
      <c r="G16" s="7">
        <v>0</v>
      </c>
      <c r="H16" s="7">
        <v>0.33333333333333331</v>
      </c>
      <c r="I16" s="7">
        <v>1.0833333333333333</v>
      </c>
      <c r="J16" s="7">
        <v>0.70833333333333337</v>
      </c>
      <c r="K16" s="7">
        <v>0.79166666666666663</v>
      </c>
      <c r="L16" s="7">
        <v>1.0833333333333333</v>
      </c>
      <c r="M16" s="7">
        <v>0.91666666666666663</v>
      </c>
      <c r="N16" s="7">
        <v>0.33333333333333331</v>
      </c>
      <c r="O16" s="7">
        <v>0.91666666666666663</v>
      </c>
      <c r="P16" s="67">
        <v>0.25</v>
      </c>
      <c r="Q16" s="7">
        <v>0.41666666666666669</v>
      </c>
      <c r="R16" s="79">
        <f t="shared" si="0"/>
        <v>9.0833333333333321</v>
      </c>
    </row>
    <row r="17" spans="1:18">
      <c r="A17" s="1" t="s">
        <v>3</v>
      </c>
      <c r="B17" s="21" t="s">
        <v>69</v>
      </c>
      <c r="C17" s="18">
        <v>1</v>
      </c>
      <c r="D17" s="7">
        <v>0.45833333333333331</v>
      </c>
      <c r="E17" s="7">
        <v>0.125</v>
      </c>
      <c r="F17" s="7">
        <v>0.625</v>
      </c>
      <c r="G17" s="7">
        <v>0.25</v>
      </c>
      <c r="H17" s="7">
        <v>1</v>
      </c>
      <c r="I17" s="7">
        <v>0.5</v>
      </c>
      <c r="J17" s="7">
        <v>0.45833333333333331</v>
      </c>
      <c r="K17" s="7">
        <v>1.0833333333333333</v>
      </c>
      <c r="L17" s="7">
        <v>0.875</v>
      </c>
      <c r="M17" s="7">
        <v>0.29166666666666669</v>
      </c>
      <c r="N17" s="7">
        <v>0.375</v>
      </c>
      <c r="O17" s="7">
        <v>0.5</v>
      </c>
      <c r="P17" s="67">
        <v>0.625</v>
      </c>
      <c r="Q17" s="7">
        <v>0.66666666666666663</v>
      </c>
      <c r="R17" s="79">
        <f t="shared" si="0"/>
        <v>8.8333333333333321</v>
      </c>
    </row>
    <row r="18" spans="1:18">
      <c r="A18" s="1" t="s">
        <v>3</v>
      </c>
      <c r="B18" s="21" t="s">
        <v>70</v>
      </c>
      <c r="C18" s="18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0.375</v>
      </c>
      <c r="O18" s="7">
        <v>0</v>
      </c>
      <c r="P18" s="67">
        <v>0</v>
      </c>
      <c r="Q18" s="7">
        <v>0</v>
      </c>
      <c r="R18" s="79">
        <f t="shared" si="0"/>
        <v>0.375</v>
      </c>
    </row>
    <row r="19" spans="1:18">
      <c r="A19" s="1" t="s">
        <v>3</v>
      </c>
      <c r="B19" s="21" t="s">
        <v>71</v>
      </c>
      <c r="C19" s="18">
        <v>0</v>
      </c>
      <c r="D19" s="7">
        <v>0</v>
      </c>
      <c r="E19" s="7">
        <v>0</v>
      </c>
      <c r="F19" s="7">
        <v>0</v>
      </c>
      <c r="G19" s="7">
        <v>0.29166666666666669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67">
        <v>0.20833333333333334</v>
      </c>
      <c r="Q19" s="7">
        <v>0</v>
      </c>
      <c r="R19" s="79">
        <f t="shared" si="0"/>
        <v>0.5</v>
      </c>
    </row>
    <row r="20" spans="1:18">
      <c r="A20" s="1" t="s">
        <v>3</v>
      </c>
      <c r="B20" s="21" t="s">
        <v>72</v>
      </c>
      <c r="C20" s="18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67">
        <v>0</v>
      </c>
      <c r="Q20" s="7">
        <v>0</v>
      </c>
      <c r="R20" s="79">
        <f t="shared" si="0"/>
        <v>0</v>
      </c>
    </row>
    <row r="21" spans="1:18">
      <c r="A21" s="1" t="s">
        <v>3</v>
      </c>
      <c r="B21" s="32" t="s">
        <v>73</v>
      </c>
      <c r="C21" s="33">
        <v>0.29166666666666669</v>
      </c>
      <c r="D21" s="34">
        <v>0.16666666666666666</v>
      </c>
      <c r="E21" s="34">
        <v>0.29166666666666669</v>
      </c>
      <c r="F21" s="34">
        <v>0.75</v>
      </c>
      <c r="G21" s="34">
        <v>1.0416666666666667</v>
      </c>
      <c r="H21" s="34">
        <v>0.33333333333333331</v>
      </c>
      <c r="I21" s="34">
        <v>0.375</v>
      </c>
      <c r="J21" s="34">
        <v>0.20833333333333334</v>
      </c>
      <c r="K21" s="34">
        <v>0.79166666666666663</v>
      </c>
      <c r="L21" s="34">
        <v>0.91666666666666663</v>
      </c>
      <c r="M21" s="34">
        <v>0.125</v>
      </c>
      <c r="N21" s="34">
        <v>2.8333333333333335</v>
      </c>
      <c r="O21" s="34">
        <v>1</v>
      </c>
      <c r="P21" s="68">
        <v>1.0416666666666667</v>
      </c>
      <c r="Q21" s="34">
        <v>3.25</v>
      </c>
      <c r="R21" s="80">
        <f t="shared" si="0"/>
        <v>13.416666666666668</v>
      </c>
    </row>
    <row r="22" spans="1:18">
      <c r="A22" s="1" t="s">
        <v>3</v>
      </c>
      <c r="B22" s="41" t="s">
        <v>74</v>
      </c>
      <c r="C22" s="42">
        <v>19</v>
      </c>
      <c r="D22" s="43">
        <v>20</v>
      </c>
      <c r="E22" s="43">
        <v>35</v>
      </c>
      <c r="F22" s="43">
        <v>39</v>
      </c>
      <c r="G22" s="43">
        <v>34</v>
      </c>
      <c r="H22" s="43">
        <v>28</v>
      </c>
      <c r="I22" s="43">
        <v>37</v>
      </c>
      <c r="J22" s="43">
        <v>35.5</v>
      </c>
      <c r="K22" s="43">
        <v>35.5</v>
      </c>
      <c r="L22" s="43">
        <v>35</v>
      </c>
      <c r="M22" s="43">
        <v>32</v>
      </c>
      <c r="N22" s="43">
        <v>34.5</v>
      </c>
      <c r="O22" s="43">
        <v>14</v>
      </c>
      <c r="P22" s="69">
        <v>19</v>
      </c>
      <c r="Q22" s="43">
        <v>24</v>
      </c>
      <c r="R22" s="81"/>
    </row>
    <row r="23" spans="1:18">
      <c r="A23" s="1" t="s">
        <v>3</v>
      </c>
      <c r="B23" s="22" t="s">
        <v>75</v>
      </c>
      <c r="C23" s="37">
        <v>182000</v>
      </c>
      <c r="D23" s="38">
        <v>192000</v>
      </c>
      <c r="E23" s="38">
        <v>197000</v>
      </c>
      <c r="F23" s="38">
        <v>197000</v>
      </c>
      <c r="G23" s="38">
        <v>197000</v>
      </c>
      <c r="H23" s="38">
        <v>182000</v>
      </c>
      <c r="I23" s="38">
        <v>187000</v>
      </c>
      <c r="J23" s="38">
        <v>182000</v>
      </c>
      <c r="K23" s="38">
        <v>197000</v>
      </c>
      <c r="L23" s="38">
        <v>192000</v>
      </c>
      <c r="M23" s="38">
        <v>192000</v>
      </c>
      <c r="N23" s="38">
        <v>182000</v>
      </c>
      <c r="O23" s="38">
        <v>175000</v>
      </c>
      <c r="P23" s="70">
        <v>175000</v>
      </c>
      <c r="Q23" s="38">
        <v>180000</v>
      </c>
      <c r="R23" s="82">
        <f t="shared" ref="R23:R53" si="1">SUM(C23:Q23)</f>
        <v>2809000</v>
      </c>
    </row>
    <row r="24" spans="1:18">
      <c r="A24" s="1" t="s">
        <v>3</v>
      </c>
      <c r="B24" s="21" t="s">
        <v>76</v>
      </c>
      <c r="C24" s="19">
        <v>0</v>
      </c>
      <c r="D24" s="9">
        <v>0</v>
      </c>
      <c r="E24" s="9">
        <v>20000</v>
      </c>
      <c r="F24" s="9">
        <v>20000</v>
      </c>
      <c r="G24" s="9">
        <v>0</v>
      </c>
      <c r="H24" s="9">
        <v>0</v>
      </c>
      <c r="I24" s="9">
        <v>5000</v>
      </c>
      <c r="J24" s="9">
        <v>0</v>
      </c>
      <c r="K24" s="9">
        <v>0</v>
      </c>
      <c r="L24" s="9">
        <v>0</v>
      </c>
      <c r="M24" s="9">
        <v>5000</v>
      </c>
      <c r="N24" s="9">
        <v>0</v>
      </c>
      <c r="O24" s="9">
        <v>0</v>
      </c>
      <c r="P24" s="71">
        <v>0</v>
      </c>
      <c r="Q24" s="9">
        <v>0</v>
      </c>
      <c r="R24" s="83">
        <f t="shared" si="1"/>
        <v>50000</v>
      </c>
    </row>
    <row r="25" spans="1:18">
      <c r="A25" s="1" t="s">
        <v>3</v>
      </c>
      <c r="B25" s="21" t="s">
        <v>77</v>
      </c>
      <c r="C25" s="19">
        <v>0</v>
      </c>
      <c r="D25" s="9">
        <v>0</v>
      </c>
      <c r="E25" s="9">
        <v>3000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71">
        <v>0</v>
      </c>
      <c r="Q25" s="9">
        <v>0</v>
      </c>
      <c r="R25" s="83">
        <f t="shared" si="1"/>
        <v>3000</v>
      </c>
    </row>
    <row r="26" spans="1:18">
      <c r="A26" s="1" t="s">
        <v>3</v>
      </c>
      <c r="B26" s="21" t="s">
        <v>78</v>
      </c>
      <c r="C26" s="19">
        <v>0</v>
      </c>
      <c r="D26" s="9">
        <v>0</v>
      </c>
      <c r="E26" s="9">
        <v>0</v>
      </c>
      <c r="F26" s="9">
        <v>7069</v>
      </c>
      <c r="G26" s="9">
        <v>6264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84511</v>
      </c>
      <c r="N26" s="9">
        <v>9000</v>
      </c>
      <c r="O26" s="9">
        <v>0</v>
      </c>
      <c r="P26" s="71">
        <v>0</v>
      </c>
      <c r="Q26" s="9">
        <v>13248</v>
      </c>
      <c r="R26" s="83">
        <f t="shared" si="1"/>
        <v>120092</v>
      </c>
    </row>
    <row r="27" spans="1:18">
      <c r="A27" s="1" t="s">
        <v>3</v>
      </c>
      <c r="B27" s="21" t="s">
        <v>79</v>
      </c>
      <c r="C27" s="1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71">
        <v>0</v>
      </c>
      <c r="Q27" s="9">
        <v>0</v>
      </c>
      <c r="R27" s="83">
        <f t="shared" si="1"/>
        <v>0</v>
      </c>
    </row>
    <row r="28" spans="1:18">
      <c r="A28" s="1" t="s">
        <v>3</v>
      </c>
      <c r="B28" s="21" t="s">
        <v>80</v>
      </c>
      <c r="C28" s="19">
        <v>28600</v>
      </c>
      <c r="D28" s="9">
        <v>15300</v>
      </c>
      <c r="E28" s="9">
        <v>26800</v>
      </c>
      <c r="F28" s="9">
        <v>28200</v>
      </c>
      <c r="G28" s="9">
        <v>7000</v>
      </c>
      <c r="H28" s="9">
        <v>29200</v>
      </c>
      <c r="I28" s="9">
        <v>28200</v>
      </c>
      <c r="J28" s="9">
        <v>28800</v>
      </c>
      <c r="K28" s="9">
        <v>0</v>
      </c>
      <c r="L28" s="9">
        <v>27000</v>
      </c>
      <c r="M28" s="9">
        <v>0</v>
      </c>
      <c r="N28" s="9">
        <v>29000</v>
      </c>
      <c r="O28" s="9">
        <v>14800</v>
      </c>
      <c r="P28" s="71">
        <v>29400</v>
      </c>
      <c r="Q28" s="9">
        <v>29200</v>
      </c>
      <c r="R28" s="83">
        <f t="shared" si="1"/>
        <v>321500</v>
      </c>
    </row>
    <row r="29" spans="1:18">
      <c r="A29" s="1" t="s">
        <v>3</v>
      </c>
      <c r="B29" s="21" t="s">
        <v>81</v>
      </c>
      <c r="C29" s="19">
        <v>3500</v>
      </c>
      <c r="D29" s="9">
        <v>1000</v>
      </c>
      <c r="E29" s="9">
        <v>3500</v>
      </c>
      <c r="F29" s="9">
        <v>3500</v>
      </c>
      <c r="G29" s="9">
        <v>3500</v>
      </c>
      <c r="H29" s="9">
        <v>3500</v>
      </c>
      <c r="I29" s="9">
        <v>3500</v>
      </c>
      <c r="J29" s="9">
        <v>3500</v>
      </c>
      <c r="K29" s="9">
        <v>3500</v>
      </c>
      <c r="L29" s="9">
        <v>3500</v>
      </c>
      <c r="M29" s="9">
        <v>2000</v>
      </c>
      <c r="N29" s="9">
        <v>3500</v>
      </c>
      <c r="O29" s="9">
        <v>1000</v>
      </c>
      <c r="P29" s="71">
        <v>2000</v>
      </c>
      <c r="Q29" s="9">
        <v>2000</v>
      </c>
      <c r="R29" s="83">
        <f t="shared" si="1"/>
        <v>43000</v>
      </c>
    </row>
    <row r="30" spans="1:18">
      <c r="A30" s="1" t="s">
        <v>3</v>
      </c>
      <c r="B30" s="21" t="s">
        <v>82</v>
      </c>
      <c r="C30" s="1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71">
        <v>0</v>
      </c>
      <c r="Q30" s="9">
        <v>0</v>
      </c>
      <c r="R30" s="83">
        <f t="shared" si="1"/>
        <v>0</v>
      </c>
    </row>
    <row r="31" spans="1:18">
      <c r="A31" s="1" t="s">
        <v>3</v>
      </c>
      <c r="B31" s="21" t="s">
        <v>67</v>
      </c>
      <c r="C31" s="19">
        <v>31947</v>
      </c>
      <c r="D31" s="9">
        <v>40460</v>
      </c>
      <c r="E31" s="9">
        <v>71939</v>
      </c>
      <c r="F31" s="9">
        <v>90750</v>
      </c>
      <c r="G31" s="9">
        <v>100567</v>
      </c>
      <c r="H31" s="9">
        <v>62505</v>
      </c>
      <c r="I31" s="9">
        <v>48312</v>
      </c>
      <c r="J31" s="9">
        <v>41670</v>
      </c>
      <c r="K31" s="9">
        <v>34523</v>
      </c>
      <c r="L31" s="9">
        <v>24888</v>
      </c>
      <c r="M31" s="9">
        <v>31290</v>
      </c>
      <c r="N31" s="9">
        <v>47226</v>
      </c>
      <c r="O31" s="9">
        <v>60628</v>
      </c>
      <c r="P31" s="71">
        <v>82150</v>
      </c>
      <c r="Q31" s="9">
        <v>61335</v>
      </c>
      <c r="R31" s="83">
        <f t="shared" si="1"/>
        <v>830190</v>
      </c>
    </row>
    <row r="32" spans="1:18">
      <c r="A32" s="1" t="s">
        <v>3</v>
      </c>
      <c r="B32" s="21" t="s">
        <v>83</v>
      </c>
      <c r="C32" s="19">
        <v>18000</v>
      </c>
      <c r="D32" s="9">
        <v>35903</v>
      </c>
      <c r="E32" s="9">
        <v>21672</v>
      </c>
      <c r="F32" s="9">
        <v>12474</v>
      </c>
      <c r="G32" s="9">
        <v>0</v>
      </c>
      <c r="H32" s="9">
        <v>12000</v>
      </c>
      <c r="I32" s="9">
        <v>41106</v>
      </c>
      <c r="J32" s="9">
        <v>25500</v>
      </c>
      <c r="K32" s="9">
        <v>30799</v>
      </c>
      <c r="L32" s="9">
        <v>41106</v>
      </c>
      <c r="M32" s="9">
        <v>35398</v>
      </c>
      <c r="N32" s="9">
        <v>12000</v>
      </c>
      <c r="O32" s="9">
        <v>31306</v>
      </c>
      <c r="P32" s="71">
        <v>8586</v>
      </c>
      <c r="Q32" s="9">
        <v>14720</v>
      </c>
      <c r="R32" s="83">
        <f t="shared" si="1"/>
        <v>340570</v>
      </c>
    </row>
    <row r="33" spans="1:18">
      <c r="A33" s="1" t="s">
        <v>3</v>
      </c>
      <c r="B33" s="21" t="s">
        <v>84</v>
      </c>
      <c r="C33" s="19">
        <v>36000</v>
      </c>
      <c r="D33" s="9">
        <v>17171</v>
      </c>
      <c r="E33" s="9">
        <v>5418</v>
      </c>
      <c r="F33" s="9">
        <v>26730</v>
      </c>
      <c r="G33" s="9">
        <v>9726</v>
      </c>
      <c r="H33" s="9">
        <v>36000</v>
      </c>
      <c r="I33" s="9">
        <v>18972</v>
      </c>
      <c r="J33" s="9">
        <v>16500</v>
      </c>
      <c r="K33" s="9">
        <v>42146</v>
      </c>
      <c r="L33" s="9">
        <v>33201</v>
      </c>
      <c r="M33" s="9">
        <v>11263</v>
      </c>
      <c r="N33" s="9">
        <v>13500</v>
      </c>
      <c r="O33" s="9">
        <v>17076</v>
      </c>
      <c r="P33" s="71">
        <v>21465</v>
      </c>
      <c r="Q33" s="9">
        <v>23552</v>
      </c>
      <c r="R33" s="83">
        <f t="shared" si="1"/>
        <v>328720</v>
      </c>
    </row>
    <row r="34" spans="1:18">
      <c r="A34" s="1" t="s">
        <v>3</v>
      </c>
      <c r="B34" s="21" t="s">
        <v>85</v>
      </c>
      <c r="C34" s="1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3501</v>
      </c>
      <c r="O34" s="9">
        <v>0</v>
      </c>
      <c r="P34" s="71">
        <v>0</v>
      </c>
      <c r="Q34" s="9">
        <v>0</v>
      </c>
      <c r="R34" s="83">
        <f t="shared" si="1"/>
        <v>3501</v>
      </c>
    </row>
    <row r="35" spans="1:18">
      <c r="A35" s="1" t="s">
        <v>3</v>
      </c>
      <c r="B35" s="21" t="s">
        <v>71</v>
      </c>
      <c r="C35" s="19">
        <v>0</v>
      </c>
      <c r="D35" s="9">
        <v>0</v>
      </c>
      <c r="E35" s="9">
        <v>0</v>
      </c>
      <c r="F35" s="9">
        <v>0</v>
      </c>
      <c r="G35" s="9">
        <v>2100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71">
        <v>1325</v>
      </c>
      <c r="Q35" s="9">
        <v>0</v>
      </c>
      <c r="R35" s="83">
        <f t="shared" si="1"/>
        <v>3425</v>
      </c>
    </row>
    <row r="36" spans="1:18">
      <c r="A36" s="1" t="s">
        <v>3</v>
      </c>
      <c r="B36" s="32" t="s">
        <v>73</v>
      </c>
      <c r="C36" s="46">
        <v>1946</v>
      </c>
      <c r="D36" s="47">
        <v>1156</v>
      </c>
      <c r="E36" s="47">
        <v>2345</v>
      </c>
      <c r="F36" s="47">
        <v>5940</v>
      </c>
      <c r="G36" s="47">
        <v>7500</v>
      </c>
      <c r="H36" s="47">
        <v>2224</v>
      </c>
      <c r="I36" s="47">
        <v>2637</v>
      </c>
      <c r="J36" s="47">
        <v>1390</v>
      </c>
      <c r="K36" s="47">
        <v>5700</v>
      </c>
      <c r="L36" s="47">
        <v>6446</v>
      </c>
      <c r="M36" s="47">
        <v>894</v>
      </c>
      <c r="N36" s="47">
        <v>18904</v>
      </c>
      <c r="O36" s="47">
        <v>6336</v>
      </c>
      <c r="P36" s="72">
        <v>6625</v>
      </c>
      <c r="Q36" s="47">
        <v>21294</v>
      </c>
      <c r="R36" s="84">
        <f t="shared" si="1"/>
        <v>91337</v>
      </c>
    </row>
    <row r="37" spans="1:18">
      <c r="A37" s="1" t="s">
        <v>3</v>
      </c>
      <c r="B37" s="41" t="s">
        <v>86</v>
      </c>
      <c r="C37" s="50">
        <v>301993</v>
      </c>
      <c r="D37" s="51">
        <v>302990</v>
      </c>
      <c r="E37" s="51">
        <v>351674</v>
      </c>
      <c r="F37" s="51">
        <v>391663</v>
      </c>
      <c r="G37" s="51">
        <v>333657</v>
      </c>
      <c r="H37" s="51">
        <v>327429</v>
      </c>
      <c r="I37" s="51">
        <v>334727</v>
      </c>
      <c r="J37" s="51">
        <v>299360</v>
      </c>
      <c r="K37" s="51">
        <v>313668</v>
      </c>
      <c r="L37" s="51">
        <v>328141</v>
      </c>
      <c r="M37" s="51">
        <v>362356</v>
      </c>
      <c r="N37" s="51">
        <v>318631</v>
      </c>
      <c r="O37" s="51">
        <v>306146</v>
      </c>
      <c r="P37" s="73">
        <v>326551</v>
      </c>
      <c r="Q37" s="51">
        <v>345349</v>
      </c>
      <c r="R37" s="85">
        <f t="shared" si="1"/>
        <v>4944335</v>
      </c>
    </row>
    <row r="38" spans="1:18">
      <c r="A38" s="1" t="s">
        <v>3</v>
      </c>
      <c r="B38" s="41" t="s">
        <v>87</v>
      </c>
      <c r="C38" s="50">
        <v>14888</v>
      </c>
      <c r="D38" s="51">
        <v>3293</v>
      </c>
      <c r="E38" s="51">
        <v>6442</v>
      </c>
      <c r="F38" s="51">
        <v>3436</v>
      </c>
      <c r="G38" s="51">
        <v>2520</v>
      </c>
      <c r="H38" s="51">
        <v>2978</v>
      </c>
      <c r="I38" s="51">
        <v>1375</v>
      </c>
      <c r="J38" s="51">
        <v>3579</v>
      </c>
      <c r="K38" s="51">
        <v>5956</v>
      </c>
      <c r="L38" s="51">
        <v>8590</v>
      </c>
      <c r="M38" s="51">
        <v>7158</v>
      </c>
      <c r="N38" s="51">
        <v>11682</v>
      </c>
      <c r="O38" s="51">
        <v>8561</v>
      </c>
      <c r="P38" s="73">
        <v>8933</v>
      </c>
      <c r="Q38" s="51">
        <v>2864</v>
      </c>
      <c r="R38" s="85">
        <f t="shared" si="1"/>
        <v>92255</v>
      </c>
    </row>
    <row r="39" spans="1:18">
      <c r="A39" s="1" t="s">
        <v>3</v>
      </c>
      <c r="B39" s="41" t="s">
        <v>88</v>
      </c>
      <c r="C39" s="50">
        <v>14888</v>
      </c>
      <c r="D39" s="51">
        <v>3293</v>
      </c>
      <c r="E39" s="51">
        <v>6442</v>
      </c>
      <c r="F39" s="51">
        <v>3436</v>
      </c>
      <c r="G39" s="51">
        <v>2520</v>
      </c>
      <c r="H39" s="51">
        <v>2978</v>
      </c>
      <c r="I39" s="51">
        <v>1375</v>
      </c>
      <c r="J39" s="51">
        <v>3579</v>
      </c>
      <c r="K39" s="51">
        <v>5956</v>
      </c>
      <c r="L39" s="51">
        <v>8590</v>
      </c>
      <c r="M39" s="51">
        <v>7158</v>
      </c>
      <c r="N39" s="51">
        <v>11682</v>
      </c>
      <c r="O39" s="51">
        <v>8561</v>
      </c>
      <c r="P39" s="73">
        <v>8933</v>
      </c>
      <c r="Q39" s="51">
        <v>2864</v>
      </c>
      <c r="R39" s="85">
        <f t="shared" si="1"/>
        <v>92255</v>
      </c>
    </row>
    <row r="40" spans="1:18">
      <c r="A40" s="1" t="s">
        <v>3</v>
      </c>
      <c r="B40" s="41" t="s">
        <v>89</v>
      </c>
      <c r="C40" s="50">
        <v>316881</v>
      </c>
      <c r="D40" s="51">
        <v>306283</v>
      </c>
      <c r="E40" s="51">
        <v>358116</v>
      </c>
      <c r="F40" s="51">
        <v>395099</v>
      </c>
      <c r="G40" s="51">
        <v>336177</v>
      </c>
      <c r="H40" s="51">
        <v>330407</v>
      </c>
      <c r="I40" s="51">
        <v>336102</v>
      </c>
      <c r="J40" s="51">
        <v>302939</v>
      </c>
      <c r="K40" s="51">
        <v>319624</v>
      </c>
      <c r="L40" s="51">
        <v>336731</v>
      </c>
      <c r="M40" s="51">
        <v>369514</v>
      </c>
      <c r="N40" s="51">
        <v>330313</v>
      </c>
      <c r="O40" s="51">
        <v>314707</v>
      </c>
      <c r="P40" s="73">
        <v>335484</v>
      </c>
      <c r="Q40" s="51">
        <v>348213</v>
      </c>
      <c r="R40" s="85">
        <f t="shared" si="1"/>
        <v>5036590</v>
      </c>
    </row>
    <row r="41" spans="1:18">
      <c r="A41" s="1" t="s">
        <v>3</v>
      </c>
      <c r="B41" s="22" t="s">
        <v>90</v>
      </c>
      <c r="C41" s="37">
        <v>15300</v>
      </c>
      <c r="D41" s="38">
        <v>16320</v>
      </c>
      <c r="E41" s="38">
        <v>19380</v>
      </c>
      <c r="F41" s="38">
        <v>19380</v>
      </c>
      <c r="G41" s="38">
        <v>19380</v>
      </c>
      <c r="H41" s="38">
        <v>16320</v>
      </c>
      <c r="I41" s="38">
        <v>15300</v>
      </c>
      <c r="J41" s="38">
        <v>15300</v>
      </c>
      <c r="K41" s="38">
        <v>19380</v>
      </c>
      <c r="L41" s="38">
        <v>18360</v>
      </c>
      <c r="M41" s="38">
        <v>19380</v>
      </c>
      <c r="N41" s="38">
        <v>15300</v>
      </c>
      <c r="O41" s="38">
        <v>16320</v>
      </c>
      <c r="P41" s="70">
        <v>14280</v>
      </c>
      <c r="Q41" s="38">
        <v>16320</v>
      </c>
      <c r="R41" s="82">
        <f t="shared" si="1"/>
        <v>256020</v>
      </c>
    </row>
    <row r="42" spans="1:18">
      <c r="A42" s="1" t="s">
        <v>3</v>
      </c>
      <c r="B42" s="21" t="s">
        <v>91</v>
      </c>
      <c r="C42" s="19">
        <v>2700</v>
      </c>
      <c r="D42" s="9">
        <v>2880</v>
      </c>
      <c r="E42" s="9">
        <v>3420</v>
      </c>
      <c r="F42" s="9">
        <v>3420</v>
      </c>
      <c r="G42" s="9">
        <v>3420</v>
      </c>
      <c r="H42" s="9">
        <v>2880</v>
      </c>
      <c r="I42" s="9">
        <v>2700</v>
      </c>
      <c r="J42" s="9">
        <v>2700</v>
      </c>
      <c r="K42" s="9">
        <v>3420</v>
      </c>
      <c r="L42" s="9">
        <v>3240</v>
      </c>
      <c r="M42" s="9">
        <v>3420</v>
      </c>
      <c r="N42" s="9">
        <v>2700</v>
      </c>
      <c r="O42" s="9">
        <v>2880</v>
      </c>
      <c r="P42" s="71">
        <v>2520</v>
      </c>
      <c r="Q42" s="9">
        <v>2880</v>
      </c>
      <c r="R42" s="83">
        <f t="shared" si="1"/>
        <v>45180</v>
      </c>
    </row>
    <row r="43" spans="1:18">
      <c r="A43" s="1" t="s">
        <v>3</v>
      </c>
      <c r="B43" s="21" t="s">
        <v>92</v>
      </c>
      <c r="C43" s="19">
        <v>27450</v>
      </c>
      <c r="D43" s="9">
        <v>29280</v>
      </c>
      <c r="E43" s="9">
        <v>34770</v>
      </c>
      <c r="F43" s="9">
        <v>34770</v>
      </c>
      <c r="G43" s="9">
        <v>34770</v>
      </c>
      <c r="H43" s="9">
        <v>29280</v>
      </c>
      <c r="I43" s="9">
        <v>27450</v>
      </c>
      <c r="J43" s="9">
        <v>27450</v>
      </c>
      <c r="K43" s="9">
        <v>34770</v>
      </c>
      <c r="L43" s="9">
        <v>32940</v>
      </c>
      <c r="M43" s="9">
        <v>34770</v>
      </c>
      <c r="N43" s="9">
        <v>27450</v>
      </c>
      <c r="O43" s="9">
        <v>29280</v>
      </c>
      <c r="P43" s="71">
        <v>25620</v>
      </c>
      <c r="Q43" s="9">
        <v>29280</v>
      </c>
      <c r="R43" s="83">
        <f t="shared" si="1"/>
        <v>459330</v>
      </c>
    </row>
    <row r="44" spans="1:18">
      <c r="A44" s="1" t="s">
        <v>3</v>
      </c>
      <c r="B44" s="32" t="s">
        <v>93</v>
      </c>
      <c r="C44" s="46">
        <v>1901</v>
      </c>
      <c r="D44" s="47">
        <v>1838</v>
      </c>
      <c r="E44" s="47">
        <v>2149</v>
      </c>
      <c r="F44" s="47">
        <v>2371</v>
      </c>
      <c r="G44" s="47">
        <v>2017</v>
      </c>
      <c r="H44" s="47">
        <v>1982</v>
      </c>
      <c r="I44" s="47">
        <v>2017</v>
      </c>
      <c r="J44" s="47">
        <v>1818</v>
      </c>
      <c r="K44" s="47">
        <v>1918</v>
      </c>
      <c r="L44" s="47">
        <v>2020</v>
      </c>
      <c r="M44" s="47">
        <v>2217</v>
      </c>
      <c r="N44" s="47">
        <v>1982</v>
      </c>
      <c r="O44" s="47">
        <v>1888</v>
      </c>
      <c r="P44" s="72">
        <v>2013</v>
      </c>
      <c r="Q44" s="47">
        <v>2089</v>
      </c>
      <c r="R44" s="84">
        <f t="shared" si="1"/>
        <v>30220</v>
      </c>
    </row>
    <row r="45" spans="1:18">
      <c r="A45" s="1" t="s">
        <v>3</v>
      </c>
      <c r="B45" s="41" t="s">
        <v>94</v>
      </c>
      <c r="C45" s="50">
        <v>47351</v>
      </c>
      <c r="D45" s="51">
        <v>50318</v>
      </c>
      <c r="E45" s="51">
        <v>59719</v>
      </c>
      <c r="F45" s="51">
        <v>59941</v>
      </c>
      <c r="G45" s="51">
        <v>59587</v>
      </c>
      <c r="H45" s="51">
        <v>50462</v>
      </c>
      <c r="I45" s="51">
        <v>47467</v>
      </c>
      <c r="J45" s="51">
        <v>47268</v>
      </c>
      <c r="K45" s="51">
        <v>59488</v>
      </c>
      <c r="L45" s="51">
        <v>56560</v>
      </c>
      <c r="M45" s="51">
        <v>59787</v>
      </c>
      <c r="N45" s="51">
        <v>47432</v>
      </c>
      <c r="O45" s="51">
        <v>50368</v>
      </c>
      <c r="P45" s="73">
        <v>44433</v>
      </c>
      <c r="Q45" s="51">
        <v>50569</v>
      </c>
      <c r="R45" s="85">
        <f t="shared" si="1"/>
        <v>790750</v>
      </c>
    </row>
    <row r="46" spans="1:18">
      <c r="A46" s="1" t="s">
        <v>3</v>
      </c>
      <c r="B46" s="22" t="s">
        <v>95</v>
      </c>
      <c r="C46" s="37">
        <v>5100</v>
      </c>
      <c r="D46" s="38">
        <v>6650</v>
      </c>
      <c r="E46" s="38">
        <v>6430</v>
      </c>
      <c r="F46" s="38">
        <v>10970</v>
      </c>
      <c r="G46" s="38">
        <v>7410</v>
      </c>
      <c r="H46" s="38">
        <v>7520</v>
      </c>
      <c r="I46" s="38">
        <v>6270</v>
      </c>
      <c r="J46" s="38">
        <v>6630</v>
      </c>
      <c r="K46" s="38">
        <v>6700</v>
      </c>
      <c r="L46" s="38">
        <v>7320</v>
      </c>
      <c r="M46" s="38">
        <v>1980</v>
      </c>
      <c r="N46" s="38">
        <v>7310</v>
      </c>
      <c r="O46" s="38">
        <v>6760</v>
      </c>
      <c r="P46" s="70">
        <v>7700</v>
      </c>
      <c r="Q46" s="38">
        <v>8150</v>
      </c>
      <c r="R46" s="82">
        <f t="shared" si="1"/>
        <v>102900</v>
      </c>
    </row>
    <row r="47" spans="1:18">
      <c r="A47" s="1" t="s">
        <v>3</v>
      </c>
      <c r="B47" s="21" t="s">
        <v>96</v>
      </c>
      <c r="C47" s="19">
        <v>1300</v>
      </c>
      <c r="D47" s="9">
        <v>1300</v>
      </c>
      <c r="E47" s="9">
        <v>1300</v>
      </c>
      <c r="F47" s="9">
        <v>0</v>
      </c>
      <c r="G47" s="9">
        <v>1300</v>
      </c>
      <c r="H47" s="9">
        <v>1300</v>
      </c>
      <c r="I47" s="9">
        <v>1300</v>
      </c>
      <c r="J47" s="9">
        <v>1300</v>
      </c>
      <c r="K47" s="9">
        <v>1300</v>
      </c>
      <c r="L47" s="9">
        <v>1300</v>
      </c>
      <c r="M47" s="9">
        <v>1300</v>
      </c>
      <c r="N47" s="9">
        <v>1300</v>
      </c>
      <c r="O47" s="9">
        <v>1300</v>
      </c>
      <c r="P47" s="71">
        <v>1300</v>
      </c>
      <c r="Q47" s="9">
        <v>0</v>
      </c>
      <c r="R47" s="83">
        <f t="shared" si="1"/>
        <v>16900</v>
      </c>
    </row>
    <row r="48" spans="1:18">
      <c r="A48" s="1" t="s">
        <v>3</v>
      </c>
      <c r="B48" s="21" t="s">
        <v>97</v>
      </c>
      <c r="C48" s="19">
        <v>6700</v>
      </c>
      <c r="D48" s="9">
        <v>15100</v>
      </c>
      <c r="E48" s="9">
        <v>18200</v>
      </c>
      <c r="F48" s="9">
        <v>20200</v>
      </c>
      <c r="G48" s="9">
        <v>19000</v>
      </c>
      <c r="H48" s="9">
        <v>13900</v>
      </c>
      <c r="I48" s="9">
        <v>9200</v>
      </c>
      <c r="J48" s="9">
        <v>13900</v>
      </c>
      <c r="K48" s="9">
        <v>16500</v>
      </c>
      <c r="L48" s="9">
        <v>14300</v>
      </c>
      <c r="M48" s="9">
        <v>1900</v>
      </c>
      <c r="N48" s="9">
        <v>0</v>
      </c>
      <c r="O48" s="9">
        <v>12900</v>
      </c>
      <c r="P48" s="71">
        <v>10500</v>
      </c>
      <c r="Q48" s="9">
        <v>5300</v>
      </c>
      <c r="R48" s="83">
        <f t="shared" si="1"/>
        <v>177600</v>
      </c>
    </row>
    <row r="49" spans="1:18">
      <c r="A49" s="1" t="s">
        <v>3</v>
      </c>
      <c r="B49" s="32" t="s">
        <v>98</v>
      </c>
      <c r="C49" s="46">
        <v>28600</v>
      </c>
      <c r="D49" s="47">
        <v>15300</v>
      </c>
      <c r="E49" s="47">
        <v>26800</v>
      </c>
      <c r="F49" s="47">
        <v>28200</v>
      </c>
      <c r="G49" s="47">
        <v>7000</v>
      </c>
      <c r="H49" s="47">
        <v>29200</v>
      </c>
      <c r="I49" s="47">
        <v>28200</v>
      </c>
      <c r="J49" s="47">
        <v>28800</v>
      </c>
      <c r="K49" s="47">
        <v>0</v>
      </c>
      <c r="L49" s="47">
        <v>27000</v>
      </c>
      <c r="M49" s="47">
        <v>0</v>
      </c>
      <c r="N49" s="47">
        <v>29000</v>
      </c>
      <c r="O49" s="47">
        <v>14800</v>
      </c>
      <c r="P49" s="72">
        <v>29400</v>
      </c>
      <c r="Q49" s="47">
        <v>29200</v>
      </c>
      <c r="R49" s="84">
        <f t="shared" si="1"/>
        <v>321500</v>
      </c>
    </row>
    <row r="50" spans="1:18">
      <c r="A50" s="1" t="s">
        <v>3</v>
      </c>
      <c r="B50" s="41" t="s">
        <v>99</v>
      </c>
      <c r="C50" s="50">
        <v>89051</v>
      </c>
      <c r="D50" s="51">
        <v>88668</v>
      </c>
      <c r="E50" s="51">
        <v>112449</v>
      </c>
      <c r="F50" s="51">
        <v>119311</v>
      </c>
      <c r="G50" s="51">
        <v>94297</v>
      </c>
      <c r="H50" s="51">
        <v>102382</v>
      </c>
      <c r="I50" s="51">
        <v>92437</v>
      </c>
      <c r="J50" s="51">
        <v>97898</v>
      </c>
      <c r="K50" s="51">
        <v>83988</v>
      </c>
      <c r="L50" s="51">
        <v>106480</v>
      </c>
      <c r="M50" s="51">
        <v>64967</v>
      </c>
      <c r="N50" s="51">
        <v>85042</v>
      </c>
      <c r="O50" s="51">
        <v>86128</v>
      </c>
      <c r="P50" s="73">
        <v>93333</v>
      </c>
      <c r="Q50" s="51">
        <v>93219</v>
      </c>
      <c r="R50" s="85">
        <f t="shared" si="1"/>
        <v>1409650</v>
      </c>
    </row>
    <row r="51" spans="1:18">
      <c r="A51" s="1" t="s">
        <v>3</v>
      </c>
      <c r="B51" s="41" t="s">
        <v>100</v>
      </c>
      <c r="C51" s="50">
        <v>254642</v>
      </c>
      <c r="D51" s="51">
        <v>252672</v>
      </c>
      <c r="E51" s="51">
        <v>291955</v>
      </c>
      <c r="F51" s="51">
        <v>331722</v>
      </c>
      <c r="G51" s="51">
        <v>274070</v>
      </c>
      <c r="H51" s="51">
        <v>276967</v>
      </c>
      <c r="I51" s="51">
        <v>287260</v>
      </c>
      <c r="J51" s="51">
        <v>252092</v>
      </c>
      <c r="K51" s="51">
        <v>254180</v>
      </c>
      <c r="L51" s="51">
        <v>271581</v>
      </c>
      <c r="M51" s="51">
        <v>302569</v>
      </c>
      <c r="N51" s="51">
        <v>271199</v>
      </c>
      <c r="O51" s="51">
        <v>255778</v>
      </c>
      <c r="P51" s="73">
        <v>282118</v>
      </c>
      <c r="Q51" s="51">
        <v>294780</v>
      </c>
      <c r="R51" s="85">
        <f t="shared" si="1"/>
        <v>4153585</v>
      </c>
    </row>
    <row r="52" spans="1:18">
      <c r="A52" s="1" t="s">
        <v>3</v>
      </c>
      <c r="B52" s="41" t="s">
        <v>101</v>
      </c>
      <c r="C52" s="50">
        <v>227830</v>
      </c>
      <c r="D52" s="51">
        <v>217615</v>
      </c>
      <c r="E52" s="51">
        <v>245667</v>
      </c>
      <c r="F52" s="51">
        <v>275788</v>
      </c>
      <c r="G52" s="51">
        <v>241880</v>
      </c>
      <c r="H52" s="51">
        <v>228025</v>
      </c>
      <c r="I52" s="51">
        <v>243665</v>
      </c>
      <c r="J52" s="51">
        <v>205041</v>
      </c>
      <c r="K52" s="51">
        <v>235636</v>
      </c>
      <c r="L52" s="51">
        <v>230251</v>
      </c>
      <c r="M52" s="51">
        <v>304547</v>
      </c>
      <c r="N52" s="51">
        <v>245271</v>
      </c>
      <c r="O52" s="51">
        <v>228579</v>
      </c>
      <c r="P52" s="73">
        <v>242151</v>
      </c>
      <c r="Q52" s="51">
        <v>254994</v>
      </c>
      <c r="R52" s="85">
        <f t="shared" si="1"/>
        <v>3626940</v>
      </c>
    </row>
    <row r="53" spans="1:18">
      <c r="A53" s="1" t="s">
        <v>3</v>
      </c>
      <c r="B53" s="41" t="s">
        <v>102</v>
      </c>
      <c r="C53" s="50">
        <v>227830</v>
      </c>
      <c r="D53" s="51">
        <v>217615</v>
      </c>
      <c r="E53" s="51">
        <v>245667</v>
      </c>
      <c r="F53" s="51">
        <v>275788</v>
      </c>
      <c r="G53" s="51">
        <v>241880</v>
      </c>
      <c r="H53" s="51">
        <v>228025</v>
      </c>
      <c r="I53" s="51">
        <v>243665</v>
      </c>
      <c r="J53" s="51">
        <v>205041</v>
      </c>
      <c r="K53" s="51">
        <v>235636</v>
      </c>
      <c r="L53" s="51">
        <v>230251</v>
      </c>
      <c r="M53" s="51">
        <v>304547</v>
      </c>
      <c r="N53" s="51">
        <v>245271</v>
      </c>
      <c r="O53" s="51">
        <v>228579</v>
      </c>
      <c r="P53" s="73">
        <v>242151</v>
      </c>
      <c r="Q53" s="51">
        <v>254994</v>
      </c>
      <c r="R53" s="85">
        <f t="shared" si="1"/>
        <v>3626940</v>
      </c>
    </row>
    <row r="54" spans="1:18">
      <c r="A54" s="1" t="s">
        <v>3</v>
      </c>
      <c r="B54" s="41" t="s">
        <v>103</v>
      </c>
      <c r="C54" s="50">
        <v>1</v>
      </c>
      <c r="D54" s="51">
        <v>0</v>
      </c>
      <c r="E54" s="51">
        <v>1</v>
      </c>
      <c r="F54" s="51">
        <v>0</v>
      </c>
      <c r="G54" s="51">
        <v>0</v>
      </c>
      <c r="H54" s="51">
        <v>0</v>
      </c>
      <c r="I54" s="51">
        <v>1</v>
      </c>
      <c r="J54" s="51">
        <v>0</v>
      </c>
      <c r="K54" s="51">
        <v>0</v>
      </c>
      <c r="L54" s="51">
        <v>0</v>
      </c>
      <c r="M54" s="51">
        <v>4</v>
      </c>
      <c r="N54" s="51">
        <v>0</v>
      </c>
      <c r="O54" s="51">
        <v>0</v>
      </c>
      <c r="P54" s="73">
        <v>0</v>
      </c>
      <c r="Q54" s="51">
        <v>0</v>
      </c>
      <c r="R54" s="85"/>
    </row>
    <row r="55" spans="1:18">
      <c r="A55" s="1" t="s">
        <v>3</v>
      </c>
      <c r="B55" s="41" t="s">
        <v>104</v>
      </c>
      <c r="C55" s="54" t="s">
        <v>105</v>
      </c>
      <c r="D55" s="55" t="s">
        <v>105</v>
      </c>
      <c r="E55" s="55" t="s">
        <v>105</v>
      </c>
      <c r="F55" s="55" t="s">
        <v>105</v>
      </c>
      <c r="G55" s="55" t="s">
        <v>105</v>
      </c>
      <c r="H55" s="55" t="s">
        <v>105</v>
      </c>
      <c r="I55" s="55" t="s">
        <v>105</v>
      </c>
      <c r="J55" s="55" t="s">
        <v>105</v>
      </c>
      <c r="K55" s="55" t="s">
        <v>105</v>
      </c>
      <c r="L55" s="55" t="s">
        <v>105</v>
      </c>
      <c r="M55" s="55" t="s">
        <v>105</v>
      </c>
      <c r="N55" s="55" t="s">
        <v>105</v>
      </c>
      <c r="O55" s="55" t="s">
        <v>105</v>
      </c>
      <c r="P55" s="74" t="s">
        <v>105</v>
      </c>
      <c r="Q55" s="55" t="s">
        <v>105</v>
      </c>
      <c r="R55" s="86"/>
    </row>
    <row r="56" spans="1:18" ht="19.5" thickBot="1">
      <c r="A56" s="1" t="s">
        <v>3</v>
      </c>
      <c r="B56" s="58" t="s">
        <v>106</v>
      </c>
      <c r="C56" s="59">
        <v>5100</v>
      </c>
      <c r="D56" s="60">
        <v>6650</v>
      </c>
      <c r="E56" s="60">
        <v>6430</v>
      </c>
      <c r="F56" s="60">
        <v>10970</v>
      </c>
      <c r="G56" s="60">
        <v>7410</v>
      </c>
      <c r="H56" s="60">
        <v>7520</v>
      </c>
      <c r="I56" s="60">
        <v>6270</v>
      </c>
      <c r="J56" s="60">
        <v>6630</v>
      </c>
      <c r="K56" s="60">
        <v>6700</v>
      </c>
      <c r="L56" s="60">
        <v>7320</v>
      </c>
      <c r="M56" s="60">
        <v>1980</v>
      </c>
      <c r="N56" s="60">
        <v>7310</v>
      </c>
      <c r="O56" s="60">
        <v>6760</v>
      </c>
      <c r="P56" s="75">
        <v>7700</v>
      </c>
      <c r="Q56" s="60">
        <v>8150</v>
      </c>
      <c r="R56" s="87">
        <f>SUM(C56:Q56)</f>
        <v>102900</v>
      </c>
    </row>
  </sheetData>
  <phoneticPr fontId="3"/>
  <pageMargins left="0.7" right="0.7" top="0.75" bottom="0.75" header="0.3" footer="0.3"/>
  <pageSetup paperSize="12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2025-05-12T01:55:58Z</dcterms:created>
  <dcterms:modified xsi:type="dcterms:W3CDTF">2025-09-24T04:40:53Z</dcterms:modified>
  <cp:category/>
  <cp:contentStatus/>
</cp:coreProperties>
</file>