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給与集計内訳\2025\2025.04月分\"/>
    </mc:Choice>
  </mc:AlternateContent>
  <xr:revisionPtr revIDLastSave="0" documentId="13_ncr:1_{850DEF96-CCC8-4515-936A-095D482D2060}" xr6:coauthVersionLast="47" xr6:coauthVersionMax="47" xr10:uidLastSave="{00000000-0000-0000-0000-000000000000}"/>
  <bookViews>
    <workbookView xWindow="-120" yWindow="-120" windowWidth="29040" windowHeight="15840" xr2:uid="{125924BE-AA28-409B-B27D-BC726DC9950B}"/>
  </bookViews>
  <sheets>
    <sheet name="2025年 5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" l="1"/>
  <c r="E34" i="2"/>
  <c r="D34" i="2"/>
  <c r="C34" i="2"/>
  <c r="D33" i="2"/>
  <c r="C33" i="2"/>
  <c r="E31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1" i="2"/>
  <c r="E10" i="2"/>
  <c r="E9" i="2"/>
</calcChain>
</file>

<file path=xl/sharedStrings.xml><?xml version="1.0" encoding="utf-8"?>
<sst xmlns="http://schemas.openxmlformats.org/spreadsheetml/2006/main" count="59" uniqueCount="35">
  <si>
    <t>支給控除一覧表</t>
    <phoneticPr fontId="4"/>
  </si>
  <si>
    <t>若林運送株式会社</t>
    <phoneticPr fontId="4"/>
  </si>
  <si>
    <t>2025年 5月12日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</si>
  <si>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</si>
  <si>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</si>
  <si>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</si>
  <si>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</si>
  <si>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</si>
  <si>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</si>
  <si>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</si>
  <si>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</si>
  <si>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</si>
  <si>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</si>
  <si>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有休残日数</t>
    <phoneticPr fontId="4"/>
  </si>
  <si>
    <t>基本給</t>
    <phoneticPr fontId="4"/>
  </si>
  <si>
    <t>基本給2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</si>
  <si>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</si>
  <si>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</si>
  <si>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</si>
  <si>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</si>
  <si>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</si>
  <si>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</si>
  <si>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</si>
  <si>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</si>
  <si>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</si>
  <si>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</si>
  <si>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</si>
  <si>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</si>
  <si>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</si>
  <si>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</si>
  <si>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</si>
  <si>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</si>
  <si>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</si>
  <si>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(減税前税額)</t>
    <phoneticPr fontId="4"/>
  </si>
  <si>
    <t>2025年 4月度給与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</si>
</sst>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_ 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2" fontId="2" fillId="0" borderId="4" xfId="1" applyNumberFormat="1" applyFont="1" applyBorder="1"/>
    <xf numFmtId="3" fontId="2" fillId="0" borderId="4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0" fontId="2" fillId="0" borderId="7" xfId="1" applyFont="1" applyBorder="1"/>
    <xf numFmtId="2" fontId="2" fillId="0" borderId="8" xfId="1" applyNumberFormat="1" applyFont="1" applyBorder="1"/>
    <xf numFmtId="3" fontId="2" fillId="0" borderId="8" xfId="1" applyNumberFormat="1" applyFont="1" applyBorder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2" fontId="2" fillId="0" borderId="3" xfId="1" applyNumberFormat="1" applyFont="1" applyBorder="1"/>
    <xf numFmtId="3" fontId="2" fillId="0" borderId="3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176" fontId="2" fillId="0" borderId="18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21" xfId="1" applyNumberFormat="1" applyFont="1" applyBorder="1" applyAlignment="1">
      <alignment horizontal="left"/>
    </xf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2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29" xfId="1" applyNumberFormat="1" applyFont="1" applyBorder="1"/>
    <xf numFmtId="177" fontId="2" fillId="0" borderId="0" xfId="1" applyNumberFormat="1" applyFont="1"/>
    <xf numFmtId="3" fontId="2" fillId="0" borderId="0" xfId="1" applyNumberFormat="1" applyFont="1"/>
  </cellXfs>
  <cellStyles count="2">
    <cellStyle name="標準" xfId="0" builtinId="0"/>
    <cellStyle name="標準 2" xfId="1" xr:uid="{B6CBF0C0-216E-430A-8928-FE025F9799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DD20E-DB8D-4349-9602-058E689DC704}">
  <dimension ref="A1:E34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I32" sqref="I32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 hidden="1">
      <c r="A2" s="1"/>
    </row>
    <row r="3" spans="1:5" hidden="1">
      <c r="A3" s="1" t="s">
        <v>1</v>
      </c>
    </row>
    <row r="4" spans="1:5" hidden="1">
      <c r="A4" s="1" t="s">
        <v>2</v>
      </c>
    </row>
    <row r="5" spans="1:5" hidden="1">
      <c r="A5" s="1" t="s">
        <v>3</v>
      </c>
    </row>
    <row r="6" spans="1:5" ht="19.5" thickBot="1">
      <c r="A6" s="1" t="s">
        <v>34</v>
      </c>
    </row>
    <row r="7" spans="1:5">
      <c r="B7" s="5"/>
      <c r="C7" s="10" t="s">
        <v>4</v>
      </c>
      <c r="D7" s="11" t="s">
        <v>5</v>
      </c>
      <c r="E7" s="7"/>
    </row>
    <row r="8" spans="1:5">
      <c r="B8" s="18" t="s">
        <v>6</v>
      </c>
      <c r="C8" s="19" t="s">
        <v>7</v>
      </c>
      <c r="D8" s="20" t="s">
        <v>8</v>
      </c>
      <c r="E8" s="21" t="s">
        <v>9</v>
      </c>
    </row>
    <row r="9" spans="1:5">
      <c r="A9" s="46" t="s">
        <v>3</v>
      </c>
      <c r="B9" s="14" t="s">
        <v>10</v>
      </c>
      <c r="C9" s="15">
        <v>22</v>
      </c>
      <c r="D9" s="16">
        <v>17</v>
      </c>
      <c r="E9" s="17">
        <f>SUM(C9:D9)</f>
        <v>39</v>
      </c>
    </row>
    <row r="10" spans="1:5">
      <c r="A10" s="1" t="s">
        <v>3</v>
      </c>
      <c r="B10" s="6" t="s">
        <v>11</v>
      </c>
      <c r="C10" s="12">
        <v>1</v>
      </c>
      <c r="D10" s="3">
        <v>0</v>
      </c>
      <c r="E10" s="8">
        <f t="shared" ref="E10:E11" si="0">SUM(C10:D10)</f>
        <v>1</v>
      </c>
    </row>
    <row r="11" spans="1:5">
      <c r="A11" s="1" t="s">
        <v>3</v>
      </c>
      <c r="B11" s="22" t="s">
        <v>12</v>
      </c>
      <c r="C11" s="23">
        <v>0</v>
      </c>
      <c r="D11" s="24">
        <v>3.5416666666666665</v>
      </c>
      <c r="E11" s="25">
        <f t="shared" si="0"/>
        <v>3.5416666666666665</v>
      </c>
    </row>
    <row r="12" spans="1:5">
      <c r="A12" s="1" t="s">
        <v>3</v>
      </c>
      <c r="B12" s="29" t="s">
        <v>13</v>
      </c>
      <c r="C12" s="30">
        <v>39</v>
      </c>
      <c r="D12" s="31">
        <v>40</v>
      </c>
      <c r="E12" s="32"/>
    </row>
    <row r="13" spans="1:5">
      <c r="A13" s="1" t="s">
        <v>3</v>
      </c>
      <c r="B13" s="14" t="s">
        <v>14</v>
      </c>
      <c r="C13" s="26">
        <v>370000</v>
      </c>
      <c r="D13" s="27">
        <v>0</v>
      </c>
      <c r="E13" s="28">
        <f t="shared" ref="E13:E29" si="1">SUM(C13:D13)</f>
        <v>370000</v>
      </c>
    </row>
    <row r="14" spans="1:5">
      <c r="A14" s="1" t="s">
        <v>3</v>
      </c>
      <c r="B14" s="22" t="s">
        <v>15</v>
      </c>
      <c r="C14" s="33">
        <v>0</v>
      </c>
      <c r="D14" s="34">
        <v>90100</v>
      </c>
      <c r="E14" s="35">
        <f t="shared" si="1"/>
        <v>90100</v>
      </c>
    </row>
    <row r="15" spans="1:5">
      <c r="A15" s="1" t="s">
        <v>3</v>
      </c>
      <c r="B15" s="29" t="s">
        <v>16</v>
      </c>
      <c r="C15" s="36">
        <v>370000</v>
      </c>
      <c r="D15" s="37">
        <v>90100</v>
      </c>
      <c r="E15" s="38">
        <f t="shared" si="1"/>
        <v>460100</v>
      </c>
    </row>
    <row r="16" spans="1:5">
      <c r="A16" s="1" t="s">
        <v>3</v>
      </c>
      <c r="B16" s="29" t="s">
        <v>17</v>
      </c>
      <c r="C16" s="36">
        <v>5297</v>
      </c>
      <c r="D16" s="37">
        <v>3283</v>
      </c>
      <c r="E16" s="38">
        <f t="shared" si="1"/>
        <v>8580</v>
      </c>
    </row>
    <row r="17" spans="1:5">
      <c r="A17" s="1" t="s">
        <v>3</v>
      </c>
      <c r="B17" s="29" t="s">
        <v>18</v>
      </c>
      <c r="C17" s="36">
        <v>5297</v>
      </c>
      <c r="D17" s="37">
        <v>3283</v>
      </c>
      <c r="E17" s="38">
        <f t="shared" si="1"/>
        <v>8580</v>
      </c>
    </row>
    <row r="18" spans="1:5">
      <c r="A18" s="1" t="s">
        <v>3</v>
      </c>
      <c r="B18" s="29" t="s">
        <v>19</v>
      </c>
      <c r="C18" s="36">
        <v>375297</v>
      </c>
      <c r="D18" s="37">
        <v>93383</v>
      </c>
      <c r="E18" s="38">
        <f t="shared" si="1"/>
        <v>468680</v>
      </c>
    </row>
    <row r="19" spans="1:5">
      <c r="A19" s="1" t="s">
        <v>3</v>
      </c>
      <c r="B19" s="14" t="s">
        <v>20</v>
      </c>
      <c r="C19" s="26">
        <v>19380</v>
      </c>
      <c r="D19" s="27">
        <v>0</v>
      </c>
      <c r="E19" s="28">
        <f t="shared" si="1"/>
        <v>19380</v>
      </c>
    </row>
    <row r="20" spans="1:5">
      <c r="A20" s="1" t="s">
        <v>3</v>
      </c>
      <c r="B20" s="6" t="s">
        <v>21</v>
      </c>
      <c r="C20" s="13">
        <v>3420</v>
      </c>
      <c r="D20" s="4">
        <v>0</v>
      </c>
      <c r="E20" s="9">
        <f t="shared" si="1"/>
        <v>3420</v>
      </c>
    </row>
    <row r="21" spans="1:5">
      <c r="A21" s="1" t="s">
        <v>3</v>
      </c>
      <c r="B21" s="6" t="s">
        <v>22</v>
      </c>
      <c r="C21" s="13">
        <v>34770</v>
      </c>
      <c r="D21" s="4">
        <v>0</v>
      </c>
      <c r="E21" s="9">
        <f t="shared" si="1"/>
        <v>34770</v>
      </c>
    </row>
    <row r="22" spans="1:5">
      <c r="A22" s="1" t="s">
        <v>3</v>
      </c>
      <c r="B22" s="22" t="s">
        <v>23</v>
      </c>
      <c r="C22" s="33">
        <v>2252</v>
      </c>
      <c r="D22" s="34">
        <v>560</v>
      </c>
      <c r="E22" s="35">
        <f t="shared" si="1"/>
        <v>2812</v>
      </c>
    </row>
    <row r="23" spans="1:5">
      <c r="A23" s="1" t="s">
        <v>3</v>
      </c>
      <c r="B23" s="29" t="s">
        <v>24</v>
      </c>
      <c r="C23" s="36">
        <v>59822</v>
      </c>
      <c r="D23" s="37">
        <v>560</v>
      </c>
      <c r="E23" s="38">
        <f t="shared" si="1"/>
        <v>60382</v>
      </c>
    </row>
    <row r="24" spans="1:5">
      <c r="A24" s="1" t="s">
        <v>3</v>
      </c>
      <c r="B24" s="14" t="s">
        <v>25</v>
      </c>
      <c r="C24" s="26">
        <v>9210</v>
      </c>
      <c r="D24" s="27">
        <v>190</v>
      </c>
      <c r="E24" s="28">
        <f t="shared" si="1"/>
        <v>9400</v>
      </c>
    </row>
    <row r="25" spans="1:5">
      <c r="A25" s="1" t="s">
        <v>3</v>
      </c>
      <c r="B25" s="22" t="s">
        <v>26</v>
      </c>
      <c r="C25" s="33">
        <v>21000</v>
      </c>
      <c r="D25" s="34">
        <v>0</v>
      </c>
      <c r="E25" s="35">
        <f t="shared" si="1"/>
        <v>21000</v>
      </c>
    </row>
    <row r="26" spans="1:5">
      <c r="A26" s="1" t="s">
        <v>3</v>
      </c>
      <c r="B26" s="29" t="s">
        <v>27</v>
      </c>
      <c r="C26" s="36">
        <v>90032</v>
      </c>
      <c r="D26" s="37">
        <v>750</v>
      </c>
      <c r="E26" s="38">
        <f t="shared" si="1"/>
        <v>90782</v>
      </c>
    </row>
    <row r="27" spans="1:5">
      <c r="A27" s="1" t="s">
        <v>3</v>
      </c>
      <c r="B27" s="29" t="s">
        <v>28</v>
      </c>
      <c r="C27" s="36">
        <v>310178</v>
      </c>
      <c r="D27" s="37">
        <v>89540</v>
      </c>
      <c r="E27" s="38">
        <f t="shared" si="1"/>
        <v>399718</v>
      </c>
    </row>
    <row r="28" spans="1:5">
      <c r="A28" s="1" t="s">
        <v>3</v>
      </c>
      <c r="B28" s="29" t="s">
        <v>29</v>
      </c>
      <c r="C28" s="36">
        <v>285265</v>
      </c>
      <c r="D28" s="37">
        <v>92633</v>
      </c>
      <c r="E28" s="38">
        <f t="shared" si="1"/>
        <v>377898</v>
      </c>
    </row>
    <row r="29" spans="1:5">
      <c r="A29" s="1" t="s">
        <v>3</v>
      </c>
      <c r="B29" s="29" t="s">
        <v>30</v>
      </c>
      <c r="C29" s="36">
        <v>285265</v>
      </c>
      <c r="D29" s="37">
        <v>92633</v>
      </c>
      <c r="E29" s="38">
        <f t="shared" si="1"/>
        <v>377898</v>
      </c>
    </row>
    <row r="30" spans="1:5">
      <c r="A30" s="1" t="s">
        <v>3</v>
      </c>
      <c r="B30" s="29" t="s">
        <v>31</v>
      </c>
      <c r="C30" s="39" t="s">
        <v>32</v>
      </c>
      <c r="D30" s="40" t="s">
        <v>32</v>
      </c>
      <c r="E30" s="41"/>
    </row>
    <row r="31" spans="1:5" ht="19.5" thickBot="1">
      <c r="A31" s="1" t="s">
        <v>3</v>
      </c>
      <c r="B31" s="42" t="s">
        <v>33</v>
      </c>
      <c r="C31" s="43">
        <v>9210</v>
      </c>
      <c r="D31" s="44">
        <v>190</v>
      </c>
      <c r="E31" s="45">
        <f>SUM(C31:D31)</f>
        <v>9400</v>
      </c>
    </row>
    <row r="33" spans="3:5">
      <c r="C33" s="47">
        <f>C18*5.5/1000</f>
        <v>2064.1334999999999</v>
      </c>
      <c r="D33" s="47">
        <f>D18*5.5/1000</f>
        <v>513.60649999999998</v>
      </c>
      <c r="E33" s="47">
        <f>SUM(C33:D33)</f>
        <v>2577.7399999999998</v>
      </c>
    </row>
    <row r="34" spans="3:5">
      <c r="C34" s="48">
        <f>C22-C33</f>
        <v>187.86650000000009</v>
      </c>
      <c r="D34" s="47">
        <f>D22-D33</f>
        <v>46.393500000000017</v>
      </c>
      <c r="E34" s="48">
        <f>SUM(C34:D34)</f>
        <v>234.2600000000001</v>
      </c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5月度給与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asada@waka-trans.com</cp:lastModifiedBy>
  <cp:lastPrinted>2025-05-13T01:45:47Z</cp:lastPrinted>
  <dcterms:created xsi:type="dcterms:W3CDTF">2025-05-12T02:09:40Z</dcterms:created>
  <dcterms:modified xsi:type="dcterms:W3CDTF">2025-05-29T09:27:07Z</dcterms:modified>
</cp:coreProperties>
</file>