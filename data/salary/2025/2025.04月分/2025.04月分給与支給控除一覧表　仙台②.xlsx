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給与集計内訳\2025\2025.04月分\"/>
    </mc:Choice>
  </mc:AlternateContent>
  <xr:revisionPtr revIDLastSave="0" documentId="13_ncr:1_{F5A5E1E5-D837-4306-9122-DB7F92997B48}" xr6:coauthVersionLast="47" xr6:coauthVersionMax="47" xr10:uidLastSave="{00000000-0000-0000-0000-000000000000}"/>
  <bookViews>
    <workbookView xWindow="-120" yWindow="-120" windowWidth="20730" windowHeight="11160" xr2:uid="{62CACC08-0404-4E01-8A06-15850D01D887}"/>
  </bookViews>
  <sheets>
    <sheet name="2025年 5月度給与" sheetId="2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9" i="2" l="1"/>
  <c r="K59" i="2"/>
  <c r="J59" i="2"/>
  <c r="I59" i="2"/>
  <c r="H59" i="2"/>
  <c r="G59" i="2"/>
  <c r="O56" i="2"/>
  <c r="O57" i="2"/>
  <c r="N57" i="2"/>
  <c r="N56" i="2"/>
  <c r="F57" i="2"/>
  <c r="F56" i="2"/>
  <c r="L57" i="2"/>
  <c r="I57" i="2"/>
  <c r="H57" i="2"/>
  <c r="M56" i="2"/>
  <c r="M57" i="2" s="1"/>
  <c r="L56" i="2"/>
  <c r="K56" i="2"/>
  <c r="K57" i="2" s="1"/>
  <c r="J56" i="2"/>
  <c r="J57" i="2" s="1"/>
  <c r="I56" i="2"/>
  <c r="H56" i="2"/>
  <c r="G56" i="2"/>
  <c r="G57" i="2" s="1"/>
  <c r="E57" i="2"/>
  <c r="D57" i="2"/>
  <c r="E56" i="2"/>
  <c r="D56" i="2"/>
  <c r="C57" i="2"/>
  <c r="C56" i="2"/>
  <c r="O54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N54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0" i="2"/>
  <c r="N27" i="2"/>
  <c r="N26" i="2"/>
  <c r="N25" i="2"/>
  <c r="N24" i="2"/>
  <c r="N23" i="2"/>
  <c r="N21" i="2"/>
  <c r="N19" i="2"/>
  <c r="N18" i="2"/>
  <c r="N17" i="2"/>
  <c r="N16" i="2"/>
  <c r="N15" i="2"/>
  <c r="N14" i="2"/>
  <c r="N13" i="2"/>
  <c r="N12" i="2"/>
  <c r="N11" i="2"/>
  <c r="N10" i="2"/>
  <c r="N9" i="2"/>
  <c r="F54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</calcChain>
</file>

<file path=xl/sharedStrings.xml><?xml version="1.0" encoding="utf-8"?>
<sst xmlns="http://schemas.openxmlformats.org/spreadsheetml/2006/main" count="137" uniqueCount="78">
  <si>
    <t>支給控除一覧表</t>
    <phoneticPr fontId="4"/>
  </si>
  <si>
    <t>若林運送株式会社</t>
    <phoneticPr fontId="4"/>
  </si>
  <si>
    <t>2025年 5月12日 作成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</si>
  <si>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</si>
  <si>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</si>
  <si>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</si>
  <si>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</si>
  <si>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</si>
  <si>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</si>
  <si>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</si>
  <si>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</si>
  <si>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</si>
  <si>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1117</t>
    <phoneticPr fontId="4"/>
  </si>
  <si>
    <t>1202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</si>
  <si>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</si>
  <si>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</si>
  <si>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</si>
  <si>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</si>
  <si>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</si>
  <si>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佐藤　ゆうこ</t>
    <phoneticPr fontId="4"/>
  </si>
  <si>
    <t>佐藤　禎尚</t>
    <phoneticPr fontId="4"/>
  </si>
  <si>
    <t>土谷　栄</t>
    <phoneticPr fontId="4"/>
  </si>
  <si>
    <t>小田島　健司</t>
    <phoneticPr fontId="4"/>
  </si>
  <si>
    <t>白井　博</t>
    <phoneticPr fontId="4"/>
  </si>
  <si>
    <t>鈴木　大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</si>
  <si>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</si>
  <si>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</si>
  <si>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</si>
  <si>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</si>
  <si>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</si>
  <si>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</si>
  <si>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</si>
  <si>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</si>
  <si>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</si>
  <si>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</si>
  <si>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</si>
  <si>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</si>
  <si>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</si>
  <si>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</si>
  <si>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</si>
  <si>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</si>
  <si>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</si>
  <si>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</si>
  <si>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無事故報奨金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</si>
  <si>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</si>
  <si>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</si>
  <si>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</si>
  <si>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</si>
  <si>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</si>
  <si>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</si>
  <si>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</si>
  <si>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</si>
  <si>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</si>
  <si>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</si>
  <si>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</si>
  <si>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</si>
  <si>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</si>
  <si>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</si>
  <si>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</si>
  <si>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</si>
  <si>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</si>
  <si>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</si>
  <si>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</si>
  <si>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</si>
  <si>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</si>
  <si>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</si>
  <si>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</si>
  <si>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</si>
  <si>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</si>
  <si>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</si>
  <si>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 4月度給与</t>
    <phoneticPr fontId="4"/>
  </si>
  <si>
    <t>小計</t>
    <rPh sb="0" eb="2">
      <t>ショウケイ</t>
    </rPh>
    <phoneticPr fontId="3"/>
  </si>
  <si>
    <t>3名</t>
    <rPh sb="1" eb="2">
      <t>メイ</t>
    </rPh>
    <phoneticPr fontId="4"/>
  </si>
  <si>
    <t>7名</t>
    <rPh sb="1" eb="2">
      <t>メイ</t>
    </rPh>
    <phoneticPr fontId="4"/>
  </si>
  <si>
    <t>10名</t>
    <rPh sb="2" eb="3">
      <t>メイ</t>
    </rPh>
    <phoneticPr fontId="4"/>
  </si>
  <si>
    <t>雇用保険再計算</t>
    <rPh sb="0" eb="4">
      <t>コヨウホケン</t>
    </rPh>
    <rPh sb="4" eb="7">
      <t>サイケイサン</t>
    </rPh>
    <phoneticPr fontId="3"/>
  </si>
  <si>
    <t>過剰徴収分</t>
    <rPh sb="0" eb="2">
      <t>カジョウ</t>
    </rPh>
    <rPh sb="2" eb="4">
      <t>チョウシュウ</t>
    </rPh>
    <rPh sb="4" eb="5">
      <t>ブン</t>
    </rPh>
    <phoneticPr fontId="3"/>
  </si>
  <si>
    <t>ﾁｬﾚﾝｼﾞ控除後総支給額</t>
    <rPh sb="6" eb="8">
      <t>コウジョ</t>
    </rPh>
    <rPh sb="8" eb="9">
      <t>ゴ</t>
    </rPh>
    <rPh sb="9" eb="10">
      <t>ソウ</t>
    </rPh>
    <rPh sb="10" eb="12">
      <t>シキュウ</t>
    </rPh>
    <rPh sb="12" eb="13">
      <t>ガク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</si>
</sst>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h]:mm"/>
    <numFmt numFmtId="177" formatCode="#,##0_);[Red]\(#,##0\)"/>
    <numFmt numFmtId="181" formatCode="#,##0_ 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2" xfId="1" applyNumberFormat="1" applyFont="1" applyBorder="1" applyAlignment="1">
      <alignment horizontal="center"/>
    </xf>
    <xf numFmtId="2" fontId="2" fillId="0" borderId="5" xfId="1" applyNumberFormat="1" applyFont="1" applyBorder="1"/>
    <xf numFmtId="2" fontId="2" fillId="0" borderId="6" xfId="1" applyNumberFormat="1" applyFont="1" applyBorder="1"/>
    <xf numFmtId="176" fontId="2" fillId="0" borderId="5" xfId="1" applyNumberFormat="1" applyFont="1" applyBorder="1"/>
    <xf numFmtId="176" fontId="2" fillId="0" borderId="6" xfId="1" applyNumberFormat="1" applyFont="1" applyBorder="1"/>
    <xf numFmtId="3" fontId="2" fillId="0" borderId="5" xfId="1" applyNumberFormat="1" applyFont="1" applyBorder="1"/>
    <xf numFmtId="3" fontId="2" fillId="0" borderId="6" xfId="1" applyNumberFormat="1" applyFont="1" applyBorder="1"/>
    <xf numFmtId="0" fontId="2" fillId="0" borderId="7" xfId="1" applyFont="1" applyBorder="1" applyAlignment="1">
      <alignment horizontal="center"/>
    </xf>
    <xf numFmtId="49" fontId="2" fillId="0" borderId="8" xfId="1" applyNumberFormat="1" applyFont="1" applyBorder="1" applyAlignment="1">
      <alignment horizontal="left"/>
    </xf>
    <xf numFmtId="2" fontId="2" fillId="0" borderId="10" xfId="1" applyNumberFormat="1" applyFont="1" applyBorder="1"/>
    <xf numFmtId="176" fontId="2" fillId="0" borderId="10" xfId="1" applyNumberFormat="1" applyFont="1" applyBorder="1"/>
    <xf numFmtId="3" fontId="2" fillId="0" borderId="10" xfId="1" applyNumberFormat="1" applyFont="1" applyBorder="1"/>
    <xf numFmtId="49" fontId="2" fillId="0" borderId="1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2" fontId="2" fillId="0" borderId="4" xfId="1" applyNumberFormat="1" applyFont="1" applyBorder="1"/>
    <xf numFmtId="176" fontId="2" fillId="0" borderId="4" xfId="1" applyNumberFormat="1" applyFont="1" applyBorder="1"/>
    <xf numFmtId="3" fontId="2" fillId="0" borderId="4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0" fontId="2" fillId="0" borderId="16" xfId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49" fontId="2" fillId="0" borderId="21" xfId="1" applyNumberFormat="1" applyFont="1" applyBorder="1" applyAlignment="1">
      <alignment horizontal="left"/>
    </xf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26" xfId="1" applyNumberFormat="1" applyFont="1" applyBorder="1" applyAlignment="1">
      <alignment horizontal="left"/>
    </xf>
    <xf numFmtId="2" fontId="2" fillId="0" borderId="27" xfId="1" applyNumberFormat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7" xfId="1" applyNumberFormat="1" applyFont="1" applyBorder="1"/>
    <xf numFmtId="49" fontId="2" fillId="0" borderId="28" xfId="1" applyNumberFormat="1" applyFont="1" applyBorder="1"/>
    <xf numFmtId="49" fontId="2" fillId="0" borderId="29" xfId="1" applyNumberFormat="1" applyFont="1" applyBorder="1"/>
    <xf numFmtId="49" fontId="2" fillId="0" borderId="30" xfId="1" applyNumberFormat="1" applyFont="1" applyBorder="1"/>
    <xf numFmtId="49" fontId="2" fillId="0" borderId="31" xfId="1" applyNumberFormat="1" applyFont="1" applyBorder="1" applyAlignment="1">
      <alignment horizontal="left"/>
    </xf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41" xfId="1" applyNumberFormat="1" applyFont="1" applyBorder="1"/>
    <xf numFmtId="3" fontId="2" fillId="0" borderId="42" xfId="1" applyNumberFormat="1" applyFont="1" applyBorder="1"/>
    <xf numFmtId="0" fontId="2" fillId="0" borderId="44" xfId="1" applyFont="1" applyBorder="1" applyAlignment="1">
      <alignment horizontal="center"/>
    </xf>
    <xf numFmtId="2" fontId="2" fillId="0" borderId="45" xfId="1" applyNumberFormat="1" applyFont="1" applyBorder="1"/>
    <xf numFmtId="2" fontId="2" fillId="0" borderId="46" xfId="1" applyNumberFormat="1" applyFont="1" applyBorder="1"/>
    <xf numFmtId="176" fontId="2" fillId="0" borderId="46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49" fontId="2" fillId="0" borderId="48" xfId="1" applyNumberFormat="1" applyFont="1" applyBorder="1"/>
    <xf numFmtId="3" fontId="2" fillId="0" borderId="49" xfId="1" applyNumberFormat="1" applyFont="1" applyBorder="1"/>
    <xf numFmtId="0" fontId="2" fillId="0" borderId="43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49" fontId="2" fillId="0" borderId="50" xfId="1" applyNumberFormat="1" applyFont="1" applyBorder="1"/>
    <xf numFmtId="177" fontId="2" fillId="0" borderId="0" xfId="1" applyNumberFormat="1" applyFont="1"/>
    <xf numFmtId="3" fontId="2" fillId="2" borderId="4" xfId="1" applyNumberFormat="1" applyFont="1" applyFill="1" applyBorder="1"/>
    <xf numFmtId="3" fontId="2" fillId="2" borderId="5" xfId="1" applyNumberFormat="1" applyFont="1" applyFill="1" applyBorder="1"/>
    <xf numFmtId="3" fontId="2" fillId="0" borderId="0" xfId="1" applyNumberFormat="1" applyFont="1"/>
    <xf numFmtId="181" fontId="2" fillId="0" borderId="0" xfId="1" applyNumberFormat="1" applyFont="1"/>
  </cellXfs>
  <cellStyles count="2">
    <cellStyle name="標準" xfId="0" builtinId="0"/>
    <cellStyle name="標準 2" xfId="1" xr:uid="{B0FC60F6-807A-4E9F-A444-5788F6CE25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5180-7838-480A-877C-F5B2B70148A5}">
  <sheetPr>
    <pageSetUpPr fitToPage="1"/>
  </sheetPr>
  <dimension ref="A1:O59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L26" sqref="L26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13.25" style="2" bestFit="1" customWidth="1"/>
    <col min="6" max="6" width="9.625" style="2" bestFit="1" customWidth="1"/>
    <col min="7" max="8" width="9" style="2" bestFit="1" customWidth="1"/>
    <col min="9" max="9" width="11.125" style="2" bestFit="1" customWidth="1"/>
    <col min="10" max="10" width="9" style="2" bestFit="1" customWidth="1"/>
    <col min="11" max="11" width="13.25" style="2" bestFit="1" customWidth="1"/>
    <col min="12" max="13" width="9" style="2" bestFit="1" customWidth="1"/>
    <col min="14" max="15" width="9.625" style="2" bestFit="1" customWidth="1"/>
    <col min="16" max="258" width="9" style="2"/>
    <col min="259" max="259" width="2.375" style="2" customWidth="1"/>
    <col min="260" max="260" width="13.25" style="2" bestFit="1" customWidth="1"/>
    <col min="261" max="262" width="9" style="2" bestFit="1"/>
    <col min="263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 bestFit="1"/>
    <col min="268" max="268" width="13.25" style="2" bestFit="1" customWidth="1"/>
    <col min="269" max="270" width="9" style="2" bestFit="1"/>
    <col min="271" max="271" width="9.625" style="2" bestFit="1" customWidth="1"/>
    <col min="272" max="514" width="9" style="2"/>
    <col min="515" max="515" width="2.375" style="2" customWidth="1"/>
    <col min="516" max="516" width="13.25" style="2" bestFit="1" customWidth="1"/>
    <col min="517" max="518" width="9" style="2" bestFit="1"/>
    <col min="519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 bestFit="1"/>
    <col min="524" max="524" width="13.25" style="2" bestFit="1" customWidth="1"/>
    <col min="525" max="526" width="9" style="2" bestFit="1"/>
    <col min="527" max="527" width="9.625" style="2" bestFit="1" customWidth="1"/>
    <col min="528" max="770" width="9" style="2"/>
    <col min="771" max="771" width="2.375" style="2" customWidth="1"/>
    <col min="772" max="772" width="13.25" style="2" bestFit="1" customWidth="1"/>
    <col min="773" max="774" width="9" style="2" bestFit="1"/>
    <col min="775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 bestFit="1"/>
    <col min="780" max="780" width="13.25" style="2" bestFit="1" customWidth="1"/>
    <col min="781" max="782" width="9" style="2" bestFit="1"/>
    <col min="783" max="783" width="9.625" style="2" bestFit="1" customWidth="1"/>
    <col min="784" max="1026" width="9" style="2"/>
    <col min="1027" max="1027" width="2.375" style="2" customWidth="1"/>
    <col min="1028" max="1028" width="13.25" style="2" bestFit="1" customWidth="1"/>
    <col min="1029" max="1030" width="9" style="2" bestFit="1"/>
    <col min="1031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 bestFit="1"/>
    <col min="1036" max="1036" width="13.25" style="2" bestFit="1" customWidth="1"/>
    <col min="1037" max="1038" width="9" style="2" bestFit="1"/>
    <col min="1039" max="1039" width="9.625" style="2" bestFit="1" customWidth="1"/>
    <col min="1040" max="1282" width="9" style="2"/>
    <col min="1283" max="1283" width="2.375" style="2" customWidth="1"/>
    <col min="1284" max="1284" width="13.25" style="2" bestFit="1" customWidth="1"/>
    <col min="1285" max="1286" width="9" style="2" bestFit="1"/>
    <col min="1287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 bestFit="1"/>
    <col min="1292" max="1292" width="13.25" style="2" bestFit="1" customWidth="1"/>
    <col min="1293" max="1294" width="9" style="2" bestFit="1"/>
    <col min="1295" max="1295" width="9.625" style="2" bestFit="1" customWidth="1"/>
    <col min="1296" max="1538" width="9" style="2"/>
    <col min="1539" max="1539" width="2.375" style="2" customWidth="1"/>
    <col min="1540" max="1540" width="13.25" style="2" bestFit="1" customWidth="1"/>
    <col min="1541" max="1542" width="9" style="2" bestFit="1"/>
    <col min="1543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 bestFit="1"/>
    <col min="1548" max="1548" width="13.25" style="2" bestFit="1" customWidth="1"/>
    <col min="1549" max="1550" width="9" style="2" bestFit="1"/>
    <col min="1551" max="1551" width="9.625" style="2" bestFit="1" customWidth="1"/>
    <col min="1552" max="1794" width="9" style="2"/>
    <col min="1795" max="1795" width="2.375" style="2" customWidth="1"/>
    <col min="1796" max="1796" width="13.25" style="2" bestFit="1" customWidth="1"/>
    <col min="1797" max="1798" width="9" style="2" bestFit="1"/>
    <col min="1799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 bestFit="1"/>
    <col min="1804" max="1804" width="13.25" style="2" bestFit="1" customWidth="1"/>
    <col min="1805" max="1806" width="9" style="2" bestFit="1"/>
    <col min="1807" max="1807" width="9.625" style="2" bestFit="1" customWidth="1"/>
    <col min="1808" max="2050" width="9" style="2"/>
    <col min="2051" max="2051" width="2.375" style="2" customWidth="1"/>
    <col min="2052" max="2052" width="13.25" style="2" bestFit="1" customWidth="1"/>
    <col min="2053" max="2054" width="9" style="2" bestFit="1"/>
    <col min="2055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 bestFit="1"/>
    <col min="2060" max="2060" width="13.25" style="2" bestFit="1" customWidth="1"/>
    <col min="2061" max="2062" width="9" style="2" bestFit="1"/>
    <col min="2063" max="2063" width="9.625" style="2" bestFit="1" customWidth="1"/>
    <col min="2064" max="2306" width="9" style="2"/>
    <col min="2307" max="2307" width="2.375" style="2" customWidth="1"/>
    <col min="2308" max="2308" width="13.25" style="2" bestFit="1" customWidth="1"/>
    <col min="2309" max="2310" width="9" style="2" bestFit="1"/>
    <col min="2311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 bestFit="1"/>
    <col min="2316" max="2316" width="13.25" style="2" bestFit="1" customWidth="1"/>
    <col min="2317" max="2318" width="9" style="2" bestFit="1"/>
    <col min="2319" max="2319" width="9.625" style="2" bestFit="1" customWidth="1"/>
    <col min="2320" max="2562" width="9" style="2"/>
    <col min="2563" max="2563" width="2.375" style="2" customWidth="1"/>
    <col min="2564" max="2564" width="13.25" style="2" bestFit="1" customWidth="1"/>
    <col min="2565" max="2566" width="9" style="2" bestFit="1"/>
    <col min="2567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 bestFit="1"/>
    <col min="2572" max="2572" width="13.25" style="2" bestFit="1" customWidth="1"/>
    <col min="2573" max="2574" width="9" style="2" bestFit="1"/>
    <col min="2575" max="2575" width="9.625" style="2" bestFit="1" customWidth="1"/>
    <col min="2576" max="2818" width="9" style="2"/>
    <col min="2819" max="2819" width="2.375" style="2" customWidth="1"/>
    <col min="2820" max="2820" width="13.25" style="2" bestFit="1" customWidth="1"/>
    <col min="2821" max="2822" width="9" style="2" bestFit="1"/>
    <col min="2823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 bestFit="1"/>
    <col min="2828" max="2828" width="13.25" style="2" bestFit="1" customWidth="1"/>
    <col min="2829" max="2830" width="9" style="2" bestFit="1"/>
    <col min="2831" max="2831" width="9.625" style="2" bestFit="1" customWidth="1"/>
    <col min="2832" max="3074" width="9" style="2"/>
    <col min="3075" max="3075" width="2.375" style="2" customWidth="1"/>
    <col min="3076" max="3076" width="13.25" style="2" bestFit="1" customWidth="1"/>
    <col min="3077" max="3078" width="9" style="2" bestFit="1"/>
    <col min="3079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 bestFit="1"/>
    <col min="3084" max="3084" width="13.25" style="2" bestFit="1" customWidth="1"/>
    <col min="3085" max="3086" width="9" style="2" bestFit="1"/>
    <col min="3087" max="3087" width="9.625" style="2" bestFit="1" customWidth="1"/>
    <col min="3088" max="3330" width="9" style="2"/>
    <col min="3331" max="3331" width="2.375" style="2" customWidth="1"/>
    <col min="3332" max="3332" width="13.25" style="2" bestFit="1" customWidth="1"/>
    <col min="3333" max="3334" width="9" style="2" bestFit="1"/>
    <col min="3335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 bestFit="1"/>
    <col min="3340" max="3340" width="13.25" style="2" bestFit="1" customWidth="1"/>
    <col min="3341" max="3342" width="9" style="2" bestFit="1"/>
    <col min="3343" max="3343" width="9.625" style="2" bestFit="1" customWidth="1"/>
    <col min="3344" max="3586" width="9" style="2"/>
    <col min="3587" max="3587" width="2.375" style="2" customWidth="1"/>
    <col min="3588" max="3588" width="13.25" style="2" bestFit="1" customWidth="1"/>
    <col min="3589" max="3590" width="9" style="2" bestFit="1"/>
    <col min="3591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 bestFit="1"/>
    <col min="3596" max="3596" width="13.25" style="2" bestFit="1" customWidth="1"/>
    <col min="3597" max="3598" width="9" style="2" bestFit="1"/>
    <col min="3599" max="3599" width="9.625" style="2" bestFit="1" customWidth="1"/>
    <col min="3600" max="3842" width="9" style="2"/>
    <col min="3843" max="3843" width="2.375" style="2" customWidth="1"/>
    <col min="3844" max="3844" width="13.25" style="2" bestFit="1" customWidth="1"/>
    <col min="3845" max="3846" width="9" style="2" bestFit="1"/>
    <col min="3847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 bestFit="1"/>
    <col min="3852" max="3852" width="13.25" style="2" bestFit="1" customWidth="1"/>
    <col min="3853" max="3854" width="9" style="2" bestFit="1"/>
    <col min="3855" max="3855" width="9.625" style="2" bestFit="1" customWidth="1"/>
    <col min="3856" max="4098" width="9" style="2"/>
    <col min="4099" max="4099" width="2.375" style="2" customWidth="1"/>
    <col min="4100" max="4100" width="13.25" style="2" bestFit="1" customWidth="1"/>
    <col min="4101" max="4102" width="9" style="2" bestFit="1"/>
    <col min="4103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 bestFit="1"/>
    <col min="4108" max="4108" width="13.25" style="2" bestFit="1" customWidth="1"/>
    <col min="4109" max="4110" width="9" style="2" bestFit="1"/>
    <col min="4111" max="4111" width="9.625" style="2" bestFit="1" customWidth="1"/>
    <col min="4112" max="4354" width="9" style="2"/>
    <col min="4355" max="4355" width="2.375" style="2" customWidth="1"/>
    <col min="4356" max="4356" width="13.25" style="2" bestFit="1" customWidth="1"/>
    <col min="4357" max="4358" width="9" style="2" bestFit="1"/>
    <col min="4359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 bestFit="1"/>
    <col min="4364" max="4364" width="13.25" style="2" bestFit="1" customWidth="1"/>
    <col min="4365" max="4366" width="9" style="2" bestFit="1"/>
    <col min="4367" max="4367" width="9.625" style="2" bestFit="1" customWidth="1"/>
    <col min="4368" max="4610" width="9" style="2"/>
    <col min="4611" max="4611" width="2.375" style="2" customWidth="1"/>
    <col min="4612" max="4612" width="13.25" style="2" bestFit="1" customWidth="1"/>
    <col min="4613" max="4614" width="9" style="2" bestFit="1"/>
    <col min="4615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 bestFit="1"/>
    <col min="4620" max="4620" width="13.25" style="2" bestFit="1" customWidth="1"/>
    <col min="4621" max="4622" width="9" style="2" bestFit="1"/>
    <col min="4623" max="4623" width="9.625" style="2" bestFit="1" customWidth="1"/>
    <col min="4624" max="4866" width="9" style="2"/>
    <col min="4867" max="4867" width="2.375" style="2" customWidth="1"/>
    <col min="4868" max="4868" width="13.25" style="2" bestFit="1" customWidth="1"/>
    <col min="4869" max="4870" width="9" style="2" bestFit="1"/>
    <col min="4871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 bestFit="1"/>
    <col min="4876" max="4876" width="13.25" style="2" bestFit="1" customWidth="1"/>
    <col min="4877" max="4878" width="9" style="2" bestFit="1"/>
    <col min="4879" max="4879" width="9.625" style="2" bestFit="1" customWidth="1"/>
    <col min="4880" max="5122" width="9" style="2"/>
    <col min="5123" max="5123" width="2.375" style="2" customWidth="1"/>
    <col min="5124" max="5124" width="13.25" style="2" bestFit="1" customWidth="1"/>
    <col min="5125" max="5126" width="9" style="2" bestFit="1"/>
    <col min="5127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 bestFit="1"/>
    <col min="5132" max="5132" width="13.25" style="2" bestFit="1" customWidth="1"/>
    <col min="5133" max="5134" width="9" style="2" bestFit="1"/>
    <col min="5135" max="5135" width="9.625" style="2" bestFit="1" customWidth="1"/>
    <col min="5136" max="5378" width="9" style="2"/>
    <col min="5379" max="5379" width="2.375" style="2" customWidth="1"/>
    <col min="5380" max="5380" width="13.25" style="2" bestFit="1" customWidth="1"/>
    <col min="5381" max="5382" width="9" style="2" bestFit="1"/>
    <col min="5383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 bestFit="1"/>
    <col min="5388" max="5388" width="13.25" style="2" bestFit="1" customWidth="1"/>
    <col min="5389" max="5390" width="9" style="2" bestFit="1"/>
    <col min="5391" max="5391" width="9.625" style="2" bestFit="1" customWidth="1"/>
    <col min="5392" max="5634" width="9" style="2"/>
    <col min="5635" max="5635" width="2.375" style="2" customWidth="1"/>
    <col min="5636" max="5636" width="13.25" style="2" bestFit="1" customWidth="1"/>
    <col min="5637" max="5638" width="9" style="2" bestFit="1"/>
    <col min="5639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 bestFit="1"/>
    <col min="5644" max="5644" width="13.25" style="2" bestFit="1" customWidth="1"/>
    <col min="5645" max="5646" width="9" style="2" bestFit="1"/>
    <col min="5647" max="5647" width="9.625" style="2" bestFit="1" customWidth="1"/>
    <col min="5648" max="5890" width="9" style="2"/>
    <col min="5891" max="5891" width="2.375" style="2" customWidth="1"/>
    <col min="5892" max="5892" width="13.25" style="2" bestFit="1" customWidth="1"/>
    <col min="5893" max="5894" width="9" style="2" bestFit="1"/>
    <col min="5895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 bestFit="1"/>
    <col min="5900" max="5900" width="13.25" style="2" bestFit="1" customWidth="1"/>
    <col min="5901" max="5902" width="9" style="2" bestFit="1"/>
    <col min="5903" max="5903" width="9.625" style="2" bestFit="1" customWidth="1"/>
    <col min="5904" max="6146" width="9" style="2"/>
    <col min="6147" max="6147" width="2.375" style="2" customWidth="1"/>
    <col min="6148" max="6148" width="13.25" style="2" bestFit="1" customWidth="1"/>
    <col min="6149" max="6150" width="9" style="2" bestFit="1"/>
    <col min="6151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 bestFit="1"/>
    <col min="6156" max="6156" width="13.25" style="2" bestFit="1" customWidth="1"/>
    <col min="6157" max="6158" width="9" style="2" bestFit="1"/>
    <col min="6159" max="6159" width="9.625" style="2" bestFit="1" customWidth="1"/>
    <col min="6160" max="6402" width="9" style="2"/>
    <col min="6403" max="6403" width="2.375" style="2" customWidth="1"/>
    <col min="6404" max="6404" width="13.25" style="2" bestFit="1" customWidth="1"/>
    <col min="6405" max="6406" width="9" style="2" bestFit="1"/>
    <col min="6407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 bestFit="1"/>
    <col min="6412" max="6412" width="13.25" style="2" bestFit="1" customWidth="1"/>
    <col min="6413" max="6414" width="9" style="2" bestFit="1"/>
    <col min="6415" max="6415" width="9.625" style="2" bestFit="1" customWidth="1"/>
    <col min="6416" max="6658" width="9" style="2"/>
    <col min="6659" max="6659" width="2.375" style="2" customWidth="1"/>
    <col min="6660" max="6660" width="13.25" style="2" bestFit="1" customWidth="1"/>
    <col min="6661" max="6662" width="9" style="2" bestFit="1"/>
    <col min="6663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 bestFit="1"/>
    <col min="6668" max="6668" width="13.25" style="2" bestFit="1" customWidth="1"/>
    <col min="6669" max="6670" width="9" style="2" bestFit="1"/>
    <col min="6671" max="6671" width="9.625" style="2" bestFit="1" customWidth="1"/>
    <col min="6672" max="6914" width="9" style="2"/>
    <col min="6915" max="6915" width="2.375" style="2" customWidth="1"/>
    <col min="6916" max="6916" width="13.25" style="2" bestFit="1" customWidth="1"/>
    <col min="6917" max="6918" width="9" style="2" bestFit="1"/>
    <col min="6919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 bestFit="1"/>
    <col min="6924" max="6924" width="13.25" style="2" bestFit="1" customWidth="1"/>
    <col min="6925" max="6926" width="9" style="2" bestFit="1"/>
    <col min="6927" max="6927" width="9.625" style="2" bestFit="1" customWidth="1"/>
    <col min="6928" max="7170" width="9" style="2"/>
    <col min="7171" max="7171" width="2.375" style="2" customWidth="1"/>
    <col min="7172" max="7172" width="13.25" style="2" bestFit="1" customWidth="1"/>
    <col min="7173" max="7174" width="9" style="2" bestFit="1"/>
    <col min="7175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 bestFit="1"/>
    <col min="7180" max="7180" width="13.25" style="2" bestFit="1" customWidth="1"/>
    <col min="7181" max="7182" width="9" style="2" bestFit="1"/>
    <col min="7183" max="7183" width="9.625" style="2" bestFit="1" customWidth="1"/>
    <col min="7184" max="7426" width="9" style="2"/>
    <col min="7427" max="7427" width="2.375" style="2" customWidth="1"/>
    <col min="7428" max="7428" width="13.25" style="2" bestFit="1" customWidth="1"/>
    <col min="7429" max="7430" width="9" style="2" bestFit="1"/>
    <col min="7431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 bestFit="1"/>
    <col min="7436" max="7436" width="13.25" style="2" bestFit="1" customWidth="1"/>
    <col min="7437" max="7438" width="9" style="2" bestFit="1"/>
    <col min="7439" max="7439" width="9.625" style="2" bestFit="1" customWidth="1"/>
    <col min="7440" max="7682" width="9" style="2"/>
    <col min="7683" max="7683" width="2.375" style="2" customWidth="1"/>
    <col min="7684" max="7684" width="13.25" style="2" bestFit="1" customWidth="1"/>
    <col min="7685" max="7686" width="9" style="2" bestFit="1"/>
    <col min="7687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 bestFit="1"/>
    <col min="7692" max="7692" width="13.25" style="2" bestFit="1" customWidth="1"/>
    <col min="7693" max="7694" width="9" style="2" bestFit="1"/>
    <col min="7695" max="7695" width="9.625" style="2" bestFit="1" customWidth="1"/>
    <col min="7696" max="7938" width="9" style="2"/>
    <col min="7939" max="7939" width="2.375" style="2" customWidth="1"/>
    <col min="7940" max="7940" width="13.25" style="2" bestFit="1" customWidth="1"/>
    <col min="7941" max="7942" width="9" style="2" bestFit="1"/>
    <col min="7943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 bestFit="1"/>
    <col min="7948" max="7948" width="13.25" style="2" bestFit="1" customWidth="1"/>
    <col min="7949" max="7950" width="9" style="2" bestFit="1"/>
    <col min="7951" max="7951" width="9.625" style="2" bestFit="1" customWidth="1"/>
    <col min="7952" max="8194" width="9" style="2"/>
    <col min="8195" max="8195" width="2.375" style="2" customWidth="1"/>
    <col min="8196" max="8196" width="13.25" style="2" bestFit="1" customWidth="1"/>
    <col min="8197" max="8198" width="9" style="2" bestFit="1"/>
    <col min="8199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 bestFit="1"/>
    <col min="8204" max="8204" width="13.25" style="2" bestFit="1" customWidth="1"/>
    <col min="8205" max="8206" width="9" style="2" bestFit="1"/>
    <col min="8207" max="8207" width="9.625" style="2" bestFit="1" customWidth="1"/>
    <col min="8208" max="8450" width="9" style="2"/>
    <col min="8451" max="8451" width="2.375" style="2" customWidth="1"/>
    <col min="8452" max="8452" width="13.25" style="2" bestFit="1" customWidth="1"/>
    <col min="8453" max="8454" width="9" style="2" bestFit="1"/>
    <col min="8455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 bestFit="1"/>
    <col min="8460" max="8460" width="13.25" style="2" bestFit="1" customWidth="1"/>
    <col min="8461" max="8462" width="9" style="2" bestFit="1"/>
    <col min="8463" max="8463" width="9.625" style="2" bestFit="1" customWidth="1"/>
    <col min="8464" max="8706" width="9" style="2"/>
    <col min="8707" max="8707" width="2.375" style="2" customWidth="1"/>
    <col min="8708" max="8708" width="13.25" style="2" bestFit="1" customWidth="1"/>
    <col min="8709" max="8710" width="9" style="2" bestFit="1"/>
    <col min="8711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 bestFit="1"/>
    <col min="8716" max="8716" width="13.25" style="2" bestFit="1" customWidth="1"/>
    <col min="8717" max="8718" width="9" style="2" bestFit="1"/>
    <col min="8719" max="8719" width="9.625" style="2" bestFit="1" customWidth="1"/>
    <col min="8720" max="8962" width="9" style="2"/>
    <col min="8963" max="8963" width="2.375" style="2" customWidth="1"/>
    <col min="8964" max="8964" width="13.25" style="2" bestFit="1" customWidth="1"/>
    <col min="8965" max="8966" width="9" style="2" bestFit="1"/>
    <col min="8967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 bestFit="1"/>
    <col min="8972" max="8972" width="13.25" style="2" bestFit="1" customWidth="1"/>
    <col min="8973" max="8974" width="9" style="2" bestFit="1"/>
    <col min="8975" max="8975" width="9.625" style="2" bestFit="1" customWidth="1"/>
    <col min="8976" max="9218" width="9" style="2"/>
    <col min="9219" max="9219" width="2.375" style="2" customWidth="1"/>
    <col min="9220" max="9220" width="13.25" style="2" bestFit="1" customWidth="1"/>
    <col min="9221" max="9222" width="9" style="2" bestFit="1"/>
    <col min="9223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 bestFit="1"/>
    <col min="9228" max="9228" width="13.25" style="2" bestFit="1" customWidth="1"/>
    <col min="9229" max="9230" width="9" style="2" bestFit="1"/>
    <col min="9231" max="9231" width="9.625" style="2" bestFit="1" customWidth="1"/>
    <col min="9232" max="9474" width="9" style="2"/>
    <col min="9475" max="9475" width="2.375" style="2" customWidth="1"/>
    <col min="9476" max="9476" width="13.25" style="2" bestFit="1" customWidth="1"/>
    <col min="9477" max="9478" width="9" style="2" bestFit="1"/>
    <col min="9479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 bestFit="1"/>
    <col min="9484" max="9484" width="13.25" style="2" bestFit="1" customWidth="1"/>
    <col min="9485" max="9486" width="9" style="2" bestFit="1"/>
    <col min="9487" max="9487" width="9.625" style="2" bestFit="1" customWidth="1"/>
    <col min="9488" max="9730" width="9" style="2"/>
    <col min="9731" max="9731" width="2.375" style="2" customWidth="1"/>
    <col min="9732" max="9732" width="13.25" style="2" bestFit="1" customWidth="1"/>
    <col min="9733" max="9734" width="9" style="2" bestFit="1"/>
    <col min="9735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 bestFit="1"/>
    <col min="9740" max="9740" width="13.25" style="2" bestFit="1" customWidth="1"/>
    <col min="9741" max="9742" width="9" style="2" bestFit="1"/>
    <col min="9743" max="9743" width="9.625" style="2" bestFit="1" customWidth="1"/>
    <col min="9744" max="9986" width="9" style="2"/>
    <col min="9987" max="9987" width="2.375" style="2" customWidth="1"/>
    <col min="9988" max="9988" width="13.25" style="2" bestFit="1" customWidth="1"/>
    <col min="9989" max="9990" width="9" style="2" bestFit="1"/>
    <col min="9991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 bestFit="1"/>
    <col min="9996" max="9996" width="13.25" style="2" bestFit="1" customWidth="1"/>
    <col min="9997" max="9998" width="9" style="2" bestFit="1"/>
    <col min="9999" max="9999" width="9.625" style="2" bestFit="1" customWidth="1"/>
    <col min="10000" max="10242" width="9" style="2"/>
    <col min="10243" max="10243" width="2.375" style="2" customWidth="1"/>
    <col min="10244" max="10244" width="13.25" style="2" bestFit="1" customWidth="1"/>
    <col min="10245" max="10246" width="9" style="2" bestFit="1"/>
    <col min="10247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 bestFit="1"/>
    <col min="10252" max="10252" width="13.25" style="2" bestFit="1" customWidth="1"/>
    <col min="10253" max="10254" width="9" style="2" bestFit="1"/>
    <col min="10255" max="10255" width="9.625" style="2" bestFit="1" customWidth="1"/>
    <col min="10256" max="10498" width="9" style="2"/>
    <col min="10499" max="10499" width="2.375" style="2" customWidth="1"/>
    <col min="10500" max="10500" width="13.25" style="2" bestFit="1" customWidth="1"/>
    <col min="10501" max="10502" width="9" style="2" bestFit="1"/>
    <col min="10503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 bestFit="1"/>
    <col min="10508" max="10508" width="13.25" style="2" bestFit="1" customWidth="1"/>
    <col min="10509" max="10510" width="9" style="2" bestFit="1"/>
    <col min="10511" max="10511" width="9.625" style="2" bestFit="1" customWidth="1"/>
    <col min="10512" max="10754" width="9" style="2"/>
    <col min="10755" max="10755" width="2.375" style="2" customWidth="1"/>
    <col min="10756" max="10756" width="13.25" style="2" bestFit="1" customWidth="1"/>
    <col min="10757" max="10758" width="9" style="2" bestFit="1"/>
    <col min="10759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 bestFit="1"/>
    <col min="10764" max="10764" width="13.25" style="2" bestFit="1" customWidth="1"/>
    <col min="10765" max="10766" width="9" style="2" bestFit="1"/>
    <col min="10767" max="10767" width="9.625" style="2" bestFit="1" customWidth="1"/>
    <col min="10768" max="11010" width="9" style="2"/>
    <col min="11011" max="11011" width="2.375" style="2" customWidth="1"/>
    <col min="11012" max="11012" width="13.25" style="2" bestFit="1" customWidth="1"/>
    <col min="11013" max="11014" width="9" style="2" bestFit="1"/>
    <col min="11015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 bestFit="1"/>
    <col min="11020" max="11020" width="13.25" style="2" bestFit="1" customWidth="1"/>
    <col min="11021" max="11022" width="9" style="2" bestFit="1"/>
    <col min="11023" max="11023" width="9.625" style="2" bestFit="1" customWidth="1"/>
    <col min="11024" max="11266" width="9" style="2"/>
    <col min="11267" max="11267" width="2.375" style="2" customWidth="1"/>
    <col min="11268" max="11268" width="13.25" style="2" bestFit="1" customWidth="1"/>
    <col min="11269" max="11270" width="9" style="2" bestFit="1"/>
    <col min="11271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 bestFit="1"/>
    <col min="11276" max="11276" width="13.25" style="2" bestFit="1" customWidth="1"/>
    <col min="11277" max="11278" width="9" style="2" bestFit="1"/>
    <col min="11279" max="11279" width="9.625" style="2" bestFit="1" customWidth="1"/>
    <col min="11280" max="11522" width="9" style="2"/>
    <col min="11523" max="11523" width="2.375" style="2" customWidth="1"/>
    <col min="11524" max="11524" width="13.25" style="2" bestFit="1" customWidth="1"/>
    <col min="11525" max="11526" width="9" style="2" bestFit="1"/>
    <col min="11527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 bestFit="1"/>
    <col min="11532" max="11532" width="13.25" style="2" bestFit="1" customWidth="1"/>
    <col min="11533" max="11534" width="9" style="2" bestFit="1"/>
    <col min="11535" max="11535" width="9.625" style="2" bestFit="1" customWidth="1"/>
    <col min="11536" max="11778" width="9" style="2"/>
    <col min="11779" max="11779" width="2.375" style="2" customWidth="1"/>
    <col min="11780" max="11780" width="13.25" style="2" bestFit="1" customWidth="1"/>
    <col min="11781" max="11782" width="9" style="2" bestFit="1"/>
    <col min="11783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 bestFit="1"/>
    <col min="11788" max="11788" width="13.25" style="2" bestFit="1" customWidth="1"/>
    <col min="11789" max="11790" width="9" style="2" bestFit="1"/>
    <col min="11791" max="11791" width="9.625" style="2" bestFit="1" customWidth="1"/>
    <col min="11792" max="12034" width="9" style="2"/>
    <col min="12035" max="12035" width="2.375" style="2" customWidth="1"/>
    <col min="12036" max="12036" width="13.25" style="2" bestFit="1" customWidth="1"/>
    <col min="12037" max="12038" width="9" style="2" bestFit="1"/>
    <col min="12039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 bestFit="1"/>
    <col min="12044" max="12044" width="13.25" style="2" bestFit="1" customWidth="1"/>
    <col min="12045" max="12046" width="9" style="2" bestFit="1"/>
    <col min="12047" max="12047" width="9.625" style="2" bestFit="1" customWidth="1"/>
    <col min="12048" max="12290" width="9" style="2"/>
    <col min="12291" max="12291" width="2.375" style="2" customWidth="1"/>
    <col min="12292" max="12292" width="13.25" style="2" bestFit="1" customWidth="1"/>
    <col min="12293" max="12294" width="9" style="2" bestFit="1"/>
    <col min="12295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 bestFit="1"/>
    <col min="12300" max="12300" width="13.25" style="2" bestFit="1" customWidth="1"/>
    <col min="12301" max="12302" width="9" style="2" bestFit="1"/>
    <col min="12303" max="12303" width="9.625" style="2" bestFit="1" customWidth="1"/>
    <col min="12304" max="12546" width="9" style="2"/>
    <col min="12547" max="12547" width="2.375" style="2" customWidth="1"/>
    <col min="12548" max="12548" width="13.25" style="2" bestFit="1" customWidth="1"/>
    <col min="12549" max="12550" width="9" style="2" bestFit="1"/>
    <col min="12551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 bestFit="1"/>
    <col min="12556" max="12556" width="13.25" style="2" bestFit="1" customWidth="1"/>
    <col min="12557" max="12558" width="9" style="2" bestFit="1"/>
    <col min="12559" max="12559" width="9.625" style="2" bestFit="1" customWidth="1"/>
    <col min="12560" max="12802" width="9" style="2"/>
    <col min="12803" max="12803" width="2.375" style="2" customWidth="1"/>
    <col min="12804" max="12804" width="13.25" style="2" bestFit="1" customWidth="1"/>
    <col min="12805" max="12806" width="9" style="2" bestFit="1"/>
    <col min="12807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 bestFit="1"/>
    <col min="12812" max="12812" width="13.25" style="2" bestFit="1" customWidth="1"/>
    <col min="12813" max="12814" width="9" style="2" bestFit="1"/>
    <col min="12815" max="12815" width="9.625" style="2" bestFit="1" customWidth="1"/>
    <col min="12816" max="13058" width="9" style="2"/>
    <col min="13059" max="13059" width="2.375" style="2" customWidth="1"/>
    <col min="13060" max="13060" width="13.25" style="2" bestFit="1" customWidth="1"/>
    <col min="13061" max="13062" width="9" style="2" bestFit="1"/>
    <col min="13063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 bestFit="1"/>
    <col min="13068" max="13068" width="13.25" style="2" bestFit="1" customWidth="1"/>
    <col min="13069" max="13070" width="9" style="2" bestFit="1"/>
    <col min="13071" max="13071" width="9.625" style="2" bestFit="1" customWidth="1"/>
    <col min="13072" max="13314" width="9" style="2"/>
    <col min="13315" max="13315" width="2.375" style="2" customWidth="1"/>
    <col min="13316" max="13316" width="13.25" style="2" bestFit="1" customWidth="1"/>
    <col min="13317" max="13318" width="9" style="2" bestFit="1"/>
    <col min="13319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 bestFit="1"/>
    <col min="13324" max="13324" width="13.25" style="2" bestFit="1" customWidth="1"/>
    <col min="13325" max="13326" width="9" style="2" bestFit="1"/>
    <col min="13327" max="13327" width="9.625" style="2" bestFit="1" customWidth="1"/>
    <col min="13328" max="13570" width="9" style="2"/>
    <col min="13571" max="13571" width="2.375" style="2" customWidth="1"/>
    <col min="13572" max="13572" width="13.25" style="2" bestFit="1" customWidth="1"/>
    <col min="13573" max="13574" width="9" style="2" bestFit="1"/>
    <col min="13575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 bestFit="1"/>
    <col min="13580" max="13580" width="13.25" style="2" bestFit="1" customWidth="1"/>
    <col min="13581" max="13582" width="9" style="2" bestFit="1"/>
    <col min="13583" max="13583" width="9.625" style="2" bestFit="1" customWidth="1"/>
    <col min="13584" max="13826" width="9" style="2"/>
    <col min="13827" max="13827" width="2.375" style="2" customWidth="1"/>
    <col min="13828" max="13828" width="13.25" style="2" bestFit="1" customWidth="1"/>
    <col min="13829" max="13830" width="9" style="2" bestFit="1"/>
    <col min="13831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 bestFit="1"/>
    <col min="13836" max="13836" width="13.25" style="2" bestFit="1" customWidth="1"/>
    <col min="13837" max="13838" width="9" style="2" bestFit="1"/>
    <col min="13839" max="13839" width="9.625" style="2" bestFit="1" customWidth="1"/>
    <col min="13840" max="14082" width="9" style="2"/>
    <col min="14083" max="14083" width="2.375" style="2" customWidth="1"/>
    <col min="14084" max="14084" width="13.25" style="2" bestFit="1" customWidth="1"/>
    <col min="14085" max="14086" width="9" style="2" bestFit="1"/>
    <col min="14087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 bestFit="1"/>
    <col min="14092" max="14092" width="13.25" style="2" bestFit="1" customWidth="1"/>
    <col min="14093" max="14094" width="9" style="2" bestFit="1"/>
    <col min="14095" max="14095" width="9.625" style="2" bestFit="1" customWidth="1"/>
    <col min="14096" max="14338" width="9" style="2"/>
    <col min="14339" max="14339" width="2.375" style="2" customWidth="1"/>
    <col min="14340" max="14340" width="13.25" style="2" bestFit="1" customWidth="1"/>
    <col min="14341" max="14342" width="9" style="2" bestFit="1"/>
    <col min="14343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 bestFit="1"/>
    <col min="14348" max="14348" width="13.25" style="2" bestFit="1" customWidth="1"/>
    <col min="14349" max="14350" width="9" style="2" bestFit="1"/>
    <col min="14351" max="14351" width="9.625" style="2" bestFit="1" customWidth="1"/>
    <col min="14352" max="14594" width="9" style="2"/>
    <col min="14595" max="14595" width="2.375" style="2" customWidth="1"/>
    <col min="14596" max="14596" width="13.25" style="2" bestFit="1" customWidth="1"/>
    <col min="14597" max="14598" width="9" style="2" bestFit="1"/>
    <col min="14599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 bestFit="1"/>
    <col min="14604" max="14604" width="13.25" style="2" bestFit="1" customWidth="1"/>
    <col min="14605" max="14606" width="9" style="2" bestFit="1"/>
    <col min="14607" max="14607" width="9.625" style="2" bestFit="1" customWidth="1"/>
    <col min="14608" max="14850" width="9" style="2"/>
    <col min="14851" max="14851" width="2.375" style="2" customWidth="1"/>
    <col min="14852" max="14852" width="13.25" style="2" bestFit="1" customWidth="1"/>
    <col min="14853" max="14854" width="9" style="2" bestFit="1"/>
    <col min="14855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 bestFit="1"/>
    <col min="14860" max="14860" width="13.25" style="2" bestFit="1" customWidth="1"/>
    <col min="14861" max="14862" width="9" style="2" bestFit="1"/>
    <col min="14863" max="14863" width="9.625" style="2" bestFit="1" customWidth="1"/>
    <col min="14864" max="15106" width="9" style="2"/>
    <col min="15107" max="15107" width="2.375" style="2" customWidth="1"/>
    <col min="15108" max="15108" width="13.25" style="2" bestFit="1" customWidth="1"/>
    <col min="15109" max="15110" width="9" style="2" bestFit="1"/>
    <col min="15111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 bestFit="1"/>
    <col min="15116" max="15116" width="13.25" style="2" bestFit="1" customWidth="1"/>
    <col min="15117" max="15118" width="9" style="2" bestFit="1"/>
    <col min="15119" max="15119" width="9.625" style="2" bestFit="1" customWidth="1"/>
    <col min="15120" max="15362" width="9" style="2"/>
    <col min="15363" max="15363" width="2.375" style="2" customWidth="1"/>
    <col min="15364" max="15364" width="13.25" style="2" bestFit="1" customWidth="1"/>
    <col min="15365" max="15366" width="9" style="2" bestFit="1"/>
    <col min="15367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 bestFit="1"/>
    <col min="15372" max="15372" width="13.25" style="2" bestFit="1" customWidth="1"/>
    <col min="15373" max="15374" width="9" style="2" bestFit="1"/>
    <col min="15375" max="15375" width="9.625" style="2" bestFit="1" customWidth="1"/>
    <col min="15376" max="15618" width="9" style="2"/>
    <col min="15619" max="15619" width="2.375" style="2" customWidth="1"/>
    <col min="15620" max="15620" width="13.25" style="2" bestFit="1" customWidth="1"/>
    <col min="15621" max="15622" width="9" style="2" bestFit="1"/>
    <col min="15623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 bestFit="1"/>
    <col min="15628" max="15628" width="13.25" style="2" bestFit="1" customWidth="1"/>
    <col min="15629" max="15630" width="9" style="2" bestFit="1"/>
    <col min="15631" max="15631" width="9.625" style="2" bestFit="1" customWidth="1"/>
    <col min="15632" max="15874" width="9" style="2"/>
    <col min="15875" max="15875" width="2.375" style="2" customWidth="1"/>
    <col min="15876" max="15876" width="13.25" style="2" bestFit="1" customWidth="1"/>
    <col min="15877" max="15878" width="9" style="2" bestFit="1"/>
    <col min="15879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 bestFit="1"/>
    <col min="15884" max="15884" width="13.25" style="2" bestFit="1" customWidth="1"/>
    <col min="15885" max="15886" width="9" style="2" bestFit="1"/>
    <col min="15887" max="15887" width="9.625" style="2" bestFit="1" customWidth="1"/>
    <col min="15888" max="16130" width="9" style="2"/>
    <col min="16131" max="16131" width="2.375" style="2" customWidth="1"/>
    <col min="16132" max="16132" width="13.25" style="2" bestFit="1" customWidth="1"/>
    <col min="16133" max="16134" width="9" style="2" bestFit="1"/>
    <col min="16135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 bestFit="1"/>
    <col min="16140" max="16140" width="13.25" style="2" bestFit="1" customWidth="1"/>
    <col min="16141" max="16142" width="9" style="2" bestFit="1"/>
    <col min="16143" max="16143" width="9.625" style="2" bestFit="1" customWidth="1"/>
    <col min="16144" max="16384" width="9" style="2"/>
  </cols>
  <sheetData>
    <row r="1" spans="1:15">
      <c r="A1" s="1" t="s">
        <v>0</v>
      </c>
    </row>
    <row r="2" spans="1:15" hidden="1">
      <c r="A2" s="1"/>
    </row>
    <row r="3" spans="1:15" hidden="1">
      <c r="A3" s="1" t="s">
        <v>1</v>
      </c>
    </row>
    <row r="4" spans="1:15" hidden="1">
      <c r="A4" s="1" t="s">
        <v>2</v>
      </c>
    </row>
    <row r="5" spans="1:15" hidden="1">
      <c r="A5" s="1" t="s">
        <v>3</v>
      </c>
    </row>
    <row r="6" spans="1:15" ht="19.5" thickBot="1">
      <c r="A6" s="1" t="s">
        <v>70</v>
      </c>
    </row>
    <row r="7" spans="1:15">
      <c r="B7" s="10"/>
      <c r="C7" s="15" t="s">
        <v>7</v>
      </c>
      <c r="D7" s="3" t="s">
        <v>9</v>
      </c>
      <c r="E7" s="61" t="s">
        <v>8</v>
      </c>
      <c r="F7" s="86" t="s">
        <v>71</v>
      </c>
      <c r="G7" s="15" t="s">
        <v>4</v>
      </c>
      <c r="H7" s="3" t="s">
        <v>5</v>
      </c>
      <c r="I7" s="3" t="s">
        <v>6</v>
      </c>
      <c r="J7" s="3" t="s">
        <v>10</v>
      </c>
      <c r="K7" s="3" t="s">
        <v>11</v>
      </c>
      <c r="L7" s="3" t="s">
        <v>12</v>
      </c>
      <c r="M7" s="16" t="s">
        <v>13</v>
      </c>
      <c r="N7" s="87" t="s">
        <v>71</v>
      </c>
      <c r="O7" s="87" t="s">
        <v>25</v>
      </c>
    </row>
    <row r="8" spans="1:15">
      <c r="B8" s="25" t="s">
        <v>14</v>
      </c>
      <c r="C8" s="26" t="s">
        <v>18</v>
      </c>
      <c r="D8" s="27" t="s">
        <v>20</v>
      </c>
      <c r="E8" s="62" t="s">
        <v>19</v>
      </c>
      <c r="F8" s="74" t="s">
        <v>72</v>
      </c>
      <c r="G8" s="26" t="s">
        <v>15</v>
      </c>
      <c r="H8" s="27" t="s">
        <v>16</v>
      </c>
      <c r="I8" s="27" t="s">
        <v>17</v>
      </c>
      <c r="J8" s="27" t="s">
        <v>21</v>
      </c>
      <c r="K8" s="27" t="s">
        <v>22</v>
      </c>
      <c r="L8" s="27" t="s">
        <v>23</v>
      </c>
      <c r="M8" s="28" t="s">
        <v>24</v>
      </c>
      <c r="N8" s="29" t="s">
        <v>73</v>
      </c>
      <c r="O8" s="29" t="s">
        <v>74</v>
      </c>
    </row>
    <row r="9" spans="1:15">
      <c r="A9" s="88" t="s">
        <v>3</v>
      </c>
      <c r="B9" s="20" t="s">
        <v>26</v>
      </c>
      <c r="C9" s="21">
        <v>22</v>
      </c>
      <c r="D9" s="22">
        <v>16</v>
      </c>
      <c r="E9" s="63">
        <v>21</v>
      </c>
      <c r="F9" s="75">
        <f>SUM(C9:E9)</f>
        <v>59</v>
      </c>
      <c r="G9" s="21">
        <v>21</v>
      </c>
      <c r="H9" s="22">
        <v>16</v>
      </c>
      <c r="I9" s="22">
        <v>16</v>
      </c>
      <c r="J9" s="22">
        <v>21</v>
      </c>
      <c r="K9" s="22">
        <v>21</v>
      </c>
      <c r="L9" s="22">
        <v>21</v>
      </c>
      <c r="M9" s="23">
        <v>19</v>
      </c>
      <c r="N9" s="24">
        <f>SUM(G9:M9)</f>
        <v>135</v>
      </c>
      <c r="O9" s="24">
        <f>F9+N9</f>
        <v>194</v>
      </c>
    </row>
    <row r="10" spans="1:15">
      <c r="A10" s="1" t="s">
        <v>3</v>
      </c>
      <c r="B10" s="11" t="s">
        <v>27</v>
      </c>
      <c r="C10" s="17">
        <v>0</v>
      </c>
      <c r="D10" s="4">
        <v>0</v>
      </c>
      <c r="E10" s="64">
        <v>2</v>
      </c>
      <c r="F10" s="76">
        <f t="shared" ref="F10:F21" si="0">SUM(C10:E10)</f>
        <v>2</v>
      </c>
      <c r="G10" s="17">
        <v>3</v>
      </c>
      <c r="H10" s="4">
        <v>3</v>
      </c>
      <c r="I10" s="4">
        <v>4</v>
      </c>
      <c r="J10" s="4">
        <v>2</v>
      </c>
      <c r="K10" s="4">
        <v>1</v>
      </c>
      <c r="L10" s="4">
        <v>2</v>
      </c>
      <c r="M10" s="5">
        <v>1</v>
      </c>
      <c r="N10" s="12">
        <f t="shared" ref="N10:N19" si="1">SUM(G10:M10)</f>
        <v>16</v>
      </c>
      <c r="O10" s="12">
        <f t="shared" ref="O10:O21" si="2">F10+N10</f>
        <v>18</v>
      </c>
    </row>
    <row r="11" spans="1:15">
      <c r="A11" s="1" t="s">
        <v>3</v>
      </c>
      <c r="B11" s="11" t="s">
        <v>28</v>
      </c>
      <c r="C11" s="17">
        <v>0</v>
      </c>
      <c r="D11" s="4">
        <v>0</v>
      </c>
      <c r="E11" s="64">
        <v>1</v>
      </c>
      <c r="F11" s="76">
        <f t="shared" si="0"/>
        <v>1</v>
      </c>
      <c r="G11" s="17">
        <v>1</v>
      </c>
      <c r="H11" s="4">
        <v>4</v>
      </c>
      <c r="I11" s="4">
        <v>3</v>
      </c>
      <c r="J11" s="4">
        <v>1</v>
      </c>
      <c r="K11" s="4">
        <v>1</v>
      </c>
      <c r="L11" s="4">
        <v>3</v>
      </c>
      <c r="M11" s="5">
        <v>0</v>
      </c>
      <c r="N11" s="12">
        <f t="shared" si="1"/>
        <v>13</v>
      </c>
      <c r="O11" s="12">
        <f t="shared" si="2"/>
        <v>14</v>
      </c>
    </row>
    <row r="12" spans="1:15">
      <c r="A12" s="1" t="s">
        <v>3</v>
      </c>
      <c r="B12" s="11" t="s">
        <v>29</v>
      </c>
      <c r="C12" s="17">
        <v>0</v>
      </c>
      <c r="D12" s="4">
        <v>0</v>
      </c>
      <c r="E12" s="64">
        <v>0</v>
      </c>
      <c r="F12" s="76">
        <f t="shared" si="0"/>
        <v>0</v>
      </c>
      <c r="G12" s="17">
        <v>0</v>
      </c>
      <c r="H12" s="4">
        <v>4</v>
      </c>
      <c r="I12" s="4">
        <v>3</v>
      </c>
      <c r="J12" s="4">
        <v>0</v>
      </c>
      <c r="K12" s="4">
        <v>0</v>
      </c>
      <c r="L12" s="4">
        <v>0</v>
      </c>
      <c r="M12" s="5">
        <v>0</v>
      </c>
      <c r="N12" s="12">
        <f t="shared" si="1"/>
        <v>7</v>
      </c>
      <c r="O12" s="12">
        <f t="shared" si="2"/>
        <v>7</v>
      </c>
    </row>
    <row r="13" spans="1:15">
      <c r="A13" s="1" t="s">
        <v>3</v>
      </c>
      <c r="B13" s="11" t="s">
        <v>30</v>
      </c>
      <c r="C13" s="17">
        <v>0</v>
      </c>
      <c r="D13" s="4">
        <v>0.5</v>
      </c>
      <c r="E13" s="64">
        <v>1</v>
      </c>
      <c r="F13" s="76">
        <f t="shared" si="0"/>
        <v>1.5</v>
      </c>
      <c r="G13" s="17">
        <v>1</v>
      </c>
      <c r="H13" s="4">
        <v>2</v>
      </c>
      <c r="I13" s="4">
        <v>3</v>
      </c>
      <c r="J13" s="4">
        <v>1</v>
      </c>
      <c r="K13" s="4">
        <v>1</v>
      </c>
      <c r="L13" s="4">
        <v>1</v>
      </c>
      <c r="M13" s="5">
        <v>1</v>
      </c>
      <c r="N13" s="12">
        <f t="shared" si="1"/>
        <v>10</v>
      </c>
      <c r="O13" s="12">
        <f t="shared" si="2"/>
        <v>11.5</v>
      </c>
    </row>
    <row r="14" spans="1:15">
      <c r="A14" s="1" t="s">
        <v>3</v>
      </c>
      <c r="B14" s="11" t="s">
        <v>31</v>
      </c>
      <c r="C14" s="17">
        <v>0</v>
      </c>
      <c r="D14" s="4">
        <v>5</v>
      </c>
      <c r="E14" s="64">
        <v>0</v>
      </c>
      <c r="F14" s="76">
        <f t="shared" si="0"/>
        <v>5</v>
      </c>
      <c r="G14" s="17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5">
        <v>2</v>
      </c>
      <c r="N14" s="12">
        <f t="shared" si="1"/>
        <v>2</v>
      </c>
      <c r="O14" s="12">
        <f t="shared" si="2"/>
        <v>7</v>
      </c>
    </row>
    <row r="15" spans="1:15">
      <c r="A15" s="1" t="s">
        <v>3</v>
      </c>
      <c r="B15" s="11" t="s">
        <v>32</v>
      </c>
      <c r="C15" s="18">
        <v>0</v>
      </c>
      <c r="D15" s="6">
        <v>0</v>
      </c>
      <c r="E15" s="65">
        <v>0</v>
      </c>
      <c r="F15" s="77">
        <f t="shared" si="0"/>
        <v>0</v>
      </c>
      <c r="G15" s="18">
        <v>1.4166666666666667</v>
      </c>
      <c r="H15" s="6">
        <v>0.45833333333333331</v>
      </c>
      <c r="I15" s="6">
        <v>0.83333333333333337</v>
      </c>
      <c r="J15" s="6">
        <v>1.8333333333333335</v>
      </c>
      <c r="K15" s="6">
        <v>2.2083333333333335</v>
      </c>
      <c r="L15" s="6">
        <v>0.875</v>
      </c>
      <c r="M15" s="7">
        <v>1.2083333333333333</v>
      </c>
      <c r="N15" s="13">
        <f t="shared" si="1"/>
        <v>8.8333333333333339</v>
      </c>
      <c r="O15" s="13">
        <f t="shared" si="2"/>
        <v>8.8333333333333339</v>
      </c>
    </row>
    <row r="16" spans="1:15">
      <c r="A16" s="1" t="s">
        <v>3</v>
      </c>
      <c r="B16" s="11" t="s">
        <v>33</v>
      </c>
      <c r="C16" s="18">
        <v>0</v>
      </c>
      <c r="D16" s="6">
        <v>0</v>
      </c>
      <c r="E16" s="65">
        <v>0.5</v>
      </c>
      <c r="F16" s="77">
        <f t="shared" si="0"/>
        <v>0.5</v>
      </c>
      <c r="G16" s="18">
        <v>1.2083333333333333</v>
      </c>
      <c r="H16" s="6">
        <v>0.33333333333333331</v>
      </c>
      <c r="I16" s="6">
        <v>1.1666666666666667</v>
      </c>
      <c r="J16" s="6">
        <v>0.91666666666666663</v>
      </c>
      <c r="K16" s="6">
        <v>0.45833333333333331</v>
      </c>
      <c r="L16" s="6">
        <v>0.625</v>
      </c>
      <c r="M16" s="7">
        <v>0.41666666666666669</v>
      </c>
      <c r="N16" s="13">
        <f t="shared" si="1"/>
        <v>5.125</v>
      </c>
      <c r="O16" s="13">
        <f t="shared" si="2"/>
        <v>5.625</v>
      </c>
    </row>
    <row r="17" spans="1:15">
      <c r="A17" s="1" t="s">
        <v>3</v>
      </c>
      <c r="B17" s="11" t="s">
        <v>34</v>
      </c>
      <c r="C17" s="18">
        <v>0</v>
      </c>
      <c r="D17" s="6">
        <v>0</v>
      </c>
      <c r="E17" s="65">
        <v>0.20833333333333334</v>
      </c>
      <c r="F17" s="77">
        <f t="shared" si="0"/>
        <v>0.20833333333333334</v>
      </c>
      <c r="G17" s="18">
        <v>0.375</v>
      </c>
      <c r="H17" s="6">
        <v>0.70833333333333337</v>
      </c>
      <c r="I17" s="6">
        <v>0.41666666666666669</v>
      </c>
      <c r="J17" s="6">
        <v>0.375</v>
      </c>
      <c r="K17" s="6">
        <v>0.33333333333333331</v>
      </c>
      <c r="L17" s="6">
        <v>0.91666666666666663</v>
      </c>
      <c r="M17" s="7">
        <v>0</v>
      </c>
      <c r="N17" s="13">
        <f t="shared" si="1"/>
        <v>3.125</v>
      </c>
      <c r="O17" s="13">
        <f t="shared" si="2"/>
        <v>3.3333333333333335</v>
      </c>
    </row>
    <row r="18" spans="1:15">
      <c r="A18" s="1" t="s">
        <v>3</v>
      </c>
      <c r="B18" s="11" t="s">
        <v>35</v>
      </c>
      <c r="C18" s="18">
        <v>0</v>
      </c>
      <c r="D18" s="6">
        <v>0</v>
      </c>
      <c r="E18" s="65">
        <v>0</v>
      </c>
      <c r="F18" s="77">
        <f t="shared" si="0"/>
        <v>0</v>
      </c>
      <c r="G18" s="18">
        <v>0</v>
      </c>
      <c r="H18" s="6">
        <v>0.70833333333333337</v>
      </c>
      <c r="I18" s="6">
        <v>0.375</v>
      </c>
      <c r="J18" s="6">
        <v>0</v>
      </c>
      <c r="K18" s="6">
        <v>0</v>
      </c>
      <c r="L18" s="6">
        <v>0</v>
      </c>
      <c r="M18" s="7">
        <v>0</v>
      </c>
      <c r="N18" s="13">
        <f t="shared" si="1"/>
        <v>1.0833333333333335</v>
      </c>
      <c r="O18" s="13">
        <f t="shared" si="2"/>
        <v>1.0833333333333335</v>
      </c>
    </row>
    <row r="19" spans="1:15">
      <c r="A19" s="1" t="s">
        <v>3</v>
      </c>
      <c r="B19" s="11" t="s">
        <v>36</v>
      </c>
      <c r="C19" s="18">
        <v>0</v>
      </c>
      <c r="D19" s="6">
        <v>0</v>
      </c>
      <c r="E19" s="65">
        <v>0</v>
      </c>
      <c r="F19" s="77">
        <f t="shared" si="0"/>
        <v>0</v>
      </c>
      <c r="G19" s="18">
        <v>0</v>
      </c>
      <c r="H19" s="6">
        <v>0.70833333333333337</v>
      </c>
      <c r="I19" s="6">
        <v>0.75</v>
      </c>
      <c r="J19" s="6">
        <v>0</v>
      </c>
      <c r="K19" s="6">
        <v>0</v>
      </c>
      <c r="L19" s="6">
        <v>0</v>
      </c>
      <c r="M19" s="7">
        <v>0</v>
      </c>
      <c r="N19" s="13">
        <f t="shared" si="1"/>
        <v>1.4583333333333335</v>
      </c>
      <c r="O19" s="13">
        <f t="shared" si="2"/>
        <v>1.4583333333333335</v>
      </c>
    </row>
    <row r="20" spans="1:15">
      <c r="A20" s="1" t="s">
        <v>3</v>
      </c>
      <c r="B20" s="11" t="s">
        <v>37</v>
      </c>
      <c r="C20" s="18">
        <v>0</v>
      </c>
      <c r="D20" s="6">
        <v>0</v>
      </c>
      <c r="E20" s="65">
        <v>0.25</v>
      </c>
      <c r="F20" s="77">
        <f t="shared" si="0"/>
        <v>0.25</v>
      </c>
      <c r="G20" s="18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7">
        <v>0</v>
      </c>
      <c r="N20" s="13">
        <f>SUM(G20:M20)</f>
        <v>0</v>
      </c>
      <c r="O20" s="13">
        <f t="shared" si="2"/>
        <v>0.25</v>
      </c>
    </row>
    <row r="21" spans="1:15">
      <c r="A21" s="1" t="s">
        <v>3</v>
      </c>
      <c r="B21" s="30" t="s">
        <v>38</v>
      </c>
      <c r="C21" s="31">
        <v>0.16666666666666666</v>
      </c>
      <c r="D21" s="32">
        <v>0</v>
      </c>
      <c r="E21" s="66">
        <v>0</v>
      </c>
      <c r="F21" s="78">
        <f t="shared" si="0"/>
        <v>0.16666666666666666</v>
      </c>
      <c r="G21" s="31">
        <v>1.5833333333333335</v>
      </c>
      <c r="H21" s="32">
        <v>3.25</v>
      </c>
      <c r="I21" s="32">
        <v>3.1666666666666665</v>
      </c>
      <c r="J21" s="32">
        <v>0.625</v>
      </c>
      <c r="K21" s="32">
        <v>1.25</v>
      </c>
      <c r="L21" s="32">
        <v>0.70833333333333337</v>
      </c>
      <c r="M21" s="33">
        <v>0.66666666666666663</v>
      </c>
      <c r="N21" s="34">
        <f>SUM(G21:M21)</f>
        <v>11.25</v>
      </c>
      <c r="O21" s="34">
        <f t="shared" si="2"/>
        <v>11.416666666666666</v>
      </c>
    </row>
    <row r="22" spans="1:15">
      <c r="A22" s="1" t="s">
        <v>3</v>
      </c>
      <c r="B22" s="39" t="s">
        <v>39</v>
      </c>
      <c r="C22" s="40">
        <v>40</v>
      </c>
      <c r="D22" s="41">
        <v>33.5</v>
      </c>
      <c r="E22" s="67">
        <v>38.5</v>
      </c>
      <c r="F22" s="79"/>
      <c r="G22" s="40">
        <v>39</v>
      </c>
      <c r="H22" s="41">
        <v>38</v>
      </c>
      <c r="I22" s="41">
        <v>29</v>
      </c>
      <c r="J22" s="41">
        <v>23</v>
      </c>
      <c r="K22" s="41">
        <v>15</v>
      </c>
      <c r="L22" s="41">
        <v>16</v>
      </c>
      <c r="M22" s="42">
        <v>13</v>
      </c>
      <c r="N22" s="43"/>
      <c r="O22" s="43"/>
    </row>
    <row r="23" spans="1:15">
      <c r="A23" s="1" t="s">
        <v>3</v>
      </c>
      <c r="B23" s="20" t="s">
        <v>40</v>
      </c>
      <c r="C23" s="35">
        <v>370000</v>
      </c>
      <c r="D23" s="36">
        <v>360000</v>
      </c>
      <c r="E23" s="68">
        <v>180000</v>
      </c>
      <c r="F23" s="80">
        <f t="shared" ref="F23:F51" si="3">SUM(C23:E23)</f>
        <v>910000</v>
      </c>
      <c r="G23" s="35">
        <v>187000</v>
      </c>
      <c r="H23" s="36">
        <v>187000</v>
      </c>
      <c r="I23" s="36">
        <v>182000</v>
      </c>
      <c r="J23" s="36">
        <v>182000</v>
      </c>
      <c r="K23" s="36">
        <v>182000</v>
      </c>
      <c r="L23" s="36">
        <v>175000</v>
      </c>
      <c r="M23" s="37">
        <v>175000</v>
      </c>
      <c r="N23" s="38">
        <f t="shared" ref="N23:N51" si="4">SUM(G23:M23)</f>
        <v>1270000</v>
      </c>
      <c r="O23" s="38">
        <f t="shared" ref="O23:O51" si="5">F23+N23</f>
        <v>2180000</v>
      </c>
    </row>
    <row r="24" spans="1:15">
      <c r="A24" s="1" t="s">
        <v>3</v>
      </c>
      <c r="B24" s="11" t="s">
        <v>41</v>
      </c>
      <c r="C24" s="19">
        <v>0</v>
      </c>
      <c r="D24" s="8">
        <v>0</v>
      </c>
      <c r="E24" s="69">
        <v>0</v>
      </c>
      <c r="F24" s="81">
        <f t="shared" si="3"/>
        <v>0</v>
      </c>
      <c r="G24" s="19">
        <v>5000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9">
        <v>0</v>
      </c>
      <c r="N24" s="14">
        <f t="shared" si="4"/>
        <v>5000</v>
      </c>
      <c r="O24" s="14">
        <f t="shared" si="5"/>
        <v>5000</v>
      </c>
    </row>
    <row r="25" spans="1:15">
      <c r="A25" s="1" t="s">
        <v>3</v>
      </c>
      <c r="B25" s="11" t="s">
        <v>42</v>
      </c>
      <c r="C25" s="19">
        <v>0</v>
      </c>
      <c r="D25" s="8">
        <v>0</v>
      </c>
      <c r="E25" s="69">
        <v>6000</v>
      </c>
      <c r="F25" s="81">
        <f t="shared" si="3"/>
        <v>6000</v>
      </c>
      <c r="G25" s="19">
        <v>6000</v>
      </c>
      <c r="H25" s="8">
        <v>10000</v>
      </c>
      <c r="I25" s="8">
        <v>0</v>
      </c>
      <c r="J25" s="8">
        <v>0</v>
      </c>
      <c r="K25" s="8">
        <v>0</v>
      </c>
      <c r="L25" s="8">
        <v>0</v>
      </c>
      <c r="M25" s="9">
        <v>0</v>
      </c>
      <c r="N25" s="14">
        <f t="shared" si="4"/>
        <v>16000</v>
      </c>
      <c r="O25" s="14">
        <f t="shared" si="5"/>
        <v>22000</v>
      </c>
    </row>
    <row r="26" spans="1:15">
      <c r="A26" s="1" t="s">
        <v>3</v>
      </c>
      <c r="B26" s="11" t="s">
        <v>43</v>
      </c>
      <c r="C26" s="19">
        <v>0</v>
      </c>
      <c r="D26" s="8">
        <v>0</v>
      </c>
      <c r="E26" s="69">
        <v>0</v>
      </c>
      <c r="F26" s="81">
        <f t="shared" si="3"/>
        <v>0</v>
      </c>
      <c r="G26" s="90">
        <v>28600</v>
      </c>
      <c r="H26" s="91">
        <v>25800</v>
      </c>
      <c r="I26" s="91">
        <v>27200</v>
      </c>
      <c r="J26" s="91">
        <v>28000</v>
      </c>
      <c r="K26" s="91">
        <v>28800</v>
      </c>
      <c r="L26" s="91">
        <v>13900</v>
      </c>
      <c r="M26" s="9">
        <v>0</v>
      </c>
      <c r="N26" s="14">
        <f t="shared" si="4"/>
        <v>152300</v>
      </c>
      <c r="O26" s="14">
        <f t="shared" si="5"/>
        <v>152300</v>
      </c>
    </row>
    <row r="27" spans="1:15">
      <c r="A27" s="1" t="s">
        <v>3</v>
      </c>
      <c r="B27" s="11" t="s">
        <v>44</v>
      </c>
      <c r="C27" s="19">
        <v>0</v>
      </c>
      <c r="D27" s="8">
        <v>0</v>
      </c>
      <c r="E27" s="69">
        <v>0</v>
      </c>
      <c r="F27" s="81">
        <f t="shared" si="3"/>
        <v>0</v>
      </c>
      <c r="G27" s="19">
        <v>3500</v>
      </c>
      <c r="H27" s="8">
        <v>3500</v>
      </c>
      <c r="I27" s="8">
        <v>3500</v>
      </c>
      <c r="J27" s="8">
        <v>3500</v>
      </c>
      <c r="K27" s="8">
        <v>3500</v>
      </c>
      <c r="L27" s="8">
        <v>0</v>
      </c>
      <c r="M27" s="9">
        <v>0</v>
      </c>
      <c r="N27" s="14">
        <f t="shared" si="4"/>
        <v>17500</v>
      </c>
      <c r="O27" s="14">
        <f t="shared" si="5"/>
        <v>17500</v>
      </c>
    </row>
    <row r="28" spans="1:15">
      <c r="A28" s="1" t="s">
        <v>3</v>
      </c>
      <c r="B28" s="11" t="s">
        <v>45</v>
      </c>
      <c r="C28" s="19">
        <v>0</v>
      </c>
      <c r="D28" s="8">
        <v>0</v>
      </c>
      <c r="E28" s="69">
        <v>0</v>
      </c>
      <c r="F28" s="81">
        <f t="shared" si="3"/>
        <v>0</v>
      </c>
      <c r="G28" s="19">
        <v>0</v>
      </c>
      <c r="H28" s="8">
        <v>7600</v>
      </c>
      <c r="I28" s="8">
        <v>0</v>
      </c>
      <c r="J28" s="8">
        <v>0</v>
      </c>
      <c r="K28" s="8">
        <v>0</v>
      </c>
      <c r="L28" s="8">
        <v>0</v>
      </c>
      <c r="M28" s="9">
        <v>0</v>
      </c>
      <c r="N28" s="14">
        <f t="shared" si="4"/>
        <v>7600</v>
      </c>
      <c r="O28" s="14">
        <f t="shared" si="5"/>
        <v>7600</v>
      </c>
    </row>
    <row r="29" spans="1:15">
      <c r="A29" s="1" t="s">
        <v>3</v>
      </c>
      <c r="B29" s="11" t="s">
        <v>32</v>
      </c>
      <c r="C29" s="19">
        <v>0</v>
      </c>
      <c r="D29" s="8">
        <v>0</v>
      </c>
      <c r="E29" s="69">
        <v>0</v>
      </c>
      <c r="F29" s="81">
        <f t="shared" si="3"/>
        <v>0</v>
      </c>
      <c r="G29" s="19">
        <v>51306</v>
      </c>
      <c r="H29" s="8">
        <v>17138</v>
      </c>
      <c r="I29" s="8">
        <v>27780</v>
      </c>
      <c r="J29" s="8">
        <v>61116</v>
      </c>
      <c r="K29" s="8">
        <v>73617</v>
      </c>
      <c r="L29" s="8">
        <v>27510</v>
      </c>
      <c r="M29" s="9">
        <v>37990</v>
      </c>
      <c r="N29" s="14">
        <f t="shared" si="4"/>
        <v>296457</v>
      </c>
      <c r="O29" s="14">
        <f t="shared" si="5"/>
        <v>296457</v>
      </c>
    </row>
    <row r="30" spans="1:15">
      <c r="A30" s="1" t="s">
        <v>3</v>
      </c>
      <c r="B30" s="11" t="s">
        <v>46</v>
      </c>
      <c r="C30" s="19">
        <v>0</v>
      </c>
      <c r="D30" s="8">
        <v>0</v>
      </c>
      <c r="E30" s="69">
        <v>20640</v>
      </c>
      <c r="F30" s="81">
        <f t="shared" si="3"/>
        <v>20640</v>
      </c>
      <c r="G30" s="19">
        <v>47241</v>
      </c>
      <c r="H30" s="8">
        <v>13456</v>
      </c>
      <c r="I30" s="8">
        <v>42000</v>
      </c>
      <c r="J30" s="8">
        <v>33000</v>
      </c>
      <c r="K30" s="8">
        <v>16500</v>
      </c>
      <c r="L30" s="8">
        <v>21225</v>
      </c>
      <c r="M30" s="9">
        <v>14150</v>
      </c>
      <c r="N30" s="14">
        <f t="shared" si="4"/>
        <v>187572</v>
      </c>
      <c r="O30" s="14">
        <f t="shared" si="5"/>
        <v>208212</v>
      </c>
    </row>
    <row r="31" spans="1:15">
      <c r="A31" s="1" t="s">
        <v>3</v>
      </c>
      <c r="B31" s="11" t="s">
        <v>47</v>
      </c>
      <c r="C31" s="19">
        <v>0</v>
      </c>
      <c r="D31" s="8">
        <v>0</v>
      </c>
      <c r="E31" s="69">
        <v>8600</v>
      </c>
      <c r="F31" s="81">
        <f t="shared" si="3"/>
        <v>8600</v>
      </c>
      <c r="G31" s="19">
        <v>14661</v>
      </c>
      <c r="H31" s="8">
        <v>28594</v>
      </c>
      <c r="I31" s="8">
        <v>15000</v>
      </c>
      <c r="J31" s="8">
        <v>13500</v>
      </c>
      <c r="K31" s="8">
        <v>12000</v>
      </c>
      <c r="L31" s="8">
        <v>31130</v>
      </c>
      <c r="M31" s="9">
        <v>0</v>
      </c>
      <c r="N31" s="14">
        <f t="shared" si="4"/>
        <v>114885</v>
      </c>
      <c r="O31" s="14">
        <f t="shared" si="5"/>
        <v>123485</v>
      </c>
    </row>
    <row r="32" spans="1:15">
      <c r="A32" s="1" t="s">
        <v>3</v>
      </c>
      <c r="B32" s="11" t="s">
        <v>48</v>
      </c>
      <c r="C32" s="19">
        <v>0</v>
      </c>
      <c r="D32" s="8">
        <v>0</v>
      </c>
      <c r="E32" s="69">
        <v>0</v>
      </c>
      <c r="F32" s="81">
        <f t="shared" si="3"/>
        <v>0</v>
      </c>
      <c r="G32" s="19">
        <v>0</v>
      </c>
      <c r="H32" s="8">
        <v>7412</v>
      </c>
      <c r="I32" s="8">
        <v>3501</v>
      </c>
      <c r="J32" s="8">
        <v>0</v>
      </c>
      <c r="K32" s="8">
        <v>0</v>
      </c>
      <c r="L32" s="8">
        <v>0</v>
      </c>
      <c r="M32" s="9">
        <v>0</v>
      </c>
      <c r="N32" s="14">
        <f t="shared" si="4"/>
        <v>10913</v>
      </c>
      <c r="O32" s="14">
        <f t="shared" si="5"/>
        <v>10913</v>
      </c>
    </row>
    <row r="33" spans="1:15">
      <c r="A33" s="1" t="s">
        <v>3</v>
      </c>
      <c r="B33" s="11" t="s">
        <v>49</v>
      </c>
      <c r="C33" s="19">
        <v>0</v>
      </c>
      <c r="D33" s="8">
        <v>0</v>
      </c>
      <c r="E33" s="69">
        <v>0</v>
      </c>
      <c r="F33" s="81">
        <f t="shared" si="3"/>
        <v>0</v>
      </c>
      <c r="G33" s="19">
        <v>0</v>
      </c>
      <c r="H33" s="8">
        <v>7412</v>
      </c>
      <c r="I33" s="8">
        <v>7002</v>
      </c>
      <c r="J33" s="8">
        <v>0</v>
      </c>
      <c r="K33" s="8">
        <v>0</v>
      </c>
      <c r="L33" s="8">
        <v>0</v>
      </c>
      <c r="M33" s="9">
        <v>0</v>
      </c>
      <c r="N33" s="14">
        <f t="shared" si="4"/>
        <v>14414</v>
      </c>
      <c r="O33" s="14">
        <f t="shared" si="5"/>
        <v>14414</v>
      </c>
    </row>
    <row r="34" spans="1:15">
      <c r="A34" s="1" t="s">
        <v>3</v>
      </c>
      <c r="B34" s="11" t="s">
        <v>37</v>
      </c>
      <c r="C34" s="19">
        <v>0</v>
      </c>
      <c r="D34" s="8">
        <v>0</v>
      </c>
      <c r="E34" s="69">
        <v>7644</v>
      </c>
      <c r="F34" s="81">
        <f t="shared" si="3"/>
        <v>7644</v>
      </c>
      <c r="G34" s="19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9">
        <v>0</v>
      </c>
      <c r="N34" s="14">
        <f t="shared" si="4"/>
        <v>0</v>
      </c>
      <c r="O34" s="14">
        <f t="shared" si="5"/>
        <v>7644</v>
      </c>
    </row>
    <row r="35" spans="1:15">
      <c r="A35" s="1" t="s">
        <v>3</v>
      </c>
      <c r="B35" s="30" t="s">
        <v>38</v>
      </c>
      <c r="C35" s="44">
        <v>2216</v>
      </c>
      <c r="D35" s="45">
        <v>0</v>
      </c>
      <c r="E35" s="70">
        <v>0</v>
      </c>
      <c r="F35" s="82">
        <f t="shared" si="3"/>
        <v>2216</v>
      </c>
      <c r="G35" s="44">
        <v>11476</v>
      </c>
      <c r="H35" s="45">
        <v>24336</v>
      </c>
      <c r="I35" s="45">
        <v>21128</v>
      </c>
      <c r="J35" s="45">
        <v>4170</v>
      </c>
      <c r="K35" s="45">
        <v>8340</v>
      </c>
      <c r="L35" s="45">
        <v>4454</v>
      </c>
      <c r="M35" s="46">
        <v>4192</v>
      </c>
      <c r="N35" s="47">
        <f t="shared" si="4"/>
        <v>78096</v>
      </c>
      <c r="O35" s="47">
        <f t="shared" si="5"/>
        <v>80312</v>
      </c>
    </row>
    <row r="36" spans="1:15">
      <c r="A36" s="1" t="s">
        <v>3</v>
      </c>
      <c r="B36" s="39" t="s">
        <v>50</v>
      </c>
      <c r="C36" s="48">
        <v>372216</v>
      </c>
      <c r="D36" s="49">
        <v>360000</v>
      </c>
      <c r="E36" s="71">
        <v>222884</v>
      </c>
      <c r="F36" s="83">
        <f t="shared" si="3"/>
        <v>955100</v>
      </c>
      <c r="G36" s="48">
        <v>354784</v>
      </c>
      <c r="H36" s="49">
        <v>332248</v>
      </c>
      <c r="I36" s="49">
        <v>329111</v>
      </c>
      <c r="J36" s="49">
        <v>325286</v>
      </c>
      <c r="K36" s="49">
        <v>324757</v>
      </c>
      <c r="L36" s="49">
        <v>273219</v>
      </c>
      <c r="M36" s="50">
        <v>231332</v>
      </c>
      <c r="N36" s="51">
        <f t="shared" si="4"/>
        <v>2170737</v>
      </c>
      <c r="O36" s="51">
        <f t="shared" si="5"/>
        <v>3125837</v>
      </c>
    </row>
    <row r="37" spans="1:15">
      <c r="A37" s="1" t="s">
        <v>3</v>
      </c>
      <c r="B37" s="39" t="s">
        <v>51</v>
      </c>
      <c r="C37" s="48">
        <v>7872</v>
      </c>
      <c r="D37" s="49">
        <v>14973</v>
      </c>
      <c r="E37" s="71">
        <v>661</v>
      </c>
      <c r="F37" s="83">
        <f t="shared" si="3"/>
        <v>23506</v>
      </c>
      <c r="G37" s="48">
        <v>10322</v>
      </c>
      <c r="H37" s="49">
        <v>2533</v>
      </c>
      <c r="I37" s="49">
        <v>2533</v>
      </c>
      <c r="J37" s="49">
        <v>7927</v>
      </c>
      <c r="K37" s="49">
        <v>1267</v>
      </c>
      <c r="L37" s="49">
        <v>7156</v>
      </c>
      <c r="M37" s="50">
        <v>7707</v>
      </c>
      <c r="N37" s="51">
        <f t="shared" si="4"/>
        <v>39445</v>
      </c>
      <c r="O37" s="51">
        <f t="shared" si="5"/>
        <v>62951</v>
      </c>
    </row>
    <row r="38" spans="1:15">
      <c r="A38" s="1" t="s">
        <v>3</v>
      </c>
      <c r="B38" s="39" t="s">
        <v>52</v>
      </c>
      <c r="C38" s="48">
        <v>7872</v>
      </c>
      <c r="D38" s="49">
        <v>14973</v>
      </c>
      <c r="E38" s="71">
        <v>661</v>
      </c>
      <c r="F38" s="83">
        <f t="shared" si="3"/>
        <v>23506</v>
      </c>
      <c r="G38" s="48">
        <v>10322</v>
      </c>
      <c r="H38" s="49">
        <v>2533</v>
      </c>
      <c r="I38" s="49">
        <v>2533</v>
      </c>
      <c r="J38" s="49">
        <v>7927</v>
      </c>
      <c r="K38" s="49">
        <v>1267</v>
      </c>
      <c r="L38" s="49">
        <v>7156</v>
      </c>
      <c r="M38" s="50">
        <v>7707</v>
      </c>
      <c r="N38" s="51">
        <f t="shared" si="4"/>
        <v>39445</v>
      </c>
      <c r="O38" s="51">
        <f t="shared" si="5"/>
        <v>62951</v>
      </c>
    </row>
    <row r="39" spans="1:15">
      <c r="A39" s="1" t="s">
        <v>3</v>
      </c>
      <c r="B39" s="39" t="s">
        <v>53</v>
      </c>
      <c r="C39" s="48">
        <v>380088</v>
      </c>
      <c r="D39" s="49">
        <v>374973</v>
      </c>
      <c r="E39" s="71">
        <v>223545</v>
      </c>
      <c r="F39" s="83">
        <f t="shared" si="3"/>
        <v>978606</v>
      </c>
      <c r="G39" s="48">
        <v>365106</v>
      </c>
      <c r="H39" s="49">
        <v>334781</v>
      </c>
      <c r="I39" s="49">
        <v>331644</v>
      </c>
      <c r="J39" s="49">
        <v>333213</v>
      </c>
      <c r="K39" s="49">
        <v>326024</v>
      </c>
      <c r="L39" s="49">
        <v>280375</v>
      </c>
      <c r="M39" s="50">
        <v>239039</v>
      </c>
      <c r="N39" s="51">
        <f t="shared" si="4"/>
        <v>2210182</v>
      </c>
      <c r="O39" s="51">
        <f t="shared" si="5"/>
        <v>3188788</v>
      </c>
    </row>
    <row r="40" spans="1:15">
      <c r="A40" s="1" t="s">
        <v>3</v>
      </c>
      <c r="B40" s="20" t="s">
        <v>54</v>
      </c>
      <c r="C40" s="35">
        <v>19380</v>
      </c>
      <c r="D40" s="36">
        <v>19380</v>
      </c>
      <c r="E40" s="68">
        <v>11220</v>
      </c>
      <c r="F40" s="80">
        <f t="shared" si="3"/>
        <v>49980</v>
      </c>
      <c r="G40" s="35">
        <v>18360</v>
      </c>
      <c r="H40" s="36">
        <v>15300</v>
      </c>
      <c r="I40" s="36">
        <v>16320</v>
      </c>
      <c r="J40" s="36">
        <v>15300</v>
      </c>
      <c r="K40" s="36">
        <v>17340</v>
      </c>
      <c r="L40" s="36">
        <v>13260</v>
      </c>
      <c r="M40" s="37">
        <v>13260</v>
      </c>
      <c r="N40" s="38">
        <f t="shared" si="4"/>
        <v>109140</v>
      </c>
      <c r="O40" s="38">
        <f t="shared" si="5"/>
        <v>159120</v>
      </c>
    </row>
    <row r="41" spans="1:15">
      <c r="A41" s="1" t="s">
        <v>3</v>
      </c>
      <c r="B41" s="11" t="s">
        <v>55</v>
      </c>
      <c r="C41" s="19">
        <v>3420</v>
      </c>
      <c r="D41" s="8">
        <v>3420</v>
      </c>
      <c r="E41" s="69">
        <v>0</v>
      </c>
      <c r="F41" s="81">
        <f t="shared" si="3"/>
        <v>6840</v>
      </c>
      <c r="G41" s="19">
        <v>3240</v>
      </c>
      <c r="H41" s="8">
        <v>2700</v>
      </c>
      <c r="I41" s="8">
        <v>2880</v>
      </c>
      <c r="J41" s="8">
        <v>2700</v>
      </c>
      <c r="K41" s="8">
        <v>3060</v>
      </c>
      <c r="L41" s="8">
        <v>2340</v>
      </c>
      <c r="M41" s="9">
        <v>2340</v>
      </c>
      <c r="N41" s="14">
        <f t="shared" si="4"/>
        <v>19260</v>
      </c>
      <c r="O41" s="14">
        <f t="shared" si="5"/>
        <v>26100</v>
      </c>
    </row>
    <row r="42" spans="1:15">
      <c r="A42" s="1" t="s">
        <v>3</v>
      </c>
      <c r="B42" s="11" t="s">
        <v>56</v>
      </c>
      <c r="C42" s="19">
        <v>34770</v>
      </c>
      <c r="D42" s="8">
        <v>34770</v>
      </c>
      <c r="E42" s="69">
        <v>20130</v>
      </c>
      <c r="F42" s="81">
        <f t="shared" si="3"/>
        <v>89670</v>
      </c>
      <c r="G42" s="19">
        <v>32940</v>
      </c>
      <c r="H42" s="8">
        <v>27450</v>
      </c>
      <c r="I42" s="8">
        <v>29280</v>
      </c>
      <c r="J42" s="8">
        <v>27450</v>
      </c>
      <c r="K42" s="8">
        <v>31110</v>
      </c>
      <c r="L42" s="8">
        <v>23790</v>
      </c>
      <c r="M42" s="9">
        <v>23790</v>
      </c>
      <c r="N42" s="14">
        <f t="shared" si="4"/>
        <v>195810</v>
      </c>
      <c r="O42" s="14">
        <f t="shared" si="5"/>
        <v>285480</v>
      </c>
    </row>
    <row r="43" spans="1:15">
      <c r="A43" s="1" t="s">
        <v>3</v>
      </c>
      <c r="B43" s="30" t="s">
        <v>57</v>
      </c>
      <c r="C43" s="44">
        <v>2281</v>
      </c>
      <c r="D43" s="45">
        <v>2250</v>
      </c>
      <c r="E43" s="70">
        <v>1341</v>
      </c>
      <c r="F43" s="82">
        <f t="shared" si="3"/>
        <v>5872</v>
      </c>
      <c r="G43" s="44">
        <v>2191</v>
      </c>
      <c r="H43" s="45">
        <v>2009</v>
      </c>
      <c r="I43" s="45">
        <v>1990</v>
      </c>
      <c r="J43" s="45">
        <v>1999</v>
      </c>
      <c r="K43" s="45">
        <v>1956</v>
      </c>
      <c r="L43" s="45">
        <v>1682</v>
      </c>
      <c r="M43" s="46">
        <v>1434</v>
      </c>
      <c r="N43" s="47">
        <f t="shared" si="4"/>
        <v>13261</v>
      </c>
      <c r="O43" s="47">
        <f t="shared" si="5"/>
        <v>19133</v>
      </c>
    </row>
    <row r="44" spans="1:15">
      <c r="A44" s="1" t="s">
        <v>3</v>
      </c>
      <c r="B44" s="39" t="s">
        <v>58</v>
      </c>
      <c r="C44" s="48">
        <v>59851</v>
      </c>
      <c r="D44" s="49">
        <v>59820</v>
      </c>
      <c r="E44" s="71">
        <v>32691</v>
      </c>
      <c r="F44" s="83">
        <f t="shared" si="3"/>
        <v>152362</v>
      </c>
      <c r="G44" s="48">
        <v>56731</v>
      </c>
      <c r="H44" s="49">
        <v>47459</v>
      </c>
      <c r="I44" s="49">
        <v>50470</v>
      </c>
      <c r="J44" s="49">
        <v>47449</v>
      </c>
      <c r="K44" s="49">
        <v>53466</v>
      </c>
      <c r="L44" s="49">
        <v>41072</v>
      </c>
      <c r="M44" s="50">
        <v>40824</v>
      </c>
      <c r="N44" s="51">
        <f t="shared" si="4"/>
        <v>337471</v>
      </c>
      <c r="O44" s="51">
        <f t="shared" si="5"/>
        <v>489833</v>
      </c>
    </row>
    <row r="45" spans="1:15">
      <c r="A45" s="1" t="s">
        <v>3</v>
      </c>
      <c r="B45" s="20" t="s">
        <v>59</v>
      </c>
      <c r="C45" s="35">
        <v>9390</v>
      </c>
      <c r="D45" s="36">
        <v>8400</v>
      </c>
      <c r="E45" s="68">
        <v>4410</v>
      </c>
      <c r="F45" s="80">
        <f t="shared" si="3"/>
        <v>22200</v>
      </c>
      <c r="G45" s="35">
        <v>3420</v>
      </c>
      <c r="H45" s="36">
        <v>4560</v>
      </c>
      <c r="I45" s="36">
        <v>7570</v>
      </c>
      <c r="J45" s="36">
        <v>7550</v>
      </c>
      <c r="K45" s="36">
        <v>5700</v>
      </c>
      <c r="L45" s="36">
        <v>4300</v>
      </c>
      <c r="M45" s="37">
        <v>4430</v>
      </c>
      <c r="N45" s="38">
        <f t="shared" si="4"/>
        <v>37530</v>
      </c>
      <c r="O45" s="38">
        <f t="shared" si="5"/>
        <v>59730</v>
      </c>
    </row>
    <row r="46" spans="1:15">
      <c r="A46" s="1" t="s">
        <v>3</v>
      </c>
      <c r="B46" s="11" t="s">
        <v>60</v>
      </c>
      <c r="C46" s="19">
        <v>19600</v>
      </c>
      <c r="D46" s="8">
        <v>20400</v>
      </c>
      <c r="E46" s="69">
        <v>8400</v>
      </c>
      <c r="F46" s="81">
        <f t="shared" si="3"/>
        <v>48400</v>
      </c>
      <c r="G46" s="19">
        <v>2900</v>
      </c>
      <c r="H46" s="8">
        <v>9400</v>
      </c>
      <c r="I46" s="8">
        <v>11000</v>
      </c>
      <c r="J46" s="8">
        <v>10500</v>
      </c>
      <c r="K46" s="8">
        <v>6800</v>
      </c>
      <c r="L46" s="8">
        <v>0</v>
      </c>
      <c r="M46" s="9">
        <v>0</v>
      </c>
      <c r="N46" s="14">
        <f t="shared" si="4"/>
        <v>40600</v>
      </c>
      <c r="O46" s="14">
        <f t="shared" si="5"/>
        <v>89000</v>
      </c>
    </row>
    <row r="47" spans="1:15">
      <c r="A47" s="1" t="s">
        <v>3</v>
      </c>
      <c r="B47" s="30" t="s">
        <v>61</v>
      </c>
      <c r="C47" s="44">
        <v>0</v>
      </c>
      <c r="D47" s="45">
        <v>0</v>
      </c>
      <c r="E47" s="70">
        <v>0</v>
      </c>
      <c r="F47" s="82">
        <f t="shared" si="3"/>
        <v>0</v>
      </c>
      <c r="G47" s="44">
        <v>28600</v>
      </c>
      <c r="H47" s="45">
        <v>25800</v>
      </c>
      <c r="I47" s="45">
        <v>27200</v>
      </c>
      <c r="J47" s="45">
        <v>28000</v>
      </c>
      <c r="K47" s="45">
        <v>28800</v>
      </c>
      <c r="L47" s="45">
        <v>13900</v>
      </c>
      <c r="M47" s="46">
        <v>0</v>
      </c>
      <c r="N47" s="47">
        <f t="shared" si="4"/>
        <v>152300</v>
      </c>
      <c r="O47" s="47">
        <f t="shared" si="5"/>
        <v>152300</v>
      </c>
    </row>
    <row r="48" spans="1:15">
      <c r="A48" s="1" t="s">
        <v>3</v>
      </c>
      <c r="B48" s="39" t="s">
        <v>62</v>
      </c>
      <c r="C48" s="48">
        <v>88841</v>
      </c>
      <c r="D48" s="49">
        <v>88620</v>
      </c>
      <c r="E48" s="71">
        <v>45501</v>
      </c>
      <c r="F48" s="83">
        <f t="shared" si="3"/>
        <v>222962</v>
      </c>
      <c r="G48" s="48">
        <v>91651</v>
      </c>
      <c r="H48" s="49">
        <v>87219</v>
      </c>
      <c r="I48" s="49">
        <v>96240</v>
      </c>
      <c r="J48" s="49">
        <v>93499</v>
      </c>
      <c r="K48" s="49">
        <v>94766</v>
      </c>
      <c r="L48" s="49">
        <v>59272</v>
      </c>
      <c r="M48" s="50">
        <v>45254</v>
      </c>
      <c r="N48" s="51">
        <f t="shared" si="4"/>
        <v>567901</v>
      </c>
      <c r="O48" s="51">
        <f t="shared" si="5"/>
        <v>790863</v>
      </c>
    </row>
    <row r="49" spans="1:15">
      <c r="A49" s="1" t="s">
        <v>3</v>
      </c>
      <c r="B49" s="39" t="s">
        <v>63</v>
      </c>
      <c r="C49" s="48">
        <v>312365</v>
      </c>
      <c r="D49" s="49">
        <v>300180</v>
      </c>
      <c r="E49" s="71">
        <v>190193</v>
      </c>
      <c r="F49" s="83">
        <f t="shared" si="3"/>
        <v>802738</v>
      </c>
      <c r="G49" s="48">
        <v>298053</v>
      </c>
      <c r="H49" s="49">
        <v>284789</v>
      </c>
      <c r="I49" s="49">
        <v>278641</v>
      </c>
      <c r="J49" s="49">
        <v>277837</v>
      </c>
      <c r="K49" s="49">
        <v>271291</v>
      </c>
      <c r="L49" s="49">
        <v>232147</v>
      </c>
      <c r="M49" s="50">
        <v>190508</v>
      </c>
      <c r="N49" s="51">
        <f t="shared" si="4"/>
        <v>1833266</v>
      </c>
      <c r="O49" s="51">
        <f t="shared" si="5"/>
        <v>2636004</v>
      </c>
    </row>
    <row r="50" spans="1:15">
      <c r="A50" s="1" t="s">
        <v>3</v>
      </c>
      <c r="B50" s="39" t="s">
        <v>64</v>
      </c>
      <c r="C50" s="48">
        <v>291247</v>
      </c>
      <c r="D50" s="49">
        <v>286353</v>
      </c>
      <c r="E50" s="71">
        <v>178044</v>
      </c>
      <c r="F50" s="83">
        <f t="shared" si="3"/>
        <v>755644</v>
      </c>
      <c r="G50" s="48">
        <v>273455</v>
      </c>
      <c r="H50" s="49">
        <v>247562</v>
      </c>
      <c r="I50" s="49">
        <v>235404</v>
      </c>
      <c r="J50" s="49">
        <v>239714</v>
      </c>
      <c r="K50" s="49">
        <v>231258</v>
      </c>
      <c r="L50" s="49">
        <v>221103</v>
      </c>
      <c r="M50" s="50">
        <v>193785</v>
      </c>
      <c r="N50" s="51">
        <f t="shared" si="4"/>
        <v>1642281</v>
      </c>
      <c r="O50" s="51">
        <f t="shared" si="5"/>
        <v>2397925</v>
      </c>
    </row>
    <row r="51" spans="1:15">
      <c r="A51" s="1" t="s">
        <v>3</v>
      </c>
      <c r="B51" s="39" t="s">
        <v>65</v>
      </c>
      <c r="C51" s="48">
        <v>291247</v>
      </c>
      <c r="D51" s="49">
        <v>286353</v>
      </c>
      <c r="E51" s="71">
        <v>178044</v>
      </c>
      <c r="F51" s="83">
        <f t="shared" si="3"/>
        <v>755644</v>
      </c>
      <c r="G51" s="48">
        <v>273455</v>
      </c>
      <c r="H51" s="49">
        <v>247562</v>
      </c>
      <c r="I51" s="49">
        <v>235404</v>
      </c>
      <c r="J51" s="49">
        <v>239714</v>
      </c>
      <c r="K51" s="49">
        <v>231258</v>
      </c>
      <c r="L51" s="49">
        <v>221103</v>
      </c>
      <c r="M51" s="50">
        <v>193785</v>
      </c>
      <c r="N51" s="51">
        <f t="shared" si="4"/>
        <v>1642281</v>
      </c>
      <c r="O51" s="51">
        <f t="shared" si="5"/>
        <v>2397925</v>
      </c>
    </row>
    <row r="52" spans="1:15">
      <c r="A52" s="1" t="s">
        <v>3</v>
      </c>
      <c r="B52" s="39" t="s">
        <v>66</v>
      </c>
      <c r="C52" s="48">
        <v>0</v>
      </c>
      <c r="D52" s="49">
        <v>0</v>
      </c>
      <c r="E52" s="71">
        <v>0</v>
      </c>
      <c r="F52" s="83"/>
      <c r="G52" s="48">
        <v>3</v>
      </c>
      <c r="H52" s="49">
        <v>2</v>
      </c>
      <c r="I52" s="49">
        <v>0</v>
      </c>
      <c r="J52" s="49">
        <v>0</v>
      </c>
      <c r="K52" s="49">
        <v>1</v>
      </c>
      <c r="L52" s="49">
        <v>1</v>
      </c>
      <c r="M52" s="50">
        <v>0</v>
      </c>
      <c r="N52" s="51"/>
      <c r="O52" s="51"/>
    </row>
    <row r="53" spans="1:15">
      <c r="A53" s="1" t="s">
        <v>3</v>
      </c>
      <c r="B53" s="39" t="s">
        <v>67</v>
      </c>
      <c r="C53" s="52" t="s">
        <v>68</v>
      </c>
      <c r="D53" s="53" t="s">
        <v>68</v>
      </c>
      <c r="E53" s="72" t="s">
        <v>68</v>
      </c>
      <c r="F53" s="84"/>
      <c r="G53" s="52" t="s">
        <v>68</v>
      </c>
      <c r="H53" s="53" t="s">
        <v>68</v>
      </c>
      <c r="I53" s="53" t="s">
        <v>68</v>
      </c>
      <c r="J53" s="53" t="s">
        <v>68</v>
      </c>
      <c r="K53" s="53" t="s">
        <v>68</v>
      </c>
      <c r="L53" s="53" t="s">
        <v>68</v>
      </c>
      <c r="M53" s="54" t="s">
        <v>68</v>
      </c>
      <c r="N53" s="55"/>
      <c r="O53" s="55"/>
    </row>
    <row r="54" spans="1:15" ht="19.5" thickBot="1">
      <c r="A54" s="1" t="s">
        <v>3</v>
      </c>
      <c r="B54" s="56" t="s">
        <v>69</v>
      </c>
      <c r="C54" s="57">
        <v>9390</v>
      </c>
      <c r="D54" s="58">
        <v>8400</v>
      </c>
      <c r="E54" s="73">
        <v>4410</v>
      </c>
      <c r="F54" s="85">
        <f>SUM(C54:E54)</f>
        <v>22200</v>
      </c>
      <c r="G54" s="57">
        <v>3420</v>
      </c>
      <c r="H54" s="58">
        <v>4560</v>
      </c>
      <c r="I54" s="58">
        <v>7570</v>
      </c>
      <c r="J54" s="58">
        <v>7550</v>
      </c>
      <c r="K54" s="58">
        <v>5700</v>
      </c>
      <c r="L54" s="58">
        <v>4300</v>
      </c>
      <c r="M54" s="59">
        <v>4430</v>
      </c>
      <c r="N54" s="60">
        <f>SUM(G54:M54)</f>
        <v>37530</v>
      </c>
      <c r="O54" s="60">
        <f>F54+N54</f>
        <v>59730</v>
      </c>
    </row>
    <row r="56" spans="1:15">
      <c r="B56" s="2" t="s">
        <v>75</v>
      </c>
      <c r="C56" s="89">
        <f>C39*5.5/1000</f>
        <v>2090.4839999999999</v>
      </c>
      <c r="D56" s="89">
        <f t="shared" ref="D56:E56" si="6">D39*5.5/1000</f>
        <v>2062.3515000000002</v>
      </c>
      <c r="E56" s="89">
        <f t="shared" si="6"/>
        <v>1229.4974999999999</v>
      </c>
      <c r="F56" s="89">
        <f>SUM(C56:E56)</f>
        <v>5382.3330000000005</v>
      </c>
      <c r="G56" s="89">
        <f t="shared" ref="G56:M56" si="7">G39*5.5/1000</f>
        <v>2008.0830000000001</v>
      </c>
      <c r="H56" s="89">
        <f t="shared" si="7"/>
        <v>1841.2954999999999</v>
      </c>
      <c r="I56" s="89">
        <f t="shared" si="7"/>
        <v>1824.0419999999999</v>
      </c>
      <c r="J56" s="89">
        <f t="shared" si="7"/>
        <v>1832.6714999999999</v>
      </c>
      <c r="K56" s="89">
        <f t="shared" si="7"/>
        <v>1793.1320000000001</v>
      </c>
      <c r="L56" s="89">
        <f t="shared" si="7"/>
        <v>1542.0625</v>
      </c>
      <c r="M56" s="89">
        <f t="shared" si="7"/>
        <v>1314.7145</v>
      </c>
      <c r="N56" s="89">
        <f>SUM(G56:M56)</f>
        <v>12156.001</v>
      </c>
      <c r="O56" s="89">
        <f>F56+N56</f>
        <v>17538.334000000003</v>
      </c>
    </row>
    <row r="57" spans="1:15">
      <c r="B57" s="2" t="s">
        <v>76</v>
      </c>
      <c r="C57" s="89">
        <f>C43-C56</f>
        <v>190.51600000000008</v>
      </c>
      <c r="D57" s="89">
        <f t="shared" ref="D57:E57" si="8">D43-D56</f>
        <v>187.64849999999979</v>
      </c>
      <c r="E57" s="89">
        <f t="shared" si="8"/>
        <v>111.50250000000005</v>
      </c>
      <c r="F57" s="89">
        <f>SUM(C57:E57)</f>
        <v>489.66699999999992</v>
      </c>
      <c r="G57" s="89">
        <f t="shared" ref="G57:M57" si="9">G43-G56</f>
        <v>182.91699999999992</v>
      </c>
      <c r="H57" s="89">
        <f t="shared" si="9"/>
        <v>167.70450000000005</v>
      </c>
      <c r="I57" s="89">
        <f t="shared" si="9"/>
        <v>165.95800000000008</v>
      </c>
      <c r="J57" s="89">
        <f t="shared" si="9"/>
        <v>166.32850000000008</v>
      </c>
      <c r="K57" s="89">
        <f t="shared" si="9"/>
        <v>162.86799999999994</v>
      </c>
      <c r="L57" s="89">
        <f t="shared" si="9"/>
        <v>139.9375</v>
      </c>
      <c r="M57" s="89">
        <f t="shared" si="9"/>
        <v>119.28549999999996</v>
      </c>
      <c r="N57" s="89">
        <f>SUM(G57:M57)</f>
        <v>1104.999</v>
      </c>
      <c r="O57" s="89">
        <f>F57+N57</f>
        <v>1594.6659999999999</v>
      </c>
    </row>
    <row r="59" spans="1:15">
      <c r="B59" s="2" t="s">
        <v>77</v>
      </c>
      <c r="G59" s="92">
        <f>G39-G26</f>
        <v>336506</v>
      </c>
      <c r="H59" s="93">
        <f t="shared" ref="H59:L59" si="10">H39-H26</f>
        <v>308981</v>
      </c>
      <c r="I59" s="93">
        <f t="shared" si="10"/>
        <v>304444</v>
      </c>
      <c r="J59" s="93">
        <f t="shared" si="10"/>
        <v>305213</v>
      </c>
      <c r="K59" s="93">
        <f t="shared" si="10"/>
        <v>297224</v>
      </c>
      <c r="L59" s="93">
        <f t="shared" si="10"/>
        <v>266475</v>
      </c>
    </row>
  </sheetData>
  <phoneticPr fontId="3"/>
  <pageMargins left="0.7" right="0.7" top="0.75" bottom="0.75" header="0.3" footer="0.3"/>
  <pageSetup paperSize="12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5月度給与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cp:lastPrinted>2025-05-13T01:51:38Z</cp:lastPrinted>
  <dcterms:created xsi:type="dcterms:W3CDTF">2025-05-12T02:01:54Z</dcterms:created>
  <dcterms:modified xsi:type="dcterms:W3CDTF">2025-06-16T07:38:07Z</dcterms:modified>
</cp:coreProperties>
</file>