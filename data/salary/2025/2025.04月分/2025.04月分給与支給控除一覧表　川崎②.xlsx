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浅田恵美子\総務・経理\給与集計内訳\2025\2025.04月分\"/>
    </mc:Choice>
  </mc:AlternateContent>
  <xr:revisionPtr revIDLastSave="0" documentId="13_ncr:1_{FB70A5D4-20F4-42FF-B48B-AC7694C54B6F}" xr6:coauthVersionLast="47" xr6:coauthVersionMax="47" xr10:uidLastSave="{00000000-0000-0000-0000-000000000000}"/>
  <bookViews>
    <workbookView xWindow="-120" yWindow="-120" windowWidth="20730" windowHeight="11160" xr2:uid="{C2700732-D1C4-4DAC-8EC4-91B44F823AE2}"/>
  </bookViews>
  <sheets>
    <sheet name="2025年 5月度給与" sheetId="2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2" i="2" l="1"/>
  <c r="J50" i="2"/>
  <c r="J49" i="2"/>
  <c r="I50" i="2"/>
  <c r="I49" i="2"/>
  <c r="H50" i="2"/>
  <c r="G50" i="2"/>
  <c r="F50" i="2"/>
  <c r="H49" i="2"/>
  <c r="G49" i="2"/>
  <c r="F49" i="2"/>
  <c r="E49" i="2"/>
  <c r="E50" i="2" s="1"/>
  <c r="C50" i="2"/>
  <c r="C49" i="2"/>
  <c r="J47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5" i="2"/>
  <c r="J14" i="2"/>
  <c r="J13" i="2"/>
  <c r="J12" i="2"/>
  <c r="J11" i="2"/>
  <c r="J10" i="2"/>
  <c r="J9" i="2"/>
  <c r="I47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5" i="2"/>
  <c r="I14" i="2"/>
  <c r="I13" i="2"/>
  <c r="I12" i="2"/>
  <c r="I11" i="2"/>
  <c r="I10" i="2"/>
  <c r="I9" i="2"/>
  <c r="D47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5" i="2"/>
  <c r="D14" i="2"/>
  <c r="D13" i="2"/>
  <c r="D12" i="2"/>
  <c r="D11" i="2"/>
  <c r="D10" i="2"/>
  <c r="D9" i="2"/>
</calcChain>
</file>

<file path=xl/sharedStrings.xml><?xml version="1.0" encoding="utf-8"?>
<sst xmlns="http://schemas.openxmlformats.org/spreadsheetml/2006/main" count="108" uniqueCount="62">
  <si>
    <t>支給控除一覧表</t>
    <phoneticPr fontId="4"/>
  </si>
  <si>
    <t>若林運送株式会社</t>
    <phoneticPr fontId="4"/>
  </si>
  <si>
    <t>2025年 5月12日 作成</t>
    <phoneticPr fontId="4"/>
  </si>
  <si>
    <t/>
  </si>
  <si>
    <t>1049</t>
    <phoneticPr fontId="4"/>
  </si>
  <si>
    <t>1050</t>
    <phoneticPr fontId="4"/>
  </si>
  <si>
    <t>1078</t>
    <phoneticPr fontId="4"/>
  </si>
  <si>
    <t>1114</t>
    <phoneticPr fontId="4"/>
  </si>
  <si>
    <t>1205</t>
    <phoneticPr fontId="4"/>
  </si>
  <si>
    <t>項目名</t>
    <phoneticPr fontId="4"/>
  </si>
  <si>
    <t>菅原　幸志</t>
    <phoneticPr fontId="4"/>
  </si>
  <si>
    <t>伊藤　正典</t>
    <phoneticPr fontId="4"/>
  </si>
  <si>
    <t>伊藤　尚</t>
    <phoneticPr fontId="4"/>
  </si>
  <si>
    <t>吉田　亨</t>
    <phoneticPr fontId="4"/>
  </si>
  <si>
    <t>久保田健一</t>
    <phoneticPr fontId="4"/>
  </si>
  <si>
    <t>合計</t>
    <phoneticPr fontId="4"/>
  </si>
  <si>
    <t>平日出勤日数</t>
    <phoneticPr fontId="4"/>
  </si>
  <si>
    <t>法定休日</t>
    <phoneticPr fontId="4"/>
  </si>
  <si>
    <t>有休日数</t>
    <phoneticPr fontId="4"/>
  </si>
  <si>
    <t>欠勤日数</t>
    <phoneticPr fontId="4"/>
  </si>
  <si>
    <t>平日残業</t>
    <phoneticPr fontId="4"/>
  </si>
  <si>
    <t>法定休日時間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</si>
  <si>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</si>
  <si>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</si>
  <si>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</si>
  <si>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</si>
  <si>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</si>
  <si>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</si>
  <si>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</si>
  <si>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無事故報奨金</t>
    <phoneticPr fontId="4"/>
  </si>
  <si>
    <t>無事故加算</t>
    <phoneticPr fontId="4"/>
  </si>
  <si>
    <t>調整加算</t>
    <phoneticPr fontId="4"/>
  </si>
  <si>
    <t>欠勤控除</t>
    <phoneticPr fontId="4"/>
  </si>
  <si>
    <t>法定休日残業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</si>
  <si>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</si>
  <si>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</si>
  <si>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</si>
  <si>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</si>
  <si>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</si>
  <si>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</si>
  <si>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</si>
  <si>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</si>
  <si>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</si>
  <si>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</si>
  <si>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</si>
  <si>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</si>
  <si>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</si>
  <si>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</si>
  <si>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</si>
  <si>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</si>
  <si>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</si>
  <si>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</si>
  <si>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</si>
  <si>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</si>
  <si>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2025年 4月度給与</t>
    <phoneticPr fontId="4"/>
  </si>
  <si>
    <t>小計</t>
    <rPh sb="0" eb="2">
      <t>ショウケイ</t>
    </rPh>
    <phoneticPr fontId="3"/>
  </si>
  <si>
    <t>1名</t>
    <rPh sb="1" eb="2">
      <t>メイ</t>
    </rPh>
    <phoneticPr fontId="4"/>
  </si>
  <si>
    <t>4名</t>
    <rPh sb="1" eb="2">
      <t>メイ</t>
    </rPh>
    <phoneticPr fontId="4"/>
  </si>
  <si>
    <t>5名</t>
    <rPh sb="1" eb="2">
      <t>メイ</t>
    </rPh>
    <phoneticPr fontId="4"/>
  </si>
  <si>
    <t>雇用保険再計算</t>
    <rPh sb="0" eb="7">
      <t>コヨウホケンサイケイサン</t>
    </rPh>
    <phoneticPr fontId="3"/>
  </si>
  <si>
    <t>過剰徴収額</t>
    <rPh sb="0" eb="4">
      <t>カジョウチョウシュウ</t>
    </rPh>
    <rPh sb="4" eb="5">
      <t>ガク</t>
    </rPh>
    <phoneticPr fontId="3"/>
  </si>
  <si>
    <t>ﾁｬﾚﾝｼﾞ控除後総支給額</t>
    <rPh sb="6" eb="8">
      <t>コウジョ</t>
    </rPh>
    <rPh sb="8" eb="9">
      <t>ゴ</t>
    </rPh>
    <rPh sb="9" eb="10">
      <t>ソウ</t>
    </rPh>
    <rPh sb="10" eb="13">
      <t>シキュウガク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</si>
</sst>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]:mm"/>
    <numFmt numFmtId="177" formatCode="#,##0_);[Red]\(#,##0\)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93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2" xfId="1" applyNumberFormat="1" applyFont="1" applyBorder="1" applyAlignment="1">
      <alignment horizontal="center"/>
    </xf>
    <xf numFmtId="2" fontId="2" fillId="0" borderId="5" xfId="1" applyNumberFormat="1" applyFont="1" applyBorder="1"/>
    <xf numFmtId="2" fontId="2" fillId="0" borderId="6" xfId="1" applyNumberFormat="1" applyFont="1" applyBorder="1"/>
    <xf numFmtId="176" fontId="2" fillId="0" borderId="5" xfId="1" applyNumberFormat="1" applyFont="1" applyBorder="1"/>
    <xf numFmtId="176" fontId="2" fillId="0" borderId="6" xfId="1" applyNumberFormat="1" applyFont="1" applyBorder="1"/>
    <xf numFmtId="3" fontId="2" fillId="0" borderId="5" xfId="1" applyNumberFormat="1" applyFont="1" applyBorder="1"/>
    <xf numFmtId="3" fontId="2" fillId="0" borderId="6" xfId="1" applyNumberFormat="1" applyFont="1" applyBorder="1"/>
    <xf numFmtId="0" fontId="2" fillId="0" borderId="7" xfId="1" applyFont="1" applyBorder="1" applyAlignment="1">
      <alignment horizontal="center"/>
    </xf>
    <xf numFmtId="49" fontId="2" fillId="0" borderId="8" xfId="1" applyNumberFormat="1" applyFont="1" applyBorder="1" applyAlignment="1">
      <alignment horizontal="left"/>
    </xf>
    <xf numFmtId="2" fontId="2" fillId="0" borderId="10" xfId="1" applyNumberFormat="1" applyFont="1" applyBorder="1"/>
    <xf numFmtId="176" fontId="2" fillId="0" borderId="10" xfId="1" applyNumberFormat="1" applyFont="1" applyBorder="1"/>
    <xf numFmtId="3" fontId="2" fillId="0" borderId="10" xfId="1" applyNumberFormat="1" applyFont="1" applyBorder="1"/>
    <xf numFmtId="49" fontId="2" fillId="0" borderId="1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2" fontId="2" fillId="0" borderId="4" xfId="1" applyNumberFormat="1" applyFont="1" applyBorder="1"/>
    <xf numFmtId="176" fontId="2" fillId="0" borderId="4" xfId="1" applyNumberFormat="1" applyFont="1" applyBorder="1"/>
    <xf numFmtId="3" fontId="2" fillId="0" borderId="4" xfId="1" applyNumberFormat="1" applyFont="1" applyBorder="1"/>
    <xf numFmtId="49" fontId="2" fillId="0" borderId="11" xfId="1" applyNumberFormat="1" applyFont="1" applyBorder="1" applyAlignment="1">
      <alignment horizontal="left"/>
    </xf>
    <xf numFmtId="2" fontId="2" fillId="0" borderId="12" xfId="1" applyNumberFormat="1" applyFont="1" applyBorder="1"/>
    <xf numFmtId="2" fontId="2" fillId="0" borderId="13" xfId="1" applyNumberFormat="1" applyFont="1" applyBorder="1"/>
    <xf numFmtId="2" fontId="2" fillId="0" borderId="14" xfId="1" applyNumberFormat="1" applyFont="1" applyBorder="1"/>
    <xf numFmtId="2" fontId="2" fillId="0" borderId="15" xfId="1" applyNumberFormat="1" applyFont="1" applyBorder="1"/>
    <xf numFmtId="0" fontId="2" fillId="0" borderId="16" xfId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49" fontId="2" fillId="0" borderId="18" xfId="1" applyNumberFormat="1" applyFont="1" applyBorder="1" applyAlignment="1">
      <alignment horizontal="center"/>
    </xf>
    <xf numFmtId="49" fontId="2" fillId="0" borderId="19" xfId="1" applyNumberFormat="1" applyFont="1" applyBorder="1" applyAlignment="1">
      <alignment horizontal="center"/>
    </xf>
    <xf numFmtId="0" fontId="2" fillId="0" borderId="20" xfId="1" applyFont="1" applyBorder="1" applyAlignment="1">
      <alignment horizontal="center"/>
    </xf>
    <xf numFmtId="49" fontId="2" fillId="0" borderId="21" xfId="1" applyNumberFormat="1" applyFont="1" applyBorder="1" applyAlignment="1">
      <alignment horizontal="left"/>
    </xf>
    <xf numFmtId="176" fontId="2" fillId="0" borderId="22" xfId="1" applyNumberFormat="1" applyFont="1" applyBorder="1"/>
    <xf numFmtId="176" fontId="2" fillId="0" borderId="23" xfId="1" applyNumberFormat="1" applyFont="1" applyBorder="1"/>
    <xf numFmtId="176" fontId="2" fillId="0" borderId="24" xfId="1" applyNumberFormat="1" applyFont="1" applyBorder="1"/>
    <xf numFmtId="176" fontId="2" fillId="0" borderId="25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3" fontId="2" fillId="0" borderId="14" xfId="1" applyNumberFormat="1" applyFont="1" applyBorder="1"/>
    <xf numFmtId="3" fontId="2" fillId="0" borderId="15" xfId="1" applyNumberFormat="1" applyFont="1" applyBorder="1"/>
    <xf numFmtId="49" fontId="2" fillId="0" borderId="26" xfId="1" applyNumberFormat="1" applyFont="1" applyBorder="1" applyAlignment="1">
      <alignment horizontal="left"/>
    </xf>
    <xf numFmtId="2" fontId="2" fillId="0" borderId="27" xfId="1" applyNumberFormat="1" applyFont="1" applyBorder="1"/>
    <xf numFmtId="2" fontId="2" fillId="0" borderId="28" xfId="1" applyNumberFormat="1" applyFont="1" applyBorder="1"/>
    <xf numFmtId="2" fontId="2" fillId="0" borderId="29" xfId="1" applyNumberFormat="1" applyFont="1" applyBorder="1"/>
    <xf numFmtId="2" fontId="2" fillId="0" borderId="30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49" fontId="2" fillId="0" borderId="27" xfId="1" applyNumberFormat="1" applyFont="1" applyBorder="1"/>
    <xf numFmtId="49" fontId="2" fillId="0" borderId="28" xfId="1" applyNumberFormat="1" applyFont="1" applyBorder="1"/>
    <xf numFmtId="49" fontId="2" fillId="0" borderId="29" xfId="1" applyNumberFormat="1" applyFont="1" applyBorder="1"/>
    <xf numFmtId="49" fontId="2" fillId="0" borderId="30" xfId="1" applyNumberFormat="1" applyFont="1" applyBorder="1"/>
    <xf numFmtId="49" fontId="2" fillId="0" borderId="31" xfId="1" applyNumberFormat="1" applyFont="1" applyBorder="1" applyAlignment="1">
      <alignment horizontal="left"/>
    </xf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0" fontId="2" fillId="0" borderId="9" xfId="1" applyFont="1" applyBorder="1" applyAlignment="1">
      <alignment horizontal="center"/>
    </xf>
    <xf numFmtId="49" fontId="2" fillId="0" borderId="36" xfId="1" applyNumberFormat="1" applyFont="1" applyBorder="1" applyAlignment="1">
      <alignment horizontal="center"/>
    </xf>
    <xf numFmtId="49" fontId="2" fillId="0" borderId="37" xfId="1" applyNumberFormat="1" applyFont="1" applyBorder="1" applyAlignment="1">
      <alignment horizontal="center"/>
    </xf>
    <xf numFmtId="2" fontId="2" fillId="0" borderId="38" xfId="1" applyNumberFormat="1" applyFont="1" applyBorder="1"/>
    <xf numFmtId="2" fontId="2" fillId="0" borderId="39" xfId="1" applyNumberFormat="1" applyFont="1" applyBorder="1"/>
    <xf numFmtId="176" fontId="2" fillId="0" borderId="39" xfId="1" applyNumberFormat="1" applyFont="1" applyBorder="1"/>
    <xf numFmtId="176" fontId="2" fillId="0" borderId="40" xfId="1" applyNumberFormat="1" applyFont="1" applyBorder="1"/>
    <xf numFmtId="2" fontId="2" fillId="0" borderId="41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49" fontId="2" fillId="0" borderId="41" xfId="1" applyNumberFormat="1" applyFont="1" applyBorder="1"/>
    <xf numFmtId="3" fontId="2" fillId="0" borderId="42" xfId="1" applyNumberFormat="1" applyFont="1" applyBorder="1"/>
    <xf numFmtId="0" fontId="2" fillId="0" borderId="43" xfId="1" applyFont="1" applyBorder="1" applyAlignment="1">
      <alignment horizontal="center"/>
    </xf>
    <xf numFmtId="0" fontId="2" fillId="0" borderId="44" xfId="1" applyFont="1" applyBorder="1" applyAlignment="1">
      <alignment horizontal="center"/>
    </xf>
    <xf numFmtId="2" fontId="2" fillId="0" borderId="45" xfId="1" applyNumberFormat="1" applyFont="1" applyBorder="1"/>
    <xf numFmtId="2" fontId="2" fillId="0" borderId="46" xfId="1" applyNumberFormat="1" applyFont="1" applyBorder="1"/>
    <xf numFmtId="176" fontId="2" fillId="0" borderId="46" xfId="1" applyNumberFormat="1" applyFont="1" applyBorder="1"/>
    <xf numFmtId="176" fontId="2" fillId="0" borderId="47" xfId="1" applyNumberFormat="1" applyFont="1" applyBorder="1"/>
    <xf numFmtId="2" fontId="2" fillId="0" borderId="48" xfId="1" applyNumberFormat="1" applyFont="1" applyBorder="1"/>
    <xf numFmtId="3" fontId="2" fillId="0" borderId="45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8" xfId="1" applyNumberFormat="1" applyFont="1" applyBorder="1"/>
    <xf numFmtId="49" fontId="2" fillId="0" borderId="48" xfId="1" applyNumberFormat="1" applyFont="1" applyBorder="1"/>
    <xf numFmtId="3" fontId="2" fillId="0" borderId="49" xfId="1" applyNumberFormat="1" applyFont="1" applyBorder="1"/>
    <xf numFmtId="49" fontId="2" fillId="0" borderId="50" xfId="1" applyNumberFormat="1" applyFont="1" applyBorder="1"/>
    <xf numFmtId="177" fontId="2" fillId="0" borderId="0" xfId="1" applyNumberFormat="1" applyFont="1"/>
    <xf numFmtId="177" fontId="2" fillId="2" borderId="0" xfId="1" applyNumberFormat="1" applyFont="1" applyFill="1"/>
    <xf numFmtId="3" fontId="2" fillId="3" borderId="4" xfId="1" applyNumberFormat="1" applyFont="1" applyFill="1" applyBorder="1"/>
    <xf numFmtId="3" fontId="2" fillId="0" borderId="0" xfId="1" applyNumberFormat="1" applyFont="1"/>
  </cellXfs>
  <cellStyles count="2">
    <cellStyle name="標準" xfId="0" builtinId="0"/>
    <cellStyle name="標準 2" xfId="1" xr:uid="{ED881116-C264-45AB-B8B9-1A9B76EDBE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188CB-0796-4E57-B5F5-4A886B0FF42C}">
  <sheetPr>
    <pageSetUpPr fitToPage="1"/>
  </sheetPr>
  <dimension ref="A1:J52"/>
  <sheetViews>
    <sheetView showZeros="0"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E22" sqref="E22"/>
    </sheetView>
  </sheetViews>
  <sheetFormatPr defaultRowHeight="18.75"/>
  <cols>
    <col min="1" max="1" width="2.375" style="2" customWidth="1"/>
    <col min="2" max="2" width="13.25" style="2" bestFit="1" customWidth="1"/>
    <col min="3" max="3" width="9" style="2" bestFit="1" customWidth="1"/>
    <col min="4" max="4" width="9.625" style="2" bestFit="1" customWidth="1"/>
    <col min="5" max="6" width="11.125" style="2" bestFit="1" customWidth="1"/>
    <col min="7" max="7" width="9" style="2" bestFit="1" customWidth="1"/>
    <col min="8" max="8" width="11.125" style="2" bestFit="1" customWidth="1"/>
    <col min="9" max="10" width="9.625" style="2" bestFit="1" customWidth="1"/>
    <col min="11" max="258" width="9" style="2"/>
    <col min="259" max="259" width="2.375" style="2" customWidth="1"/>
    <col min="260" max="260" width="13.25" style="2" bestFit="1" customWidth="1"/>
    <col min="261" max="262" width="11.125" style="2" bestFit="1" customWidth="1"/>
    <col min="263" max="264" width="9" style="2" bestFit="1"/>
    <col min="265" max="265" width="11.125" style="2" bestFit="1" customWidth="1"/>
    <col min="266" max="266" width="9.625" style="2" bestFit="1" customWidth="1"/>
    <col min="267" max="514" width="9" style="2"/>
    <col min="515" max="515" width="2.375" style="2" customWidth="1"/>
    <col min="516" max="516" width="13.25" style="2" bestFit="1" customWidth="1"/>
    <col min="517" max="518" width="11.125" style="2" bestFit="1" customWidth="1"/>
    <col min="519" max="520" width="9" style="2" bestFit="1"/>
    <col min="521" max="521" width="11.125" style="2" bestFit="1" customWidth="1"/>
    <col min="522" max="522" width="9.625" style="2" bestFit="1" customWidth="1"/>
    <col min="523" max="770" width="9" style="2"/>
    <col min="771" max="771" width="2.375" style="2" customWidth="1"/>
    <col min="772" max="772" width="13.25" style="2" bestFit="1" customWidth="1"/>
    <col min="773" max="774" width="11.125" style="2" bestFit="1" customWidth="1"/>
    <col min="775" max="776" width="9" style="2" bestFit="1"/>
    <col min="777" max="777" width="11.125" style="2" bestFit="1" customWidth="1"/>
    <col min="778" max="778" width="9.625" style="2" bestFit="1" customWidth="1"/>
    <col min="779" max="1026" width="9" style="2"/>
    <col min="1027" max="1027" width="2.375" style="2" customWidth="1"/>
    <col min="1028" max="1028" width="13.25" style="2" bestFit="1" customWidth="1"/>
    <col min="1029" max="1030" width="11.125" style="2" bestFit="1" customWidth="1"/>
    <col min="1031" max="1032" width="9" style="2" bestFit="1"/>
    <col min="1033" max="1033" width="11.125" style="2" bestFit="1" customWidth="1"/>
    <col min="1034" max="1034" width="9.625" style="2" bestFit="1" customWidth="1"/>
    <col min="1035" max="1282" width="9" style="2"/>
    <col min="1283" max="1283" width="2.375" style="2" customWidth="1"/>
    <col min="1284" max="1284" width="13.25" style="2" bestFit="1" customWidth="1"/>
    <col min="1285" max="1286" width="11.125" style="2" bestFit="1" customWidth="1"/>
    <col min="1287" max="1288" width="9" style="2" bestFit="1"/>
    <col min="1289" max="1289" width="11.125" style="2" bestFit="1" customWidth="1"/>
    <col min="1290" max="1290" width="9.625" style="2" bestFit="1" customWidth="1"/>
    <col min="1291" max="1538" width="9" style="2"/>
    <col min="1539" max="1539" width="2.375" style="2" customWidth="1"/>
    <col min="1540" max="1540" width="13.25" style="2" bestFit="1" customWidth="1"/>
    <col min="1541" max="1542" width="11.125" style="2" bestFit="1" customWidth="1"/>
    <col min="1543" max="1544" width="9" style="2" bestFit="1"/>
    <col min="1545" max="1545" width="11.125" style="2" bestFit="1" customWidth="1"/>
    <col min="1546" max="1546" width="9.625" style="2" bestFit="1" customWidth="1"/>
    <col min="1547" max="1794" width="9" style="2"/>
    <col min="1795" max="1795" width="2.375" style="2" customWidth="1"/>
    <col min="1796" max="1796" width="13.25" style="2" bestFit="1" customWidth="1"/>
    <col min="1797" max="1798" width="11.125" style="2" bestFit="1" customWidth="1"/>
    <col min="1799" max="1800" width="9" style="2" bestFit="1"/>
    <col min="1801" max="1801" width="11.125" style="2" bestFit="1" customWidth="1"/>
    <col min="1802" max="1802" width="9.625" style="2" bestFit="1" customWidth="1"/>
    <col min="1803" max="2050" width="9" style="2"/>
    <col min="2051" max="2051" width="2.375" style="2" customWidth="1"/>
    <col min="2052" max="2052" width="13.25" style="2" bestFit="1" customWidth="1"/>
    <col min="2053" max="2054" width="11.125" style="2" bestFit="1" customWidth="1"/>
    <col min="2055" max="2056" width="9" style="2" bestFit="1"/>
    <col min="2057" max="2057" width="11.125" style="2" bestFit="1" customWidth="1"/>
    <col min="2058" max="2058" width="9.625" style="2" bestFit="1" customWidth="1"/>
    <col min="2059" max="2306" width="9" style="2"/>
    <col min="2307" max="2307" width="2.375" style="2" customWidth="1"/>
    <col min="2308" max="2308" width="13.25" style="2" bestFit="1" customWidth="1"/>
    <col min="2309" max="2310" width="11.125" style="2" bestFit="1" customWidth="1"/>
    <col min="2311" max="2312" width="9" style="2" bestFit="1"/>
    <col min="2313" max="2313" width="11.125" style="2" bestFit="1" customWidth="1"/>
    <col min="2314" max="2314" width="9.625" style="2" bestFit="1" customWidth="1"/>
    <col min="2315" max="2562" width="9" style="2"/>
    <col min="2563" max="2563" width="2.375" style="2" customWidth="1"/>
    <col min="2564" max="2564" width="13.25" style="2" bestFit="1" customWidth="1"/>
    <col min="2565" max="2566" width="11.125" style="2" bestFit="1" customWidth="1"/>
    <col min="2567" max="2568" width="9" style="2" bestFit="1"/>
    <col min="2569" max="2569" width="11.125" style="2" bestFit="1" customWidth="1"/>
    <col min="2570" max="2570" width="9.625" style="2" bestFit="1" customWidth="1"/>
    <col min="2571" max="2818" width="9" style="2"/>
    <col min="2819" max="2819" width="2.375" style="2" customWidth="1"/>
    <col min="2820" max="2820" width="13.25" style="2" bestFit="1" customWidth="1"/>
    <col min="2821" max="2822" width="11.125" style="2" bestFit="1" customWidth="1"/>
    <col min="2823" max="2824" width="9" style="2" bestFit="1"/>
    <col min="2825" max="2825" width="11.125" style="2" bestFit="1" customWidth="1"/>
    <col min="2826" max="2826" width="9.625" style="2" bestFit="1" customWidth="1"/>
    <col min="2827" max="3074" width="9" style="2"/>
    <col min="3075" max="3075" width="2.375" style="2" customWidth="1"/>
    <col min="3076" max="3076" width="13.25" style="2" bestFit="1" customWidth="1"/>
    <col min="3077" max="3078" width="11.125" style="2" bestFit="1" customWidth="1"/>
    <col min="3079" max="3080" width="9" style="2" bestFit="1"/>
    <col min="3081" max="3081" width="11.125" style="2" bestFit="1" customWidth="1"/>
    <col min="3082" max="3082" width="9.625" style="2" bestFit="1" customWidth="1"/>
    <col min="3083" max="3330" width="9" style="2"/>
    <col min="3331" max="3331" width="2.375" style="2" customWidth="1"/>
    <col min="3332" max="3332" width="13.25" style="2" bestFit="1" customWidth="1"/>
    <col min="3333" max="3334" width="11.125" style="2" bestFit="1" customWidth="1"/>
    <col min="3335" max="3336" width="9" style="2" bestFit="1"/>
    <col min="3337" max="3337" width="11.125" style="2" bestFit="1" customWidth="1"/>
    <col min="3338" max="3338" width="9.625" style="2" bestFit="1" customWidth="1"/>
    <col min="3339" max="3586" width="9" style="2"/>
    <col min="3587" max="3587" width="2.375" style="2" customWidth="1"/>
    <col min="3588" max="3588" width="13.25" style="2" bestFit="1" customWidth="1"/>
    <col min="3589" max="3590" width="11.125" style="2" bestFit="1" customWidth="1"/>
    <col min="3591" max="3592" width="9" style="2" bestFit="1"/>
    <col min="3593" max="3593" width="11.125" style="2" bestFit="1" customWidth="1"/>
    <col min="3594" max="3594" width="9.625" style="2" bestFit="1" customWidth="1"/>
    <col min="3595" max="3842" width="9" style="2"/>
    <col min="3843" max="3843" width="2.375" style="2" customWidth="1"/>
    <col min="3844" max="3844" width="13.25" style="2" bestFit="1" customWidth="1"/>
    <col min="3845" max="3846" width="11.125" style="2" bestFit="1" customWidth="1"/>
    <col min="3847" max="3848" width="9" style="2" bestFit="1"/>
    <col min="3849" max="3849" width="11.125" style="2" bestFit="1" customWidth="1"/>
    <col min="3850" max="3850" width="9.625" style="2" bestFit="1" customWidth="1"/>
    <col min="3851" max="4098" width="9" style="2"/>
    <col min="4099" max="4099" width="2.375" style="2" customWidth="1"/>
    <col min="4100" max="4100" width="13.25" style="2" bestFit="1" customWidth="1"/>
    <col min="4101" max="4102" width="11.125" style="2" bestFit="1" customWidth="1"/>
    <col min="4103" max="4104" width="9" style="2" bestFit="1"/>
    <col min="4105" max="4105" width="11.125" style="2" bestFit="1" customWidth="1"/>
    <col min="4106" max="4106" width="9.625" style="2" bestFit="1" customWidth="1"/>
    <col min="4107" max="4354" width="9" style="2"/>
    <col min="4355" max="4355" width="2.375" style="2" customWidth="1"/>
    <col min="4356" max="4356" width="13.25" style="2" bestFit="1" customWidth="1"/>
    <col min="4357" max="4358" width="11.125" style="2" bestFit="1" customWidth="1"/>
    <col min="4359" max="4360" width="9" style="2" bestFit="1"/>
    <col min="4361" max="4361" width="11.125" style="2" bestFit="1" customWidth="1"/>
    <col min="4362" max="4362" width="9.625" style="2" bestFit="1" customWidth="1"/>
    <col min="4363" max="4610" width="9" style="2"/>
    <col min="4611" max="4611" width="2.375" style="2" customWidth="1"/>
    <col min="4612" max="4612" width="13.25" style="2" bestFit="1" customWidth="1"/>
    <col min="4613" max="4614" width="11.125" style="2" bestFit="1" customWidth="1"/>
    <col min="4615" max="4616" width="9" style="2" bestFit="1"/>
    <col min="4617" max="4617" width="11.125" style="2" bestFit="1" customWidth="1"/>
    <col min="4618" max="4618" width="9.625" style="2" bestFit="1" customWidth="1"/>
    <col min="4619" max="4866" width="9" style="2"/>
    <col min="4867" max="4867" width="2.375" style="2" customWidth="1"/>
    <col min="4868" max="4868" width="13.25" style="2" bestFit="1" customWidth="1"/>
    <col min="4869" max="4870" width="11.125" style="2" bestFit="1" customWidth="1"/>
    <col min="4871" max="4872" width="9" style="2" bestFit="1"/>
    <col min="4873" max="4873" width="11.125" style="2" bestFit="1" customWidth="1"/>
    <col min="4874" max="4874" width="9.625" style="2" bestFit="1" customWidth="1"/>
    <col min="4875" max="5122" width="9" style="2"/>
    <col min="5123" max="5123" width="2.375" style="2" customWidth="1"/>
    <col min="5124" max="5124" width="13.25" style="2" bestFit="1" customWidth="1"/>
    <col min="5125" max="5126" width="11.125" style="2" bestFit="1" customWidth="1"/>
    <col min="5127" max="5128" width="9" style="2" bestFit="1"/>
    <col min="5129" max="5129" width="11.125" style="2" bestFit="1" customWidth="1"/>
    <col min="5130" max="5130" width="9.625" style="2" bestFit="1" customWidth="1"/>
    <col min="5131" max="5378" width="9" style="2"/>
    <col min="5379" max="5379" width="2.375" style="2" customWidth="1"/>
    <col min="5380" max="5380" width="13.25" style="2" bestFit="1" customWidth="1"/>
    <col min="5381" max="5382" width="11.125" style="2" bestFit="1" customWidth="1"/>
    <col min="5383" max="5384" width="9" style="2" bestFit="1"/>
    <col min="5385" max="5385" width="11.125" style="2" bestFit="1" customWidth="1"/>
    <col min="5386" max="5386" width="9.625" style="2" bestFit="1" customWidth="1"/>
    <col min="5387" max="5634" width="9" style="2"/>
    <col min="5635" max="5635" width="2.375" style="2" customWidth="1"/>
    <col min="5636" max="5636" width="13.25" style="2" bestFit="1" customWidth="1"/>
    <col min="5637" max="5638" width="11.125" style="2" bestFit="1" customWidth="1"/>
    <col min="5639" max="5640" width="9" style="2" bestFit="1"/>
    <col min="5641" max="5641" width="11.125" style="2" bestFit="1" customWidth="1"/>
    <col min="5642" max="5642" width="9.625" style="2" bestFit="1" customWidth="1"/>
    <col min="5643" max="5890" width="9" style="2"/>
    <col min="5891" max="5891" width="2.375" style="2" customWidth="1"/>
    <col min="5892" max="5892" width="13.25" style="2" bestFit="1" customWidth="1"/>
    <col min="5893" max="5894" width="11.125" style="2" bestFit="1" customWidth="1"/>
    <col min="5895" max="5896" width="9" style="2" bestFit="1"/>
    <col min="5897" max="5897" width="11.125" style="2" bestFit="1" customWidth="1"/>
    <col min="5898" max="5898" width="9.625" style="2" bestFit="1" customWidth="1"/>
    <col min="5899" max="6146" width="9" style="2"/>
    <col min="6147" max="6147" width="2.375" style="2" customWidth="1"/>
    <col min="6148" max="6148" width="13.25" style="2" bestFit="1" customWidth="1"/>
    <col min="6149" max="6150" width="11.125" style="2" bestFit="1" customWidth="1"/>
    <col min="6151" max="6152" width="9" style="2" bestFit="1"/>
    <col min="6153" max="6153" width="11.125" style="2" bestFit="1" customWidth="1"/>
    <col min="6154" max="6154" width="9.625" style="2" bestFit="1" customWidth="1"/>
    <col min="6155" max="6402" width="9" style="2"/>
    <col min="6403" max="6403" width="2.375" style="2" customWidth="1"/>
    <col min="6404" max="6404" width="13.25" style="2" bestFit="1" customWidth="1"/>
    <col min="6405" max="6406" width="11.125" style="2" bestFit="1" customWidth="1"/>
    <col min="6407" max="6408" width="9" style="2" bestFit="1"/>
    <col min="6409" max="6409" width="11.125" style="2" bestFit="1" customWidth="1"/>
    <col min="6410" max="6410" width="9.625" style="2" bestFit="1" customWidth="1"/>
    <col min="6411" max="6658" width="9" style="2"/>
    <col min="6659" max="6659" width="2.375" style="2" customWidth="1"/>
    <col min="6660" max="6660" width="13.25" style="2" bestFit="1" customWidth="1"/>
    <col min="6661" max="6662" width="11.125" style="2" bestFit="1" customWidth="1"/>
    <col min="6663" max="6664" width="9" style="2" bestFit="1"/>
    <col min="6665" max="6665" width="11.125" style="2" bestFit="1" customWidth="1"/>
    <col min="6666" max="6666" width="9.625" style="2" bestFit="1" customWidth="1"/>
    <col min="6667" max="6914" width="9" style="2"/>
    <col min="6915" max="6915" width="2.375" style="2" customWidth="1"/>
    <col min="6916" max="6916" width="13.25" style="2" bestFit="1" customWidth="1"/>
    <col min="6917" max="6918" width="11.125" style="2" bestFit="1" customWidth="1"/>
    <col min="6919" max="6920" width="9" style="2" bestFit="1"/>
    <col min="6921" max="6921" width="11.125" style="2" bestFit="1" customWidth="1"/>
    <col min="6922" max="6922" width="9.625" style="2" bestFit="1" customWidth="1"/>
    <col min="6923" max="7170" width="9" style="2"/>
    <col min="7171" max="7171" width="2.375" style="2" customWidth="1"/>
    <col min="7172" max="7172" width="13.25" style="2" bestFit="1" customWidth="1"/>
    <col min="7173" max="7174" width="11.125" style="2" bestFit="1" customWidth="1"/>
    <col min="7175" max="7176" width="9" style="2" bestFit="1"/>
    <col min="7177" max="7177" width="11.125" style="2" bestFit="1" customWidth="1"/>
    <col min="7178" max="7178" width="9.625" style="2" bestFit="1" customWidth="1"/>
    <col min="7179" max="7426" width="9" style="2"/>
    <col min="7427" max="7427" width="2.375" style="2" customWidth="1"/>
    <col min="7428" max="7428" width="13.25" style="2" bestFit="1" customWidth="1"/>
    <col min="7429" max="7430" width="11.125" style="2" bestFit="1" customWidth="1"/>
    <col min="7431" max="7432" width="9" style="2" bestFit="1"/>
    <col min="7433" max="7433" width="11.125" style="2" bestFit="1" customWidth="1"/>
    <col min="7434" max="7434" width="9.625" style="2" bestFit="1" customWidth="1"/>
    <col min="7435" max="7682" width="9" style="2"/>
    <col min="7683" max="7683" width="2.375" style="2" customWidth="1"/>
    <col min="7684" max="7684" width="13.25" style="2" bestFit="1" customWidth="1"/>
    <col min="7685" max="7686" width="11.125" style="2" bestFit="1" customWidth="1"/>
    <col min="7687" max="7688" width="9" style="2" bestFit="1"/>
    <col min="7689" max="7689" width="11.125" style="2" bestFit="1" customWidth="1"/>
    <col min="7690" max="7690" width="9.625" style="2" bestFit="1" customWidth="1"/>
    <col min="7691" max="7938" width="9" style="2"/>
    <col min="7939" max="7939" width="2.375" style="2" customWidth="1"/>
    <col min="7940" max="7940" width="13.25" style="2" bestFit="1" customWidth="1"/>
    <col min="7941" max="7942" width="11.125" style="2" bestFit="1" customWidth="1"/>
    <col min="7943" max="7944" width="9" style="2" bestFit="1"/>
    <col min="7945" max="7945" width="11.125" style="2" bestFit="1" customWidth="1"/>
    <col min="7946" max="7946" width="9.625" style="2" bestFit="1" customWidth="1"/>
    <col min="7947" max="8194" width="9" style="2"/>
    <col min="8195" max="8195" width="2.375" style="2" customWidth="1"/>
    <col min="8196" max="8196" width="13.25" style="2" bestFit="1" customWidth="1"/>
    <col min="8197" max="8198" width="11.125" style="2" bestFit="1" customWidth="1"/>
    <col min="8199" max="8200" width="9" style="2" bestFit="1"/>
    <col min="8201" max="8201" width="11.125" style="2" bestFit="1" customWidth="1"/>
    <col min="8202" max="8202" width="9.625" style="2" bestFit="1" customWidth="1"/>
    <col min="8203" max="8450" width="9" style="2"/>
    <col min="8451" max="8451" width="2.375" style="2" customWidth="1"/>
    <col min="8452" max="8452" width="13.25" style="2" bestFit="1" customWidth="1"/>
    <col min="8453" max="8454" width="11.125" style="2" bestFit="1" customWidth="1"/>
    <col min="8455" max="8456" width="9" style="2" bestFit="1"/>
    <col min="8457" max="8457" width="11.125" style="2" bestFit="1" customWidth="1"/>
    <col min="8458" max="8458" width="9.625" style="2" bestFit="1" customWidth="1"/>
    <col min="8459" max="8706" width="9" style="2"/>
    <col min="8707" max="8707" width="2.375" style="2" customWidth="1"/>
    <col min="8708" max="8708" width="13.25" style="2" bestFit="1" customWidth="1"/>
    <col min="8709" max="8710" width="11.125" style="2" bestFit="1" customWidth="1"/>
    <col min="8711" max="8712" width="9" style="2" bestFit="1"/>
    <col min="8713" max="8713" width="11.125" style="2" bestFit="1" customWidth="1"/>
    <col min="8714" max="8714" width="9.625" style="2" bestFit="1" customWidth="1"/>
    <col min="8715" max="8962" width="9" style="2"/>
    <col min="8963" max="8963" width="2.375" style="2" customWidth="1"/>
    <col min="8964" max="8964" width="13.25" style="2" bestFit="1" customWidth="1"/>
    <col min="8965" max="8966" width="11.125" style="2" bestFit="1" customWidth="1"/>
    <col min="8967" max="8968" width="9" style="2" bestFit="1"/>
    <col min="8969" max="8969" width="11.125" style="2" bestFit="1" customWidth="1"/>
    <col min="8970" max="8970" width="9.625" style="2" bestFit="1" customWidth="1"/>
    <col min="8971" max="9218" width="9" style="2"/>
    <col min="9219" max="9219" width="2.375" style="2" customWidth="1"/>
    <col min="9220" max="9220" width="13.25" style="2" bestFit="1" customWidth="1"/>
    <col min="9221" max="9222" width="11.125" style="2" bestFit="1" customWidth="1"/>
    <col min="9223" max="9224" width="9" style="2" bestFit="1"/>
    <col min="9225" max="9225" width="11.125" style="2" bestFit="1" customWidth="1"/>
    <col min="9226" max="9226" width="9.625" style="2" bestFit="1" customWidth="1"/>
    <col min="9227" max="9474" width="9" style="2"/>
    <col min="9475" max="9475" width="2.375" style="2" customWidth="1"/>
    <col min="9476" max="9476" width="13.25" style="2" bestFit="1" customWidth="1"/>
    <col min="9477" max="9478" width="11.125" style="2" bestFit="1" customWidth="1"/>
    <col min="9479" max="9480" width="9" style="2" bestFit="1"/>
    <col min="9481" max="9481" width="11.125" style="2" bestFit="1" customWidth="1"/>
    <col min="9482" max="9482" width="9.625" style="2" bestFit="1" customWidth="1"/>
    <col min="9483" max="9730" width="9" style="2"/>
    <col min="9731" max="9731" width="2.375" style="2" customWidth="1"/>
    <col min="9732" max="9732" width="13.25" style="2" bestFit="1" customWidth="1"/>
    <col min="9733" max="9734" width="11.125" style="2" bestFit="1" customWidth="1"/>
    <col min="9735" max="9736" width="9" style="2" bestFit="1"/>
    <col min="9737" max="9737" width="11.125" style="2" bestFit="1" customWidth="1"/>
    <col min="9738" max="9738" width="9.625" style="2" bestFit="1" customWidth="1"/>
    <col min="9739" max="9986" width="9" style="2"/>
    <col min="9987" max="9987" width="2.375" style="2" customWidth="1"/>
    <col min="9988" max="9988" width="13.25" style="2" bestFit="1" customWidth="1"/>
    <col min="9989" max="9990" width="11.125" style="2" bestFit="1" customWidth="1"/>
    <col min="9991" max="9992" width="9" style="2" bestFit="1"/>
    <col min="9993" max="9993" width="11.125" style="2" bestFit="1" customWidth="1"/>
    <col min="9994" max="9994" width="9.625" style="2" bestFit="1" customWidth="1"/>
    <col min="9995" max="10242" width="9" style="2"/>
    <col min="10243" max="10243" width="2.375" style="2" customWidth="1"/>
    <col min="10244" max="10244" width="13.25" style="2" bestFit="1" customWidth="1"/>
    <col min="10245" max="10246" width="11.125" style="2" bestFit="1" customWidth="1"/>
    <col min="10247" max="10248" width="9" style="2" bestFit="1"/>
    <col min="10249" max="10249" width="11.125" style="2" bestFit="1" customWidth="1"/>
    <col min="10250" max="10250" width="9.625" style="2" bestFit="1" customWidth="1"/>
    <col min="10251" max="10498" width="9" style="2"/>
    <col min="10499" max="10499" width="2.375" style="2" customWidth="1"/>
    <col min="10500" max="10500" width="13.25" style="2" bestFit="1" customWidth="1"/>
    <col min="10501" max="10502" width="11.125" style="2" bestFit="1" customWidth="1"/>
    <col min="10503" max="10504" width="9" style="2" bestFit="1"/>
    <col min="10505" max="10505" width="11.125" style="2" bestFit="1" customWidth="1"/>
    <col min="10506" max="10506" width="9.625" style="2" bestFit="1" customWidth="1"/>
    <col min="10507" max="10754" width="9" style="2"/>
    <col min="10755" max="10755" width="2.375" style="2" customWidth="1"/>
    <col min="10756" max="10756" width="13.25" style="2" bestFit="1" customWidth="1"/>
    <col min="10757" max="10758" width="11.125" style="2" bestFit="1" customWidth="1"/>
    <col min="10759" max="10760" width="9" style="2" bestFit="1"/>
    <col min="10761" max="10761" width="11.125" style="2" bestFit="1" customWidth="1"/>
    <col min="10762" max="10762" width="9.625" style="2" bestFit="1" customWidth="1"/>
    <col min="10763" max="11010" width="9" style="2"/>
    <col min="11011" max="11011" width="2.375" style="2" customWidth="1"/>
    <col min="11012" max="11012" width="13.25" style="2" bestFit="1" customWidth="1"/>
    <col min="11013" max="11014" width="11.125" style="2" bestFit="1" customWidth="1"/>
    <col min="11015" max="11016" width="9" style="2" bestFit="1"/>
    <col min="11017" max="11017" width="11.125" style="2" bestFit="1" customWidth="1"/>
    <col min="11018" max="11018" width="9.625" style="2" bestFit="1" customWidth="1"/>
    <col min="11019" max="11266" width="9" style="2"/>
    <col min="11267" max="11267" width="2.375" style="2" customWidth="1"/>
    <col min="11268" max="11268" width="13.25" style="2" bestFit="1" customWidth="1"/>
    <col min="11269" max="11270" width="11.125" style="2" bestFit="1" customWidth="1"/>
    <col min="11271" max="11272" width="9" style="2" bestFit="1"/>
    <col min="11273" max="11273" width="11.125" style="2" bestFit="1" customWidth="1"/>
    <col min="11274" max="11274" width="9.625" style="2" bestFit="1" customWidth="1"/>
    <col min="11275" max="11522" width="9" style="2"/>
    <col min="11523" max="11523" width="2.375" style="2" customWidth="1"/>
    <col min="11524" max="11524" width="13.25" style="2" bestFit="1" customWidth="1"/>
    <col min="11525" max="11526" width="11.125" style="2" bestFit="1" customWidth="1"/>
    <col min="11527" max="11528" width="9" style="2" bestFit="1"/>
    <col min="11529" max="11529" width="11.125" style="2" bestFit="1" customWidth="1"/>
    <col min="11530" max="11530" width="9.625" style="2" bestFit="1" customWidth="1"/>
    <col min="11531" max="11778" width="9" style="2"/>
    <col min="11779" max="11779" width="2.375" style="2" customWidth="1"/>
    <col min="11780" max="11780" width="13.25" style="2" bestFit="1" customWidth="1"/>
    <col min="11781" max="11782" width="11.125" style="2" bestFit="1" customWidth="1"/>
    <col min="11783" max="11784" width="9" style="2" bestFit="1"/>
    <col min="11785" max="11785" width="11.125" style="2" bestFit="1" customWidth="1"/>
    <col min="11786" max="11786" width="9.625" style="2" bestFit="1" customWidth="1"/>
    <col min="11787" max="12034" width="9" style="2"/>
    <col min="12035" max="12035" width="2.375" style="2" customWidth="1"/>
    <col min="12036" max="12036" width="13.25" style="2" bestFit="1" customWidth="1"/>
    <col min="12037" max="12038" width="11.125" style="2" bestFit="1" customWidth="1"/>
    <col min="12039" max="12040" width="9" style="2" bestFit="1"/>
    <col min="12041" max="12041" width="11.125" style="2" bestFit="1" customWidth="1"/>
    <col min="12042" max="12042" width="9.625" style="2" bestFit="1" customWidth="1"/>
    <col min="12043" max="12290" width="9" style="2"/>
    <col min="12291" max="12291" width="2.375" style="2" customWidth="1"/>
    <col min="12292" max="12292" width="13.25" style="2" bestFit="1" customWidth="1"/>
    <col min="12293" max="12294" width="11.125" style="2" bestFit="1" customWidth="1"/>
    <col min="12295" max="12296" width="9" style="2" bestFit="1"/>
    <col min="12297" max="12297" width="11.125" style="2" bestFit="1" customWidth="1"/>
    <col min="12298" max="12298" width="9.625" style="2" bestFit="1" customWidth="1"/>
    <col min="12299" max="12546" width="9" style="2"/>
    <col min="12547" max="12547" width="2.375" style="2" customWidth="1"/>
    <col min="12548" max="12548" width="13.25" style="2" bestFit="1" customWidth="1"/>
    <col min="12549" max="12550" width="11.125" style="2" bestFit="1" customWidth="1"/>
    <col min="12551" max="12552" width="9" style="2" bestFit="1"/>
    <col min="12553" max="12553" width="11.125" style="2" bestFit="1" customWidth="1"/>
    <col min="12554" max="12554" width="9.625" style="2" bestFit="1" customWidth="1"/>
    <col min="12555" max="12802" width="9" style="2"/>
    <col min="12803" max="12803" width="2.375" style="2" customWidth="1"/>
    <col min="12804" max="12804" width="13.25" style="2" bestFit="1" customWidth="1"/>
    <col min="12805" max="12806" width="11.125" style="2" bestFit="1" customWidth="1"/>
    <col min="12807" max="12808" width="9" style="2" bestFit="1"/>
    <col min="12809" max="12809" width="11.125" style="2" bestFit="1" customWidth="1"/>
    <col min="12810" max="12810" width="9.625" style="2" bestFit="1" customWidth="1"/>
    <col min="12811" max="13058" width="9" style="2"/>
    <col min="13059" max="13059" width="2.375" style="2" customWidth="1"/>
    <col min="13060" max="13060" width="13.25" style="2" bestFit="1" customWidth="1"/>
    <col min="13061" max="13062" width="11.125" style="2" bestFit="1" customWidth="1"/>
    <col min="13063" max="13064" width="9" style="2" bestFit="1"/>
    <col min="13065" max="13065" width="11.125" style="2" bestFit="1" customWidth="1"/>
    <col min="13066" max="13066" width="9.625" style="2" bestFit="1" customWidth="1"/>
    <col min="13067" max="13314" width="9" style="2"/>
    <col min="13315" max="13315" width="2.375" style="2" customWidth="1"/>
    <col min="13316" max="13316" width="13.25" style="2" bestFit="1" customWidth="1"/>
    <col min="13317" max="13318" width="11.125" style="2" bestFit="1" customWidth="1"/>
    <col min="13319" max="13320" width="9" style="2" bestFit="1"/>
    <col min="13321" max="13321" width="11.125" style="2" bestFit="1" customWidth="1"/>
    <col min="13322" max="13322" width="9.625" style="2" bestFit="1" customWidth="1"/>
    <col min="13323" max="13570" width="9" style="2"/>
    <col min="13571" max="13571" width="2.375" style="2" customWidth="1"/>
    <col min="13572" max="13572" width="13.25" style="2" bestFit="1" customWidth="1"/>
    <col min="13573" max="13574" width="11.125" style="2" bestFit="1" customWidth="1"/>
    <col min="13575" max="13576" width="9" style="2" bestFit="1"/>
    <col min="13577" max="13577" width="11.125" style="2" bestFit="1" customWidth="1"/>
    <col min="13578" max="13578" width="9.625" style="2" bestFit="1" customWidth="1"/>
    <col min="13579" max="13826" width="9" style="2"/>
    <col min="13827" max="13827" width="2.375" style="2" customWidth="1"/>
    <col min="13828" max="13828" width="13.25" style="2" bestFit="1" customWidth="1"/>
    <col min="13829" max="13830" width="11.125" style="2" bestFit="1" customWidth="1"/>
    <col min="13831" max="13832" width="9" style="2" bestFit="1"/>
    <col min="13833" max="13833" width="11.125" style="2" bestFit="1" customWidth="1"/>
    <col min="13834" max="13834" width="9.625" style="2" bestFit="1" customWidth="1"/>
    <col min="13835" max="14082" width="9" style="2"/>
    <col min="14083" max="14083" width="2.375" style="2" customWidth="1"/>
    <col min="14084" max="14084" width="13.25" style="2" bestFit="1" customWidth="1"/>
    <col min="14085" max="14086" width="11.125" style="2" bestFit="1" customWidth="1"/>
    <col min="14087" max="14088" width="9" style="2" bestFit="1"/>
    <col min="14089" max="14089" width="11.125" style="2" bestFit="1" customWidth="1"/>
    <col min="14090" max="14090" width="9.625" style="2" bestFit="1" customWidth="1"/>
    <col min="14091" max="14338" width="9" style="2"/>
    <col min="14339" max="14339" width="2.375" style="2" customWidth="1"/>
    <col min="14340" max="14340" width="13.25" style="2" bestFit="1" customWidth="1"/>
    <col min="14341" max="14342" width="11.125" style="2" bestFit="1" customWidth="1"/>
    <col min="14343" max="14344" width="9" style="2" bestFit="1"/>
    <col min="14345" max="14345" width="11.125" style="2" bestFit="1" customWidth="1"/>
    <col min="14346" max="14346" width="9.625" style="2" bestFit="1" customWidth="1"/>
    <col min="14347" max="14594" width="9" style="2"/>
    <col min="14595" max="14595" width="2.375" style="2" customWidth="1"/>
    <col min="14596" max="14596" width="13.25" style="2" bestFit="1" customWidth="1"/>
    <col min="14597" max="14598" width="11.125" style="2" bestFit="1" customWidth="1"/>
    <col min="14599" max="14600" width="9" style="2" bestFit="1"/>
    <col min="14601" max="14601" width="11.125" style="2" bestFit="1" customWidth="1"/>
    <col min="14602" max="14602" width="9.625" style="2" bestFit="1" customWidth="1"/>
    <col min="14603" max="14850" width="9" style="2"/>
    <col min="14851" max="14851" width="2.375" style="2" customWidth="1"/>
    <col min="14852" max="14852" width="13.25" style="2" bestFit="1" customWidth="1"/>
    <col min="14853" max="14854" width="11.125" style="2" bestFit="1" customWidth="1"/>
    <col min="14855" max="14856" width="9" style="2" bestFit="1"/>
    <col min="14857" max="14857" width="11.125" style="2" bestFit="1" customWidth="1"/>
    <col min="14858" max="14858" width="9.625" style="2" bestFit="1" customWidth="1"/>
    <col min="14859" max="15106" width="9" style="2"/>
    <col min="15107" max="15107" width="2.375" style="2" customWidth="1"/>
    <col min="15108" max="15108" width="13.25" style="2" bestFit="1" customWidth="1"/>
    <col min="15109" max="15110" width="11.125" style="2" bestFit="1" customWidth="1"/>
    <col min="15111" max="15112" width="9" style="2" bestFit="1"/>
    <col min="15113" max="15113" width="11.125" style="2" bestFit="1" customWidth="1"/>
    <col min="15114" max="15114" width="9.625" style="2" bestFit="1" customWidth="1"/>
    <col min="15115" max="15362" width="9" style="2"/>
    <col min="15363" max="15363" width="2.375" style="2" customWidth="1"/>
    <col min="15364" max="15364" width="13.25" style="2" bestFit="1" customWidth="1"/>
    <col min="15365" max="15366" width="11.125" style="2" bestFit="1" customWidth="1"/>
    <col min="15367" max="15368" width="9" style="2" bestFit="1"/>
    <col min="15369" max="15369" width="11.125" style="2" bestFit="1" customWidth="1"/>
    <col min="15370" max="15370" width="9.625" style="2" bestFit="1" customWidth="1"/>
    <col min="15371" max="15618" width="9" style="2"/>
    <col min="15619" max="15619" width="2.375" style="2" customWidth="1"/>
    <col min="15620" max="15620" width="13.25" style="2" bestFit="1" customWidth="1"/>
    <col min="15621" max="15622" width="11.125" style="2" bestFit="1" customWidth="1"/>
    <col min="15623" max="15624" width="9" style="2" bestFit="1"/>
    <col min="15625" max="15625" width="11.125" style="2" bestFit="1" customWidth="1"/>
    <col min="15626" max="15626" width="9.625" style="2" bestFit="1" customWidth="1"/>
    <col min="15627" max="15874" width="9" style="2"/>
    <col min="15875" max="15875" width="2.375" style="2" customWidth="1"/>
    <col min="15876" max="15876" width="13.25" style="2" bestFit="1" customWidth="1"/>
    <col min="15877" max="15878" width="11.125" style="2" bestFit="1" customWidth="1"/>
    <col min="15879" max="15880" width="9" style="2" bestFit="1"/>
    <col min="15881" max="15881" width="11.125" style="2" bestFit="1" customWidth="1"/>
    <col min="15882" max="15882" width="9.625" style="2" bestFit="1" customWidth="1"/>
    <col min="15883" max="16130" width="9" style="2"/>
    <col min="16131" max="16131" width="2.375" style="2" customWidth="1"/>
    <col min="16132" max="16132" width="13.25" style="2" bestFit="1" customWidth="1"/>
    <col min="16133" max="16134" width="11.125" style="2" bestFit="1" customWidth="1"/>
    <col min="16135" max="16136" width="9" style="2" bestFit="1"/>
    <col min="16137" max="16137" width="11.125" style="2" bestFit="1" customWidth="1"/>
    <col min="16138" max="16138" width="9.625" style="2" bestFit="1" customWidth="1"/>
    <col min="16139" max="16384" width="9" style="2"/>
  </cols>
  <sheetData>
    <row r="1" spans="1:10">
      <c r="A1" s="1" t="s">
        <v>0</v>
      </c>
    </row>
    <row r="2" spans="1:10" hidden="1">
      <c r="A2" s="1"/>
    </row>
    <row r="3" spans="1:10" hidden="1">
      <c r="A3" s="1" t="s">
        <v>1</v>
      </c>
    </row>
    <row r="4" spans="1:10" hidden="1">
      <c r="A4" s="1" t="s">
        <v>2</v>
      </c>
    </row>
    <row r="5" spans="1:10" hidden="1">
      <c r="A5" s="1" t="s">
        <v>3</v>
      </c>
    </row>
    <row r="6" spans="1:10" ht="19.5" thickBot="1">
      <c r="A6" s="1" t="s">
        <v>54</v>
      </c>
    </row>
    <row r="7" spans="1:10">
      <c r="B7" s="10"/>
      <c r="C7" s="62" t="s">
        <v>6</v>
      </c>
      <c r="D7" s="75" t="s">
        <v>55</v>
      </c>
      <c r="E7" s="15" t="s">
        <v>4</v>
      </c>
      <c r="F7" s="3" t="s">
        <v>5</v>
      </c>
      <c r="G7" s="3" t="s">
        <v>7</v>
      </c>
      <c r="H7" s="16" t="s">
        <v>8</v>
      </c>
      <c r="I7" s="61" t="s">
        <v>55</v>
      </c>
      <c r="J7" s="61" t="s">
        <v>15</v>
      </c>
    </row>
    <row r="8" spans="1:10">
      <c r="B8" s="25" t="s">
        <v>9</v>
      </c>
      <c r="C8" s="63" t="s">
        <v>12</v>
      </c>
      <c r="D8" s="76" t="s">
        <v>56</v>
      </c>
      <c r="E8" s="26" t="s">
        <v>10</v>
      </c>
      <c r="F8" s="27" t="s">
        <v>11</v>
      </c>
      <c r="G8" s="27" t="s">
        <v>13</v>
      </c>
      <c r="H8" s="28" t="s">
        <v>14</v>
      </c>
      <c r="I8" s="29" t="s">
        <v>57</v>
      </c>
      <c r="J8" s="29" t="s">
        <v>58</v>
      </c>
    </row>
    <row r="9" spans="1:10">
      <c r="A9" s="88" t="s">
        <v>3</v>
      </c>
      <c r="B9" s="20" t="s">
        <v>16</v>
      </c>
      <c r="C9" s="64">
        <v>20</v>
      </c>
      <c r="D9" s="77">
        <f>C9</f>
        <v>20</v>
      </c>
      <c r="E9" s="21">
        <v>22</v>
      </c>
      <c r="F9" s="22">
        <v>22</v>
      </c>
      <c r="G9" s="22">
        <v>22</v>
      </c>
      <c r="H9" s="23">
        <v>11</v>
      </c>
      <c r="I9" s="24">
        <f>SUM(E9:H9)</f>
        <v>77</v>
      </c>
      <c r="J9" s="24">
        <f>D9+I9</f>
        <v>97</v>
      </c>
    </row>
    <row r="10" spans="1:10">
      <c r="A10" s="1" t="s">
        <v>3</v>
      </c>
      <c r="B10" s="11" t="s">
        <v>17</v>
      </c>
      <c r="C10" s="65">
        <v>0</v>
      </c>
      <c r="D10" s="78">
        <f t="shared" ref="D10:D15" si="0">C10</f>
        <v>0</v>
      </c>
      <c r="E10" s="17">
        <v>1</v>
      </c>
      <c r="F10" s="4">
        <v>1</v>
      </c>
      <c r="G10" s="4">
        <v>0</v>
      </c>
      <c r="H10" s="5">
        <v>0</v>
      </c>
      <c r="I10" s="12">
        <f t="shared" ref="I10:I15" si="1">SUM(E10:H10)</f>
        <v>2</v>
      </c>
      <c r="J10" s="12">
        <f t="shared" ref="J10:J15" si="2">D10+I10</f>
        <v>2</v>
      </c>
    </row>
    <row r="11" spans="1:10">
      <c r="A11" s="1" t="s">
        <v>3</v>
      </c>
      <c r="B11" s="11" t="s">
        <v>18</v>
      </c>
      <c r="C11" s="65">
        <v>2</v>
      </c>
      <c r="D11" s="78">
        <f t="shared" si="0"/>
        <v>2</v>
      </c>
      <c r="E11" s="17">
        <v>0</v>
      </c>
      <c r="F11" s="4">
        <v>0</v>
      </c>
      <c r="G11" s="4">
        <v>0</v>
      </c>
      <c r="H11" s="5">
        <v>0</v>
      </c>
      <c r="I11" s="12">
        <f t="shared" si="1"/>
        <v>0</v>
      </c>
      <c r="J11" s="12">
        <f t="shared" si="2"/>
        <v>2</v>
      </c>
    </row>
    <row r="12" spans="1:10">
      <c r="A12" s="1" t="s">
        <v>3</v>
      </c>
      <c r="B12" s="11" t="s">
        <v>19</v>
      </c>
      <c r="C12" s="65">
        <v>0</v>
      </c>
      <c r="D12" s="78">
        <f t="shared" si="0"/>
        <v>0</v>
      </c>
      <c r="E12" s="17">
        <v>0</v>
      </c>
      <c r="F12" s="4">
        <v>0</v>
      </c>
      <c r="G12" s="4">
        <v>0</v>
      </c>
      <c r="H12" s="5">
        <v>11</v>
      </c>
      <c r="I12" s="12">
        <f t="shared" si="1"/>
        <v>11</v>
      </c>
      <c r="J12" s="12">
        <f t="shared" si="2"/>
        <v>11</v>
      </c>
    </row>
    <row r="13" spans="1:10">
      <c r="A13" s="1" t="s">
        <v>3</v>
      </c>
      <c r="B13" s="11" t="s">
        <v>20</v>
      </c>
      <c r="C13" s="66">
        <v>0</v>
      </c>
      <c r="D13" s="79">
        <f t="shared" si="0"/>
        <v>0</v>
      </c>
      <c r="E13" s="18">
        <v>1.25</v>
      </c>
      <c r="F13" s="6">
        <v>2.1666666666666665</v>
      </c>
      <c r="G13" s="6">
        <v>1.3333333333333333</v>
      </c>
      <c r="H13" s="7">
        <v>8.3333333333333329E-2</v>
      </c>
      <c r="I13" s="13">
        <f t="shared" si="1"/>
        <v>4.833333333333333</v>
      </c>
      <c r="J13" s="13">
        <f t="shared" si="2"/>
        <v>4.833333333333333</v>
      </c>
    </row>
    <row r="14" spans="1:10">
      <c r="A14" s="1" t="s">
        <v>3</v>
      </c>
      <c r="B14" s="11" t="s">
        <v>21</v>
      </c>
      <c r="C14" s="66">
        <v>0</v>
      </c>
      <c r="D14" s="79">
        <f t="shared" si="0"/>
        <v>0</v>
      </c>
      <c r="E14" s="18">
        <v>8.3333333333333329E-2</v>
      </c>
      <c r="F14" s="6">
        <v>0.41666666666666669</v>
      </c>
      <c r="G14" s="6">
        <v>0</v>
      </c>
      <c r="H14" s="7">
        <v>0</v>
      </c>
      <c r="I14" s="13">
        <f t="shared" si="1"/>
        <v>0.5</v>
      </c>
      <c r="J14" s="13">
        <f t="shared" si="2"/>
        <v>0.5</v>
      </c>
    </row>
    <row r="15" spans="1:10">
      <c r="A15" s="1" t="s">
        <v>3</v>
      </c>
      <c r="B15" s="30" t="s">
        <v>22</v>
      </c>
      <c r="C15" s="67">
        <v>0</v>
      </c>
      <c r="D15" s="80">
        <f t="shared" si="0"/>
        <v>0</v>
      </c>
      <c r="E15" s="31">
        <v>0.375</v>
      </c>
      <c r="F15" s="32">
        <v>4.1666666666666664E-2</v>
      </c>
      <c r="G15" s="32">
        <v>8.3333333333333329E-2</v>
      </c>
      <c r="H15" s="33">
        <v>4.1666666666666664E-2</v>
      </c>
      <c r="I15" s="34">
        <f t="shared" si="1"/>
        <v>0.54166666666666663</v>
      </c>
      <c r="J15" s="34">
        <f t="shared" si="2"/>
        <v>0.54166666666666663</v>
      </c>
    </row>
    <row r="16" spans="1:10">
      <c r="A16" s="1" t="s">
        <v>3</v>
      </c>
      <c r="B16" s="39" t="s">
        <v>23</v>
      </c>
      <c r="C16" s="68">
        <v>38</v>
      </c>
      <c r="D16" s="81"/>
      <c r="E16" s="40">
        <v>40</v>
      </c>
      <c r="F16" s="41">
        <v>40</v>
      </c>
      <c r="G16" s="41">
        <v>13</v>
      </c>
      <c r="H16" s="42">
        <v>0</v>
      </c>
      <c r="I16" s="43"/>
      <c r="J16" s="43"/>
    </row>
    <row r="17" spans="1:10">
      <c r="A17" s="1" t="s">
        <v>3</v>
      </c>
      <c r="B17" s="20" t="s">
        <v>24</v>
      </c>
      <c r="C17" s="69">
        <v>370000</v>
      </c>
      <c r="D17" s="82">
        <f t="shared" ref="D17:D44" si="3">C17</f>
        <v>370000</v>
      </c>
      <c r="E17" s="35">
        <v>187000</v>
      </c>
      <c r="F17" s="36">
        <v>192000</v>
      </c>
      <c r="G17" s="36">
        <v>192000</v>
      </c>
      <c r="H17" s="37">
        <v>175000</v>
      </c>
      <c r="I17" s="38">
        <f t="shared" ref="I17:I44" si="4">SUM(E17:H17)</f>
        <v>746000</v>
      </c>
      <c r="J17" s="38">
        <f t="shared" ref="J17:J44" si="5">D17+I17</f>
        <v>1116000</v>
      </c>
    </row>
    <row r="18" spans="1:10">
      <c r="A18" s="1" t="s">
        <v>3</v>
      </c>
      <c r="B18" s="11" t="s">
        <v>25</v>
      </c>
      <c r="C18" s="70">
        <v>0</v>
      </c>
      <c r="D18" s="83">
        <f t="shared" si="3"/>
        <v>0</v>
      </c>
      <c r="E18" s="19">
        <v>5000</v>
      </c>
      <c r="F18" s="8">
        <v>0</v>
      </c>
      <c r="G18" s="8">
        <v>0</v>
      </c>
      <c r="H18" s="9">
        <v>0</v>
      </c>
      <c r="I18" s="14">
        <f t="shared" si="4"/>
        <v>5000</v>
      </c>
      <c r="J18" s="14">
        <f t="shared" si="5"/>
        <v>5000</v>
      </c>
    </row>
    <row r="19" spans="1:10">
      <c r="A19" s="1" t="s">
        <v>3</v>
      </c>
      <c r="B19" s="11" t="s">
        <v>26</v>
      </c>
      <c r="C19" s="70">
        <v>0</v>
      </c>
      <c r="D19" s="83">
        <f t="shared" si="3"/>
        <v>0</v>
      </c>
      <c r="E19" s="19">
        <v>0</v>
      </c>
      <c r="F19" s="8">
        <v>3000</v>
      </c>
      <c r="G19" s="8">
        <v>15000</v>
      </c>
      <c r="H19" s="9">
        <v>0</v>
      </c>
      <c r="I19" s="14">
        <f t="shared" si="4"/>
        <v>18000</v>
      </c>
      <c r="J19" s="14">
        <f t="shared" si="5"/>
        <v>18000</v>
      </c>
    </row>
    <row r="20" spans="1:10">
      <c r="A20" s="1" t="s">
        <v>3</v>
      </c>
      <c r="B20" s="11" t="s">
        <v>27</v>
      </c>
      <c r="C20" s="70">
        <v>50000</v>
      </c>
      <c r="D20" s="83">
        <f t="shared" si="3"/>
        <v>50000</v>
      </c>
      <c r="E20" s="19">
        <v>50000</v>
      </c>
      <c r="F20" s="8">
        <v>50000</v>
      </c>
      <c r="G20" s="8">
        <v>50000</v>
      </c>
      <c r="H20" s="9">
        <v>50000</v>
      </c>
      <c r="I20" s="14">
        <f t="shared" si="4"/>
        <v>200000</v>
      </c>
      <c r="J20" s="14">
        <f t="shared" si="5"/>
        <v>250000</v>
      </c>
    </row>
    <row r="21" spans="1:10">
      <c r="A21" s="1" t="s">
        <v>3</v>
      </c>
      <c r="B21" s="11" t="s">
        <v>28</v>
      </c>
      <c r="C21" s="70">
        <v>0</v>
      </c>
      <c r="D21" s="83">
        <f t="shared" si="3"/>
        <v>0</v>
      </c>
      <c r="E21" s="19">
        <v>0</v>
      </c>
      <c r="F21" s="8">
        <v>0</v>
      </c>
      <c r="G21" s="8">
        <v>75996</v>
      </c>
      <c r="H21" s="9">
        <v>0</v>
      </c>
      <c r="I21" s="14">
        <f t="shared" si="4"/>
        <v>75996</v>
      </c>
      <c r="J21" s="14">
        <f t="shared" si="5"/>
        <v>75996</v>
      </c>
    </row>
    <row r="22" spans="1:10">
      <c r="A22" s="1" t="s">
        <v>3</v>
      </c>
      <c r="B22" s="11" t="s">
        <v>29</v>
      </c>
      <c r="C22" s="70">
        <v>0</v>
      </c>
      <c r="D22" s="83">
        <f t="shared" si="3"/>
        <v>0</v>
      </c>
      <c r="E22" s="91">
        <v>23200</v>
      </c>
      <c r="F22" s="8">
        <v>0</v>
      </c>
      <c r="G22" s="8">
        <v>0</v>
      </c>
      <c r="H22" s="9">
        <v>0</v>
      </c>
      <c r="I22" s="14">
        <f t="shared" si="4"/>
        <v>23200</v>
      </c>
      <c r="J22" s="14">
        <f t="shared" si="5"/>
        <v>23200</v>
      </c>
    </row>
    <row r="23" spans="1:10">
      <c r="A23" s="1" t="s">
        <v>3</v>
      </c>
      <c r="B23" s="11" t="s">
        <v>30</v>
      </c>
      <c r="C23" s="70">
        <v>0</v>
      </c>
      <c r="D23" s="83">
        <f t="shared" si="3"/>
        <v>0</v>
      </c>
      <c r="E23" s="19">
        <v>3500</v>
      </c>
      <c r="F23" s="8">
        <v>3500</v>
      </c>
      <c r="G23" s="8">
        <v>0</v>
      </c>
      <c r="H23" s="9">
        <v>0</v>
      </c>
      <c r="I23" s="14">
        <f t="shared" si="4"/>
        <v>7000</v>
      </c>
      <c r="J23" s="14">
        <f t="shared" si="5"/>
        <v>7000</v>
      </c>
    </row>
    <row r="24" spans="1:10">
      <c r="A24" s="1" t="s">
        <v>3</v>
      </c>
      <c r="B24" s="11" t="s">
        <v>31</v>
      </c>
      <c r="C24" s="70">
        <v>0</v>
      </c>
      <c r="D24" s="83">
        <f t="shared" si="3"/>
        <v>0</v>
      </c>
      <c r="E24" s="19">
        <v>0</v>
      </c>
      <c r="F24" s="8">
        <v>13000</v>
      </c>
      <c r="G24" s="8">
        <v>13000</v>
      </c>
      <c r="H24" s="9">
        <v>0</v>
      </c>
      <c r="I24" s="14">
        <f t="shared" si="4"/>
        <v>26000</v>
      </c>
      <c r="J24" s="14">
        <f t="shared" si="5"/>
        <v>26000</v>
      </c>
    </row>
    <row r="25" spans="1:10">
      <c r="A25" s="1" t="s">
        <v>3</v>
      </c>
      <c r="B25" s="11" t="s">
        <v>32</v>
      </c>
      <c r="C25" s="70">
        <v>0</v>
      </c>
      <c r="D25" s="83">
        <f t="shared" si="3"/>
        <v>0</v>
      </c>
      <c r="E25" s="19">
        <v>0</v>
      </c>
      <c r="F25" s="8">
        <v>0</v>
      </c>
      <c r="G25" s="8">
        <v>0</v>
      </c>
      <c r="H25" s="9">
        <v>118415</v>
      </c>
      <c r="I25" s="14">
        <f t="shared" si="4"/>
        <v>118415</v>
      </c>
      <c r="J25" s="14">
        <f t="shared" si="5"/>
        <v>118415</v>
      </c>
    </row>
    <row r="26" spans="1:10">
      <c r="A26" s="1" t="s">
        <v>3</v>
      </c>
      <c r="B26" s="11" t="s">
        <v>20</v>
      </c>
      <c r="C26" s="70">
        <v>0</v>
      </c>
      <c r="D26" s="83">
        <f t="shared" si="3"/>
        <v>0</v>
      </c>
      <c r="E26" s="19">
        <v>55140</v>
      </c>
      <c r="F26" s="8">
        <v>101816</v>
      </c>
      <c r="G26" s="8">
        <v>64672</v>
      </c>
      <c r="H26" s="9">
        <v>3368</v>
      </c>
      <c r="I26" s="14">
        <f t="shared" si="4"/>
        <v>224996</v>
      </c>
      <c r="J26" s="14">
        <f t="shared" si="5"/>
        <v>224996</v>
      </c>
    </row>
    <row r="27" spans="1:10">
      <c r="A27" s="1" t="s">
        <v>3</v>
      </c>
      <c r="B27" s="11" t="s">
        <v>33</v>
      </c>
      <c r="C27" s="70">
        <v>0</v>
      </c>
      <c r="D27" s="83">
        <f t="shared" si="3"/>
        <v>0</v>
      </c>
      <c r="E27" s="19">
        <v>3970</v>
      </c>
      <c r="F27" s="8">
        <v>21140</v>
      </c>
      <c r="G27" s="8">
        <v>0</v>
      </c>
      <c r="H27" s="9">
        <v>0</v>
      </c>
      <c r="I27" s="14">
        <f t="shared" si="4"/>
        <v>25110</v>
      </c>
      <c r="J27" s="14">
        <f t="shared" si="5"/>
        <v>25110</v>
      </c>
    </row>
    <row r="28" spans="1:10">
      <c r="A28" s="1" t="s">
        <v>3</v>
      </c>
      <c r="B28" s="30" t="s">
        <v>22</v>
      </c>
      <c r="C28" s="71">
        <v>0</v>
      </c>
      <c r="D28" s="84">
        <f t="shared" si="3"/>
        <v>0</v>
      </c>
      <c r="E28" s="44">
        <v>3312</v>
      </c>
      <c r="F28" s="45">
        <v>392</v>
      </c>
      <c r="G28" s="45">
        <v>808</v>
      </c>
      <c r="H28" s="46">
        <v>337</v>
      </c>
      <c r="I28" s="47">
        <f t="shared" si="4"/>
        <v>4849</v>
      </c>
      <c r="J28" s="47">
        <f t="shared" si="5"/>
        <v>4849</v>
      </c>
    </row>
    <row r="29" spans="1:10">
      <c r="A29" s="1" t="s">
        <v>3</v>
      </c>
      <c r="B29" s="39" t="s">
        <v>34</v>
      </c>
      <c r="C29" s="72">
        <v>420000</v>
      </c>
      <c r="D29" s="85">
        <f t="shared" si="3"/>
        <v>420000</v>
      </c>
      <c r="E29" s="48">
        <v>331122</v>
      </c>
      <c r="F29" s="49">
        <v>384848</v>
      </c>
      <c r="G29" s="49">
        <v>411476</v>
      </c>
      <c r="H29" s="50">
        <v>110290</v>
      </c>
      <c r="I29" s="51">
        <f t="shared" si="4"/>
        <v>1237736</v>
      </c>
      <c r="J29" s="51">
        <f t="shared" si="5"/>
        <v>1657736</v>
      </c>
    </row>
    <row r="30" spans="1:10">
      <c r="A30" s="1" t="s">
        <v>3</v>
      </c>
      <c r="B30" s="39" t="s">
        <v>35</v>
      </c>
      <c r="C30" s="72">
        <v>11531</v>
      </c>
      <c r="D30" s="85">
        <f t="shared" si="3"/>
        <v>11531</v>
      </c>
      <c r="E30" s="48">
        <v>0</v>
      </c>
      <c r="F30" s="49">
        <v>1904</v>
      </c>
      <c r="G30" s="49">
        <v>9269</v>
      </c>
      <c r="H30" s="50">
        <v>8000</v>
      </c>
      <c r="I30" s="51">
        <f t="shared" si="4"/>
        <v>19173</v>
      </c>
      <c r="J30" s="51">
        <f t="shared" si="5"/>
        <v>30704</v>
      </c>
    </row>
    <row r="31" spans="1:10">
      <c r="A31" s="1" t="s">
        <v>3</v>
      </c>
      <c r="B31" s="39" t="s">
        <v>36</v>
      </c>
      <c r="C31" s="72">
        <v>11531</v>
      </c>
      <c r="D31" s="85">
        <f t="shared" si="3"/>
        <v>11531</v>
      </c>
      <c r="E31" s="48">
        <v>0</v>
      </c>
      <c r="F31" s="49">
        <v>1904</v>
      </c>
      <c r="G31" s="49">
        <v>9269</v>
      </c>
      <c r="H31" s="50">
        <v>8000</v>
      </c>
      <c r="I31" s="51">
        <f t="shared" si="4"/>
        <v>19173</v>
      </c>
      <c r="J31" s="51">
        <f t="shared" si="5"/>
        <v>30704</v>
      </c>
    </row>
    <row r="32" spans="1:10">
      <c r="A32" s="1" t="s">
        <v>3</v>
      </c>
      <c r="B32" s="39" t="s">
        <v>37</v>
      </c>
      <c r="C32" s="72">
        <v>431531</v>
      </c>
      <c r="D32" s="85">
        <f t="shared" si="3"/>
        <v>431531</v>
      </c>
      <c r="E32" s="48">
        <v>331122</v>
      </c>
      <c r="F32" s="49">
        <v>386752</v>
      </c>
      <c r="G32" s="49">
        <v>420745</v>
      </c>
      <c r="H32" s="50">
        <v>118290</v>
      </c>
      <c r="I32" s="51">
        <f t="shared" si="4"/>
        <v>1256909</v>
      </c>
      <c r="J32" s="51">
        <f t="shared" si="5"/>
        <v>1688440</v>
      </c>
    </row>
    <row r="33" spans="1:10">
      <c r="A33" s="1" t="s">
        <v>3</v>
      </c>
      <c r="B33" s="20" t="s">
        <v>38</v>
      </c>
      <c r="C33" s="69">
        <v>22440</v>
      </c>
      <c r="D33" s="82">
        <f t="shared" si="3"/>
        <v>22440</v>
      </c>
      <c r="E33" s="35">
        <v>18360</v>
      </c>
      <c r="F33" s="36">
        <v>18360</v>
      </c>
      <c r="G33" s="36">
        <v>20910</v>
      </c>
      <c r="H33" s="37">
        <v>15300</v>
      </c>
      <c r="I33" s="38">
        <f t="shared" si="4"/>
        <v>72930</v>
      </c>
      <c r="J33" s="38">
        <f t="shared" si="5"/>
        <v>95370</v>
      </c>
    </row>
    <row r="34" spans="1:10">
      <c r="A34" s="1" t="s">
        <v>3</v>
      </c>
      <c r="B34" s="11" t="s">
        <v>39</v>
      </c>
      <c r="C34" s="70">
        <v>3960</v>
      </c>
      <c r="D34" s="83">
        <f t="shared" si="3"/>
        <v>3960</v>
      </c>
      <c r="E34" s="19">
        <v>0</v>
      </c>
      <c r="F34" s="8">
        <v>3240</v>
      </c>
      <c r="G34" s="8">
        <v>3690</v>
      </c>
      <c r="H34" s="9">
        <v>2700</v>
      </c>
      <c r="I34" s="14">
        <f t="shared" si="4"/>
        <v>9630</v>
      </c>
      <c r="J34" s="14">
        <f t="shared" si="5"/>
        <v>13590</v>
      </c>
    </row>
    <row r="35" spans="1:10">
      <c r="A35" s="1" t="s">
        <v>3</v>
      </c>
      <c r="B35" s="11" t="s">
        <v>40</v>
      </c>
      <c r="C35" s="70">
        <v>40260</v>
      </c>
      <c r="D35" s="83">
        <f t="shared" si="3"/>
        <v>40260</v>
      </c>
      <c r="E35" s="19">
        <v>32940</v>
      </c>
      <c r="F35" s="8">
        <v>32940</v>
      </c>
      <c r="G35" s="8">
        <v>37515</v>
      </c>
      <c r="H35" s="9">
        <v>27450</v>
      </c>
      <c r="I35" s="14">
        <f t="shared" si="4"/>
        <v>130845</v>
      </c>
      <c r="J35" s="14">
        <f t="shared" si="5"/>
        <v>171105</v>
      </c>
    </row>
    <row r="36" spans="1:10">
      <c r="A36" s="1" t="s">
        <v>3</v>
      </c>
      <c r="B36" s="30" t="s">
        <v>41</v>
      </c>
      <c r="C36" s="71">
        <v>2589</v>
      </c>
      <c r="D36" s="84">
        <f t="shared" si="3"/>
        <v>2589</v>
      </c>
      <c r="E36" s="44">
        <v>1987</v>
      </c>
      <c r="F36" s="45">
        <v>2321</v>
      </c>
      <c r="G36" s="45">
        <v>2524</v>
      </c>
      <c r="H36" s="46">
        <v>710</v>
      </c>
      <c r="I36" s="47">
        <f t="shared" si="4"/>
        <v>7542</v>
      </c>
      <c r="J36" s="47">
        <f t="shared" si="5"/>
        <v>10131</v>
      </c>
    </row>
    <row r="37" spans="1:10">
      <c r="A37" s="1" t="s">
        <v>3</v>
      </c>
      <c r="B37" s="39" t="s">
        <v>42</v>
      </c>
      <c r="C37" s="72">
        <v>69249</v>
      </c>
      <c r="D37" s="85">
        <f t="shared" si="3"/>
        <v>69249</v>
      </c>
      <c r="E37" s="48">
        <v>53287</v>
      </c>
      <c r="F37" s="49">
        <v>56861</v>
      </c>
      <c r="G37" s="49">
        <v>64639</v>
      </c>
      <c r="H37" s="50">
        <v>46160</v>
      </c>
      <c r="I37" s="51">
        <f t="shared" si="4"/>
        <v>220947</v>
      </c>
      <c r="J37" s="51">
        <f t="shared" si="5"/>
        <v>290196</v>
      </c>
    </row>
    <row r="38" spans="1:10">
      <c r="A38" s="1" t="s">
        <v>3</v>
      </c>
      <c r="B38" s="20" t="s">
        <v>43</v>
      </c>
      <c r="C38" s="69">
        <v>12530</v>
      </c>
      <c r="D38" s="82">
        <f t="shared" si="3"/>
        <v>12530</v>
      </c>
      <c r="E38" s="35">
        <v>5930</v>
      </c>
      <c r="F38" s="36">
        <v>10670</v>
      </c>
      <c r="G38" s="36">
        <v>12210</v>
      </c>
      <c r="H38" s="37">
        <v>0</v>
      </c>
      <c r="I38" s="38">
        <f t="shared" si="4"/>
        <v>28810</v>
      </c>
      <c r="J38" s="38">
        <f t="shared" si="5"/>
        <v>41340</v>
      </c>
    </row>
    <row r="39" spans="1:10">
      <c r="A39" s="1" t="s">
        <v>3</v>
      </c>
      <c r="B39" s="11" t="s">
        <v>44</v>
      </c>
      <c r="C39" s="70">
        <v>20300</v>
      </c>
      <c r="D39" s="83">
        <f t="shared" si="3"/>
        <v>20300</v>
      </c>
      <c r="E39" s="19">
        <v>15900</v>
      </c>
      <c r="F39" s="8">
        <v>20500</v>
      </c>
      <c r="G39" s="8">
        <v>16600</v>
      </c>
      <c r="H39" s="9">
        <v>0</v>
      </c>
      <c r="I39" s="14">
        <f t="shared" si="4"/>
        <v>53000</v>
      </c>
      <c r="J39" s="14">
        <f t="shared" si="5"/>
        <v>73300</v>
      </c>
    </row>
    <row r="40" spans="1:10">
      <c r="A40" s="1" t="s">
        <v>3</v>
      </c>
      <c r="B40" s="30" t="s">
        <v>45</v>
      </c>
      <c r="C40" s="71">
        <v>0</v>
      </c>
      <c r="D40" s="84">
        <f t="shared" si="3"/>
        <v>0</v>
      </c>
      <c r="E40" s="44">
        <v>23200</v>
      </c>
      <c r="F40" s="45">
        <v>0</v>
      </c>
      <c r="G40" s="45">
        <v>0</v>
      </c>
      <c r="H40" s="46">
        <v>0</v>
      </c>
      <c r="I40" s="47">
        <f t="shared" si="4"/>
        <v>23200</v>
      </c>
      <c r="J40" s="47">
        <f t="shared" si="5"/>
        <v>23200</v>
      </c>
    </row>
    <row r="41" spans="1:10">
      <c r="A41" s="1" t="s">
        <v>3</v>
      </c>
      <c r="B41" s="39" t="s">
        <v>46</v>
      </c>
      <c r="C41" s="72">
        <v>102079</v>
      </c>
      <c r="D41" s="85">
        <f t="shared" si="3"/>
        <v>102079</v>
      </c>
      <c r="E41" s="48">
        <v>98317</v>
      </c>
      <c r="F41" s="49">
        <v>88031</v>
      </c>
      <c r="G41" s="49">
        <v>93449</v>
      </c>
      <c r="H41" s="50">
        <v>46160</v>
      </c>
      <c r="I41" s="51">
        <f t="shared" si="4"/>
        <v>325957</v>
      </c>
      <c r="J41" s="51">
        <f t="shared" si="5"/>
        <v>428036</v>
      </c>
    </row>
    <row r="42" spans="1:10">
      <c r="A42" s="1" t="s">
        <v>3</v>
      </c>
      <c r="B42" s="39" t="s">
        <v>47</v>
      </c>
      <c r="C42" s="72">
        <v>350751</v>
      </c>
      <c r="D42" s="85">
        <f t="shared" si="3"/>
        <v>350751</v>
      </c>
      <c r="E42" s="48">
        <v>277835</v>
      </c>
      <c r="F42" s="49">
        <v>327987</v>
      </c>
      <c r="G42" s="49">
        <v>346837</v>
      </c>
      <c r="H42" s="50">
        <v>64130</v>
      </c>
      <c r="I42" s="51">
        <f t="shared" si="4"/>
        <v>1016789</v>
      </c>
      <c r="J42" s="51">
        <f t="shared" si="5"/>
        <v>1367540</v>
      </c>
    </row>
    <row r="43" spans="1:10">
      <c r="A43" s="1" t="s">
        <v>3</v>
      </c>
      <c r="B43" s="39" t="s">
        <v>48</v>
      </c>
      <c r="C43" s="72">
        <v>329452</v>
      </c>
      <c r="D43" s="85">
        <f t="shared" si="3"/>
        <v>329452</v>
      </c>
      <c r="E43" s="48">
        <v>232805</v>
      </c>
      <c r="F43" s="49">
        <v>298721</v>
      </c>
      <c r="G43" s="49">
        <v>327296</v>
      </c>
      <c r="H43" s="50">
        <v>72130</v>
      </c>
      <c r="I43" s="51">
        <f t="shared" si="4"/>
        <v>930952</v>
      </c>
      <c r="J43" s="51">
        <f t="shared" si="5"/>
        <v>1260404</v>
      </c>
    </row>
    <row r="44" spans="1:10">
      <c r="A44" s="1" t="s">
        <v>3</v>
      </c>
      <c r="B44" s="39" t="s">
        <v>49</v>
      </c>
      <c r="C44" s="72">
        <v>329452</v>
      </c>
      <c r="D44" s="85">
        <f t="shared" si="3"/>
        <v>329452</v>
      </c>
      <c r="E44" s="48">
        <v>232805</v>
      </c>
      <c r="F44" s="49">
        <v>298721</v>
      </c>
      <c r="G44" s="49">
        <v>327296</v>
      </c>
      <c r="H44" s="50">
        <v>72130</v>
      </c>
      <c r="I44" s="51">
        <f t="shared" si="4"/>
        <v>930952</v>
      </c>
      <c r="J44" s="51">
        <f t="shared" si="5"/>
        <v>1260404</v>
      </c>
    </row>
    <row r="45" spans="1:10">
      <c r="A45" s="1" t="s">
        <v>3</v>
      </c>
      <c r="B45" s="39" t="s">
        <v>50</v>
      </c>
      <c r="C45" s="72">
        <v>0</v>
      </c>
      <c r="D45" s="85"/>
      <c r="E45" s="48">
        <v>1</v>
      </c>
      <c r="F45" s="49">
        <v>0</v>
      </c>
      <c r="G45" s="49">
        <v>0</v>
      </c>
      <c r="H45" s="50">
        <v>0</v>
      </c>
      <c r="I45" s="51"/>
      <c r="J45" s="51"/>
    </row>
    <row r="46" spans="1:10">
      <c r="A46" s="1" t="s">
        <v>3</v>
      </c>
      <c r="B46" s="39" t="s">
        <v>51</v>
      </c>
      <c r="C46" s="73" t="s">
        <v>52</v>
      </c>
      <c r="D46" s="86"/>
      <c r="E46" s="52" t="s">
        <v>52</v>
      </c>
      <c r="F46" s="53" t="s">
        <v>52</v>
      </c>
      <c r="G46" s="53" t="s">
        <v>52</v>
      </c>
      <c r="H46" s="54" t="s">
        <v>52</v>
      </c>
      <c r="I46" s="55"/>
      <c r="J46" s="55"/>
    </row>
    <row r="47" spans="1:10" ht="19.5" thickBot="1">
      <c r="A47" s="1" t="s">
        <v>3</v>
      </c>
      <c r="B47" s="56" t="s">
        <v>53</v>
      </c>
      <c r="C47" s="74">
        <v>12530</v>
      </c>
      <c r="D47" s="87">
        <f>C47</f>
        <v>12530</v>
      </c>
      <c r="E47" s="57">
        <v>5930</v>
      </c>
      <c r="F47" s="58">
        <v>10670</v>
      </c>
      <c r="G47" s="58">
        <v>12210</v>
      </c>
      <c r="H47" s="59">
        <v>0</v>
      </c>
      <c r="I47" s="60">
        <f>SUM(E47:H47)</f>
        <v>28810</v>
      </c>
      <c r="J47" s="60">
        <f>D47+I47</f>
        <v>41340</v>
      </c>
    </row>
    <row r="49" spans="2:10">
      <c r="B49" s="2" t="s">
        <v>59</v>
      </c>
      <c r="C49" s="89">
        <f>C32*5.5/1000</f>
        <v>2373.4205000000002</v>
      </c>
      <c r="D49" s="89"/>
      <c r="E49" s="89">
        <f t="shared" ref="E49:H49" si="6">E32*5.5/1000</f>
        <v>1821.171</v>
      </c>
      <c r="F49" s="89">
        <f t="shared" si="6"/>
        <v>2127.136</v>
      </c>
      <c r="G49" s="89">
        <f t="shared" si="6"/>
        <v>2314.0974999999999</v>
      </c>
      <c r="H49" s="89">
        <f t="shared" si="6"/>
        <v>650.59500000000003</v>
      </c>
      <c r="I49" s="89">
        <f>SUM(E49:H49)</f>
        <v>6912.9994999999999</v>
      </c>
      <c r="J49" s="89">
        <f>C49+I49</f>
        <v>9286.42</v>
      </c>
    </row>
    <row r="50" spans="2:10">
      <c r="B50" s="2" t="s">
        <v>60</v>
      </c>
      <c r="C50" s="89">
        <f>C36-C49</f>
        <v>215.57949999999983</v>
      </c>
      <c r="D50" s="89"/>
      <c r="E50" s="89">
        <f t="shared" ref="E50:H50" si="7">E36-E49</f>
        <v>165.82899999999995</v>
      </c>
      <c r="F50" s="89">
        <f t="shared" si="7"/>
        <v>193.86400000000003</v>
      </c>
      <c r="G50" s="89">
        <f t="shared" si="7"/>
        <v>209.90250000000015</v>
      </c>
      <c r="H50" s="90">
        <f t="shared" si="7"/>
        <v>59.404999999999973</v>
      </c>
      <c r="I50" s="89">
        <f>SUM(E50:H50)</f>
        <v>629.0005000000001</v>
      </c>
      <c r="J50" s="89">
        <f>C50+I50</f>
        <v>844.57999999999993</v>
      </c>
    </row>
    <row r="52" spans="2:10">
      <c r="B52" s="2" t="s">
        <v>61</v>
      </c>
      <c r="E52" s="92">
        <f>E32-E22</f>
        <v>307922</v>
      </c>
    </row>
  </sheetData>
  <phoneticPr fontId="3"/>
  <pageMargins left="0.7" right="0.7" top="0.75" bottom="0.75" header="0.3" footer="0.3"/>
  <pageSetup paperSize="12" scale="77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2025年 5月度給与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asada</cp:lastModifiedBy>
  <cp:lastPrinted>2025-05-13T01:44:25Z</cp:lastPrinted>
  <dcterms:created xsi:type="dcterms:W3CDTF">2025-05-12T02:06:03Z</dcterms:created>
  <dcterms:modified xsi:type="dcterms:W3CDTF">2025-06-16T07:40:45Z</dcterms:modified>
</cp:coreProperties>
</file>