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浅田恵美子\総務・経理\01給与\02給与集計内訳\2025\2025.11月分\"/>
    </mc:Choice>
  </mc:AlternateContent>
  <xr:revisionPtr revIDLastSave="0" documentId="13_ncr:1_{4798CE53-9CE4-4051-86F6-94920C3807C5}" xr6:coauthVersionLast="47" xr6:coauthVersionMax="47" xr10:uidLastSave="{00000000-0000-0000-0000-000000000000}"/>
  <bookViews>
    <workbookView xWindow="-120" yWindow="-120" windowWidth="20730" windowHeight="11040" xr2:uid="{099D5C26-F847-43F5-8F9C-3A3740EF9082}"/>
  </bookViews>
  <sheets>
    <sheet name="2025年11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2" l="1"/>
  <c r="N49" i="2" s="1"/>
  <c r="N48" i="2"/>
  <c r="M48" i="2"/>
  <c r="M47" i="2"/>
  <c r="N47" i="2" s="1"/>
  <c r="M46" i="2"/>
  <c r="N46" i="2" s="1"/>
  <c r="M45" i="2"/>
  <c r="N45" i="2" s="1"/>
  <c r="M44" i="2"/>
  <c r="N44" i="2" s="1"/>
  <c r="M43" i="2"/>
  <c r="N43" i="2" s="1"/>
  <c r="N42" i="2"/>
  <c r="M42" i="2"/>
  <c r="N41" i="2"/>
  <c r="M41" i="2"/>
  <c r="M40" i="2"/>
  <c r="N40" i="2" s="1"/>
  <c r="M39" i="2"/>
  <c r="N39" i="2" s="1"/>
  <c r="M38" i="2"/>
  <c r="N38" i="2" s="1"/>
  <c r="M37" i="2"/>
  <c r="N37" i="2" s="1"/>
  <c r="N36" i="2"/>
  <c r="M36" i="2"/>
  <c r="N35" i="2"/>
  <c r="M35" i="2"/>
  <c r="M34" i="2"/>
  <c r="N34" i="2" s="1"/>
  <c r="M33" i="2"/>
  <c r="N33" i="2" s="1"/>
  <c r="M32" i="2"/>
  <c r="N32" i="2" s="1"/>
  <c r="M31" i="2"/>
  <c r="N31" i="2" s="1"/>
  <c r="N30" i="2"/>
  <c r="M30" i="2"/>
  <c r="N29" i="2"/>
  <c r="M29" i="2"/>
  <c r="M28" i="2"/>
  <c r="N28" i="2" s="1"/>
  <c r="M27" i="2"/>
  <c r="N27" i="2" s="1"/>
  <c r="M26" i="2"/>
  <c r="N26" i="2" s="1"/>
  <c r="M25" i="2"/>
  <c r="N25" i="2" s="1"/>
  <c r="N24" i="2"/>
  <c r="M24" i="2"/>
  <c r="N23" i="2"/>
  <c r="M23" i="2"/>
  <c r="M22" i="2"/>
  <c r="N22" i="2" s="1"/>
  <c r="M21" i="2"/>
  <c r="N21" i="2" s="1"/>
  <c r="M20" i="2"/>
  <c r="N20" i="2" s="1"/>
  <c r="M18" i="2"/>
  <c r="N18" i="2" s="1"/>
  <c r="N17" i="2"/>
  <c r="M17" i="2"/>
  <c r="M16" i="2"/>
  <c r="N16" i="2" s="1"/>
  <c r="M15" i="2"/>
  <c r="N15" i="2" s="1"/>
  <c r="M14" i="2"/>
  <c r="N14" i="2" s="1"/>
  <c r="M13" i="2"/>
  <c r="N13" i="2" s="1"/>
  <c r="M12" i="2"/>
  <c r="N12" i="2" s="1"/>
  <c r="N11" i="2"/>
  <c r="M11" i="2"/>
  <c r="M10" i="2"/>
  <c r="N10" i="2" s="1"/>
  <c r="N9" i="2"/>
  <c r="M9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8" i="2"/>
  <c r="J17" i="2"/>
  <c r="J16" i="2"/>
  <c r="J15" i="2"/>
  <c r="J14" i="2"/>
  <c r="J13" i="2"/>
  <c r="J12" i="2"/>
  <c r="J11" i="2"/>
  <c r="J10" i="2"/>
  <c r="J9" i="2"/>
</calcChain>
</file>

<file path=xl/sharedStrings.xml><?xml version="1.0" encoding="utf-8"?>
<sst xmlns="http://schemas.openxmlformats.org/spreadsheetml/2006/main" count="125" uniqueCount="71">
  <si>
    <t>支給控除一覧表</t>
    <phoneticPr fontId="4"/>
  </si>
  <si>
    <t>若林運送株式会社</t>
    <phoneticPr fontId="4"/>
  </si>
  <si>
    <t>2025年12月 8日 作成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</si>
  <si>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</si>
  <si>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</si>
  <si>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</si>
  <si>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</si>
  <si>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</si>
  <si>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</si>
  <si>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</si>
  <si>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1204</t>
    <phoneticPr fontId="4"/>
  </si>
  <si>
    <t>1208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</si>
  <si>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</si>
  <si>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</si>
  <si>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</si>
  <si>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</si>
  <si>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</si>
  <si>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</si>
  <si>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</si>
  <si>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</si>
  <si>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伊藤　博一</t>
    <phoneticPr fontId="4"/>
  </si>
  <si>
    <t>石川　雄二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</si>
  <si>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</si>
  <si>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</si>
  <si>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</si>
  <si>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</si>
  <si>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</si>
  <si>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</si>
  <si>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</si>
  <si>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</si>
  <si>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</si>
  <si>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</si>
  <si>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</si>
  <si>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</si>
  <si>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</si>
  <si>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</si>
  <si>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</si>
  <si>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</si>
  <si>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</si>
  <si>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</si>
  <si>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</si>
  <si>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</si>
  <si>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</si>
  <si>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</si>
  <si>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</si>
  <si>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</si>
  <si>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</si>
  <si>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</si>
  <si>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</si>
  <si>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</si>
  <si>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</si>
  <si>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</si>
  <si>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</si>
  <si>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</si>
  <si>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</si>
  <si>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</si>
  <si>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</si>
  <si>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</si>
  <si>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</si>
  <si>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</si>
  <si>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</si>
  <si>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</si>
  <si>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</si>
  <si>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</si>
  <si>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</si>
  <si>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</si>
  <si>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2025年11月度給与</t>
    <phoneticPr fontId="4"/>
  </si>
  <si>
    <t>小計</t>
    <rPh sb="0" eb="2">
      <t>ショウケイ</t>
    </rPh>
    <phoneticPr fontId="3"/>
  </si>
  <si>
    <t>7名</t>
    <rPh sb="1" eb="2">
      <t>メイ</t>
    </rPh>
    <phoneticPr fontId="4"/>
  </si>
  <si>
    <t>2名</t>
    <rPh sb="1" eb="2">
      <t>メイ</t>
    </rPh>
    <phoneticPr fontId="4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</si>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</sst>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8" xfId="1" applyNumberFormat="1" applyFont="1" applyBorder="1"/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0" xfId="1" applyNumberFormat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49" fontId="2" fillId="0" borderId="38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left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20" xfId="1" applyFont="1" applyBorder="1" applyAlignment="1">
      <alignment horizontal="center"/>
    </xf>
    <xf numFmtId="0" fontId="2" fillId="0" borderId="14" xfId="1" applyFont="1" applyBorder="1" applyAlignment="1">
      <alignment horizontal="center"/>
    </xf>
  </cellXfs>
  <cellStyles count="2">
    <cellStyle name="標準" xfId="0" builtinId="0"/>
    <cellStyle name="標準 2" xfId="1" xr:uid="{1ECB315C-7239-4B57-B729-53310EC7C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6F3F-16EB-4134-BA09-641AFEF7E04D}">
  <dimension ref="A1:N51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" sqref="B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9" width="11.125" style="2" bestFit="1" customWidth="1"/>
    <col min="10" max="10" width="9.625" style="2" bestFit="1" customWidth="1"/>
    <col min="11" max="11" width="9" style="2" bestFit="1" customWidth="1"/>
    <col min="12" max="12" width="11.1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66</v>
      </c>
    </row>
    <row r="7" spans="1:14">
      <c r="B7" s="13"/>
      <c r="C7" s="20" t="s">
        <v>4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26" t="s">
        <v>11</v>
      </c>
      <c r="J7" s="76" t="s">
        <v>67</v>
      </c>
      <c r="K7" s="4" t="s">
        <v>5</v>
      </c>
      <c r="L7" s="21" t="s">
        <v>12</v>
      </c>
      <c r="M7" s="77" t="s">
        <v>67</v>
      </c>
      <c r="N7" s="77" t="s">
        <v>23</v>
      </c>
    </row>
    <row r="8" spans="1:14" ht="19.5" thickBot="1">
      <c r="A8" s="3"/>
      <c r="B8" s="42" t="s">
        <v>13</v>
      </c>
      <c r="C8" s="43" t="s">
        <v>14</v>
      </c>
      <c r="D8" s="44" t="s">
        <v>16</v>
      </c>
      <c r="E8" s="44" t="s">
        <v>17</v>
      </c>
      <c r="F8" s="44" t="s">
        <v>18</v>
      </c>
      <c r="G8" s="44" t="s">
        <v>19</v>
      </c>
      <c r="H8" s="44" t="s">
        <v>20</v>
      </c>
      <c r="I8" s="45" t="s">
        <v>21</v>
      </c>
      <c r="J8" s="46" t="s">
        <v>68</v>
      </c>
      <c r="K8" s="44" t="s">
        <v>15</v>
      </c>
      <c r="L8" s="47" t="s">
        <v>22</v>
      </c>
      <c r="M8" s="48" t="s">
        <v>69</v>
      </c>
      <c r="N8" s="48" t="s">
        <v>70</v>
      </c>
    </row>
    <row r="9" spans="1:14">
      <c r="A9" s="1" t="s">
        <v>3</v>
      </c>
      <c r="B9" s="35" t="s">
        <v>24</v>
      </c>
      <c r="C9" s="36">
        <v>17</v>
      </c>
      <c r="D9" s="37">
        <v>17</v>
      </c>
      <c r="E9" s="37">
        <v>18</v>
      </c>
      <c r="F9" s="37">
        <v>16</v>
      </c>
      <c r="G9" s="37">
        <v>16</v>
      </c>
      <c r="H9" s="37">
        <v>18</v>
      </c>
      <c r="I9" s="38">
        <v>18</v>
      </c>
      <c r="J9" s="39">
        <f>SUM(C9:I9)</f>
        <v>120</v>
      </c>
      <c r="K9" s="37">
        <v>18</v>
      </c>
      <c r="L9" s="40">
        <v>11</v>
      </c>
      <c r="M9" s="41">
        <f>SUM(K9:L9)</f>
        <v>29</v>
      </c>
      <c r="N9" s="41">
        <f>J9+M9</f>
        <v>149</v>
      </c>
    </row>
    <row r="10" spans="1:14">
      <c r="A10" s="1" t="s">
        <v>3</v>
      </c>
      <c r="B10" s="14" t="s">
        <v>25</v>
      </c>
      <c r="C10" s="22">
        <v>1</v>
      </c>
      <c r="D10" s="5">
        <v>2</v>
      </c>
      <c r="E10" s="5">
        <v>0</v>
      </c>
      <c r="F10" s="5">
        <v>3</v>
      </c>
      <c r="G10" s="5">
        <v>2</v>
      </c>
      <c r="H10" s="5">
        <v>0</v>
      </c>
      <c r="I10" s="27">
        <v>0</v>
      </c>
      <c r="J10" s="31">
        <f t="shared" ref="J10:J18" si="0">SUM(C10:I10)</f>
        <v>8</v>
      </c>
      <c r="K10" s="5">
        <v>0</v>
      </c>
      <c r="L10" s="6">
        <v>0</v>
      </c>
      <c r="M10" s="16">
        <f t="shared" ref="M10:M18" si="1">SUM(K10:L10)</f>
        <v>0</v>
      </c>
      <c r="N10" s="16">
        <f t="shared" ref="N10:N18" si="2">J10+M10</f>
        <v>8</v>
      </c>
    </row>
    <row r="11" spans="1:14">
      <c r="A11" s="1" t="s">
        <v>3</v>
      </c>
      <c r="B11" s="14" t="s">
        <v>26</v>
      </c>
      <c r="C11" s="22">
        <v>0</v>
      </c>
      <c r="D11" s="5">
        <v>0</v>
      </c>
      <c r="E11" s="5">
        <v>1</v>
      </c>
      <c r="F11" s="5">
        <v>1</v>
      </c>
      <c r="G11" s="5">
        <v>1</v>
      </c>
      <c r="H11" s="5">
        <v>1</v>
      </c>
      <c r="I11" s="27">
        <v>1</v>
      </c>
      <c r="J11" s="31">
        <f t="shared" si="0"/>
        <v>5</v>
      </c>
      <c r="K11" s="5">
        <v>0</v>
      </c>
      <c r="L11" s="6">
        <v>0</v>
      </c>
      <c r="M11" s="16">
        <f t="shared" si="1"/>
        <v>0</v>
      </c>
      <c r="N11" s="16">
        <f t="shared" si="2"/>
        <v>5</v>
      </c>
    </row>
    <row r="12" spans="1:14">
      <c r="A12" s="1" t="s">
        <v>3</v>
      </c>
      <c r="B12" s="14" t="s">
        <v>27</v>
      </c>
      <c r="C12" s="22">
        <v>1</v>
      </c>
      <c r="D12" s="5">
        <v>1</v>
      </c>
      <c r="E12" s="5">
        <v>0</v>
      </c>
      <c r="F12" s="5">
        <v>2</v>
      </c>
      <c r="G12" s="5">
        <v>2</v>
      </c>
      <c r="H12" s="5">
        <v>0</v>
      </c>
      <c r="I12" s="27">
        <v>0</v>
      </c>
      <c r="J12" s="31">
        <f t="shared" si="0"/>
        <v>6</v>
      </c>
      <c r="K12" s="5">
        <v>0</v>
      </c>
      <c r="L12" s="6">
        <v>1</v>
      </c>
      <c r="M12" s="16">
        <f t="shared" si="1"/>
        <v>1</v>
      </c>
      <c r="N12" s="16">
        <f t="shared" si="2"/>
        <v>7</v>
      </c>
    </row>
    <row r="13" spans="1:14">
      <c r="A13" s="1" t="s">
        <v>3</v>
      </c>
      <c r="B13" s="14" t="s">
        <v>28</v>
      </c>
      <c r="C13" s="23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28">
        <v>0</v>
      </c>
      <c r="J13" s="32">
        <f t="shared" si="0"/>
        <v>0</v>
      </c>
      <c r="K13" s="7">
        <v>0</v>
      </c>
      <c r="L13" s="8">
        <v>2.75</v>
      </c>
      <c r="M13" s="17">
        <f t="shared" si="1"/>
        <v>2.75</v>
      </c>
      <c r="N13" s="17">
        <f t="shared" si="2"/>
        <v>2.75</v>
      </c>
    </row>
    <row r="14" spans="1:14">
      <c r="A14" s="1" t="s">
        <v>3</v>
      </c>
      <c r="B14" s="14" t="s">
        <v>29</v>
      </c>
      <c r="C14" s="23">
        <v>1.25</v>
      </c>
      <c r="D14" s="7">
        <v>1.1666666666666667</v>
      </c>
      <c r="E14" s="7">
        <v>1.2916666666666667</v>
      </c>
      <c r="F14" s="7">
        <v>1.7083333333333335</v>
      </c>
      <c r="G14" s="7">
        <v>1.0833333333333333</v>
      </c>
      <c r="H14" s="7">
        <v>1.7916666666666665</v>
      </c>
      <c r="I14" s="28">
        <v>1.2916666666666667</v>
      </c>
      <c r="J14" s="32">
        <f t="shared" si="0"/>
        <v>9.5833333333333339</v>
      </c>
      <c r="K14" s="7">
        <v>0</v>
      </c>
      <c r="L14" s="8">
        <v>0</v>
      </c>
      <c r="M14" s="17">
        <f t="shared" si="1"/>
        <v>0</v>
      </c>
      <c r="N14" s="17">
        <f t="shared" si="2"/>
        <v>9.5833333333333339</v>
      </c>
    </row>
    <row r="15" spans="1:14">
      <c r="A15" s="1" t="s">
        <v>3</v>
      </c>
      <c r="B15" s="14" t="s">
        <v>30</v>
      </c>
      <c r="C15" s="23">
        <v>0.375</v>
      </c>
      <c r="D15" s="7">
        <v>0.5</v>
      </c>
      <c r="E15" s="7">
        <v>0</v>
      </c>
      <c r="F15" s="7">
        <v>0.58333333333333337</v>
      </c>
      <c r="G15" s="7">
        <v>0.5</v>
      </c>
      <c r="H15" s="7">
        <v>0</v>
      </c>
      <c r="I15" s="28">
        <v>0</v>
      </c>
      <c r="J15" s="32">
        <f t="shared" si="0"/>
        <v>1.9583333333333335</v>
      </c>
      <c r="K15" s="7">
        <v>0</v>
      </c>
      <c r="L15" s="8">
        <v>0</v>
      </c>
      <c r="M15" s="17">
        <f t="shared" si="1"/>
        <v>0</v>
      </c>
      <c r="N15" s="17">
        <f t="shared" si="2"/>
        <v>1.9583333333333335</v>
      </c>
    </row>
    <row r="16" spans="1:14">
      <c r="A16" s="1" t="s">
        <v>3</v>
      </c>
      <c r="B16" s="14" t="s">
        <v>31</v>
      </c>
      <c r="C16" s="23">
        <v>0</v>
      </c>
      <c r="D16" s="7">
        <v>0</v>
      </c>
      <c r="E16" s="7">
        <v>0.16666666666666666</v>
      </c>
      <c r="F16" s="7">
        <v>0.375</v>
      </c>
      <c r="G16" s="7">
        <v>0.20833333333333334</v>
      </c>
      <c r="H16" s="7">
        <v>0.16666666666666666</v>
      </c>
      <c r="I16" s="28">
        <v>0.16666666666666666</v>
      </c>
      <c r="J16" s="32">
        <f t="shared" si="0"/>
        <v>1.0833333333333333</v>
      </c>
      <c r="K16" s="7">
        <v>0</v>
      </c>
      <c r="L16" s="8">
        <v>0</v>
      </c>
      <c r="M16" s="17">
        <f t="shared" si="1"/>
        <v>0</v>
      </c>
      <c r="N16" s="17">
        <f t="shared" si="2"/>
        <v>1.0833333333333333</v>
      </c>
    </row>
    <row r="17" spans="1:14">
      <c r="A17" s="1" t="s">
        <v>3</v>
      </c>
      <c r="B17" s="14" t="s">
        <v>32</v>
      </c>
      <c r="C17" s="23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28">
        <v>0</v>
      </c>
      <c r="J17" s="32">
        <f t="shared" si="0"/>
        <v>0</v>
      </c>
      <c r="K17" s="7">
        <v>0</v>
      </c>
      <c r="L17" s="8">
        <v>0.25</v>
      </c>
      <c r="M17" s="17">
        <f t="shared" si="1"/>
        <v>0.25</v>
      </c>
      <c r="N17" s="17">
        <f t="shared" si="2"/>
        <v>0.25</v>
      </c>
    </row>
    <row r="18" spans="1:14">
      <c r="A18" s="1" t="s">
        <v>3</v>
      </c>
      <c r="B18" s="14" t="s">
        <v>33</v>
      </c>
      <c r="C18" s="23">
        <v>0.41666666666666669</v>
      </c>
      <c r="D18" s="7">
        <v>0.125</v>
      </c>
      <c r="E18" s="7">
        <v>0.25</v>
      </c>
      <c r="F18" s="7">
        <v>0.375</v>
      </c>
      <c r="G18" s="7">
        <v>0.125</v>
      </c>
      <c r="H18" s="7">
        <v>0.29166666666666669</v>
      </c>
      <c r="I18" s="28">
        <v>0.25</v>
      </c>
      <c r="J18" s="32">
        <f t="shared" si="0"/>
        <v>1.8333333333333335</v>
      </c>
      <c r="K18" s="7">
        <v>0</v>
      </c>
      <c r="L18" s="8">
        <v>0</v>
      </c>
      <c r="M18" s="17">
        <f t="shared" si="1"/>
        <v>0</v>
      </c>
      <c r="N18" s="17">
        <f t="shared" si="2"/>
        <v>1.8333333333333335</v>
      </c>
    </row>
    <row r="19" spans="1:14">
      <c r="A19" s="1" t="s">
        <v>3</v>
      </c>
      <c r="B19" s="55" t="s">
        <v>34</v>
      </c>
      <c r="C19" s="56">
        <v>19</v>
      </c>
      <c r="D19" s="57">
        <v>14</v>
      </c>
      <c r="E19" s="57">
        <v>15</v>
      </c>
      <c r="F19" s="57">
        <v>20</v>
      </c>
      <c r="G19" s="57">
        <v>21</v>
      </c>
      <c r="H19" s="57">
        <v>7</v>
      </c>
      <c r="I19" s="58">
        <v>8</v>
      </c>
      <c r="J19" s="59"/>
      <c r="K19" s="57">
        <v>36</v>
      </c>
      <c r="L19" s="60">
        <v>5</v>
      </c>
      <c r="M19" s="61"/>
      <c r="N19" s="61"/>
    </row>
    <row r="20" spans="1:14">
      <c r="A20" s="1" t="s">
        <v>3</v>
      </c>
      <c r="B20" s="35" t="s">
        <v>35</v>
      </c>
      <c r="C20" s="49">
        <v>197000</v>
      </c>
      <c r="D20" s="50">
        <v>182000</v>
      </c>
      <c r="E20" s="50">
        <v>182000</v>
      </c>
      <c r="F20" s="50">
        <v>182000</v>
      </c>
      <c r="G20" s="50">
        <v>182000</v>
      </c>
      <c r="H20" s="50">
        <v>175000</v>
      </c>
      <c r="I20" s="51">
        <v>175000</v>
      </c>
      <c r="J20" s="52">
        <f t="shared" ref="J20:J49" si="3">SUM(C20:I20)</f>
        <v>1275000</v>
      </c>
      <c r="K20" s="50">
        <v>370000</v>
      </c>
      <c r="L20" s="53">
        <v>0</v>
      </c>
      <c r="M20" s="54">
        <f t="shared" ref="M20:M49" si="4">SUM(K20:L20)</f>
        <v>370000</v>
      </c>
      <c r="N20" s="54">
        <f t="shared" ref="N20:N49" si="5">J20+M20</f>
        <v>1645000</v>
      </c>
    </row>
    <row r="21" spans="1:14">
      <c r="A21" s="1" t="s">
        <v>3</v>
      </c>
      <c r="B21" s="14" t="s">
        <v>36</v>
      </c>
      <c r="C21" s="24">
        <v>5000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29">
        <v>0</v>
      </c>
      <c r="J21" s="33">
        <f t="shared" si="3"/>
        <v>5000</v>
      </c>
      <c r="K21" s="9">
        <v>0</v>
      </c>
      <c r="L21" s="10">
        <v>0</v>
      </c>
      <c r="M21" s="18">
        <f t="shared" si="4"/>
        <v>0</v>
      </c>
      <c r="N21" s="18">
        <f t="shared" si="5"/>
        <v>5000</v>
      </c>
    </row>
    <row r="22" spans="1:14">
      <c r="A22" s="1" t="s">
        <v>3</v>
      </c>
      <c r="B22" s="14" t="s">
        <v>37</v>
      </c>
      <c r="C22" s="24">
        <v>0</v>
      </c>
      <c r="D22" s="9">
        <v>15000</v>
      </c>
      <c r="E22" s="9">
        <v>0</v>
      </c>
      <c r="F22" s="9">
        <v>0</v>
      </c>
      <c r="G22" s="9">
        <v>3000</v>
      </c>
      <c r="H22" s="9">
        <v>0</v>
      </c>
      <c r="I22" s="29">
        <v>0</v>
      </c>
      <c r="J22" s="33">
        <f t="shared" si="3"/>
        <v>18000</v>
      </c>
      <c r="K22" s="9">
        <v>0</v>
      </c>
      <c r="L22" s="10">
        <v>0</v>
      </c>
      <c r="M22" s="18">
        <f t="shared" si="4"/>
        <v>0</v>
      </c>
      <c r="N22" s="18">
        <f t="shared" si="5"/>
        <v>18000</v>
      </c>
    </row>
    <row r="23" spans="1:14">
      <c r="A23" s="1" t="s">
        <v>3</v>
      </c>
      <c r="B23" s="14" t="s">
        <v>38</v>
      </c>
      <c r="C23" s="24">
        <v>50000</v>
      </c>
      <c r="D23" s="9">
        <v>50000</v>
      </c>
      <c r="E23" s="9">
        <v>50000</v>
      </c>
      <c r="F23" s="9">
        <v>50000</v>
      </c>
      <c r="G23" s="9">
        <v>50000</v>
      </c>
      <c r="H23" s="9">
        <v>50000</v>
      </c>
      <c r="I23" s="29">
        <v>50000</v>
      </c>
      <c r="J23" s="33">
        <f t="shared" si="3"/>
        <v>350000</v>
      </c>
      <c r="K23" s="9">
        <v>50000</v>
      </c>
      <c r="L23" s="10">
        <v>0</v>
      </c>
      <c r="M23" s="18">
        <f t="shared" si="4"/>
        <v>50000</v>
      </c>
      <c r="N23" s="18">
        <f t="shared" si="5"/>
        <v>400000</v>
      </c>
    </row>
    <row r="24" spans="1:14">
      <c r="A24" s="1" t="s">
        <v>3</v>
      </c>
      <c r="B24" s="14" t="s">
        <v>39</v>
      </c>
      <c r="C24" s="24">
        <v>15000</v>
      </c>
      <c r="D24" s="9">
        <v>0</v>
      </c>
      <c r="E24" s="9">
        <v>15000</v>
      </c>
      <c r="F24" s="9">
        <v>0</v>
      </c>
      <c r="G24" s="9">
        <v>0</v>
      </c>
      <c r="H24" s="9">
        <v>0</v>
      </c>
      <c r="I24" s="29">
        <v>0</v>
      </c>
      <c r="J24" s="33">
        <f t="shared" si="3"/>
        <v>30000</v>
      </c>
      <c r="K24" s="9">
        <v>0</v>
      </c>
      <c r="L24" s="10">
        <v>0</v>
      </c>
      <c r="M24" s="18">
        <f t="shared" si="4"/>
        <v>0</v>
      </c>
      <c r="N24" s="18">
        <f t="shared" si="5"/>
        <v>30000</v>
      </c>
    </row>
    <row r="25" spans="1:14">
      <c r="A25" s="1" t="s">
        <v>3</v>
      </c>
      <c r="B25" s="14" t="s">
        <v>40</v>
      </c>
      <c r="C25" s="24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29">
        <v>0</v>
      </c>
      <c r="J25" s="33">
        <f t="shared" si="3"/>
        <v>0</v>
      </c>
      <c r="K25" s="9">
        <v>0</v>
      </c>
      <c r="L25" s="10">
        <v>83490</v>
      </c>
      <c r="M25" s="18">
        <f t="shared" si="4"/>
        <v>83490</v>
      </c>
      <c r="N25" s="18">
        <f t="shared" si="5"/>
        <v>83490</v>
      </c>
    </row>
    <row r="26" spans="1:14">
      <c r="A26" s="1" t="s">
        <v>3</v>
      </c>
      <c r="B26" s="14" t="s">
        <v>41</v>
      </c>
      <c r="C26" s="24">
        <v>4066</v>
      </c>
      <c r="D26" s="9">
        <v>4100</v>
      </c>
      <c r="E26" s="9">
        <v>3933</v>
      </c>
      <c r="F26" s="9">
        <v>4400</v>
      </c>
      <c r="G26" s="9">
        <v>4466</v>
      </c>
      <c r="H26" s="9">
        <v>0</v>
      </c>
      <c r="I26" s="29">
        <v>0</v>
      </c>
      <c r="J26" s="33">
        <f t="shared" si="3"/>
        <v>20965</v>
      </c>
      <c r="K26" s="9">
        <v>0</v>
      </c>
      <c r="L26" s="10">
        <v>0</v>
      </c>
      <c r="M26" s="18">
        <f t="shared" si="4"/>
        <v>0</v>
      </c>
      <c r="N26" s="18">
        <f t="shared" si="5"/>
        <v>20965</v>
      </c>
    </row>
    <row r="27" spans="1:14">
      <c r="A27" s="1" t="s">
        <v>3</v>
      </c>
      <c r="B27" s="14" t="s">
        <v>42</v>
      </c>
      <c r="C27" s="24">
        <v>6000</v>
      </c>
      <c r="D27" s="9">
        <v>3500</v>
      </c>
      <c r="E27" s="9">
        <v>6000</v>
      </c>
      <c r="F27" s="9">
        <v>6000</v>
      </c>
      <c r="G27" s="9">
        <v>6000</v>
      </c>
      <c r="H27" s="9">
        <v>0</v>
      </c>
      <c r="I27" s="29">
        <v>0</v>
      </c>
      <c r="J27" s="33">
        <f t="shared" si="3"/>
        <v>27500</v>
      </c>
      <c r="K27" s="9">
        <v>0</v>
      </c>
      <c r="L27" s="10">
        <v>0</v>
      </c>
      <c r="M27" s="18">
        <f t="shared" si="4"/>
        <v>0</v>
      </c>
      <c r="N27" s="18">
        <f t="shared" si="5"/>
        <v>27500</v>
      </c>
    </row>
    <row r="28" spans="1:14">
      <c r="A28" s="1" t="s">
        <v>3</v>
      </c>
      <c r="B28" s="14" t="s">
        <v>43</v>
      </c>
      <c r="C28" s="24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29">
        <v>0</v>
      </c>
      <c r="J28" s="33">
        <f t="shared" si="3"/>
        <v>0</v>
      </c>
      <c r="K28" s="9">
        <v>0</v>
      </c>
      <c r="L28" s="10">
        <v>7590</v>
      </c>
      <c r="M28" s="18">
        <f t="shared" si="4"/>
        <v>7590</v>
      </c>
      <c r="N28" s="18">
        <f t="shared" si="5"/>
        <v>7590</v>
      </c>
    </row>
    <row r="29" spans="1:14">
      <c r="A29" s="1" t="s">
        <v>3</v>
      </c>
      <c r="B29" s="14" t="s">
        <v>44</v>
      </c>
      <c r="C29" s="24">
        <v>10500</v>
      </c>
      <c r="D29" s="9">
        <v>13500</v>
      </c>
      <c r="E29" s="9">
        <v>13000</v>
      </c>
      <c r="F29" s="9">
        <v>13000</v>
      </c>
      <c r="G29" s="9">
        <v>13000</v>
      </c>
      <c r="H29" s="9">
        <v>8000</v>
      </c>
      <c r="I29" s="29">
        <v>8000</v>
      </c>
      <c r="J29" s="33">
        <f t="shared" si="3"/>
        <v>79000</v>
      </c>
      <c r="K29" s="9">
        <v>0</v>
      </c>
      <c r="L29" s="10">
        <v>0</v>
      </c>
      <c r="M29" s="18">
        <f t="shared" si="4"/>
        <v>0</v>
      </c>
      <c r="N29" s="18">
        <f t="shared" si="5"/>
        <v>79000</v>
      </c>
    </row>
    <row r="30" spans="1:14">
      <c r="A30" s="1" t="s">
        <v>3</v>
      </c>
      <c r="B30" s="14" t="s">
        <v>29</v>
      </c>
      <c r="C30" s="24">
        <v>60300</v>
      </c>
      <c r="D30" s="9">
        <v>55328</v>
      </c>
      <c r="E30" s="9">
        <v>58249</v>
      </c>
      <c r="F30" s="9">
        <v>77039</v>
      </c>
      <c r="G30" s="9">
        <v>49426</v>
      </c>
      <c r="H30" s="9">
        <v>74992</v>
      </c>
      <c r="I30" s="29">
        <v>54064</v>
      </c>
      <c r="J30" s="33">
        <f t="shared" si="3"/>
        <v>429398</v>
      </c>
      <c r="K30" s="9">
        <v>0</v>
      </c>
      <c r="L30" s="10">
        <v>0</v>
      </c>
      <c r="M30" s="18">
        <f t="shared" si="4"/>
        <v>0</v>
      </c>
      <c r="N30" s="18">
        <f t="shared" si="5"/>
        <v>429398</v>
      </c>
    </row>
    <row r="31" spans="1:14">
      <c r="A31" s="1" t="s">
        <v>3</v>
      </c>
      <c r="B31" s="14" t="s">
        <v>45</v>
      </c>
      <c r="C31" s="24">
        <v>19539</v>
      </c>
      <c r="D31" s="9">
        <v>25608</v>
      </c>
      <c r="E31" s="9">
        <v>0</v>
      </c>
      <c r="F31" s="9">
        <v>28406</v>
      </c>
      <c r="G31" s="9">
        <v>24636</v>
      </c>
      <c r="H31" s="9">
        <v>0</v>
      </c>
      <c r="I31" s="29">
        <v>0</v>
      </c>
      <c r="J31" s="33">
        <f t="shared" si="3"/>
        <v>98189</v>
      </c>
      <c r="K31" s="9">
        <v>0</v>
      </c>
      <c r="L31" s="10">
        <v>0</v>
      </c>
      <c r="M31" s="18">
        <f t="shared" si="4"/>
        <v>0</v>
      </c>
      <c r="N31" s="18">
        <f t="shared" si="5"/>
        <v>98189</v>
      </c>
    </row>
    <row r="32" spans="1:14">
      <c r="A32" s="1" t="s">
        <v>3</v>
      </c>
      <c r="B32" s="14" t="s">
        <v>46</v>
      </c>
      <c r="C32" s="24">
        <v>0</v>
      </c>
      <c r="D32" s="9">
        <v>0</v>
      </c>
      <c r="E32" s="9">
        <v>8116</v>
      </c>
      <c r="F32" s="9">
        <v>18261</v>
      </c>
      <c r="G32" s="9">
        <v>10265</v>
      </c>
      <c r="H32" s="9">
        <v>7532</v>
      </c>
      <c r="I32" s="29">
        <v>7532</v>
      </c>
      <c r="J32" s="33">
        <f t="shared" si="3"/>
        <v>51706</v>
      </c>
      <c r="K32" s="9">
        <v>0</v>
      </c>
      <c r="L32" s="10">
        <v>0</v>
      </c>
      <c r="M32" s="18">
        <f t="shared" si="4"/>
        <v>0</v>
      </c>
      <c r="N32" s="18">
        <f t="shared" si="5"/>
        <v>51706</v>
      </c>
    </row>
    <row r="33" spans="1:14">
      <c r="A33" s="1" t="s">
        <v>3</v>
      </c>
      <c r="B33" s="62" t="s">
        <v>33</v>
      </c>
      <c r="C33" s="63">
        <v>4020</v>
      </c>
      <c r="D33" s="64">
        <v>1185</v>
      </c>
      <c r="E33" s="64">
        <v>2256</v>
      </c>
      <c r="F33" s="64">
        <v>3384</v>
      </c>
      <c r="G33" s="64">
        <v>1140</v>
      </c>
      <c r="H33" s="64">
        <v>2443</v>
      </c>
      <c r="I33" s="65">
        <v>2094</v>
      </c>
      <c r="J33" s="66">
        <f t="shared" si="3"/>
        <v>16522</v>
      </c>
      <c r="K33" s="64">
        <v>0</v>
      </c>
      <c r="L33" s="67">
        <v>0</v>
      </c>
      <c r="M33" s="68">
        <f t="shared" si="4"/>
        <v>0</v>
      </c>
      <c r="N33" s="68">
        <f t="shared" si="5"/>
        <v>16522</v>
      </c>
    </row>
    <row r="34" spans="1:14">
      <c r="A34" s="1" t="s">
        <v>3</v>
      </c>
      <c r="B34" s="69" t="s">
        <v>47</v>
      </c>
      <c r="C34" s="70">
        <v>371425</v>
      </c>
      <c r="D34" s="71">
        <v>350221</v>
      </c>
      <c r="E34" s="71">
        <v>338554</v>
      </c>
      <c r="F34" s="71">
        <v>382490</v>
      </c>
      <c r="G34" s="71">
        <v>343933</v>
      </c>
      <c r="H34" s="71">
        <v>317967</v>
      </c>
      <c r="I34" s="72">
        <v>296690</v>
      </c>
      <c r="J34" s="73">
        <f t="shared" si="3"/>
        <v>2401280</v>
      </c>
      <c r="K34" s="71">
        <v>420000</v>
      </c>
      <c r="L34" s="74">
        <v>91080</v>
      </c>
      <c r="M34" s="75">
        <f t="shared" si="4"/>
        <v>511080</v>
      </c>
      <c r="N34" s="75">
        <f t="shared" si="5"/>
        <v>2912360</v>
      </c>
    </row>
    <row r="35" spans="1:14">
      <c r="A35" s="1" t="s">
        <v>3</v>
      </c>
      <c r="B35" s="69" t="s">
        <v>48</v>
      </c>
      <c r="C35" s="70">
        <v>4680</v>
      </c>
      <c r="D35" s="71">
        <v>7955</v>
      </c>
      <c r="E35" s="71">
        <v>4475</v>
      </c>
      <c r="F35" s="71">
        <v>3640</v>
      </c>
      <c r="G35" s="71">
        <v>4940</v>
      </c>
      <c r="H35" s="71">
        <v>5967</v>
      </c>
      <c r="I35" s="72">
        <v>3458</v>
      </c>
      <c r="J35" s="73">
        <f t="shared" si="3"/>
        <v>35115</v>
      </c>
      <c r="K35" s="71">
        <v>11856</v>
      </c>
      <c r="L35" s="74">
        <v>6160</v>
      </c>
      <c r="M35" s="75">
        <f t="shared" si="4"/>
        <v>18016</v>
      </c>
      <c r="N35" s="75">
        <f t="shared" si="5"/>
        <v>53131</v>
      </c>
    </row>
    <row r="36" spans="1:14">
      <c r="A36" s="1" t="s">
        <v>3</v>
      </c>
      <c r="B36" s="69" t="s">
        <v>49</v>
      </c>
      <c r="C36" s="70">
        <v>4680</v>
      </c>
      <c r="D36" s="71">
        <v>7955</v>
      </c>
      <c r="E36" s="71">
        <v>4475</v>
      </c>
      <c r="F36" s="71">
        <v>3640</v>
      </c>
      <c r="G36" s="71">
        <v>4940</v>
      </c>
      <c r="H36" s="71">
        <v>5967</v>
      </c>
      <c r="I36" s="72">
        <v>3458</v>
      </c>
      <c r="J36" s="73">
        <f t="shared" si="3"/>
        <v>35115</v>
      </c>
      <c r="K36" s="71">
        <v>11856</v>
      </c>
      <c r="L36" s="74">
        <v>6160</v>
      </c>
      <c r="M36" s="75">
        <f t="shared" si="4"/>
        <v>18016</v>
      </c>
      <c r="N36" s="75">
        <f t="shared" si="5"/>
        <v>53131</v>
      </c>
    </row>
    <row r="37" spans="1:14">
      <c r="A37" s="1" t="s">
        <v>3</v>
      </c>
      <c r="B37" s="69" t="s">
        <v>50</v>
      </c>
      <c r="C37" s="70">
        <v>376105</v>
      </c>
      <c r="D37" s="71">
        <v>358176</v>
      </c>
      <c r="E37" s="71">
        <v>343029</v>
      </c>
      <c r="F37" s="71">
        <v>386130</v>
      </c>
      <c r="G37" s="71">
        <v>348873</v>
      </c>
      <c r="H37" s="71">
        <v>323934</v>
      </c>
      <c r="I37" s="72">
        <v>300148</v>
      </c>
      <c r="J37" s="73">
        <f t="shared" si="3"/>
        <v>2436395</v>
      </c>
      <c r="K37" s="71">
        <v>431856</v>
      </c>
      <c r="L37" s="74">
        <v>97240</v>
      </c>
      <c r="M37" s="75">
        <f t="shared" si="4"/>
        <v>529096</v>
      </c>
      <c r="N37" s="75">
        <f t="shared" si="5"/>
        <v>2965491</v>
      </c>
    </row>
    <row r="38" spans="1:14">
      <c r="A38" s="1" t="s">
        <v>3</v>
      </c>
      <c r="B38" s="35" t="s">
        <v>51</v>
      </c>
      <c r="C38" s="49">
        <v>19380</v>
      </c>
      <c r="D38" s="50">
        <v>18360</v>
      </c>
      <c r="E38" s="50">
        <v>17340</v>
      </c>
      <c r="F38" s="50">
        <v>18360</v>
      </c>
      <c r="G38" s="50">
        <v>18360</v>
      </c>
      <c r="H38" s="50">
        <v>16320</v>
      </c>
      <c r="I38" s="51">
        <v>15300</v>
      </c>
      <c r="J38" s="52">
        <f t="shared" si="3"/>
        <v>123420</v>
      </c>
      <c r="K38" s="50">
        <v>22440</v>
      </c>
      <c r="L38" s="53">
        <v>0</v>
      </c>
      <c r="M38" s="54">
        <f t="shared" si="4"/>
        <v>22440</v>
      </c>
      <c r="N38" s="54">
        <f t="shared" si="5"/>
        <v>145860</v>
      </c>
    </row>
    <row r="39" spans="1:14">
      <c r="A39" s="1" t="s">
        <v>3</v>
      </c>
      <c r="B39" s="14" t="s">
        <v>52</v>
      </c>
      <c r="C39" s="24">
        <v>3420</v>
      </c>
      <c r="D39" s="9">
        <v>3240</v>
      </c>
      <c r="E39" s="9">
        <v>3060</v>
      </c>
      <c r="F39" s="9">
        <v>3240</v>
      </c>
      <c r="G39" s="9">
        <v>3240</v>
      </c>
      <c r="H39" s="9">
        <v>2880</v>
      </c>
      <c r="I39" s="29">
        <v>2700</v>
      </c>
      <c r="J39" s="33">
        <f t="shared" si="3"/>
        <v>21780</v>
      </c>
      <c r="K39" s="9">
        <v>3960</v>
      </c>
      <c r="L39" s="10">
        <v>0</v>
      </c>
      <c r="M39" s="18">
        <f t="shared" si="4"/>
        <v>3960</v>
      </c>
      <c r="N39" s="18">
        <f t="shared" si="5"/>
        <v>25740</v>
      </c>
    </row>
    <row r="40" spans="1:14">
      <c r="A40" s="1" t="s">
        <v>3</v>
      </c>
      <c r="B40" s="14" t="s">
        <v>53</v>
      </c>
      <c r="C40" s="24">
        <v>34770</v>
      </c>
      <c r="D40" s="9">
        <v>32940</v>
      </c>
      <c r="E40" s="9">
        <v>31110</v>
      </c>
      <c r="F40" s="9">
        <v>32940</v>
      </c>
      <c r="G40" s="9">
        <v>32940</v>
      </c>
      <c r="H40" s="9">
        <v>29280</v>
      </c>
      <c r="I40" s="29">
        <v>27450</v>
      </c>
      <c r="J40" s="33">
        <f t="shared" si="3"/>
        <v>221430</v>
      </c>
      <c r="K40" s="9">
        <v>40260</v>
      </c>
      <c r="L40" s="10">
        <v>0</v>
      </c>
      <c r="M40" s="18">
        <f t="shared" si="4"/>
        <v>40260</v>
      </c>
      <c r="N40" s="18">
        <f t="shared" si="5"/>
        <v>261690</v>
      </c>
    </row>
    <row r="41" spans="1:14">
      <c r="A41" s="1" t="s">
        <v>3</v>
      </c>
      <c r="B41" s="14" t="s">
        <v>54</v>
      </c>
      <c r="C41" s="24">
        <v>2069</v>
      </c>
      <c r="D41" s="9">
        <v>1970</v>
      </c>
      <c r="E41" s="9">
        <v>1887</v>
      </c>
      <c r="F41" s="9">
        <v>2124</v>
      </c>
      <c r="G41" s="9">
        <v>1919</v>
      </c>
      <c r="H41" s="9">
        <v>1782</v>
      </c>
      <c r="I41" s="29">
        <v>1651</v>
      </c>
      <c r="J41" s="33">
        <f t="shared" si="3"/>
        <v>13402</v>
      </c>
      <c r="K41" s="9">
        <v>2375</v>
      </c>
      <c r="L41" s="10">
        <v>535</v>
      </c>
      <c r="M41" s="18">
        <f t="shared" si="4"/>
        <v>2910</v>
      </c>
      <c r="N41" s="18">
        <f t="shared" si="5"/>
        <v>16312</v>
      </c>
    </row>
    <row r="42" spans="1:14">
      <c r="A42" s="1" t="s">
        <v>3</v>
      </c>
      <c r="B42" s="62" t="s">
        <v>55</v>
      </c>
      <c r="C42" s="63">
        <v>0</v>
      </c>
      <c r="D42" s="64">
        <v>0</v>
      </c>
      <c r="E42" s="64">
        <v>10000</v>
      </c>
      <c r="F42" s="64">
        <v>0</v>
      </c>
      <c r="G42" s="64">
        <v>0</v>
      </c>
      <c r="H42" s="64">
        <v>0</v>
      </c>
      <c r="I42" s="65">
        <v>0</v>
      </c>
      <c r="J42" s="66">
        <f t="shared" si="3"/>
        <v>10000</v>
      </c>
      <c r="K42" s="64">
        <v>0</v>
      </c>
      <c r="L42" s="67">
        <v>0</v>
      </c>
      <c r="M42" s="68">
        <f t="shared" si="4"/>
        <v>0</v>
      </c>
      <c r="N42" s="68">
        <f t="shared" si="5"/>
        <v>10000</v>
      </c>
    </row>
    <row r="43" spans="1:14">
      <c r="A43" s="1" t="s">
        <v>3</v>
      </c>
      <c r="B43" s="69" t="s">
        <v>56</v>
      </c>
      <c r="C43" s="70">
        <v>59639</v>
      </c>
      <c r="D43" s="71">
        <v>56510</v>
      </c>
      <c r="E43" s="71">
        <v>63397</v>
      </c>
      <c r="F43" s="71">
        <v>56664</v>
      </c>
      <c r="G43" s="71">
        <v>56459</v>
      </c>
      <c r="H43" s="71">
        <v>50262</v>
      </c>
      <c r="I43" s="72">
        <v>47101</v>
      </c>
      <c r="J43" s="73">
        <f t="shared" si="3"/>
        <v>390032</v>
      </c>
      <c r="K43" s="71">
        <v>69035</v>
      </c>
      <c r="L43" s="74">
        <v>535</v>
      </c>
      <c r="M43" s="75">
        <f t="shared" si="4"/>
        <v>69570</v>
      </c>
      <c r="N43" s="75">
        <f t="shared" si="5"/>
        <v>459602</v>
      </c>
    </row>
    <row r="44" spans="1:14">
      <c r="A44" s="1" t="s">
        <v>3</v>
      </c>
      <c r="B44" s="35" t="s">
        <v>57</v>
      </c>
      <c r="C44" s="49">
        <v>9340</v>
      </c>
      <c r="D44" s="50">
        <v>6500</v>
      </c>
      <c r="E44" s="50">
        <v>4220</v>
      </c>
      <c r="F44" s="50">
        <v>10490</v>
      </c>
      <c r="G44" s="50">
        <v>4660</v>
      </c>
      <c r="H44" s="50">
        <v>7180</v>
      </c>
      <c r="I44" s="51">
        <v>6540</v>
      </c>
      <c r="J44" s="52">
        <f t="shared" si="3"/>
        <v>48930</v>
      </c>
      <c r="K44" s="50">
        <v>7190</v>
      </c>
      <c r="L44" s="53">
        <v>240</v>
      </c>
      <c r="M44" s="54">
        <f t="shared" si="4"/>
        <v>7430</v>
      </c>
      <c r="N44" s="54">
        <f t="shared" si="5"/>
        <v>56360</v>
      </c>
    </row>
    <row r="45" spans="1:14">
      <c r="A45" s="1" t="s">
        <v>3</v>
      </c>
      <c r="B45" s="62" t="s">
        <v>58</v>
      </c>
      <c r="C45" s="63">
        <v>17400</v>
      </c>
      <c r="D45" s="64">
        <v>15200</v>
      </c>
      <c r="E45" s="64">
        <v>9700</v>
      </c>
      <c r="F45" s="64">
        <v>16400</v>
      </c>
      <c r="G45" s="64">
        <v>2700</v>
      </c>
      <c r="H45" s="64">
        <v>0</v>
      </c>
      <c r="I45" s="65">
        <v>0</v>
      </c>
      <c r="J45" s="66">
        <f t="shared" si="3"/>
        <v>61400</v>
      </c>
      <c r="K45" s="64">
        <v>23100</v>
      </c>
      <c r="L45" s="67">
        <v>1200</v>
      </c>
      <c r="M45" s="68">
        <f t="shared" si="4"/>
        <v>24300</v>
      </c>
      <c r="N45" s="68">
        <f t="shared" si="5"/>
        <v>85700</v>
      </c>
    </row>
    <row r="46" spans="1:14">
      <c r="A46" s="1" t="s">
        <v>3</v>
      </c>
      <c r="B46" s="69" t="s">
        <v>59</v>
      </c>
      <c r="C46" s="70">
        <v>86379</v>
      </c>
      <c r="D46" s="71">
        <v>78210</v>
      </c>
      <c r="E46" s="71">
        <v>77317</v>
      </c>
      <c r="F46" s="71">
        <v>83554</v>
      </c>
      <c r="G46" s="71">
        <v>63819</v>
      </c>
      <c r="H46" s="71">
        <v>57442</v>
      </c>
      <c r="I46" s="72">
        <v>53641</v>
      </c>
      <c r="J46" s="73">
        <f t="shared" si="3"/>
        <v>500362</v>
      </c>
      <c r="K46" s="71">
        <v>99325</v>
      </c>
      <c r="L46" s="74">
        <v>1975</v>
      </c>
      <c r="M46" s="75">
        <f t="shared" si="4"/>
        <v>101300</v>
      </c>
      <c r="N46" s="75">
        <f t="shared" si="5"/>
        <v>601662</v>
      </c>
    </row>
    <row r="47" spans="1:14">
      <c r="A47" s="1" t="s">
        <v>3</v>
      </c>
      <c r="B47" s="69" t="s">
        <v>60</v>
      </c>
      <c r="C47" s="70">
        <v>311786</v>
      </c>
      <c r="D47" s="71">
        <v>293711</v>
      </c>
      <c r="E47" s="71">
        <v>275157</v>
      </c>
      <c r="F47" s="71">
        <v>325826</v>
      </c>
      <c r="G47" s="71">
        <v>287474</v>
      </c>
      <c r="H47" s="71">
        <v>267705</v>
      </c>
      <c r="I47" s="72">
        <v>249589</v>
      </c>
      <c r="J47" s="73">
        <f t="shared" si="3"/>
        <v>2011248</v>
      </c>
      <c r="K47" s="71">
        <v>350965</v>
      </c>
      <c r="L47" s="74">
        <v>90545</v>
      </c>
      <c r="M47" s="75">
        <f t="shared" si="4"/>
        <v>441510</v>
      </c>
      <c r="N47" s="75">
        <f t="shared" si="5"/>
        <v>2452758</v>
      </c>
    </row>
    <row r="48" spans="1:14">
      <c r="A48" s="1" t="s">
        <v>3</v>
      </c>
      <c r="B48" s="69" t="s">
        <v>61</v>
      </c>
      <c r="C48" s="70">
        <v>289726</v>
      </c>
      <c r="D48" s="71">
        <v>279966</v>
      </c>
      <c r="E48" s="71">
        <v>265712</v>
      </c>
      <c r="F48" s="71">
        <v>302576</v>
      </c>
      <c r="G48" s="71">
        <v>285054</v>
      </c>
      <c r="H48" s="71">
        <v>266492</v>
      </c>
      <c r="I48" s="72">
        <v>246507</v>
      </c>
      <c r="J48" s="73">
        <f t="shared" si="3"/>
        <v>1936033</v>
      </c>
      <c r="K48" s="71">
        <v>332531</v>
      </c>
      <c r="L48" s="74">
        <v>95265</v>
      </c>
      <c r="M48" s="75">
        <f t="shared" si="4"/>
        <v>427796</v>
      </c>
      <c r="N48" s="75">
        <f t="shared" si="5"/>
        <v>2363829</v>
      </c>
    </row>
    <row r="49" spans="1:14">
      <c r="A49" s="1" t="s">
        <v>3</v>
      </c>
      <c r="B49" s="69" t="s">
        <v>62</v>
      </c>
      <c r="C49" s="70">
        <v>289726</v>
      </c>
      <c r="D49" s="71">
        <v>279966</v>
      </c>
      <c r="E49" s="71">
        <v>265712</v>
      </c>
      <c r="F49" s="71">
        <v>302576</v>
      </c>
      <c r="G49" s="71">
        <v>285054</v>
      </c>
      <c r="H49" s="71">
        <v>266492</v>
      </c>
      <c r="I49" s="72">
        <v>246507</v>
      </c>
      <c r="J49" s="73">
        <f t="shared" si="3"/>
        <v>1936033</v>
      </c>
      <c r="K49" s="71">
        <v>332531</v>
      </c>
      <c r="L49" s="74">
        <v>95265</v>
      </c>
      <c r="M49" s="75">
        <f t="shared" si="4"/>
        <v>427796</v>
      </c>
      <c r="N49" s="75">
        <f t="shared" si="5"/>
        <v>2363829</v>
      </c>
    </row>
    <row r="50" spans="1:14">
      <c r="A50" s="1" t="s">
        <v>3</v>
      </c>
      <c r="B50" s="35" t="s">
        <v>63</v>
      </c>
      <c r="C50" s="49">
        <v>0</v>
      </c>
      <c r="D50" s="50">
        <v>1</v>
      </c>
      <c r="E50" s="50">
        <v>2</v>
      </c>
      <c r="F50" s="50">
        <v>0</v>
      </c>
      <c r="G50" s="50">
        <v>2</v>
      </c>
      <c r="H50" s="50">
        <v>0</v>
      </c>
      <c r="I50" s="51">
        <v>0</v>
      </c>
      <c r="J50" s="52"/>
      <c r="K50" s="50">
        <v>2</v>
      </c>
      <c r="L50" s="53">
        <v>0</v>
      </c>
      <c r="M50" s="54"/>
      <c r="N50" s="54"/>
    </row>
    <row r="51" spans="1:14" ht="19.5" thickBot="1">
      <c r="A51" s="1" t="s">
        <v>3</v>
      </c>
      <c r="B51" s="15" t="s">
        <v>64</v>
      </c>
      <c r="C51" s="25" t="s">
        <v>65</v>
      </c>
      <c r="D51" s="11" t="s">
        <v>65</v>
      </c>
      <c r="E51" s="11" t="s">
        <v>65</v>
      </c>
      <c r="F51" s="11" t="s">
        <v>65</v>
      </c>
      <c r="G51" s="11" t="s">
        <v>65</v>
      </c>
      <c r="H51" s="11" t="s">
        <v>65</v>
      </c>
      <c r="I51" s="30" t="s">
        <v>65</v>
      </c>
      <c r="J51" s="34"/>
      <c r="K51" s="11" t="s">
        <v>65</v>
      </c>
      <c r="L51" s="12" t="s">
        <v>65</v>
      </c>
      <c r="M51" s="19"/>
      <c r="N51" s="19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2025年11月度給与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dcterms:created xsi:type="dcterms:W3CDTF">2025-12-08T14:15:06Z</dcterms:created>
  <dcterms:modified xsi:type="dcterms:W3CDTF">2025-12-10T04:42:33Z</dcterms:modified>
</cp:coreProperties>
</file>