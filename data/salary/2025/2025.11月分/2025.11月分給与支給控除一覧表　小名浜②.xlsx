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浅田恵美子\総務・経理\01給与\02給与集計内訳\2025\2025.11月分\"/>
    </mc:Choice>
  </mc:AlternateContent>
  <xr:revisionPtr revIDLastSave="0" documentId="13_ncr:1_{BA0EBD27-DF29-405A-B72E-CA61A71528DD}" xr6:coauthVersionLast="47" xr6:coauthVersionMax="47" xr10:uidLastSave="{00000000-0000-0000-0000-000000000000}"/>
  <bookViews>
    <workbookView xWindow="-120" yWindow="-120" windowWidth="20730" windowHeight="11040" xr2:uid="{5D4D7542-871D-4BA3-93C5-D354D94AC8AB}"/>
  </bookViews>
  <sheets>
    <sheet name="2025年11月度給与" sheetId="2" r:id="rId1"/>
    <sheet name="2025年11月度給与 (2)" sheetId="3" r:id="rId2"/>
    <sheet name="2025年11月度給与 (3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4" i="4" l="1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N54" i="3"/>
  <c r="L54" i="3"/>
  <c r="N53" i="3"/>
  <c r="L53" i="3"/>
  <c r="N52" i="3"/>
  <c r="L52" i="3"/>
  <c r="N51" i="3"/>
  <c r="L51" i="3"/>
  <c r="N50" i="3"/>
  <c r="L50" i="3"/>
  <c r="N49" i="3"/>
  <c r="L49" i="3"/>
  <c r="N48" i="3"/>
  <c r="L48" i="3"/>
  <c r="N47" i="3"/>
  <c r="L47" i="3"/>
  <c r="N46" i="3"/>
  <c r="L46" i="3"/>
  <c r="N45" i="3"/>
  <c r="L45" i="3"/>
  <c r="N44" i="3"/>
  <c r="L44" i="3"/>
  <c r="N43" i="3"/>
  <c r="L43" i="3"/>
  <c r="N42" i="3"/>
  <c r="L42" i="3"/>
  <c r="N41" i="3"/>
  <c r="L41" i="3"/>
  <c r="N40" i="3"/>
  <c r="L40" i="3"/>
  <c r="N39" i="3"/>
  <c r="L39" i="3"/>
  <c r="N38" i="3"/>
  <c r="L38" i="3"/>
  <c r="N37" i="3"/>
  <c r="L37" i="3"/>
  <c r="N36" i="3"/>
  <c r="L36" i="3"/>
  <c r="N35" i="3"/>
  <c r="L35" i="3"/>
  <c r="N34" i="3"/>
  <c r="L34" i="3"/>
  <c r="N33" i="3"/>
  <c r="L33" i="3"/>
  <c r="N32" i="3"/>
  <c r="L32" i="3"/>
  <c r="N31" i="3"/>
  <c r="L31" i="3"/>
  <c r="N30" i="3"/>
  <c r="L30" i="3"/>
  <c r="N29" i="3"/>
  <c r="L29" i="3"/>
  <c r="N28" i="3"/>
  <c r="L28" i="3"/>
  <c r="N27" i="3"/>
  <c r="L27" i="3"/>
  <c r="N26" i="3"/>
  <c r="L26" i="3"/>
  <c r="N25" i="3"/>
  <c r="L25" i="3"/>
  <c r="N24" i="3"/>
  <c r="L24" i="3"/>
  <c r="N23" i="3"/>
  <c r="L23" i="3"/>
  <c r="N21" i="3"/>
  <c r="L21" i="3"/>
  <c r="N20" i="3"/>
  <c r="L20" i="3"/>
  <c r="N19" i="3"/>
  <c r="L19" i="3"/>
  <c r="N18" i="3"/>
  <c r="L18" i="3"/>
  <c r="N17" i="3"/>
  <c r="L17" i="3"/>
  <c r="N16" i="3"/>
  <c r="L16" i="3"/>
  <c r="N15" i="3"/>
  <c r="L15" i="3"/>
  <c r="N14" i="3"/>
  <c r="L14" i="3"/>
  <c r="N13" i="3"/>
  <c r="L13" i="3"/>
  <c r="N12" i="3"/>
  <c r="L12" i="3"/>
  <c r="N11" i="3"/>
  <c r="L11" i="3"/>
  <c r="N10" i="3"/>
  <c r="L10" i="3"/>
  <c r="N9" i="3"/>
  <c r="L9" i="3"/>
  <c r="Q15" i="2"/>
  <c r="AD15" i="2" s="1"/>
  <c r="AD54" i="2"/>
  <c r="AC54" i="2"/>
  <c r="AD53" i="2"/>
  <c r="AC53" i="2"/>
  <c r="AD52" i="2"/>
  <c r="AC52" i="2"/>
  <c r="AD51" i="2"/>
  <c r="AC51" i="2"/>
  <c r="AD50" i="2"/>
  <c r="AC50" i="2"/>
  <c r="AD49" i="2"/>
  <c r="AC49" i="2"/>
  <c r="AD48" i="2"/>
  <c r="AC48" i="2"/>
  <c r="AD47" i="2"/>
  <c r="AC47" i="2"/>
  <c r="AD46" i="2"/>
  <c r="AC46" i="2"/>
  <c r="AD45" i="2"/>
  <c r="AC45" i="2"/>
  <c r="AD44" i="2"/>
  <c r="AC44" i="2"/>
  <c r="AD43" i="2"/>
  <c r="AC43" i="2"/>
  <c r="AD42" i="2"/>
  <c r="AC42" i="2"/>
  <c r="AD41" i="2"/>
  <c r="AC41" i="2"/>
  <c r="AD40" i="2"/>
  <c r="AC40" i="2"/>
  <c r="AD39" i="2"/>
  <c r="AC39" i="2"/>
  <c r="AD38" i="2"/>
  <c r="AC38" i="2"/>
  <c r="AD37" i="2"/>
  <c r="AC37" i="2"/>
  <c r="AD36" i="2"/>
  <c r="AC36" i="2"/>
  <c r="AD35" i="2"/>
  <c r="AC35" i="2"/>
  <c r="AD34" i="2"/>
  <c r="AC34" i="2"/>
  <c r="AD33" i="2"/>
  <c r="AC33" i="2"/>
  <c r="AD32" i="2"/>
  <c r="AC32" i="2"/>
  <c r="AD31" i="2"/>
  <c r="AC31" i="2"/>
  <c r="AD30" i="2"/>
  <c r="AC30" i="2"/>
  <c r="AD29" i="2"/>
  <c r="AC29" i="2"/>
  <c r="AD28" i="2"/>
  <c r="AC28" i="2"/>
  <c r="AD27" i="2"/>
  <c r="AC27" i="2"/>
  <c r="AD26" i="2"/>
  <c r="AC26" i="2"/>
  <c r="AD25" i="2"/>
  <c r="AC25" i="2"/>
  <c r="AD24" i="2"/>
  <c r="AC24" i="2"/>
  <c r="AD23" i="2"/>
  <c r="AC23" i="2"/>
  <c r="AD21" i="2"/>
  <c r="AC21" i="2"/>
  <c r="AD20" i="2"/>
  <c r="AC20" i="2"/>
  <c r="AD19" i="2"/>
  <c r="AC19" i="2"/>
  <c r="AD18" i="2"/>
  <c r="AC18" i="2"/>
  <c r="AD17" i="2"/>
  <c r="AC17" i="2"/>
  <c r="AD16" i="2"/>
  <c r="AC16" i="2"/>
  <c r="AC15" i="2"/>
  <c r="AD14" i="2"/>
  <c r="AC14" i="2"/>
  <c r="AD13" i="2"/>
  <c r="AC13" i="2"/>
  <c r="AD12" i="2"/>
  <c r="AC12" i="2"/>
  <c r="AD11" i="2"/>
  <c r="AC11" i="2"/>
  <c r="AD10" i="2"/>
  <c r="AC10" i="2"/>
  <c r="AD9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1" i="2"/>
  <c r="Q20" i="2"/>
  <c r="Q19" i="2"/>
  <c r="Q18" i="2"/>
  <c r="Q17" i="2"/>
  <c r="Q16" i="2"/>
  <c r="Q14" i="2"/>
  <c r="Q13" i="2"/>
  <c r="Q12" i="2"/>
  <c r="Q11" i="2"/>
  <c r="Q10" i="2"/>
  <c r="Q9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C9" i="2"/>
</calcChain>
</file>

<file path=xl/sharedStrings.xml><?xml version="1.0" encoding="utf-8"?>
<sst xmlns="http://schemas.openxmlformats.org/spreadsheetml/2006/main" count="466" uniqueCount="108">
  <si>
    <t>支給控除一覧表</t>
    <phoneticPr fontId="4"/>
  </si>
  <si>
    <t>若林運送株式会社</t>
    <phoneticPr fontId="4"/>
  </si>
  <si>
    <t>2025年12月 8日 作成</t>
    <phoneticPr fontId="4"/>
  </si>
  <si>
    <t/>
  </si>
  <si>
    <t>1006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</si>
  <si>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</si>
  <si>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</si>
  <si>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</si>
  <si>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</si>
  <si>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</si>
  <si>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</si>
  <si>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</si>
  <si>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</si>
  <si>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</si>
  <si>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</si>
  <si>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</si>
  <si>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</si>
  <si>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</si>
  <si>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</si>
  <si>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</si>
  <si>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</si>
  <si>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1119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</si>
  <si>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</si>
  <si>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</si>
  <si>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</si>
  <si>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</si>
  <si>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</si>
  <si>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</si>
  <si>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項目名</t>
    <phoneticPr fontId="4"/>
  </si>
  <si>
    <t>小林　啓一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</si>
  <si>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</si>
  <si>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</si>
  <si>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</si>
  <si>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</si>
  <si>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</si>
  <si>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</si>
  <si>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</si>
  <si>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</si>
  <si>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</si>
  <si>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</si>
  <si>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</si>
  <si>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</si>
  <si>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</si>
  <si>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</si>
  <si>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</si>
  <si>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</si>
  <si>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水町　賢土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</si>
  <si>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</si>
  <si>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</si>
  <si>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</si>
  <si>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</si>
  <si>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</si>
  <si>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</si>
  <si>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</si>
  <si>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</si>
  <si>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</si>
  <si>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</si>
  <si>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</si>
  <si>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</si>
  <si>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</si>
  <si>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</si>
  <si>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</si>
  <si>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</si>
  <si>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</si>
  <si>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</si>
  <si>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</si>
  <si>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</si>
  <si>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</si>
  <si>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</si>
  <si>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</si>
  <si>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</si>
  <si>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</si>
  <si>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</si>
  <si>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</si>
  <si>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</si>
  <si>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</si>
  <si>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</si>
  <si>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</si>
  <si>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</si>
  <si>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</si>
  <si>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</si>
  <si>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</si>
  <si>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</si>
  <si>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</si>
  <si>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</si>
  <si>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</si>
  <si>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</si>
  <si>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</si>
  <si>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</si>
  <si>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</si>
  <si>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</si>
  <si>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</si>
  <si>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</si>
  <si>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</si>
  <si>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</si>
  <si>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</si>
  <si>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</si>
  <si>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</si>
  <si>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</si>
  <si>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</si>
  <si>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2025年11月度給与</t>
    <phoneticPr fontId="4"/>
  </si>
  <si>
    <t>小計</t>
    <rPh sb="0" eb="2">
      <t>ショウケイ</t>
    </rPh>
    <phoneticPr fontId="3"/>
  </si>
  <si>
    <t>1名</t>
    <rPh sb="1" eb="2">
      <t>メイ</t>
    </rPh>
    <phoneticPr fontId="4"/>
  </si>
  <si>
    <t>14名</t>
    <rPh sb="2" eb="3">
      <t>メイ</t>
    </rPh>
    <phoneticPr fontId="4"/>
  </si>
  <si>
    <t>９名</t>
    <rPh sb="1" eb="2">
      <t>メイ</t>
    </rPh>
    <phoneticPr fontId="4"/>
  </si>
  <si>
    <t>10名</t>
    <rPh sb="2" eb="3">
      <t>メイ</t>
    </rPh>
    <phoneticPr fontId="4"/>
  </si>
  <si>
    <t>9名</t>
    <rPh sb="1" eb="2">
      <t>メイ</t>
    </rPh>
    <phoneticPr fontId="4"/>
  </si>
  <si>
    <t>24名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</si>
</sst>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0" fontId="2" fillId="0" borderId="15" xfId="1" applyFont="1" applyBorder="1" applyAlignment="1">
      <alignment horizontal="center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8" xfId="1" applyNumberFormat="1" applyFont="1" applyBorder="1"/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18" xfId="1" applyNumberFormat="1" applyFont="1" applyBorder="1"/>
    <xf numFmtId="176" fontId="2" fillId="0" borderId="18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/>
    <xf numFmtId="0" fontId="2" fillId="0" borderId="21" xfId="1" applyFont="1" applyBorder="1" applyAlignment="1">
      <alignment horizontal="center"/>
    </xf>
    <xf numFmtId="2" fontId="2" fillId="0" borderId="21" xfId="1" applyNumberFormat="1" applyFont="1" applyBorder="1"/>
    <xf numFmtId="176" fontId="2" fillId="0" borderId="21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31" xfId="1" applyNumberFormat="1" applyFont="1" applyBorder="1" applyAlignment="1">
      <alignment horizontal="left"/>
    </xf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23" xfId="1" applyNumberFormat="1" applyFont="1" applyBorder="1"/>
    <xf numFmtId="2" fontId="2" fillId="0" borderId="35" xfId="1" applyNumberFormat="1" applyFont="1" applyBorder="1"/>
    <xf numFmtId="2" fontId="2" fillId="0" borderId="36" xfId="1" applyNumberFormat="1" applyFont="1" applyBorder="1"/>
    <xf numFmtId="49" fontId="2" fillId="0" borderId="38" xfId="1" applyNumberFormat="1" applyFont="1" applyBorder="1" applyAlignment="1">
      <alignment horizontal="lef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5" xfId="1" applyNumberFormat="1" applyFont="1" applyBorder="1" applyAlignment="1">
      <alignment horizontal="left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0" fontId="2" fillId="0" borderId="14" xfId="1" applyFont="1" applyBorder="1" applyAlignment="1">
      <alignment horizontal="center"/>
    </xf>
    <xf numFmtId="0" fontId="2" fillId="0" borderId="20" xfId="1" applyFont="1" applyBorder="1" applyAlignment="1">
      <alignment horizontal="center"/>
    </xf>
  </cellXfs>
  <cellStyles count="2">
    <cellStyle name="標準" xfId="0" builtinId="0"/>
    <cellStyle name="標準 2" xfId="1" xr:uid="{644CAA02-8B8E-4168-985A-C5BF65815E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C50D-625B-450C-95EF-C597E9228299}">
  <dimension ref="A1:AD56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A7" sqref="AA7:AA8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4" width="11.125" style="2" bestFit="1" customWidth="1"/>
    <col min="15" max="15" width="9" style="2" bestFit="1" customWidth="1"/>
    <col min="16" max="16" width="11.125" style="2" bestFit="1" customWidth="1"/>
    <col min="17" max="17" width="9.625" style="2" bestFit="1" customWidth="1"/>
    <col min="18" max="18" width="11.125" style="2" bestFit="1" customWidth="1"/>
    <col min="19" max="19" width="13.25" style="2" bestFit="1" customWidth="1"/>
    <col min="20" max="25" width="11.125" style="2" bestFit="1" customWidth="1"/>
    <col min="26" max="26" width="9" style="2" bestFit="1" customWidth="1"/>
    <col min="27" max="27" width="9.625" style="2" bestFit="1" customWidth="1"/>
    <col min="28" max="28" width="11.125" style="2" bestFit="1" customWidth="1"/>
    <col min="29" max="30" width="9.625" style="2" bestFit="1" customWidth="1"/>
    <col min="31" max="259" width="9" style="2"/>
    <col min="260" max="260" width="2.375" style="2" customWidth="1"/>
    <col min="261" max="261" width="13.25" style="2" bestFit="1" customWidth="1"/>
    <col min="262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 bestFit="1"/>
    <col min="266" max="276" width="11.125" style="2" bestFit="1" customWidth="1"/>
    <col min="277" max="277" width="9" style="2" bestFit="1"/>
    <col min="278" max="284" width="11.125" style="2" bestFit="1" customWidth="1"/>
    <col min="285" max="285" width="9" style="2" bestFit="1"/>
    <col min="286" max="286" width="9.625" style="2" bestFit="1" customWidth="1"/>
    <col min="287" max="515" width="9" style="2"/>
    <col min="516" max="516" width="2.375" style="2" customWidth="1"/>
    <col min="517" max="517" width="13.25" style="2" bestFit="1" customWidth="1"/>
    <col min="518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 bestFit="1"/>
    <col min="522" max="532" width="11.125" style="2" bestFit="1" customWidth="1"/>
    <col min="533" max="533" width="9" style="2" bestFit="1"/>
    <col min="534" max="540" width="11.125" style="2" bestFit="1" customWidth="1"/>
    <col min="541" max="541" width="9" style="2" bestFit="1"/>
    <col min="542" max="542" width="9.625" style="2" bestFit="1" customWidth="1"/>
    <col min="543" max="771" width="9" style="2"/>
    <col min="772" max="772" width="2.375" style="2" customWidth="1"/>
    <col min="773" max="773" width="13.25" style="2" bestFit="1" customWidth="1"/>
    <col min="774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 bestFit="1"/>
    <col min="778" max="788" width="11.125" style="2" bestFit="1" customWidth="1"/>
    <col min="789" max="789" width="9" style="2" bestFit="1"/>
    <col min="790" max="796" width="11.125" style="2" bestFit="1" customWidth="1"/>
    <col min="797" max="797" width="9" style="2" bestFit="1"/>
    <col min="798" max="798" width="9.625" style="2" bestFit="1" customWidth="1"/>
    <col min="799" max="1027" width="9" style="2"/>
    <col min="1028" max="1028" width="2.375" style="2" customWidth="1"/>
    <col min="1029" max="1029" width="13.25" style="2" bestFit="1" customWidth="1"/>
    <col min="1030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 bestFit="1"/>
    <col min="1034" max="1044" width="11.125" style="2" bestFit="1" customWidth="1"/>
    <col min="1045" max="1045" width="9" style="2" bestFit="1"/>
    <col min="1046" max="1052" width="11.125" style="2" bestFit="1" customWidth="1"/>
    <col min="1053" max="1053" width="9" style="2" bestFit="1"/>
    <col min="1054" max="1054" width="9.625" style="2" bestFit="1" customWidth="1"/>
    <col min="1055" max="1283" width="9" style="2"/>
    <col min="1284" max="1284" width="2.375" style="2" customWidth="1"/>
    <col min="1285" max="1285" width="13.25" style="2" bestFit="1" customWidth="1"/>
    <col min="1286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 bestFit="1"/>
    <col min="1290" max="1300" width="11.125" style="2" bestFit="1" customWidth="1"/>
    <col min="1301" max="1301" width="9" style="2" bestFit="1"/>
    <col min="1302" max="1308" width="11.125" style="2" bestFit="1" customWidth="1"/>
    <col min="1309" max="1309" width="9" style="2" bestFit="1"/>
    <col min="1310" max="1310" width="9.625" style="2" bestFit="1" customWidth="1"/>
    <col min="1311" max="1539" width="9" style="2"/>
    <col min="1540" max="1540" width="2.375" style="2" customWidth="1"/>
    <col min="1541" max="1541" width="13.25" style="2" bestFit="1" customWidth="1"/>
    <col min="1542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 bestFit="1"/>
    <col min="1546" max="1556" width="11.125" style="2" bestFit="1" customWidth="1"/>
    <col min="1557" max="1557" width="9" style="2" bestFit="1"/>
    <col min="1558" max="1564" width="11.125" style="2" bestFit="1" customWidth="1"/>
    <col min="1565" max="1565" width="9" style="2" bestFit="1"/>
    <col min="1566" max="1566" width="9.625" style="2" bestFit="1" customWidth="1"/>
    <col min="1567" max="1795" width="9" style="2"/>
    <col min="1796" max="1796" width="2.375" style="2" customWidth="1"/>
    <col min="1797" max="1797" width="13.25" style="2" bestFit="1" customWidth="1"/>
    <col min="1798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 bestFit="1"/>
    <col min="1802" max="1812" width="11.125" style="2" bestFit="1" customWidth="1"/>
    <col min="1813" max="1813" width="9" style="2" bestFit="1"/>
    <col min="1814" max="1820" width="11.125" style="2" bestFit="1" customWidth="1"/>
    <col min="1821" max="1821" width="9" style="2" bestFit="1"/>
    <col min="1822" max="1822" width="9.625" style="2" bestFit="1" customWidth="1"/>
    <col min="1823" max="2051" width="9" style="2"/>
    <col min="2052" max="2052" width="2.375" style="2" customWidth="1"/>
    <col min="2053" max="2053" width="13.25" style="2" bestFit="1" customWidth="1"/>
    <col min="2054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 bestFit="1"/>
    <col min="2058" max="2068" width="11.125" style="2" bestFit="1" customWidth="1"/>
    <col min="2069" max="2069" width="9" style="2" bestFit="1"/>
    <col min="2070" max="2076" width="11.125" style="2" bestFit="1" customWidth="1"/>
    <col min="2077" max="2077" width="9" style="2" bestFit="1"/>
    <col min="2078" max="2078" width="9.625" style="2" bestFit="1" customWidth="1"/>
    <col min="2079" max="2307" width="9" style="2"/>
    <col min="2308" max="2308" width="2.375" style="2" customWidth="1"/>
    <col min="2309" max="2309" width="13.25" style="2" bestFit="1" customWidth="1"/>
    <col min="2310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 bestFit="1"/>
    <col min="2314" max="2324" width="11.125" style="2" bestFit="1" customWidth="1"/>
    <col min="2325" max="2325" width="9" style="2" bestFit="1"/>
    <col min="2326" max="2332" width="11.125" style="2" bestFit="1" customWidth="1"/>
    <col min="2333" max="2333" width="9" style="2" bestFit="1"/>
    <col min="2334" max="2334" width="9.625" style="2" bestFit="1" customWidth="1"/>
    <col min="2335" max="2563" width="9" style="2"/>
    <col min="2564" max="2564" width="2.375" style="2" customWidth="1"/>
    <col min="2565" max="2565" width="13.25" style="2" bestFit="1" customWidth="1"/>
    <col min="2566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 bestFit="1"/>
    <col min="2570" max="2580" width="11.125" style="2" bestFit="1" customWidth="1"/>
    <col min="2581" max="2581" width="9" style="2" bestFit="1"/>
    <col min="2582" max="2588" width="11.125" style="2" bestFit="1" customWidth="1"/>
    <col min="2589" max="2589" width="9" style="2" bestFit="1"/>
    <col min="2590" max="2590" width="9.625" style="2" bestFit="1" customWidth="1"/>
    <col min="2591" max="2819" width="9" style="2"/>
    <col min="2820" max="2820" width="2.375" style="2" customWidth="1"/>
    <col min="2821" max="2821" width="13.25" style="2" bestFit="1" customWidth="1"/>
    <col min="2822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 bestFit="1"/>
    <col min="2826" max="2836" width="11.125" style="2" bestFit="1" customWidth="1"/>
    <col min="2837" max="2837" width="9" style="2" bestFit="1"/>
    <col min="2838" max="2844" width="11.125" style="2" bestFit="1" customWidth="1"/>
    <col min="2845" max="2845" width="9" style="2" bestFit="1"/>
    <col min="2846" max="2846" width="9.625" style="2" bestFit="1" customWidth="1"/>
    <col min="2847" max="3075" width="9" style="2"/>
    <col min="3076" max="3076" width="2.375" style="2" customWidth="1"/>
    <col min="3077" max="3077" width="13.25" style="2" bestFit="1" customWidth="1"/>
    <col min="3078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 bestFit="1"/>
    <col min="3082" max="3092" width="11.125" style="2" bestFit="1" customWidth="1"/>
    <col min="3093" max="3093" width="9" style="2" bestFit="1"/>
    <col min="3094" max="3100" width="11.125" style="2" bestFit="1" customWidth="1"/>
    <col min="3101" max="3101" width="9" style="2" bestFit="1"/>
    <col min="3102" max="3102" width="9.625" style="2" bestFit="1" customWidth="1"/>
    <col min="3103" max="3331" width="9" style="2"/>
    <col min="3332" max="3332" width="2.375" style="2" customWidth="1"/>
    <col min="3333" max="3333" width="13.25" style="2" bestFit="1" customWidth="1"/>
    <col min="3334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 bestFit="1"/>
    <col min="3338" max="3348" width="11.125" style="2" bestFit="1" customWidth="1"/>
    <col min="3349" max="3349" width="9" style="2" bestFit="1"/>
    <col min="3350" max="3356" width="11.125" style="2" bestFit="1" customWidth="1"/>
    <col min="3357" max="3357" width="9" style="2" bestFit="1"/>
    <col min="3358" max="3358" width="9.625" style="2" bestFit="1" customWidth="1"/>
    <col min="3359" max="3587" width="9" style="2"/>
    <col min="3588" max="3588" width="2.375" style="2" customWidth="1"/>
    <col min="3589" max="3589" width="13.25" style="2" bestFit="1" customWidth="1"/>
    <col min="3590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 bestFit="1"/>
    <col min="3594" max="3604" width="11.125" style="2" bestFit="1" customWidth="1"/>
    <col min="3605" max="3605" width="9" style="2" bestFit="1"/>
    <col min="3606" max="3612" width="11.125" style="2" bestFit="1" customWidth="1"/>
    <col min="3613" max="3613" width="9" style="2" bestFit="1"/>
    <col min="3614" max="3614" width="9.625" style="2" bestFit="1" customWidth="1"/>
    <col min="3615" max="3843" width="9" style="2"/>
    <col min="3844" max="3844" width="2.375" style="2" customWidth="1"/>
    <col min="3845" max="3845" width="13.25" style="2" bestFit="1" customWidth="1"/>
    <col min="3846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 bestFit="1"/>
    <col min="3850" max="3860" width="11.125" style="2" bestFit="1" customWidth="1"/>
    <col min="3861" max="3861" width="9" style="2" bestFit="1"/>
    <col min="3862" max="3868" width="11.125" style="2" bestFit="1" customWidth="1"/>
    <col min="3869" max="3869" width="9" style="2" bestFit="1"/>
    <col min="3870" max="3870" width="9.625" style="2" bestFit="1" customWidth="1"/>
    <col min="3871" max="4099" width="9" style="2"/>
    <col min="4100" max="4100" width="2.375" style="2" customWidth="1"/>
    <col min="4101" max="4101" width="13.25" style="2" bestFit="1" customWidth="1"/>
    <col min="4102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 bestFit="1"/>
    <col min="4106" max="4116" width="11.125" style="2" bestFit="1" customWidth="1"/>
    <col min="4117" max="4117" width="9" style="2" bestFit="1"/>
    <col min="4118" max="4124" width="11.125" style="2" bestFit="1" customWidth="1"/>
    <col min="4125" max="4125" width="9" style="2" bestFit="1"/>
    <col min="4126" max="4126" width="9.625" style="2" bestFit="1" customWidth="1"/>
    <col min="4127" max="4355" width="9" style="2"/>
    <col min="4356" max="4356" width="2.375" style="2" customWidth="1"/>
    <col min="4357" max="4357" width="13.25" style="2" bestFit="1" customWidth="1"/>
    <col min="4358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 bestFit="1"/>
    <col min="4362" max="4372" width="11.125" style="2" bestFit="1" customWidth="1"/>
    <col min="4373" max="4373" width="9" style="2" bestFit="1"/>
    <col min="4374" max="4380" width="11.125" style="2" bestFit="1" customWidth="1"/>
    <col min="4381" max="4381" width="9" style="2" bestFit="1"/>
    <col min="4382" max="4382" width="9.625" style="2" bestFit="1" customWidth="1"/>
    <col min="4383" max="4611" width="9" style="2"/>
    <col min="4612" max="4612" width="2.375" style="2" customWidth="1"/>
    <col min="4613" max="4613" width="13.25" style="2" bestFit="1" customWidth="1"/>
    <col min="4614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 bestFit="1"/>
    <col min="4618" max="4628" width="11.125" style="2" bestFit="1" customWidth="1"/>
    <col min="4629" max="4629" width="9" style="2" bestFit="1"/>
    <col min="4630" max="4636" width="11.125" style="2" bestFit="1" customWidth="1"/>
    <col min="4637" max="4637" width="9" style="2" bestFit="1"/>
    <col min="4638" max="4638" width="9.625" style="2" bestFit="1" customWidth="1"/>
    <col min="4639" max="4867" width="9" style="2"/>
    <col min="4868" max="4868" width="2.375" style="2" customWidth="1"/>
    <col min="4869" max="4869" width="13.25" style="2" bestFit="1" customWidth="1"/>
    <col min="4870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 bestFit="1"/>
    <col min="4874" max="4884" width="11.125" style="2" bestFit="1" customWidth="1"/>
    <col min="4885" max="4885" width="9" style="2" bestFit="1"/>
    <col min="4886" max="4892" width="11.125" style="2" bestFit="1" customWidth="1"/>
    <col min="4893" max="4893" width="9" style="2" bestFit="1"/>
    <col min="4894" max="4894" width="9.625" style="2" bestFit="1" customWidth="1"/>
    <col min="4895" max="5123" width="9" style="2"/>
    <col min="5124" max="5124" width="2.375" style="2" customWidth="1"/>
    <col min="5125" max="5125" width="13.25" style="2" bestFit="1" customWidth="1"/>
    <col min="5126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 bestFit="1"/>
    <col min="5130" max="5140" width="11.125" style="2" bestFit="1" customWidth="1"/>
    <col min="5141" max="5141" width="9" style="2" bestFit="1"/>
    <col min="5142" max="5148" width="11.125" style="2" bestFit="1" customWidth="1"/>
    <col min="5149" max="5149" width="9" style="2" bestFit="1"/>
    <col min="5150" max="5150" width="9.625" style="2" bestFit="1" customWidth="1"/>
    <col min="5151" max="5379" width="9" style="2"/>
    <col min="5380" max="5380" width="2.375" style="2" customWidth="1"/>
    <col min="5381" max="5381" width="13.25" style="2" bestFit="1" customWidth="1"/>
    <col min="5382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 bestFit="1"/>
    <col min="5386" max="5396" width="11.125" style="2" bestFit="1" customWidth="1"/>
    <col min="5397" max="5397" width="9" style="2" bestFit="1"/>
    <col min="5398" max="5404" width="11.125" style="2" bestFit="1" customWidth="1"/>
    <col min="5405" max="5405" width="9" style="2" bestFit="1"/>
    <col min="5406" max="5406" width="9.625" style="2" bestFit="1" customWidth="1"/>
    <col min="5407" max="5635" width="9" style="2"/>
    <col min="5636" max="5636" width="2.375" style="2" customWidth="1"/>
    <col min="5637" max="5637" width="13.25" style="2" bestFit="1" customWidth="1"/>
    <col min="5638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 bestFit="1"/>
    <col min="5642" max="5652" width="11.125" style="2" bestFit="1" customWidth="1"/>
    <col min="5653" max="5653" width="9" style="2" bestFit="1"/>
    <col min="5654" max="5660" width="11.125" style="2" bestFit="1" customWidth="1"/>
    <col min="5661" max="5661" width="9" style="2" bestFit="1"/>
    <col min="5662" max="5662" width="9.625" style="2" bestFit="1" customWidth="1"/>
    <col min="5663" max="5891" width="9" style="2"/>
    <col min="5892" max="5892" width="2.375" style="2" customWidth="1"/>
    <col min="5893" max="5893" width="13.25" style="2" bestFit="1" customWidth="1"/>
    <col min="5894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 bestFit="1"/>
    <col min="5898" max="5908" width="11.125" style="2" bestFit="1" customWidth="1"/>
    <col min="5909" max="5909" width="9" style="2" bestFit="1"/>
    <col min="5910" max="5916" width="11.125" style="2" bestFit="1" customWidth="1"/>
    <col min="5917" max="5917" width="9" style="2" bestFit="1"/>
    <col min="5918" max="5918" width="9.625" style="2" bestFit="1" customWidth="1"/>
    <col min="5919" max="6147" width="9" style="2"/>
    <col min="6148" max="6148" width="2.375" style="2" customWidth="1"/>
    <col min="6149" max="6149" width="13.25" style="2" bestFit="1" customWidth="1"/>
    <col min="6150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 bestFit="1"/>
    <col min="6154" max="6164" width="11.125" style="2" bestFit="1" customWidth="1"/>
    <col min="6165" max="6165" width="9" style="2" bestFit="1"/>
    <col min="6166" max="6172" width="11.125" style="2" bestFit="1" customWidth="1"/>
    <col min="6173" max="6173" width="9" style="2" bestFit="1"/>
    <col min="6174" max="6174" width="9.625" style="2" bestFit="1" customWidth="1"/>
    <col min="6175" max="6403" width="9" style="2"/>
    <col min="6404" max="6404" width="2.375" style="2" customWidth="1"/>
    <col min="6405" max="6405" width="13.25" style="2" bestFit="1" customWidth="1"/>
    <col min="6406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 bestFit="1"/>
    <col min="6410" max="6420" width="11.125" style="2" bestFit="1" customWidth="1"/>
    <col min="6421" max="6421" width="9" style="2" bestFit="1"/>
    <col min="6422" max="6428" width="11.125" style="2" bestFit="1" customWidth="1"/>
    <col min="6429" max="6429" width="9" style="2" bestFit="1"/>
    <col min="6430" max="6430" width="9.625" style="2" bestFit="1" customWidth="1"/>
    <col min="6431" max="6659" width="9" style="2"/>
    <col min="6660" max="6660" width="2.375" style="2" customWidth="1"/>
    <col min="6661" max="6661" width="13.25" style="2" bestFit="1" customWidth="1"/>
    <col min="6662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 bestFit="1"/>
    <col min="6666" max="6676" width="11.125" style="2" bestFit="1" customWidth="1"/>
    <col min="6677" max="6677" width="9" style="2" bestFit="1"/>
    <col min="6678" max="6684" width="11.125" style="2" bestFit="1" customWidth="1"/>
    <col min="6685" max="6685" width="9" style="2" bestFit="1"/>
    <col min="6686" max="6686" width="9.625" style="2" bestFit="1" customWidth="1"/>
    <col min="6687" max="6915" width="9" style="2"/>
    <col min="6916" max="6916" width="2.375" style="2" customWidth="1"/>
    <col min="6917" max="6917" width="13.25" style="2" bestFit="1" customWidth="1"/>
    <col min="6918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 bestFit="1"/>
    <col min="6922" max="6932" width="11.125" style="2" bestFit="1" customWidth="1"/>
    <col min="6933" max="6933" width="9" style="2" bestFit="1"/>
    <col min="6934" max="6940" width="11.125" style="2" bestFit="1" customWidth="1"/>
    <col min="6941" max="6941" width="9" style="2" bestFit="1"/>
    <col min="6942" max="6942" width="9.625" style="2" bestFit="1" customWidth="1"/>
    <col min="6943" max="7171" width="9" style="2"/>
    <col min="7172" max="7172" width="2.375" style="2" customWidth="1"/>
    <col min="7173" max="7173" width="13.25" style="2" bestFit="1" customWidth="1"/>
    <col min="7174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 bestFit="1"/>
    <col min="7178" max="7188" width="11.125" style="2" bestFit="1" customWidth="1"/>
    <col min="7189" max="7189" width="9" style="2" bestFit="1"/>
    <col min="7190" max="7196" width="11.125" style="2" bestFit="1" customWidth="1"/>
    <col min="7197" max="7197" width="9" style="2" bestFit="1"/>
    <col min="7198" max="7198" width="9.625" style="2" bestFit="1" customWidth="1"/>
    <col min="7199" max="7427" width="9" style="2"/>
    <col min="7428" max="7428" width="2.375" style="2" customWidth="1"/>
    <col min="7429" max="7429" width="13.25" style="2" bestFit="1" customWidth="1"/>
    <col min="7430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 bestFit="1"/>
    <col min="7434" max="7444" width="11.125" style="2" bestFit="1" customWidth="1"/>
    <col min="7445" max="7445" width="9" style="2" bestFit="1"/>
    <col min="7446" max="7452" width="11.125" style="2" bestFit="1" customWidth="1"/>
    <col min="7453" max="7453" width="9" style="2" bestFit="1"/>
    <col min="7454" max="7454" width="9.625" style="2" bestFit="1" customWidth="1"/>
    <col min="7455" max="7683" width="9" style="2"/>
    <col min="7684" max="7684" width="2.375" style="2" customWidth="1"/>
    <col min="7685" max="7685" width="13.25" style="2" bestFit="1" customWidth="1"/>
    <col min="7686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 bestFit="1"/>
    <col min="7690" max="7700" width="11.125" style="2" bestFit="1" customWidth="1"/>
    <col min="7701" max="7701" width="9" style="2" bestFit="1"/>
    <col min="7702" max="7708" width="11.125" style="2" bestFit="1" customWidth="1"/>
    <col min="7709" max="7709" width="9" style="2" bestFit="1"/>
    <col min="7710" max="7710" width="9.625" style="2" bestFit="1" customWidth="1"/>
    <col min="7711" max="7939" width="9" style="2"/>
    <col min="7940" max="7940" width="2.375" style="2" customWidth="1"/>
    <col min="7941" max="7941" width="13.25" style="2" bestFit="1" customWidth="1"/>
    <col min="7942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 bestFit="1"/>
    <col min="7946" max="7956" width="11.125" style="2" bestFit="1" customWidth="1"/>
    <col min="7957" max="7957" width="9" style="2" bestFit="1"/>
    <col min="7958" max="7964" width="11.125" style="2" bestFit="1" customWidth="1"/>
    <col min="7965" max="7965" width="9" style="2" bestFit="1"/>
    <col min="7966" max="7966" width="9.625" style="2" bestFit="1" customWidth="1"/>
    <col min="7967" max="8195" width="9" style="2"/>
    <col min="8196" max="8196" width="2.375" style="2" customWidth="1"/>
    <col min="8197" max="8197" width="13.25" style="2" bestFit="1" customWidth="1"/>
    <col min="8198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 bestFit="1"/>
    <col min="8202" max="8212" width="11.125" style="2" bestFit="1" customWidth="1"/>
    <col min="8213" max="8213" width="9" style="2" bestFit="1"/>
    <col min="8214" max="8220" width="11.125" style="2" bestFit="1" customWidth="1"/>
    <col min="8221" max="8221" width="9" style="2" bestFit="1"/>
    <col min="8222" max="8222" width="9.625" style="2" bestFit="1" customWidth="1"/>
    <col min="8223" max="8451" width="9" style="2"/>
    <col min="8452" max="8452" width="2.375" style="2" customWidth="1"/>
    <col min="8453" max="8453" width="13.25" style="2" bestFit="1" customWidth="1"/>
    <col min="8454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 bestFit="1"/>
    <col min="8458" max="8468" width="11.125" style="2" bestFit="1" customWidth="1"/>
    <col min="8469" max="8469" width="9" style="2" bestFit="1"/>
    <col min="8470" max="8476" width="11.125" style="2" bestFit="1" customWidth="1"/>
    <col min="8477" max="8477" width="9" style="2" bestFit="1"/>
    <col min="8478" max="8478" width="9.625" style="2" bestFit="1" customWidth="1"/>
    <col min="8479" max="8707" width="9" style="2"/>
    <col min="8708" max="8708" width="2.375" style="2" customWidth="1"/>
    <col min="8709" max="8709" width="13.25" style="2" bestFit="1" customWidth="1"/>
    <col min="8710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 bestFit="1"/>
    <col min="8714" max="8724" width="11.125" style="2" bestFit="1" customWidth="1"/>
    <col min="8725" max="8725" width="9" style="2" bestFit="1"/>
    <col min="8726" max="8732" width="11.125" style="2" bestFit="1" customWidth="1"/>
    <col min="8733" max="8733" width="9" style="2" bestFit="1"/>
    <col min="8734" max="8734" width="9.625" style="2" bestFit="1" customWidth="1"/>
    <col min="8735" max="8963" width="9" style="2"/>
    <col min="8964" max="8964" width="2.375" style="2" customWidth="1"/>
    <col min="8965" max="8965" width="13.25" style="2" bestFit="1" customWidth="1"/>
    <col min="8966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 bestFit="1"/>
    <col min="8970" max="8980" width="11.125" style="2" bestFit="1" customWidth="1"/>
    <col min="8981" max="8981" width="9" style="2" bestFit="1"/>
    <col min="8982" max="8988" width="11.125" style="2" bestFit="1" customWidth="1"/>
    <col min="8989" max="8989" width="9" style="2" bestFit="1"/>
    <col min="8990" max="8990" width="9.625" style="2" bestFit="1" customWidth="1"/>
    <col min="8991" max="9219" width="9" style="2"/>
    <col min="9220" max="9220" width="2.375" style="2" customWidth="1"/>
    <col min="9221" max="9221" width="13.25" style="2" bestFit="1" customWidth="1"/>
    <col min="9222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 bestFit="1"/>
    <col min="9226" max="9236" width="11.125" style="2" bestFit="1" customWidth="1"/>
    <col min="9237" max="9237" width="9" style="2" bestFit="1"/>
    <col min="9238" max="9244" width="11.125" style="2" bestFit="1" customWidth="1"/>
    <col min="9245" max="9245" width="9" style="2" bestFit="1"/>
    <col min="9246" max="9246" width="9.625" style="2" bestFit="1" customWidth="1"/>
    <col min="9247" max="9475" width="9" style="2"/>
    <col min="9476" max="9476" width="2.375" style="2" customWidth="1"/>
    <col min="9477" max="9477" width="13.25" style="2" bestFit="1" customWidth="1"/>
    <col min="9478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 bestFit="1"/>
    <col min="9482" max="9492" width="11.125" style="2" bestFit="1" customWidth="1"/>
    <col min="9493" max="9493" width="9" style="2" bestFit="1"/>
    <col min="9494" max="9500" width="11.125" style="2" bestFit="1" customWidth="1"/>
    <col min="9501" max="9501" width="9" style="2" bestFit="1"/>
    <col min="9502" max="9502" width="9.625" style="2" bestFit="1" customWidth="1"/>
    <col min="9503" max="9731" width="9" style="2"/>
    <col min="9732" max="9732" width="2.375" style="2" customWidth="1"/>
    <col min="9733" max="9733" width="13.25" style="2" bestFit="1" customWidth="1"/>
    <col min="9734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 bestFit="1"/>
    <col min="9738" max="9748" width="11.125" style="2" bestFit="1" customWidth="1"/>
    <col min="9749" max="9749" width="9" style="2" bestFit="1"/>
    <col min="9750" max="9756" width="11.125" style="2" bestFit="1" customWidth="1"/>
    <col min="9757" max="9757" width="9" style="2" bestFit="1"/>
    <col min="9758" max="9758" width="9.625" style="2" bestFit="1" customWidth="1"/>
    <col min="9759" max="9987" width="9" style="2"/>
    <col min="9988" max="9988" width="2.375" style="2" customWidth="1"/>
    <col min="9989" max="9989" width="13.25" style="2" bestFit="1" customWidth="1"/>
    <col min="9990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 bestFit="1"/>
    <col min="9994" max="10004" width="11.125" style="2" bestFit="1" customWidth="1"/>
    <col min="10005" max="10005" width="9" style="2" bestFit="1"/>
    <col min="10006" max="10012" width="11.125" style="2" bestFit="1" customWidth="1"/>
    <col min="10013" max="10013" width="9" style="2" bestFit="1"/>
    <col min="10014" max="10014" width="9.625" style="2" bestFit="1" customWidth="1"/>
    <col min="10015" max="10243" width="9" style="2"/>
    <col min="10244" max="10244" width="2.375" style="2" customWidth="1"/>
    <col min="10245" max="10245" width="13.25" style="2" bestFit="1" customWidth="1"/>
    <col min="10246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 bestFit="1"/>
    <col min="10250" max="10260" width="11.125" style="2" bestFit="1" customWidth="1"/>
    <col min="10261" max="10261" width="9" style="2" bestFit="1"/>
    <col min="10262" max="10268" width="11.125" style="2" bestFit="1" customWidth="1"/>
    <col min="10269" max="10269" width="9" style="2" bestFit="1"/>
    <col min="10270" max="10270" width="9.625" style="2" bestFit="1" customWidth="1"/>
    <col min="10271" max="10499" width="9" style="2"/>
    <col min="10500" max="10500" width="2.375" style="2" customWidth="1"/>
    <col min="10501" max="10501" width="13.25" style="2" bestFit="1" customWidth="1"/>
    <col min="10502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 bestFit="1"/>
    <col min="10506" max="10516" width="11.125" style="2" bestFit="1" customWidth="1"/>
    <col min="10517" max="10517" width="9" style="2" bestFit="1"/>
    <col min="10518" max="10524" width="11.125" style="2" bestFit="1" customWidth="1"/>
    <col min="10525" max="10525" width="9" style="2" bestFit="1"/>
    <col min="10526" max="10526" width="9.625" style="2" bestFit="1" customWidth="1"/>
    <col min="10527" max="10755" width="9" style="2"/>
    <col min="10756" max="10756" width="2.375" style="2" customWidth="1"/>
    <col min="10757" max="10757" width="13.25" style="2" bestFit="1" customWidth="1"/>
    <col min="10758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 bestFit="1"/>
    <col min="10762" max="10772" width="11.125" style="2" bestFit="1" customWidth="1"/>
    <col min="10773" max="10773" width="9" style="2" bestFit="1"/>
    <col min="10774" max="10780" width="11.125" style="2" bestFit="1" customWidth="1"/>
    <col min="10781" max="10781" width="9" style="2" bestFit="1"/>
    <col min="10782" max="10782" width="9.625" style="2" bestFit="1" customWidth="1"/>
    <col min="10783" max="11011" width="9" style="2"/>
    <col min="11012" max="11012" width="2.375" style="2" customWidth="1"/>
    <col min="11013" max="11013" width="13.25" style="2" bestFit="1" customWidth="1"/>
    <col min="11014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 bestFit="1"/>
    <col min="11018" max="11028" width="11.125" style="2" bestFit="1" customWidth="1"/>
    <col min="11029" max="11029" width="9" style="2" bestFit="1"/>
    <col min="11030" max="11036" width="11.125" style="2" bestFit="1" customWidth="1"/>
    <col min="11037" max="11037" width="9" style="2" bestFit="1"/>
    <col min="11038" max="11038" width="9.625" style="2" bestFit="1" customWidth="1"/>
    <col min="11039" max="11267" width="9" style="2"/>
    <col min="11268" max="11268" width="2.375" style="2" customWidth="1"/>
    <col min="11269" max="11269" width="13.25" style="2" bestFit="1" customWidth="1"/>
    <col min="11270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 bestFit="1"/>
    <col min="11274" max="11284" width="11.125" style="2" bestFit="1" customWidth="1"/>
    <col min="11285" max="11285" width="9" style="2" bestFit="1"/>
    <col min="11286" max="11292" width="11.125" style="2" bestFit="1" customWidth="1"/>
    <col min="11293" max="11293" width="9" style="2" bestFit="1"/>
    <col min="11294" max="11294" width="9.625" style="2" bestFit="1" customWidth="1"/>
    <col min="11295" max="11523" width="9" style="2"/>
    <col min="11524" max="11524" width="2.375" style="2" customWidth="1"/>
    <col min="11525" max="11525" width="13.25" style="2" bestFit="1" customWidth="1"/>
    <col min="11526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 bestFit="1"/>
    <col min="11530" max="11540" width="11.125" style="2" bestFit="1" customWidth="1"/>
    <col min="11541" max="11541" width="9" style="2" bestFit="1"/>
    <col min="11542" max="11548" width="11.125" style="2" bestFit="1" customWidth="1"/>
    <col min="11549" max="11549" width="9" style="2" bestFit="1"/>
    <col min="11550" max="11550" width="9.625" style="2" bestFit="1" customWidth="1"/>
    <col min="11551" max="11779" width="9" style="2"/>
    <col min="11780" max="11780" width="2.375" style="2" customWidth="1"/>
    <col min="11781" max="11781" width="13.25" style="2" bestFit="1" customWidth="1"/>
    <col min="11782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 bestFit="1"/>
    <col min="11786" max="11796" width="11.125" style="2" bestFit="1" customWidth="1"/>
    <col min="11797" max="11797" width="9" style="2" bestFit="1"/>
    <col min="11798" max="11804" width="11.125" style="2" bestFit="1" customWidth="1"/>
    <col min="11805" max="11805" width="9" style="2" bestFit="1"/>
    <col min="11806" max="11806" width="9.625" style="2" bestFit="1" customWidth="1"/>
    <col min="11807" max="12035" width="9" style="2"/>
    <col min="12036" max="12036" width="2.375" style="2" customWidth="1"/>
    <col min="12037" max="12037" width="13.25" style="2" bestFit="1" customWidth="1"/>
    <col min="12038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 bestFit="1"/>
    <col min="12042" max="12052" width="11.125" style="2" bestFit="1" customWidth="1"/>
    <col min="12053" max="12053" width="9" style="2" bestFit="1"/>
    <col min="12054" max="12060" width="11.125" style="2" bestFit="1" customWidth="1"/>
    <col min="12061" max="12061" width="9" style="2" bestFit="1"/>
    <col min="12062" max="12062" width="9.625" style="2" bestFit="1" customWidth="1"/>
    <col min="12063" max="12291" width="9" style="2"/>
    <col min="12292" max="12292" width="2.375" style="2" customWidth="1"/>
    <col min="12293" max="12293" width="13.25" style="2" bestFit="1" customWidth="1"/>
    <col min="12294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 bestFit="1"/>
    <col min="12298" max="12308" width="11.125" style="2" bestFit="1" customWidth="1"/>
    <col min="12309" max="12309" width="9" style="2" bestFit="1"/>
    <col min="12310" max="12316" width="11.125" style="2" bestFit="1" customWidth="1"/>
    <col min="12317" max="12317" width="9" style="2" bestFit="1"/>
    <col min="12318" max="12318" width="9.625" style="2" bestFit="1" customWidth="1"/>
    <col min="12319" max="12547" width="9" style="2"/>
    <col min="12548" max="12548" width="2.375" style="2" customWidth="1"/>
    <col min="12549" max="12549" width="13.25" style="2" bestFit="1" customWidth="1"/>
    <col min="12550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 bestFit="1"/>
    <col min="12554" max="12564" width="11.125" style="2" bestFit="1" customWidth="1"/>
    <col min="12565" max="12565" width="9" style="2" bestFit="1"/>
    <col min="12566" max="12572" width="11.125" style="2" bestFit="1" customWidth="1"/>
    <col min="12573" max="12573" width="9" style="2" bestFit="1"/>
    <col min="12574" max="12574" width="9.625" style="2" bestFit="1" customWidth="1"/>
    <col min="12575" max="12803" width="9" style="2"/>
    <col min="12804" max="12804" width="2.375" style="2" customWidth="1"/>
    <col min="12805" max="12805" width="13.25" style="2" bestFit="1" customWidth="1"/>
    <col min="12806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 bestFit="1"/>
    <col min="12810" max="12820" width="11.125" style="2" bestFit="1" customWidth="1"/>
    <col min="12821" max="12821" width="9" style="2" bestFit="1"/>
    <col min="12822" max="12828" width="11.125" style="2" bestFit="1" customWidth="1"/>
    <col min="12829" max="12829" width="9" style="2" bestFit="1"/>
    <col min="12830" max="12830" width="9.625" style="2" bestFit="1" customWidth="1"/>
    <col min="12831" max="13059" width="9" style="2"/>
    <col min="13060" max="13060" width="2.375" style="2" customWidth="1"/>
    <col min="13061" max="13061" width="13.25" style="2" bestFit="1" customWidth="1"/>
    <col min="13062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 bestFit="1"/>
    <col min="13066" max="13076" width="11.125" style="2" bestFit="1" customWidth="1"/>
    <col min="13077" max="13077" width="9" style="2" bestFit="1"/>
    <col min="13078" max="13084" width="11.125" style="2" bestFit="1" customWidth="1"/>
    <col min="13085" max="13085" width="9" style="2" bestFit="1"/>
    <col min="13086" max="13086" width="9.625" style="2" bestFit="1" customWidth="1"/>
    <col min="13087" max="13315" width="9" style="2"/>
    <col min="13316" max="13316" width="2.375" style="2" customWidth="1"/>
    <col min="13317" max="13317" width="13.25" style="2" bestFit="1" customWidth="1"/>
    <col min="13318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 bestFit="1"/>
    <col min="13322" max="13332" width="11.125" style="2" bestFit="1" customWidth="1"/>
    <col min="13333" max="13333" width="9" style="2" bestFit="1"/>
    <col min="13334" max="13340" width="11.125" style="2" bestFit="1" customWidth="1"/>
    <col min="13341" max="13341" width="9" style="2" bestFit="1"/>
    <col min="13342" max="13342" width="9.625" style="2" bestFit="1" customWidth="1"/>
    <col min="13343" max="13571" width="9" style="2"/>
    <col min="13572" max="13572" width="2.375" style="2" customWidth="1"/>
    <col min="13573" max="13573" width="13.25" style="2" bestFit="1" customWidth="1"/>
    <col min="13574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 bestFit="1"/>
    <col min="13578" max="13588" width="11.125" style="2" bestFit="1" customWidth="1"/>
    <col min="13589" max="13589" width="9" style="2" bestFit="1"/>
    <col min="13590" max="13596" width="11.125" style="2" bestFit="1" customWidth="1"/>
    <col min="13597" max="13597" width="9" style="2" bestFit="1"/>
    <col min="13598" max="13598" width="9.625" style="2" bestFit="1" customWidth="1"/>
    <col min="13599" max="13827" width="9" style="2"/>
    <col min="13828" max="13828" width="2.375" style="2" customWidth="1"/>
    <col min="13829" max="13829" width="13.25" style="2" bestFit="1" customWidth="1"/>
    <col min="13830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 bestFit="1"/>
    <col min="13834" max="13844" width="11.125" style="2" bestFit="1" customWidth="1"/>
    <col min="13845" max="13845" width="9" style="2" bestFit="1"/>
    <col min="13846" max="13852" width="11.125" style="2" bestFit="1" customWidth="1"/>
    <col min="13853" max="13853" width="9" style="2" bestFit="1"/>
    <col min="13854" max="13854" width="9.625" style="2" bestFit="1" customWidth="1"/>
    <col min="13855" max="14083" width="9" style="2"/>
    <col min="14084" max="14084" width="2.375" style="2" customWidth="1"/>
    <col min="14085" max="14085" width="13.25" style="2" bestFit="1" customWidth="1"/>
    <col min="14086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 bestFit="1"/>
    <col min="14090" max="14100" width="11.125" style="2" bestFit="1" customWidth="1"/>
    <col min="14101" max="14101" width="9" style="2" bestFit="1"/>
    <col min="14102" max="14108" width="11.125" style="2" bestFit="1" customWidth="1"/>
    <col min="14109" max="14109" width="9" style="2" bestFit="1"/>
    <col min="14110" max="14110" width="9.625" style="2" bestFit="1" customWidth="1"/>
    <col min="14111" max="14339" width="9" style="2"/>
    <col min="14340" max="14340" width="2.375" style="2" customWidth="1"/>
    <col min="14341" max="14341" width="13.25" style="2" bestFit="1" customWidth="1"/>
    <col min="14342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 bestFit="1"/>
    <col min="14346" max="14356" width="11.125" style="2" bestFit="1" customWidth="1"/>
    <col min="14357" max="14357" width="9" style="2" bestFit="1"/>
    <col min="14358" max="14364" width="11.125" style="2" bestFit="1" customWidth="1"/>
    <col min="14365" max="14365" width="9" style="2" bestFit="1"/>
    <col min="14366" max="14366" width="9.625" style="2" bestFit="1" customWidth="1"/>
    <col min="14367" max="14595" width="9" style="2"/>
    <col min="14596" max="14596" width="2.375" style="2" customWidth="1"/>
    <col min="14597" max="14597" width="13.25" style="2" bestFit="1" customWidth="1"/>
    <col min="14598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 bestFit="1"/>
    <col min="14602" max="14612" width="11.125" style="2" bestFit="1" customWidth="1"/>
    <col min="14613" max="14613" width="9" style="2" bestFit="1"/>
    <col min="14614" max="14620" width="11.125" style="2" bestFit="1" customWidth="1"/>
    <col min="14621" max="14621" width="9" style="2" bestFit="1"/>
    <col min="14622" max="14622" width="9.625" style="2" bestFit="1" customWidth="1"/>
    <col min="14623" max="14851" width="9" style="2"/>
    <col min="14852" max="14852" width="2.375" style="2" customWidth="1"/>
    <col min="14853" max="14853" width="13.25" style="2" bestFit="1" customWidth="1"/>
    <col min="14854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 bestFit="1"/>
    <col min="14858" max="14868" width="11.125" style="2" bestFit="1" customWidth="1"/>
    <col min="14869" max="14869" width="9" style="2" bestFit="1"/>
    <col min="14870" max="14876" width="11.125" style="2" bestFit="1" customWidth="1"/>
    <col min="14877" max="14877" width="9" style="2" bestFit="1"/>
    <col min="14878" max="14878" width="9.625" style="2" bestFit="1" customWidth="1"/>
    <col min="14879" max="15107" width="9" style="2"/>
    <col min="15108" max="15108" width="2.375" style="2" customWidth="1"/>
    <col min="15109" max="15109" width="13.25" style="2" bestFit="1" customWidth="1"/>
    <col min="15110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 bestFit="1"/>
    <col min="15114" max="15124" width="11.125" style="2" bestFit="1" customWidth="1"/>
    <col min="15125" max="15125" width="9" style="2" bestFit="1"/>
    <col min="15126" max="15132" width="11.125" style="2" bestFit="1" customWidth="1"/>
    <col min="15133" max="15133" width="9" style="2" bestFit="1"/>
    <col min="15134" max="15134" width="9.625" style="2" bestFit="1" customWidth="1"/>
    <col min="15135" max="15363" width="9" style="2"/>
    <col min="15364" max="15364" width="2.375" style="2" customWidth="1"/>
    <col min="15365" max="15365" width="13.25" style="2" bestFit="1" customWidth="1"/>
    <col min="15366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 bestFit="1"/>
    <col min="15370" max="15380" width="11.125" style="2" bestFit="1" customWidth="1"/>
    <col min="15381" max="15381" width="9" style="2" bestFit="1"/>
    <col min="15382" max="15388" width="11.125" style="2" bestFit="1" customWidth="1"/>
    <col min="15389" max="15389" width="9" style="2" bestFit="1"/>
    <col min="15390" max="15390" width="9.625" style="2" bestFit="1" customWidth="1"/>
    <col min="15391" max="15619" width="9" style="2"/>
    <col min="15620" max="15620" width="2.375" style="2" customWidth="1"/>
    <col min="15621" max="15621" width="13.25" style="2" bestFit="1" customWidth="1"/>
    <col min="15622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 bestFit="1"/>
    <col min="15626" max="15636" width="11.125" style="2" bestFit="1" customWidth="1"/>
    <col min="15637" max="15637" width="9" style="2" bestFit="1"/>
    <col min="15638" max="15644" width="11.125" style="2" bestFit="1" customWidth="1"/>
    <col min="15645" max="15645" width="9" style="2" bestFit="1"/>
    <col min="15646" max="15646" width="9.625" style="2" bestFit="1" customWidth="1"/>
    <col min="15647" max="15875" width="9" style="2"/>
    <col min="15876" max="15876" width="2.375" style="2" customWidth="1"/>
    <col min="15877" max="15877" width="13.25" style="2" bestFit="1" customWidth="1"/>
    <col min="15878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 bestFit="1"/>
    <col min="15882" max="15892" width="11.125" style="2" bestFit="1" customWidth="1"/>
    <col min="15893" max="15893" width="9" style="2" bestFit="1"/>
    <col min="15894" max="15900" width="11.125" style="2" bestFit="1" customWidth="1"/>
    <col min="15901" max="15901" width="9" style="2" bestFit="1"/>
    <col min="15902" max="15902" width="9.625" style="2" bestFit="1" customWidth="1"/>
    <col min="15903" max="16131" width="9" style="2"/>
    <col min="16132" max="16132" width="2.375" style="2" customWidth="1"/>
    <col min="16133" max="16133" width="13.25" style="2" bestFit="1" customWidth="1"/>
    <col min="16134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 bestFit="1"/>
    <col min="16138" max="16148" width="11.125" style="2" bestFit="1" customWidth="1"/>
    <col min="16149" max="16149" width="9" style="2" bestFit="1"/>
    <col min="16150" max="16156" width="11.125" style="2" bestFit="1" customWidth="1"/>
    <col min="16157" max="16157" width="9" style="2" bestFit="1"/>
    <col min="16158" max="16158" width="9.625" style="2" bestFit="1" customWidth="1"/>
    <col min="16159" max="16384" width="9" style="2"/>
  </cols>
  <sheetData>
    <row r="1" spans="1:30">
      <c r="A1" s="1" t="s">
        <v>0</v>
      </c>
    </row>
    <row r="2" spans="1:30">
      <c r="A2" s="1"/>
    </row>
    <row r="3" spans="1:30">
      <c r="A3" s="1" t="s">
        <v>1</v>
      </c>
    </row>
    <row r="4" spans="1:30">
      <c r="A4" s="1" t="s">
        <v>2</v>
      </c>
    </row>
    <row r="5" spans="1:30">
      <c r="A5" s="1" t="s">
        <v>3</v>
      </c>
    </row>
    <row r="6" spans="1:30" ht="19.5" thickBot="1">
      <c r="A6" s="1" t="s">
        <v>100</v>
      </c>
    </row>
    <row r="7" spans="1:30">
      <c r="B7" s="14"/>
      <c r="C7" s="23" t="s">
        <v>4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16</v>
      </c>
      <c r="M7" s="4" t="s">
        <v>17</v>
      </c>
      <c r="N7" s="4" t="s">
        <v>18</v>
      </c>
      <c r="O7" s="4" t="s">
        <v>19</v>
      </c>
      <c r="P7" s="31" t="s">
        <v>20</v>
      </c>
      <c r="Q7" s="71" t="s">
        <v>101</v>
      </c>
      <c r="R7" s="4" t="s">
        <v>15</v>
      </c>
      <c r="S7" s="4" t="s">
        <v>5</v>
      </c>
      <c r="T7" s="4" t="s">
        <v>21</v>
      </c>
      <c r="U7" s="4" t="s">
        <v>22</v>
      </c>
      <c r="V7" s="4" t="s">
        <v>23</v>
      </c>
      <c r="W7" s="4" t="s">
        <v>24</v>
      </c>
      <c r="X7" s="4" t="s">
        <v>25</v>
      </c>
      <c r="Y7" s="4" t="s">
        <v>26</v>
      </c>
      <c r="Z7" s="31" t="s">
        <v>27</v>
      </c>
      <c r="AA7" s="71" t="s">
        <v>101</v>
      </c>
      <c r="AB7" s="24" t="s">
        <v>6</v>
      </c>
      <c r="AC7" s="70" t="s">
        <v>101</v>
      </c>
      <c r="AD7" s="70" t="s">
        <v>53</v>
      </c>
    </row>
    <row r="8" spans="1:30" ht="19.5" thickBot="1">
      <c r="A8" s="3"/>
      <c r="B8" s="15" t="s">
        <v>28</v>
      </c>
      <c r="C8" s="25" t="s">
        <v>29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36</v>
      </c>
      <c r="I8" s="5" t="s">
        <v>37</v>
      </c>
      <c r="J8" s="5" t="s">
        <v>38</v>
      </c>
      <c r="K8" s="5" t="s">
        <v>39</v>
      </c>
      <c r="L8" s="5" t="s">
        <v>41</v>
      </c>
      <c r="M8" s="5" t="s">
        <v>42</v>
      </c>
      <c r="N8" s="5" t="s">
        <v>43</v>
      </c>
      <c r="O8" s="5" t="s">
        <v>44</v>
      </c>
      <c r="P8" s="32" t="s">
        <v>45</v>
      </c>
      <c r="Q8" s="37" t="s">
        <v>103</v>
      </c>
      <c r="R8" s="5" t="s">
        <v>40</v>
      </c>
      <c r="S8" s="5" t="s">
        <v>30</v>
      </c>
      <c r="T8" s="5" t="s">
        <v>46</v>
      </c>
      <c r="U8" s="5" t="s">
        <v>47</v>
      </c>
      <c r="V8" s="5" t="s">
        <v>48</v>
      </c>
      <c r="W8" s="5" t="s">
        <v>49</v>
      </c>
      <c r="X8" s="5" t="s">
        <v>50</v>
      </c>
      <c r="Y8" s="5" t="s">
        <v>51</v>
      </c>
      <c r="Z8" s="32" t="s">
        <v>52</v>
      </c>
      <c r="AA8" s="37" t="s">
        <v>106</v>
      </c>
      <c r="AB8" s="26" t="s">
        <v>31</v>
      </c>
      <c r="AC8" s="18" t="s">
        <v>102</v>
      </c>
      <c r="AD8" s="18" t="s">
        <v>107</v>
      </c>
    </row>
    <row r="9" spans="1:30">
      <c r="A9" s="1" t="s">
        <v>3</v>
      </c>
      <c r="B9" s="16" t="s">
        <v>54</v>
      </c>
      <c r="C9" s="27">
        <v>14</v>
      </c>
      <c r="D9" s="6">
        <v>18</v>
      </c>
      <c r="E9" s="6">
        <v>16</v>
      </c>
      <c r="F9" s="6">
        <v>17</v>
      </c>
      <c r="G9" s="6">
        <v>16</v>
      </c>
      <c r="H9" s="6">
        <v>15</v>
      </c>
      <c r="I9" s="6">
        <v>17</v>
      </c>
      <c r="J9" s="6">
        <v>17</v>
      </c>
      <c r="K9" s="6">
        <v>17</v>
      </c>
      <c r="L9" s="6">
        <v>18</v>
      </c>
      <c r="M9" s="6">
        <v>18</v>
      </c>
      <c r="N9" s="6">
        <v>16</v>
      </c>
      <c r="O9" s="6">
        <v>17</v>
      </c>
      <c r="P9" s="33">
        <v>18</v>
      </c>
      <c r="Q9" s="38">
        <f>SUM(C9:P9)</f>
        <v>234</v>
      </c>
      <c r="R9" s="6">
        <v>18</v>
      </c>
      <c r="S9" s="6">
        <v>18</v>
      </c>
      <c r="T9" s="6">
        <v>17</v>
      </c>
      <c r="U9" s="6">
        <v>10</v>
      </c>
      <c r="V9" s="6">
        <v>12</v>
      </c>
      <c r="W9" s="6">
        <v>16</v>
      </c>
      <c r="X9" s="6">
        <v>8</v>
      </c>
      <c r="Y9" s="6">
        <v>11</v>
      </c>
      <c r="Z9" s="33">
        <v>20</v>
      </c>
      <c r="AA9" s="38">
        <f>SUM(R9:Z9)</f>
        <v>130</v>
      </c>
      <c r="AB9" s="7">
        <v>18</v>
      </c>
      <c r="AC9" s="19">
        <f>AB9</f>
        <v>18</v>
      </c>
      <c r="AD9" s="19">
        <f>Q9+AA9+AC9</f>
        <v>382</v>
      </c>
    </row>
    <row r="10" spans="1:30">
      <c r="A10" s="1" t="s">
        <v>3</v>
      </c>
      <c r="B10" s="16" t="s">
        <v>55</v>
      </c>
      <c r="C10" s="27">
        <v>2</v>
      </c>
      <c r="D10" s="6">
        <v>2</v>
      </c>
      <c r="E10" s="6">
        <v>3</v>
      </c>
      <c r="F10" s="6">
        <v>2</v>
      </c>
      <c r="G10" s="6">
        <v>3</v>
      </c>
      <c r="H10" s="6">
        <v>2</v>
      </c>
      <c r="I10" s="6">
        <v>5</v>
      </c>
      <c r="J10" s="6">
        <v>2</v>
      </c>
      <c r="K10" s="6">
        <v>4</v>
      </c>
      <c r="L10" s="6">
        <v>4</v>
      </c>
      <c r="M10" s="6">
        <v>4</v>
      </c>
      <c r="N10" s="6">
        <v>4</v>
      </c>
      <c r="O10" s="6">
        <v>2</v>
      </c>
      <c r="P10" s="33">
        <v>2</v>
      </c>
      <c r="Q10" s="38">
        <f t="shared" ref="Q10:Q21" si="0">SUM(C10:P10)</f>
        <v>41</v>
      </c>
      <c r="R10" s="6">
        <v>0</v>
      </c>
      <c r="S10" s="6">
        <v>4</v>
      </c>
      <c r="T10" s="6">
        <v>1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33">
        <v>0</v>
      </c>
      <c r="AA10" s="38">
        <f t="shared" ref="AA10:AA21" si="1">SUM(R10:Z10)</f>
        <v>5</v>
      </c>
      <c r="AB10" s="7">
        <v>0</v>
      </c>
      <c r="AC10" s="19">
        <f t="shared" ref="AC10:AC21" si="2">AB10</f>
        <v>0</v>
      </c>
      <c r="AD10" s="19">
        <f t="shared" ref="AD10:AD21" si="3">Q10+AA10+AC10</f>
        <v>46</v>
      </c>
    </row>
    <row r="11" spans="1:30">
      <c r="A11" s="1" t="s">
        <v>3</v>
      </c>
      <c r="B11" s="16" t="s">
        <v>56</v>
      </c>
      <c r="C11" s="27">
        <v>5</v>
      </c>
      <c r="D11" s="6">
        <v>3</v>
      </c>
      <c r="E11" s="6">
        <v>3</v>
      </c>
      <c r="F11" s="6">
        <v>2</v>
      </c>
      <c r="G11" s="6">
        <v>5</v>
      </c>
      <c r="H11" s="6">
        <v>2</v>
      </c>
      <c r="I11" s="6">
        <v>2</v>
      </c>
      <c r="J11" s="6">
        <v>4</v>
      </c>
      <c r="K11" s="6">
        <v>2</v>
      </c>
      <c r="L11" s="6">
        <v>0</v>
      </c>
      <c r="M11" s="6">
        <v>1</v>
      </c>
      <c r="N11" s="6">
        <v>3</v>
      </c>
      <c r="O11" s="6">
        <v>3</v>
      </c>
      <c r="P11" s="33">
        <v>4</v>
      </c>
      <c r="Q11" s="38">
        <f t="shared" si="0"/>
        <v>39</v>
      </c>
      <c r="R11" s="6">
        <v>0</v>
      </c>
      <c r="S11" s="6">
        <v>2</v>
      </c>
      <c r="T11" s="6">
        <v>1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33">
        <v>0</v>
      </c>
      <c r="AA11" s="38">
        <f t="shared" si="1"/>
        <v>3</v>
      </c>
      <c r="AB11" s="7">
        <v>0</v>
      </c>
      <c r="AC11" s="19">
        <f t="shared" si="2"/>
        <v>0</v>
      </c>
      <c r="AD11" s="19">
        <f t="shared" si="3"/>
        <v>42</v>
      </c>
    </row>
    <row r="12" spans="1:30">
      <c r="A12" s="1" t="s">
        <v>3</v>
      </c>
      <c r="B12" s="16" t="s">
        <v>57</v>
      </c>
      <c r="C12" s="27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33">
        <v>0</v>
      </c>
      <c r="Q12" s="38">
        <f t="shared" si="0"/>
        <v>1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33">
        <v>0</v>
      </c>
      <c r="AA12" s="38">
        <f t="shared" si="1"/>
        <v>0</v>
      </c>
      <c r="AB12" s="7">
        <v>0</v>
      </c>
      <c r="AC12" s="19">
        <f t="shared" si="2"/>
        <v>0</v>
      </c>
      <c r="AD12" s="19">
        <f t="shared" si="3"/>
        <v>1</v>
      </c>
    </row>
    <row r="13" spans="1:30">
      <c r="A13" s="1" t="s">
        <v>3</v>
      </c>
      <c r="B13" s="16" t="s">
        <v>58</v>
      </c>
      <c r="C13" s="27">
        <v>3</v>
      </c>
      <c r="D13" s="6">
        <v>0</v>
      </c>
      <c r="E13" s="6">
        <v>2</v>
      </c>
      <c r="F13" s="6">
        <v>1</v>
      </c>
      <c r="G13" s="6">
        <v>2</v>
      </c>
      <c r="H13" s="6">
        <v>3</v>
      </c>
      <c r="I13" s="6">
        <v>1</v>
      </c>
      <c r="J13" s="6">
        <v>1</v>
      </c>
      <c r="K13" s="6">
        <v>1</v>
      </c>
      <c r="L13" s="6">
        <v>0</v>
      </c>
      <c r="M13" s="6">
        <v>0</v>
      </c>
      <c r="N13" s="6">
        <v>2</v>
      </c>
      <c r="O13" s="6">
        <v>1</v>
      </c>
      <c r="P13" s="33">
        <v>0</v>
      </c>
      <c r="Q13" s="38">
        <f t="shared" si="0"/>
        <v>17</v>
      </c>
      <c r="R13" s="6">
        <v>0</v>
      </c>
      <c r="S13" s="6">
        <v>0.5</v>
      </c>
      <c r="T13" s="6">
        <v>1</v>
      </c>
      <c r="U13" s="6">
        <v>0</v>
      </c>
      <c r="V13" s="6">
        <v>1</v>
      </c>
      <c r="W13" s="6">
        <v>1</v>
      </c>
      <c r="X13" s="6">
        <v>0</v>
      </c>
      <c r="Y13" s="6">
        <v>0</v>
      </c>
      <c r="Z13" s="33">
        <v>0</v>
      </c>
      <c r="AA13" s="38">
        <f t="shared" si="1"/>
        <v>3.5</v>
      </c>
      <c r="AB13" s="7">
        <v>0</v>
      </c>
      <c r="AC13" s="19">
        <f t="shared" si="2"/>
        <v>0</v>
      </c>
      <c r="AD13" s="19">
        <f t="shared" si="3"/>
        <v>20.5</v>
      </c>
    </row>
    <row r="14" spans="1:30">
      <c r="A14" s="1" t="s">
        <v>3</v>
      </c>
      <c r="B14" s="16" t="s">
        <v>59</v>
      </c>
      <c r="C14" s="2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34">
        <v>0</v>
      </c>
      <c r="Q14" s="39">
        <f t="shared" si="0"/>
        <v>0</v>
      </c>
      <c r="R14" s="8">
        <v>0</v>
      </c>
      <c r="S14" s="8">
        <v>0</v>
      </c>
      <c r="T14" s="8">
        <v>0</v>
      </c>
      <c r="U14" s="8">
        <v>2.9583333333333335</v>
      </c>
      <c r="V14" s="8">
        <v>3.0833333333333335</v>
      </c>
      <c r="W14" s="8">
        <v>4.375</v>
      </c>
      <c r="X14" s="8">
        <v>2.5416666666666665</v>
      </c>
      <c r="Y14" s="8">
        <v>3.2083333333333335</v>
      </c>
      <c r="Z14" s="34">
        <v>5.291666666666667</v>
      </c>
      <c r="AA14" s="39">
        <f t="shared" si="1"/>
        <v>21.458333333333336</v>
      </c>
      <c r="AB14" s="9">
        <v>0</v>
      </c>
      <c r="AC14" s="20">
        <f t="shared" si="2"/>
        <v>0</v>
      </c>
      <c r="AD14" s="20">
        <f t="shared" si="3"/>
        <v>21.458333333333336</v>
      </c>
    </row>
    <row r="15" spans="1:30">
      <c r="A15" s="1" t="s">
        <v>3</v>
      </c>
      <c r="B15" s="16" t="s">
        <v>60</v>
      </c>
      <c r="C15" s="28">
        <v>0.54166666666666663</v>
      </c>
      <c r="D15" s="8">
        <v>1.7083333333333335</v>
      </c>
      <c r="E15" s="8">
        <v>2.0833333333333335</v>
      </c>
      <c r="F15" s="8">
        <v>2.125</v>
      </c>
      <c r="G15" s="8">
        <v>1.5</v>
      </c>
      <c r="H15" s="8">
        <v>1.25</v>
      </c>
      <c r="I15" s="8">
        <v>1.5</v>
      </c>
      <c r="J15" s="8">
        <v>0.91666666666666663</v>
      </c>
      <c r="K15" s="8">
        <v>1.5833333333333335</v>
      </c>
      <c r="L15" s="8">
        <v>1.0416666666666667</v>
      </c>
      <c r="M15" s="8">
        <v>1.2916666666666667</v>
      </c>
      <c r="N15" s="8">
        <v>1.875</v>
      </c>
      <c r="O15" s="8">
        <v>2.375</v>
      </c>
      <c r="P15" s="34">
        <v>1.25</v>
      </c>
      <c r="Q15" s="39">
        <f>SUM(C15:P15)</f>
        <v>21.041666666666664</v>
      </c>
      <c r="R15" s="8">
        <v>0</v>
      </c>
      <c r="S15" s="8">
        <v>0.91666666666666663</v>
      </c>
      <c r="T15" s="8">
        <v>0.66666666666666663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34">
        <v>0.375</v>
      </c>
      <c r="AA15" s="39">
        <f t="shared" si="1"/>
        <v>1.9583333333333333</v>
      </c>
      <c r="AB15" s="9">
        <v>0</v>
      </c>
      <c r="AC15" s="20">
        <f t="shared" si="2"/>
        <v>0</v>
      </c>
      <c r="AD15" s="20">
        <f t="shared" si="3"/>
        <v>22.999999999999996</v>
      </c>
    </row>
    <row r="16" spans="1:30">
      <c r="A16" s="1" t="s">
        <v>3</v>
      </c>
      <c r="B16" s="16" t="s">
        <v>61</v>
      </c>
      <c r="C16" s="28">
        <v>0.29166666666666669</v>
      </c>
      <c r="D16" s="8">
        <v>0.75</v>
      </c>
      <c r="E16" s="8">
        <v>1.25</v>
      </c>
      <c r="F16" s="8">
        <v>0.875</v>
      </c>
      <c r="G16" s="8">
        <v>1.125</v>
      </c>
      <c r="H16" s="8">
        <v>0.83333333333333337</v>
      </c>
      <c r="I16" s="8">
        <v>1.6666666666666665</v>
      </c>
      <c r="J16" s="8">
        <v>0.5</v>
      </c>
      <c r="K16" s="8">
        <v>1.2916666666666667</v>
      </c>
      <c r="L16" s="8">
        <v>1.3333333333333333</v>
      </c>
      <c r="M16" s="8">
        <v>1.3333333333333333</v>
      </c>
      <c r="N16" s="8">
        <v>1.6666666666666665</v>
      </c>
      <c r="O16" s="8">
        <v>0.66666666666666663</v>
      </c>
      <c r="P16" s="34">
        <v>1.0833333333333333</v>
      </c>
      <c r="Q16" s="39">
        <f t="shared" si="0"/>
        <v>14.666666666666666</v>
      </c>
      <c r="R16" s="8">
        <v>0</v>
      </c>
      <c r="S16" s="8">
        <v>0.875</v>
      </c>
      <c r="T16" s="8">
        <v>0.20833333333333334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34">
        <v>0</v>
      </c>
      <c r="AA16" s="39">
        <f t="shared" si="1"/>
        <v>1.0833333333333333</v>
      </c>
      <c r="AB16" s="9">
        <v>0</v>
      </c>
      <c r="AC16" s="20">
        <f t="shared" si="2"/>
        <v>0</v>
      </c>
      <c r="AD16" s="20">
        <f t="shared" si="3"/>
        <v>15.75</v>
      </c>
    </row>
    <row r="17" spans="1:30">
      <c r="A17" s="1" t="s">
        <v>3</v>
      </c>
      <c r="B17" s="16" t="s">
        <v>62</v>
      </c>
      <c r="C17" s="28">
        <v>1.8333333333333335</v>
      </c>
      <c r="D17" s="8">
        <v>1.25</v>
      </c>
      <c r="E17" s="8">
        <v>0.70833333333333337</v>
      </c>
      <c r="F17" s="8">
        <v>0.58333333333333337</v>
      </c>
      <c r="G17" s="8">
        <v>1.75</v>
      </c>
      <c r="H17" s="8">
        <v>0.70833333333333337</v>
      </c>
      <c r="I17" s="8">
        <v>0.70833333333333337</v>
      </c>
      <c r="J17" s="8">
        <v>1.1666666666666667</v>
      </c>
      <c r="K17" s="8">
        <v>0.83333333333333337</v>
      </c>
      <c r="L17" s="8">
        <v>0</v>
      </c>
      <c r="M17" s="8">
        <v>0.375</v>
      </c>
      <c r="N17" s="8">
        <v>1.3333333333333333</v>
      </c>
      <c r="O17" s="8">
        <v>1.0833333333333333</v>
      </c>
      <c r="P17" s="34">
        <v>1.0833333333333333</v>
      </c>
      <c r="Q17" s="39">
        <f t="shared" si="0"/>
        <v>13.416666666666668</v>
      </c>
      <c r="R17" s="8">
        <v>0</v>
      </c>
      <c r="S17" s="8">
        <v>0.25</v>
      </c>
      <c r="T17" s="8">
        <v>0.20833333333333334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34">
        <v>0</v>
      </c>
      <c r="AA17" s="39">
        <f t="shared" si="1"/>
        <v>0.45833333333333337</v>
      </c>
      <c r="AB17" s="9">
        <v>0</v>
      </c>
      <c r="AC17" s="20">
        <f t="shared" si="2"/>
        <v>0</v>
      </c>
      <c r="AD17" s="20">
        <f t="shared" si="3"/>
        <v>13.875000000000002</v>
      </c>
    </row>
    <row r="18" spans="1:30">
      <c r="A18" s="1" t="s">
        <v>3</v>
      </c>
      <c r="B18" s="16" t="s">
        <v>63</v>
      </c>
      <c r="C18" s="28">
        <v>0.25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34">
        <v>0</v>
      </c>
      <c r="Q18" s="39">
        <f t="shared" si="0"/>
        <v>0.25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34">
        <v>0</v>
      </c>
      <c r="AA18" s="39">
        <f t="shared" si="1"/>
        <v>0</v>
      </c>
      <c r="AB18" s="9">
        <v>0</v>
      </c>
      <c r="AC18" s="20">
        <f t="shared" si="2"/>
        <v>0</v>
      </c>
      <c r="AD18" s="20">
        <f t="shared" si="3"/>
        <v>0.25</v>
      </c>
    </row>
    <row r="19" spans="1:30">
      <c r="A19" s="1" t="s">
        <v>3</v>
      </c>
      <c r="B19" s="16" t="s">
        <v>64</v>
      </c>
      <c r="C19" s="2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0.16666666666666666</v>
      </c>
      <c r="P19" s="34">
        <v>0</v>
      </c>
      <c r="Q19" s="39">
        <f t="shared" si="0"/>
        <v>0.16666666666666666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34">
        <v>0</v>
      </c>
      <c r="AA19" s="39">
        <f t="shared" si="1"/>
        <v>0</v>
      </c>
      <c r="AB19" s="9">
        <v>0</v>
      </c>
      <c r="AC19" s="20">
        <f t="shared" si="2"/>
        <v>0</v>
      </c>
      <c r="AD19" s="20">
        <f t="shared" si="3"/>
        <v>0.16666666666666666</v>
      </c>
    </row>
    <row r="20" spans="1:30">
      <c r="A20" s="1" t="s">
        <v>3</v>
      </c>
      <c r="B20" s="16" t="s">
        <v>65</v>
      </c>
      <c r="C20" s="2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34">
        <v>0</v>
      </c>
      <c r="Q20" s="39">
        <f t="shared" si="0"/>
        <v>0</v>
      </c>
      <c r="R20" s="8">
        <v>0</v>
      </c>
      <c r="S20" s="8">
        <v>0</v>
      </c>
      <c r="T20" s="8">
        <v>0</v>
      </c>
      <c r="U20" s="8">
        <v>0</v>
      </c>
      <c r="V20" s="8">
        <v>0.25</v>
      </c>
      <c r="W20" s="8">
        <v>0.29166666666666669</v>
      </c>
      <c r="X20" s="8">
        <v>0</v>
      </c>
      <c r="Y20" s="8">
        <v>0</v>
      </c>
      <c r="Z20" s="34">
        <v>0</v>
      </c>
      <c r="AA20" s="39">
        <f t="shared" si="1"/>
        <v>0.54166666666666674</v>
      </c>
      <c r="AB20" s="9">
        <v>0</v>
      </c>
      <c r="AC20" s="20">
        <f t="shared" si="2"/>
        <v>0</v>
      </c>
      <c r="AD20" s="20">
        <f t="shared" si="3"/>
        <v>0.54166666666666674</v>
      </c>
    </row>
    <row r="21" spans="1:30">
      <c r="A21" s="1" t="s">
        <v>3</v>
      </c>
      <c r="B21" s="16" t="s">
        <v>66</v>
      </c>
      <c r="C21" s="28">
        <v>0.125</v>
      </c>
      <c r="D21" s="8">
        <v>0.91666666666666663</v>
      </c>
      <c r="E21" s="8">
        <v>0.33333333333333331</v>
      </c>
      <c r="F21" s="8">
        <v>0.75</v>
      </c>
      <c r="G21" s="8">
        <v>8.3333333333333329E-2</v>
      </c>
      <c r="H21" s="8">
        <v>0.875</v>
      </c>
      <c r="I21" s="8">
        <v>0</v>
      </c>
      <c r="J21" s="8">
        <v>0.41666666666666669</v>
      </c>
      <c r="K21" s="8">
        <v>0.66666666666666663</v>
      </c>
      <c r="L21" s="8">
        <v>0.125</v>
      </c>
      <c r="M21" s="8">
        <v>0.25</v>
      </c>
      <c r="N21" s="8">
        <v>0.5</v>
      </c>
      <c r="O21" s="8">
        <v>0.91666666666666663</v>
      </c>
      <c r="P21" s="34">
        <v>0.16666666666666666</v>
      </c>
      <c r="Q21" s="39">
        <f t="shared" si="0"/>
        <v>6.1250000000000009</v>
      </c>
      <c r="R21" s="8">
        <v>0</v>
      </c>
      <c r="S21" s="8">
        <v>0</v>
      </c>
      <c r="T21" s="8">
        <v>0</v>
      </c>
      <c r="U21" s="8">
        <v>2.0833333333333335</v>
      </c>
      <c r="V21" s="8">
        <v>0</v>
      </c>
      <c r="W21" s="8">
        <v>0</v>
      </c>
      <c r="X21" s="8">
        <v>0.625</v>
      </c>
      <c r="Y21" s="8">
        <v>2.2916666666666665</v>
      </c>
      <c r="Z21" s="34">
        <v>1.25</v>
      </c>
      <c r="AA21" s="39">
        <f t="shared" si="1"/>
        <v>6.25</v>
      </c>
      <c r="AB21" s="9">
        <v>0</v>
      </c>
      <c r="AC21" s="20">
        <f t="shared" si="2"/>
        <v>0</v>
      </c>
      <c r="AD21" s="20">
        <f t="shared" si="3"/>
        <v>12.375</v>
      </c>
    </row>
    <row r="22" spans="1:30">
      <c r="A22" s="1" t="s">
        <v>3</v>
      </c>
      <c r="B22" s="49" t="s">
        <v>67</v>
      </c>
      <c r="C22" s="50">
        <v>3.5</v>
      </c>
      <c r="D22" s="51">
        <v>22</v>
      </c>
      <c r="E22" s="51">
        <v>27</v>
      </c>
      <c r="F22" s="51">
        <v>18</v>
      </c>
      <c r="G22" s="51">
        <v>12</v>
      </c>
      <c r="H22" s="51">
        <v>26</v>
      </c>
      <c r="I22" s="51">
        <v>22.5</v>
      </c>
      <c r="J22" s="51">
        <v>24.5</v>
      </c>
      <c r="K22" s="51">
        <v>26</v>
      </c>
      <c r="L22" s="51">
        <v>23.5</v>
      </c>
      <c r="M22" s="51">
        <v>24</v>
      </c>
      <c r="N22" s="51">
        <v>10</v>
      </c>
      <c r="O22" s="51">
        <v>11</v>
      </c>
      <c r="P22" s="52">
        <v>22</v>
      </c>
      <c r="Q22" s="53"/>
      <c r="R22" s="51">
        <v>27</v>
      </c>
      <c r="S22" s="51">
        <v>36.5</v>
      </c>
      <c r="T22" s="51">
        <v>8</v>
      </c>
      <c r="U22" s="51">
        <v>3</v>
      </c>
      <c r="V22" s="51">
        <v>20</v>
      </c>
      <c r="W22" s="51">
        <v>20</v>
      </c>
      <c r="X22" s="51">
        <v>6</v>
      </c>
      <c r="Y22" s="51">
        <v>18</v>
      </c>
      <c r="Z22" s="52">
        <v>6</v>
      </c>
      <c r="AA22" s="53"/>
      <c r="AB22" s="54">
        <v>31.5</v>
      </c>
      <c r="AC22" s="55"/>
      <c r="AD22" s="55"/>
    </row>
    <row r="23" spans="1:30">
      <c r="A23" s="1" t="s">
        <v>3</v>
      </c>
      <c r="B23" s="42" t="s">
        <v>68</v>
      </c>
      <c r="C23" s="43">
        <v>182000</v>
      </c>
      <c r="D23" s="44">
        <v>197000</v>
      </c>
      <c r="E23" s="44">
        <v>197000</v>
      </c>
      <c r="F23" s="44">
        <v>175000</v>
      </c>
      <c r="G23" s="44">
        <v>182000</v>
      </c>
      <c r="H23" s="44">
        <v>187000</v>
      </c>
      <c r="I23" s="44">
        <v>182000</v>
      </c>
      <c r="J23" s="44">
        <v>197000</v>
      </c>
      <c r="K23" s="44">
        <v>197000</v>
      </c>
      <c r="L23" s="44">
        <v>192000</v>
      </c>
      <c r="M23" s="44">
        <v>187000</v>
      </c>
      <c r="N23" s="44">
        <v>180000</v>
      </c>
      <c r="O23" s="44">
        <v>175000</v>
      </c>
      <c r="P23" s="45">
        <v>180000</v>
      </c>
      <c r="Q23" s="46">
        <f t="shared" ref="Q23:Q54" si="4">SUM(C23:P23)</f>
        <v>2610000</v>
      </c>
      <c r="R23" s="44">
        <v>380000</v>
      </c>
      <c r="S23" s="44">
        <v>285000</v>
      </c>
      <c r="T23" s="44">
        <v>225000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5">
        <v>0</v>
      </c>
      <c r="AA23" s="46">
        <f t="shared" ref="AA23:AA54" si="5">SUM(R23:Z23)</f>
        <v>890000</v>
      </c>
      <c r="AB23" s="47">
        <v>390000</v>
      </c>
      <c r="AC23" s="48">
        <f t="shared" ref="AC23:AC54" si="6">AB23</f>
        <v>390000</v>
      </c>
      <c r="AD23" s="48">
        <f t="shared" ref="AD23:AD54" si="7">Q23+AA23+AC23</f>
        <v>3890000</v>
      </c>
    </row>
    <row r="24" spans="1:30">
      <c r="A24" s="1" t="s">
        <v>3</v>
      </c>
      <c r="B24" s="16" t="s">
        <v>69</v>
      </c>
      <c r="C24" s="29">
        <v>0</v>
      </c>
      <c r="D24" s="10">
        <v>20000</v>
      </c>
      <c r="E24" s="10">
        <v>20000</v>
      </c>
      <c r="F24" s="10">
        <v>0</v>
      </c>
      <c r="G24" s="10">
        <v>0</v>
      </c>
      <c r="H24" s="10">
        <v>5000</v>
      </c>
      <c r="I24" s="10">
        <v>0</v>
      </c>
      <c r="J24" s="10">
        <v>0</v>
      </c>
      <c r="K24" s="10">
        <v>0</v>
      </c>
      <c r="L24" s="10">
        <v>5000</v>
      </c>
      <c r="M24" s="10">
        <v>0</v>
      </c>
      <c r="N24" s="10">
        <v>0</v>
      </c>
      <c r="O24" s="10">
        <v>0</v>
      </c>
      <c r="P24" s="35">
        <v>0</v>
      </c>
      <c r="Q24" s="40">
        <f t="shared" si="4"/>
        <v>50000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35">
        <v>0</v>
      </c>
      <c r="AA24" s="40">
        <f t="shared" si="5"/>
        <v>0</v>
      </c>
      <c r="AB24" s="11">
        <v>0</v>
      </c>
      <c r="AC24" s="21">
        <f t="shared" si="6"/>
        <v>0</v>
      </c>
      <c r="AD24" s="21">
        <f t="shared" si="7"/>
        <v>50000</v>
      </c>
    </row>
    <row r="25" spans="1:30">
      <c r="A25" s="1" t="s">
        <v>3</v>
      </c>
      <c r="B25" s="16" t="s">
        <v>70</v>
      </c>
      <c r="C25" s="29">
        <v>0</v>
      </c>
      <c r="D25" s="10">
        <v>3000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35">
        <v>0</v>
      </c>
      <c r="Q25" s="40">
        <f t="shared" si="4"/>
        <v>3000</v>
      </c>
      <c r="R25" s="10">
        <v>0</v>
      </c>
      <c r="S25" s="10">
        <v>3000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35">
        <v>0</v>
      </c>
      <c r="AA25" s="40">
        <f t="shared" si="5"/>
        <v>3000</v>
      </c>
      <c r="AB25" s="11">
        <v>0</v>
      </c>
      <c r="AC25" s="21">
        <f t="shared" si="6"/>
        <v>0</v>
      </c>
      <c r="AD25" s="21">
        <f t="shared" si="7"/>
        <v>6000</v>
      </c>
    </row>
    <row r="26" spans="1:30">
      <c r="A26" s="1" t="s">
        <v>3</v>
      </c>
      <c r="B26" s="16" t="s">
        <v>71</v>
      </c>
      <c r="C26" s="29">
        <v>0</v>
      </c>
      <c r="D26" s="10">
        <v>0</v>
      </c>
      <c r="E26" s="10">
        <v>3047</v>
      </c>
      <c r="F26" s="10">
        <v>2510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86596</v>
      </c>
      <c r="M26" s="10">
        <v>7803</v>
      </c>
      <c r="N26" s="10">
        <v>0</v>
      </c>
      <c r="O26" s="10">
        <v>0</v>
      </c>
      <c r="P26" s="35">
        <v>15939</v>
      </c>
      <c r="Q26" s="40">
        <f t="shared" si="4"/>
        <v>115895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35">
        <v>0</v>
      </c>
      <c r="AA26" s="40">
        <f t="shared" si="5"/>
        <v>0</v>
      </c>
      <c r="AB26" s="11">
        <v>0</v>
      </c>
      <c r="AC26" s="21">
        <f t="shared" si="6"/>
        <v>0</v>
      </c>
      <c r="AD26" s="21">
        <f t="shared" si="7"/>
        <v>115895</v>
      </c>
    </row>
    <row r="27" spans="1:30">
      <c r="A27" s="1" t="s">
        <v>3</v>
      </c>
      <c r="B27" s="16" t="s">
        <v>72</v>
      </c>
      <c r="C27" s="29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35">
        <v>0</v>
      </c>
      <c r="Q27" s="40">
        <f t="shared" si="4"/>
        <v>0</v>
      </c>
      <c r="R27" s="10">
        <v>0</v>
      </c>
      <c r="S27" s="10">
        <v>1000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35">
        <v>0</v>
      </c>
      <c r="AA27" s="40">
        <f t="shared" si="5"/>
        <v>1000</v>
      </c>
      <c r="AB27" s="11">
        <v>0</v>
      </c>
      <c r="AC27" s="21">
        <f t="shared" si="6"/>
        <v>0</v>
      </c>
      <c r="AD27" s="21">
        <f t="shared" si="7"/>
        <v>1000</v>
      </c>
    </row>
    <row r="28" spans="1:30">
      <c r="A28" s="1" t="s">
        <v>3</v>
      </c>
      <c r="B28" s="16" t="s">
        <v>73</v>
      </c>
      <c r="C28" s="29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35">
        <v>0</v>
      </c>
      <c r="Q28" s="40">
        <f t="shared" si="4"/>
        <v>0</v>
      </c>
      <c r="R28" s="10">
        <v>0</v>
      </c>
      <c r="S28" s="10">
        <v>0</v>
      </c>
      <c r="T28" s="10">
        <v>0</v>
      </c>
      <c r="U28" s="10">
        <v>74763</v>
      </c>
      <c r="V28" s="10">
        <v>81400</v>
      </c>
      <c r="W28" s="10">
        <v>119700</v>
      </c>
      <c r="X28" s="10">
        <v>64233</v>
      </c>
      <c r="Y28" s="10">
        <v>81081</v>
      </c>
      <c r="Z28" s="35">
        <v>139700</v>
      </c>
      <c r="AA28" s="40">
        <f t="shared" si="5"/>
        <v>560877</v>
      </c>
      <c r="AB28" s="11">
        <v>0</v>
      </c>
      <c r="AC28" s="21">
        <f t="shared" si="6"/>
        <v>0</v>
      </c>
      <c r="AD28" s="21">
        <f t="shared" si="7"/>
        <v>560877</v>
      </c>
    </row>
    <row r="29" spans="1:30">
      <c r="A29" s="1" t="s">
        <v>3</v>
      </c>
      <c r="B29" s="16" t="s">
        <v>74</v>
      </c>
      <c r="C29" s="29">
        <v>4933</v>
      </c>
      <c r="D29" s="10">
        <v>4667</v>
      </c>
      <c r="E29" s="10">
        <v>4567</v>
      </c>
      <c r="F29" s="10">
        <v>4567</v>
      </c>
      <c r="G29" s="10">
        <v>4967</v>
      </c>
      <c r="H29" s="10">
        <v>4733</v>
      </c>
      <c r="I29" s="10">
        <v>5000</v>
      </c>
      <c r="J29" s="10">
        <v>2467</v>
      </c>
      <c r="K29" s="10">
        <v>4867</v>
      </c>
      <c r="L29" s="10">
        <v>2383</v>
      </c>
      <c r="M29" s="10">
        <v>4633</v>
      </c>
      <c r="N29" s="10">
        <v>4767</v>
      </c>
      <c r="O29" s="10">
        <v>4733</v>
      </c>
      <c r="P29" s="35">
        <v>4867</v>
      </c>
      <c r="Q29" s="40">
        <f t="shared" si="4"/>
        <v>62151</v>
      </c>
      <c r="R29" s="10">
        <v>0</v>
      </c>
      <c r="S29" s="10">
        <v>4600</v>
      </c>
      <c r="T29" s="10">
        <v>2350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35">
        <v>0</v>
      </c>
      <c r="AA29" s="40">
        <f t="shared" si="5"/>
        <v>6950</v>
      </c>
      <c r="AB29" s="11">
        <v>0</v>
      </c>
      <c r="AC29" s="21">
        <f t="shared" si="6"/>
        <v>0</v>
      </c>
      <c r="AD29" s="21">
        <f t="shared" si="7"/>
        <v>69101</v>
      </c>
    </row>
    <row r="30" spans="1:30">
      <c r="A30" s="1" t="s">
        <v>3</v>
      </c>
      <c r="B30" s="16" t="s">
        <v>75</v>
      </c>
      <c r="C30" s="29">
        <v>6000</v>
      </c>
      <c r="D30" s="10">
        <v>6000</v>
      </c>
      <c r="E30" s="10">
        <v>6000</v>
      </c>
      <c r="F30" s="10">
        <v>6000</v>
      </c>
      <c r="G30" s="10">
        <v>6000</v>
      </c>
      <c r="H30" s="10">
        <v>6000</v>
      </c>
      <c r="I30" s="10">
        <v>6000</v>
      </c>
      <c r="J30" s="10">
        <v>3500</v>
      </c>
      <c r="K30" s="10">
        <v>6000</v>
      </c>
      <c r="L30" s="10">
        <v>2000</v>
      </c>
      <c r="M30" s="10">
        <v>6000</v>
      </c>
      <c r="N30" s="10">
        <v>2000</v>
      </c>
      <c r="O30" s="10">
        <v>3500</v>
      </c>
      <c r="P30" s="35">
        <v>3500</v>
      </c>
      <c r="Q30" s="40">
        <f t="shared" si="4"/>
        <v>68500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35">
        <v>0</v>
      </c>
      <c r="AA30" s="40">
        <f t="shared" si="5"/>
        <v>0</v>
      </c>
      <c r="AB30" s="11">
        <v>0</v>
      </c>
      <c r="AC30" s="21">
        <f t="shared" si="6"/>
        <v>0</v>
      </c>
      <c r="AD30" s="21">
        <f t="shared" si="7"/>
        <v>68500</v>
      </c>
    </row>
    <row r="31" spans="1:30">
      <c r="A31" s="1" t="s">
        <v>3</v>
      </c>
      <c r="B31" s="16" t="s">
        <v>76</v>
      </c>
      <c r="C31" s="29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35">
        <v>0</v>
      </c>
      <c r="Q31" s="40">
        <f t="shared" si="4"/>
        <v>0</v>
      </c>
      <c r="R31" s="10">
        <v>0</v>
      </c>
      <c r="S31" s="10">
        <v>0</v>
      </c>
      <c r="T31" s="10">
        <v>0</v>
      </c>
      <c r="U31" s="10">
        <v>0</v>
      </c>
      <c r="V31" s="10">
        <v>6600</v>
      </c>
      <c r="W31" s="10">
        <v>7980</v>
      </c>
      <c r="X31" s="10">
        <v>0</v>
      </c>
      <c r="Y31" s="10">
        <v>0</v>
      </c>
      <c r="Z31" s="35">
        <v>0</v>
      </c>
      <c r="AA31" s="40">
        <f t="shared" si="5"/>
        <v>14580</v>
      </c>
      <c r="AB31" s="11">
        <v>0</v>
      </c>
      <c r="AC31" s="21">
        <f t="shared" si="6"/>
        <v>0</v>
      </c>
      <c r="AD31" s="21">
        <f t="shared" si="7"/>
        <v>14580</v>
      </c>
    </row>
    <row r="32" spans="1:30">
      <c r="A32" s="1" t="s">
        <v>3</v>
      </c>
      <c r="B32" s="16" t="s">
        <v>77</v>
      </c>
      <c r="C32" s="29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15000</v>
      </c>
      <c r="K32" s="10">
        <v>15000</v>
      </c>
      <c r="L32" s="10">
        <v>0</v>
      </c>
      <c r="M32" s="10">
        <v>0</v>
      </c>
      <c r="N32" s="10">
        <v>0</v>
      </c>
      <c r="O32" s="10">
        <v>0</v>
      </c>
      <c r="P32" s="35">
        <v>0</v>
      </c>
      <c r="Q32" s="40">
        <f t="shared" si="4"/>
        <v>30000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35">
        <v>0</v>
      </c>
      <c r="AA32" s="40">
        <f t="shared" si="5"/>
        <v>0</v>
      </c>
      <c r="AB32" s="11">
        <v>0</v>
      </c>
      <c r="AC32" s="21">
        <f t="shared" si="6"/>
        <v>0</v>
      </c>
      <c r="AD32" s="21">
        <f t="shared" si="7"/>
        <v>30000</v>
      </c>
    </row>
    <row r="33" spans="1:30">
      <c r="A33" s="1" t="s">
        <v>3</v>
      </c>
      <c r="B33" s="16" t="s">
        <v>60</v>
      </c>
      <c r="C33" s="29">
        <v>18304</v>
      </c>
      <c r="D33" s="10">
        <v>69331</v>
      </c>
      <c r="E33" s="10">
        <v>83450</v>
      </c>
      <c r="F33" s="10">
        <v>69105</v>
      </c>
      <c r="G33" s="10">
        <v>50688</v>
      </c>
      <c r="H33" s="10">
        <v>44490</v>
      </c>
      <c r="I33" s="10">
        <v>50688</v>
      </c>
      <c r="J33" s="10">
        <v>35486</v>
      </c>
      <c r="K33" s="10">
        <v>61978</v>
      </c>
      <c r="L33" s="10">
        <v>37250</v>
      </c>
      <c r="M33" s="10">
        <v>44795</v>
      </c>
      <c r="N33" s="10">
        <v>61335</v>
      </c>
      <c r="O33" s="10">
        <v>76152</v>
      </c>
      <c r="P33" s="35">
        <v>41220</v>
      </c>
      <c r="Q33" s="40">
        <f t="shared" si="4"/>
        <v>744272</v>
      </c>
      <c r="R33" s="10">
        <v>0</v>
      </c>
      <c r="S33" s="10">
        <v>47432</v>
      </c>
      <c r="T33" s="10">
        <v>26944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35">
        <v>12375</v>
      </c>
      <c r="AA33" s="40">
        <f t="shared" si="5"/>
        <v>86751</v>
      </c>
      <c r="AB33" s="11">
        <v>0</v>
      </c>
      <c r="AC33" s="21">
        <f t="shared" si="6"/>
        <v>0</v>
      </c>
      <c r="AD33" s="21">
        <f t="shared" si="7"/>
        <v>831023</v>
      </c>
    </row>
    <row r="34" spans="1:30">
      <c r="A34" s="1" t="s">
        <v>3</v>
      </c>
      <c r="B34" s="16" t="s">
        <v>78</v>
      </c>
      <c r="C34" s="29">
        <v>10640</v>
      </c>
      <c r="D34" s="10">
        <v>32886</v>
      </c>
      <c r="E34" s="10">
        <v>54060</v>
      </c>
      <c r="F34" s="10">
        <v>30723</v>
      </c>
      <c r="G34" s="10">
        <v>41040</v>
      </c>
      <c r="H34" s="10">
        <v>32020</v>
      </c>
      <c r="I34" s="10">
        <v>60800</v>
      </c>
      <c r="J34" s="10">
        <v>20904</v>
      </c>
      <c r="K34" s="10">
        <v>54622</v>
      </c>
      <c r="L34" s="10">
        <v>51488</v>
      </c>
      <c r="M34" s="10">
        <v>49952</v>
      </c>
      <c r="N34" s="10">
        <v>58880</v>
      </c>
      <c r="O34" s="10">
        <v>23088</v>
      </c>
      <c r="P34" s="35">
        <v>38584</v>
      </c>
      <c r="Q34" s="40">
        <f t="shared" si="4"/>
        <v>559687</v>
      </c>
      <c r="R34" s="10">
        <v>0</v>
      </c>
      <c r="S34" s="10">
        <v>48909</v>
      </c>
      <c r="T34" s="10">
        <v>9090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35">
        <v>0</v>
      </c>
      <c r="AA34" s="40">
        <f t="shared" si="5"/>
        <v>57999</v>
      </c>
      <c r="AB34" s="11">
        <v>0</v>
      </c>
      <c r="AC34" s="21">
        <f t="shared" si="6"/>
        <v>0</v>
      </c>
      <c r="AD34" s="21">
        <f t="shared" si="7"/>
        <v>617686</v>
      </c>
    </row>
    <row r="35" spans="1:30">
      <c r="A35" s="1" t="s">
        <v>3</v>
      </c>
      <c r="B35" s="16" t="s">
        <v>79</v>
      </c>
      <c r="C35" s="29">
        <v>66880</v>
      </c>
      <c r="D35" s="10">
        <v>54810</v>
      </c>
      <c r="E35" s="10">
        <v>30634</v>
      </c>
      <c r="F35" s="10">
        <v>20482</v>
      </c>
      <c r="G35" s="10">
        <v>63840</v>
      </c>
      <c r="H35" s="10">
        <v>27217</v>
      </c>
      <c r="I35" s="10">
        <v>25840</v>
      </c>
      <c r="J35" s="10">
        <v>48776</v>
      </c>
      <c r="K35" s="10">
        <v>35240</v>
      </c>
      <c r="L35" s="10">
        <v>0</v>
      </c>
      <c r="M35" s="10">
        <v>14049</v>
      </c>
      <c r="N35" s="10">
        <v>47104</v>
      </c>
      <c r="O35" s="10">
        <v>37518</v>
      </c>
      <c r="P35" s="35">
        <v>38584</v>
      </c>
      <c r="Q35" s="40">
        <f t="shared" si="4"/>
        <v>510974</v>
      </c>
      <c r="R35" s="10">
        <v>0</v>
      </c>
      <c r="S35" s="10">
        <v>13974</v>
      </c>
      <c r="T35" s="10">
        <v>9090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35">
        <v>0</v>
      </c>
      <c r="AA35" s="40">
        <f t="shared" si="5"/>
        <v>23064</v>
      </c>
      <c r="AB35" s="11">
        <v>0</v>
      </c>
      <c r="AC35" s="21">
        <f t="shared" si="6"/>
        <v>0</v>
      </c>
      <c r="AD35" s="21">
        <f t="shared" si="7"/>
        <v>534038</v>
      </c>
    </row>
    <row r="36" spans="1:30">
      <c r="A36" s="1" t="s">
        <v>3</v>
      </c>
      <c r="B36" s="16" t="s">
        <v>80</v>
      </c>
      <c r="C36" s="29">
        <v>2364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35">
        <v>0</v>
      </c>
      <c r="Q36" s="40">
        <f t="shared" si="4"/>
        <v>2364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35">
        <v>0</v>
      </c>
      <c r="AA36" s="40">
        <f t="shared" si="5"/>
        <v>0</v>
      </c>
      <c r="AB36" s="11">
        <v>0</v>
      </c>
      <c r="AC36" s="21">
        <f t="shared" si="6"/>
        <v>0</v>
      </c>
      <c r="AD36" s="21">
        <f t="shared" si="7"/>
        <v>2364</v>
      </c>
    </row>
    <row r="37" spans="1:30">
      <c r="A37" s="1" t="s">
        <v>3</v>
      </c>
      <c r="B37" s="16" t="s">
        <v>64</v>
      </c>
      <c r="C37" s="29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1068</v>
      </c>
      <c r="P37" s="35">
        <v>0</v>
      </c>
      <c r="Q37" s="40">
        <f t="shared" si="4"/>
        <v>1068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35">
        <v>0</v>
      </c>
      <c r="AA37" s="40">
        <f t="shared" si="5"/>
        <v>0</v>
      </c>
      <c r="AB37" s="11">
        <v>0</v>
      </c>
      <c r="AC37" s="21">
        <f t="shared" si="6"/>
        <v>0</v>
      </c>
      <c r="AD37" s="21">
        <f t="shared" si="7"/>
        <v>1068</v>
      </c>
    </row>
    <row r="38" spans="1:30">
      <c r="A38" s="1" t="s">
        <v>3</v>
      </c>
      <c r="B38" s="56" t="s">
        <v>66</v>
      </c>
      <c r="C38" s="57">
        <v>846</v>
      </c>
      <c r="D38" s="58">
        <v>7436</v>
      </c>
      <c r="E38" s="58">
        <v>2672</v>
      </c>
      <c r="F38" s="58">
        <v>4878</v>
      </c>
      <c r="G38" s="58">
        <v>564</v>
      </c>
      <c r="H38" s="58">
        <v>6237</v>
      </c>
      <c r="I38" s="58">
        <v>0</v>
      </c>
      <c r="J38" s="58">
        <v>3230</v>
      </c>
      <c r="K38" s="58">
        <v>5216</v>
      </c>
      <c r="L38" s="58">
        <v>894</v>
      </c>
      <c r="M38" s="58">
        <v>1734</v>
      </c>
      <c r="N38" s="58">
        <v>3276</v>
      </c>
      <c r="O38" s="58">
        <v>5874</v>
      </c>
      <c r="P38" s="59">
        <v>1100</v>
      </c>
      <c r="Q38" s="60">
        <f t="shared" si="4"/>
        <v>43957</v>
      </c>
      <c r="R38" s="58">
        <v>0</v>
      </c>
      <c r="S38" s="58">
        <v>0</v>
      </c>
      <c r="T38" s="58">
        <v>0</v>
      </c>
      <c r="U38" s="58">
        <v>13150</v>
      </c>
      <c r="V38" s="58">
        <v>0</v>
      </c>
      <c r="W38" s="58">
        <v>0</v>
      </c>
      <c r="X38" s="58">
        <v>3945</v>
      </c>
      <c r="Y38" s="58">
        <v>14465</v>
      </c>
      <c r="Z38" s="59">
        <v>8250</v>
      </c>
      <c r="AA38" s="60">
        <f t="shared" si="5"/>
        <v>39810</v>
      </c>
      <c r="AB38" s="61">
        <v>0</v>
      </c>
      <c r="AC38" s="62">
        <f t="shared" si="6"/>
        <v>0</v>
      </c>
      <c r="AD38" s="62">
        <f t="shared" si="7"/>
        <v>83767</v>
      </c>
    </row>
    <row r="39" spans="1:30">
      <c r="A39" s="1" t="s">
        <v>3</v>
      </c>
      <c r="B39" s="63" t="s">
        <v>81</v>
      </c>
      <c r="C39" s="64">
        <v>291967</v>
      </c>
      <c r="D39" s="65">
        <v>395130</v>
      </c>
      <c r="E39" s="65">
        <v>401430</v>
      </c>
      <c r="F39" s="65">
        <v>313265</v>
      </c>
      <c r="G39" s="65">
        <v>349099</v>
      </c>
      <c r="H39" s="65">
        <v>312697</v>
      </c>
      <c r="I39" s="65">
        <v>330328</v>
      </c>
      <c r="J39" s="65">
        <v>326363</v>
      </c>
      <c r="K39" s="65">
        <v>379923</v>
      </c>
      <c r="L39" s="65">
        <v>377611</v>
      </c>
      <c r="M39" s="65">
        <v>315966</v>
      </c>
      <c r="N39" s="65">
        <v>357362</v>
      </c>
      <c r="O39" s="65">
        <v>326933</v>
      </c>
      <c r="P39" s="66">
        <v>323794</v>
      </c>
      <c r="Q39" s="67">
        <f t="shared" si="4"/>
        <v>4801868</v>
      </c>
      <c r="R39" s="65">
        <v>380000</v>
      </c>
      <c r="S39" s="65">
        <v>403915</v>
      </c>
      <c r="T39" s="65">
        <v>272474</v>
      </c>
      <c r="U39" s="65">
        <v>87913</v>
      </c>
      <c r="V39" s="65">
        <v>88000</v>
      </c>
      <c r="W39" s="65">
        <v>127680</v>
      </c>
      <c r="X39" s="65">
        <v>68178</v>
      </c>
      <c r="Y39" s="65">
        <v>95546</v>
      </c>
      <c r="Z39" s="66">
        <v>160325</v>
      </c>
      <c r="AA39" s="67">
        <f t="shared" si="5"/>
        <v>1684031</v>
      </c>
      <c r="AB39" s="68">
        <v>390000</v>
      </c>
      <c r="AC39" s="69">
        <f t="shared" si="6"/>
        <v>390000</v>
      </c>
      <c r="AD39" s="69">
        <f t="shared" si="7"/>
        <v>6875899</v>
      </c>
    </row>
    <row r="40" spans="1:30">
      <c r="A40" s="1" t="s">
        <v>3</v>
      </c>
      <c r="B40" s="63" t="s">
        <v>82</v>
      </c>
      <c r="C40" s="64">
        <v>11321</v>
      </c>
      <c r="D40" s="65">
        <v>5580</v>
      </c>
      <c r="E40" s="65">
        <v>2965</v>
      </c>
      <c r="F40" s="65">
        <v>2265</v>
      </c>
      <c r="G40" s="65">
        <v>2588</v>
      </c>
      <c r="H40" s="65">
        <v>1025</v>
      </c>
      <c r="I40" s="65">
        <v>3235</v>
      </c>
      <c r="J40" s="65">
        <v>4960</v>
      </c>
      <c r="K40" s="65">
        <v>7440</v>
      </c>
      <c r="L40" s="65">
        <v>5930</v>
      </c>
      <c r="M40" s="65">
        <v>10539</v>
      </c>
      <c r="N40" s="65">
        <v>8060</v>
      </c>
      <c r="O40" s="65">
        <v>7709</v>
      </c>
      <c r="P40" s="66">
        <v>2588</v>
      </c>
      <c r="Q40" s="67">
        <f t="shared" si="4"/>
        <v>76205</v>
      </c>
      <c r="R40" s="65">
        <v>3073</v>
      </c>
      <c r="S40" s="65">
        <v>5823</v>
      </c>
      <c r="T40" s="65">
        <v>6146</v>
      </c>
      <c r="U40" s="65">
        <v>4313</v>
      </c>
      <c r="V40" s="65">
        <v>2588</v>
      </c>
      <c r="W40" s="65">
        <v>2157</v>
      </c>
      <c r="X40" s="65">
        <v>2804</v>
      </c>
      <c r="Y40" s="65">
        <v>4151</v>
      </c>
      <c r="Z40" s="66">
        <v>12399</v>
      </c>
      <c r="AA40" s="67">
        <f t="shared" si="5"/>
        <v>43454</v>
      </c>
      <c r="AB40" s="68">
        <v>6308</v>
      </c>
      <c r="AC40" s="69">
        <f t="shared" si="6"/>
        <v>6308</v>
      </c>
      <c r="AD40" s="69">
        <f t="shared" si="7"/>
        <v>125967</v>
      </c>
    </row>
    <row r="41" spans="1:30">
      <c r="A41" s="1" t="s">
        <v>3</v>
      </c>
      <c r="B41" s="63" t="s">
        <v>83</v>
      </c>
      <c r="C41" s="64">
        <v>11321</v>
      </c>
      <c r="D41" s="65">
        <v>5580</v>
      </c>
      <c r="E41" s="65">
        <v>2965</v>
      </c>
      <c r="F41" s="65">
        <v>2265</v>
      </c>
      <c r="G41" s="65">
        <v>2588</v>
      </c>
      <c r="H41" s="65">
        <v>1025</v>
      </c>
      <c r="I41" s="65">
        <v>3235</v>
      </c>
      <c r="J41" s="65">
        <v>4960</v>
      </c>
      <c r="K41" s="65">
        <v>7440</v>
      </c>
      <c r="L41" s="65">
        <v>5930</v>
      </c>
      <c r="M41" s="65">
        <v>10539</v>
      </c>
      <c r="N41" s="65">
        <v>8060</v>
      </c>
      <c r="O41" s="65">
        <v>7709</v>
      </c>
      <c r="P41" s="66">
        <v>2588</v>
      </c>
      <c r="Q41" s="67">
        <f t="shared" si="4"/>
        <v>76205</v>
      </c>
      <c r="R41" s="65">
        <v>3073</v>
      </c>
      <c r="S41" s="65">
        <v>5823</v>
      </c>
      <c r="T41" s="65">
        <v>6146</v>
      </c>
      <c r="U41" s="65">
        <v>4313</v>
      </c>
      <c r="V41" s="65">
        <v>2588</v>
      </c>
      <c r="W41" s="65">
        <v>2157</v>
      </c>
      <c r="X41" s="65">
        <v>2804</v>
      </c>
      <c r="Y41" s="65">
        <v>4151</v>
      </c>
      <c r="Z41" s="66">
        <v>12399</v>
      </c>
      <c r="AA41" s="67">
        <f t="shared" si="5"/>
        <v>43454</v>
      </c>
      <c r="AB41" s="68">
        <v>6308</v>
      </c>
      <c r="AC41" s="69">
        <f t="shared" si="6"/>
        <v>6308</v>
      </c>
      <c r="AD41" s="69">
        <f t="shared" si="7"/>
        <v>125967</v>
      </c>
    </row>
    <row r="42" spans="1:30">
      <c r="A42" s="1" t="s">
        <v>3</v>
      </c>
      <c r="B42" s="63" t="s">
        <v>84</v>
      </c>
      <c r="C42" s="64">
        <v>303288</v>
      </c>
      <c r="D42" s="65">
        <v>400710</v>
      </c>
      <c r="E42" s="65">
        <v>404395</v>
      </c>
      <c r="F42" s="65">
        <v>315530</v>
      </c>
      <c r="G42" s="65">
        <v>351687</v>
      </c>
      <c r="H42" s="65">
        <v>313722</v>
      </c>
      <c r="I42" s="65">
        <v>333563</v>
      </c>
      <c r="J42" s="65">
        <v>331323</v>
      </c>
      <c r="K42" s="65">
        <v>387363</v>
      </c>
      <c r="L42" s="65">
        <v>383541</v>
      </c>
      <c r="M42" s="65">
        <v>326505</v>
      </c>
      <c r="N42" s="65">
        <v>365422</v>
      </c>
      <c r="O42" s="65">
        <v>334642</v>
      </c>
      <c r="P42" s="66">
        <v>326382</v>
      </c>
      <c r="Q42" s="67">
        <f t="shared" si="4"/>
        <v>4878073</v>
      </c>
      <c r="R42" s="65">
        <v>383073</v>
      </c>
      <c r="S42" s="65">
        <v>409738</v>
      </c>
      <c r="T42" s="65">
        <v>278620</v>
      </c>
      <c r="U42" s="65">
        <v>92226</v>
      </c>
      <c r="V42" s="65">
        <v>90588</v>
      </c>
      <c r="W42" s="65">
        <v>129837</v>
      </c>
      <c r="X42" s="65">
        <v>70982</v>
      </c>
      <c r="Y42" s="65">
        <v>99697</v>
      </c>
      <c r="Z42" s="66">
        <v>172724</v>
      </c>
      <c r="AA42" s="67">
        <f t="shared" si="5"/>
        <v>1727485</v>
      </c>
      <c r="AB42" s="68">
        <v>396308</v>
      </c>
      <c r="AC42" s="69">
        <f t="shared" si="6"/>
        <v>396308</v>
      </c>
      <c r="AD42" s="69">
        <f t="shared" si="7"/>
        <v>7001866</v>
      </c>
    </row>
    <row r="43" spans="1:30">
      <c r="A43" s="1" t="s">
        <v>3</v>
      </c>
      <c r="B43" s="42" t="s">
        <v>85</v>
      </c>
      <c r="C43" s="43">
        <v>15300</v>
      </c>
      <c r="D43" s="44">
        <v>16320</v>
      </c>
      <c r="E43" s="44">
        <v>18360</v>
      </c>
      <c r="F43" s="44">
        <v>17340</v>
      </c>
      <c r="G43" s="44">
        <v>16320</v>
      </c>
      <c r="H43" s="44">
        <v>15300</v>
      </c>
      <c r="I43" s="44">
        <v>15300</v>
      </c>
      <c r="J43" s="44">
        <v>16320</v>
      </c>
      <c r="K43" s="44">
        <v>15300</v>
      </c>
      <c r="L43" s="44">
        <v>18360</v>
      </c>
      <c r="M43" s="44">
        <v>15300</v>
      </c>
      <c r="N43" s="44">
        <v>16320</v>
      </c>
      <c r="O43" s="44">
        <v>15300</v>
      </c>
      <c r="P43" s="45">
        <v>17340</v>
      </c>
      <c r="Q43" s="46">
        <f t="shared" si="4"/>
        <v>228480</v>
      </c>
      <c r="R43" s="44">
        <v>19380</v>
      </c>
      <c r="S43" s="44">
        <v>19380</v>
      </c>
      <c r="T43" s="44">
        <v>14280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5">
        <v>8160</v>
      </c>
      <c r="AA43" s="46">
        <f t="shared" si="5"/>
        <v>61200</v>
      </c>
      <c r="AB43" s="47">
        <v>20910</v>
      </c>
      <c r="AC43" s="48">
        <f t="shared" si="6"/>
        <v>20910</v>
      </c>
      <c r="AD43" s="48">
        <f t="shared" si="7"/>
        <v>310590</v>
      </c>
    </row>
    <row r="44" spans="1:30">
      <c r="A44" s="1" t="s">
        <v>3</v>
      </c>
      <c r="B44" s="16" t="s">
        <v>86</v>
      </c>
      <c r="C44" s="29">
        <v>2700</v>
      </c>
      <c r="D44" s="10">
        <v>2880</v>
      </c>
      <c r="E44" s="10">
        <v>3240</v>
      </c>
      <c r="F44" s="10">
        <v>0</v>
      </c>
      <c r="G44" s="10">
        <v>2880</v>
      </c>
      <c r="H44" s="10">
        <v>2700</v>
      </c>
      <c r="I44" s="10">
        <v>2700</v>
      </c>
      <c r="J44" s="10">
        <v>2880</v>
      </c>
      <c r="K44" s="10">
        <v>2700</v>
      </c>
      <c r="L44" s="10">
        <v>3240</v>
      </c>
      <c r="M44" s="10">
        <v>2700</v>
      </c>
      <c r="N44" s="10">
        <v>2880</v>
      </c>
      <c r="O44" s="10">
        <v>2700</v>
      </c>
      <c r="P44" s="35">
        <v>3060</v>
      </c>
      <c r="Q44" s="40">
        <f t="shared" si="4"/>
        <v>37260</v>
      </c>
      <c r="R44" s="10">
        <v>3420</v>
      </c>
      <c r="S44" s="10">
        <v>3420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35">
        <v>0</v>
      </c>
      <c r="AA44" s="40">
        <f t="shared" si="5"/>
        <v>6840</v>
      </c>
      <c r="AB44" s="11">
        <v>3690</v>
      </c>
      <c r="AC44" s="21">
        <f t="shared" si="6"/>
        <v>3690</v>
      </c>
      <c r="AD44" s="21">
        <f t="shared" si="7"/>
        <v>47790</v>
      </c>
    </row>
    <row r="45" spans="1:30">
      <c r="A45" s="1" t="s">
        <v>3</v>
      </c>
      <c r="B45" s="16" t="s">
        <v>87</v>
      </c>
      <c r="C45" s="29">
        <v>27450</v>
      </c>
      <c r="D45" s="10">
        <v>29280</v>
      </c>
      <c r="E45" s="10">
        <v>32940</v>
      </c>
      <c r="F45" s="10">
        <v>31110</v>
      </c>
      <c r="G45" s="10">
        <v>29280</v>
      </c>
      <c r="H45" s="10">
        <v>27450</v>
      </c>
      <c r="I45" s="10">
        <v>27450</v>
      </c>
      <c r="J45" s="10">
        <v>29280</v>
      </c>
      <c r="K45" s="10">
        <v>27450</v>
      </c>
      <c r="L45" s="10">
        <v>32940</v>
      </c>
      <c r="M45" s="10">
        <v>27450</v>
      </c>
      <c r="N45" s="10">
        <v>29280</v>
      </c>
      <c r="O45" s="10">
        <v>27450</v>
      </c>
      <c r="P45" s="35">
        <v>31110</v>
      </c>
      <c r="Q45" s="40">
        <f t="shared" si="4"/>
        <v>409920</v>
      </c>
      <c r="R45" s="10">
        <v>34770</v>
      </c>
      <c r="S45" s="10">
        <v>34770</v>
      </c>
      <c r="T45" s="10">
        <v>25620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35">
        <v>14640</v>
      </c>
      <c r="AA45" s="40">
        <f t="shared" si="5"/>
        <v>109800</v>
      </c>
      <c r="AB45" s="11">
        <v>37515</v>
      </c>
      <c r="AC45" s="21">
        <f t="shared" si="6"/>
        <v>37515</v>
      </c>
      <c r="AD45" s="21">
        <f t="shared" si="7"/>
        <v>557235</v>
      </c>
    </row>
    <row r="46" spans="1:30">
      <c r="A46" s="1" t="s">
        <v>3</v>
      </c>
      <c r="B46" s="56" t="s">
        <v>88</v>
      </c>
      <c r="C46" s="57">
        <v>1668</v>
      </c>
      <c r="D46" s="58">
        <v>2204</v>
      </c>
      <c r="E46" s="58">
        <v>2224</v>
      </c>
      <c r="F46" s="58">
        <v>1735</v>
      </c>
      <c r="G46" s="58">
        <v>1934</v>
      </c>
      <c r="H46" s="58">
        <v>1725</v>
      </c>
      <c r="I46" s="58">
        <v>1835</v>
      </c>
      <c r="J46" s="58">
        <v>1822</v>
      </c>
      <c r="K46" s="58">
        <v>2130</v>
      </c>
      <c r="L46" s="58">
        <v>2109</v>
      </c>
      <c r="M46" s="58">
        <v>1796</v>
      </c>
      <c r="N46" s="58">
        <v>2010</v>
      </c>
      <c r="O46" s="58">
        <v>1841</v>
      </c>
      <c r="P46" s="59">
        <v>1795</v>
      </c>
      <c r="Q46" s="60">
        <f t="shared" si="4"/>
        <v>26828</v>
      </c>
      <c r="R46" s="58">
        <v>2107</v>
      </c>
      <c r="S46" s="58">
        <v>2254</v>
      </c>
      <c r="T46" s="58">
        <v>1532</v>
      </c>
      <c r="U46" s="58">
        <v>0</v>
      </c>
      <c r="V46" s="58">
        <v>498</v>
      </c>
      <c r="W46" s="58">
        <v>714</v>
      </c>
      <c r="X46" s="58">
        <v>0</v>
      </c>
      <c r="Y46" s="58">
        <v>548</v>
      </c>
      <c r="Z46" s="59">
        <v>950</v>
      </c>
      <c r="AA46" s="60">
        <f t="shared" si="5"/>
        <v>8603</v>
      </c>
      <c r="AB46" s="61">
        <v>2180</v>
      </c>
      <c r="AC46" s="62">
        <f t="shared" si="6"/>
        <v>2180</v>
      </c>
      <c r="AD46" s="62">
        <f t="shared" si="7"/>
        <v>37611</v>
      </c>
    </row>
    <row r="47" spans="1:30">
      <c r="A47" s="1" t="s">
        <v>3</v>
      </c>
      <c r="B47" s="63" t="s">
        <v>89</v>
      </c>
      <c r="C47" s="64">
        <v>47118</v>
      </c>
      <c r="D47" s="65">
        <v>50684</v>
      </c>
      <c r="E47" s="65">
        <v>56764</v>
      </c>
      <c r="F47" s="65">
        <v>50185</v>
      </c>
      <c r="G47" s="65">
        <v>50414</v>
      </c>
      <c r="H47" s="65">
        <v>47175</v>
      </c>
      <c r="I47" s="65">
        <v>47285</v>
      </c>
      <c r="J47" s="65">
        <v>50302</v>
      </c>
      <c r="K47" s="65">
        <v>47580</v>
      </c>
      <c r="L47" s="65">
        <v>56649</v>
      </c>
      <c r="M47" s="65">
        <v>47246</v>
      </c>
      <c r="N47" s="65">
        <v>50490</v>
      </c>
      <c r="O47" s="65">
        <v>47291</v>
      </c>
      <c r="P47" s="66">
        <v>53305</v>
      </c>
      <c r="Q47" s="67">
        <f t="shared" si="4"/>
        <v>702488</v>
      </c>
      <c r="R47" s="65">
        <v>59677</v>
      </c>
      <c r="S47" s="65">
        <v>59824</v>
      </c>
      <c r="T47" s="65">
        <v>41432</v>
      </c>
      <c r="U47" s="65">
        <v>0</v>
      </c>
      <c r="V47" s="65">
        <v>498</v>
      </c>
      <c r="W47" s="65">
        <v>714</v>
      </c>
      <c r="X47" s="65">
        <v>0</v>
      </c>
      <c r="Y47" s="65">
        <v>548</v>
      </c>
      <c r="Z47" s="66">
        <v>23750</v>
      </c>
      <c r="AA47" s="67">
        <f t="shared" si="5"/>
        <v>186443</v>
      </c>
      <c r="AB47" s="68">
        <v>64295</v>
      </c>
      <c r="AC47" s="69">
        <f t="shared" si="6"/>
        <v>64295</v>
      </c>
      <c r="AD47" s="69">
        <f t="shared" si="7"/>
        <v>953226</v>
      </c>
    </row>
    <row r="48" spans="1:30">
      <c r="A48" s="1" t="s">
        <v>3</v>
      </c>
      <c r="B48" s="42" t="s">
        <v>90</v>
      </c>
      <c r="C48" s="43">
        <v>4750</v>
      </c>
      <c r="D48" s="44">
        <v>8780</v>
      </c>
      <c r="E48" s="44">
        <v>12030</v>
      </c>
      <c r="F48" s="44">
        <v>7020</v>
      </c>
      <c r="G48" s="44">
        <v>8290</v>
      </c>
      <c r="H48" s="44">
        <v>5490</v>
      </c>
      <c r="I48" s="44">
        <v>7730</v>
      </c>
      <c r="J48" s="44">
        <v>7480</v>
      </c>
      <c r="K48" s="44">
        <v>11020</v>
      </c>
      <c r="L48" s="44">
        <v>2730</v>
      </c>
      <c r="M48" s="44">
        <v>7220</v>
      </c>
      <c r="N48" s="44">
        <v>7000</v>
      </c>
      <c r="O48" s="44">
        <v>7610</v>
      </c>
      <c r="P48" s="45">
        <v>7280</v>
      </c>
      <c r="Q48" s="46">
        <f t="shared" si="4"/>
        <v>104430</v>
      </c>
      <c r="R48" s="44">
        <v>7550</v>
      </c>
      <c r="S48" s="44">
        <v>8750</v>
      </c>
      <c r="T48" s="44">
        <v>5870</v>
      </c>
      <c r="U48" s="44">
        <v>0</v>
      </c>
      <c r="V48" s="44">
        <v>90</v>
      </c>
      <c r="W48" s="44">
        <v>2100</v>
      </c>
      <c r="X48" s="44">
        <v>0</v>
      </c>
      <c r="Y48" s="44">
        <v>0</v>
      </c>
      <c r="Z48" s="45">
        <v>950</v>
      </c>
      <c r="AA48" s="46">
        <f t="shared" si="5"/>
        <v>25310</v>
      </c>
      <c r="AB48" s="47">
        <v>10480</v>
      </c>
      <c r="AC48" s="48">
        <f t="shared" si="6"/>
        <v>10480</v>
      </c>
      <c r="AD48" s="48">
        <f t="shared" si="7"/>
        <v>140220</v>
      </c>
    </row>
    <row r="49" spans="1:30">
      <c r="A49" s="1" t="s">
        <v>3</v>
      </c>
      <c r="B49" s="16" t="s">
        <v>91</v>
      </c>
      <c r="C49" s="29">
        <v>1300</v>
      </c>
      <c r="D49" s="10">
        <v>0</v>
      </c>
      <c r="E49" s="10">
        <v>0</v>
      </c>
      <c r="F49" s="10">
        <v>1300</v>
      </c>
      <c r="G49" s="10">
        <v>1300</v>
      </c>
      <c r="H49" s="10">
        <v>1300</v>
      </c>
      <c r="I49" s="10">
        <v>1300</v>
      </c>
      <c r="J49" s="10">
        <v>1300</v>
      </c>
      <c r="K49" s="10">
        <v>1300</v>
      </c>
      <c r="L49" s="10">
        <v>1300</v>
      </c>
      <c r="M49" s="10">
        <v>1300</v>
      </c>
      <c r="N49" s="10">
        <v>1300</v>
      </c>
      <c r="O49" s="10">
        <v>1300</v>
      </c>
      <c r="P49" s="35">
        <v>0</v>
      </c>
      <c r="Q49" s="40">
        <f t="shared" si="4"/>
        <v>14300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35">
        <v>0</v>
      </c>
      <c r="AA49" s="40">
        <f t="shared" si="5"/>
        <v>0</v>
      </c>
      <c r="AB49" s="11">
        <v>0</v>
      </c>
      <c r="AC49" s="21">
        <f t="shared" si="6"/>
        <v>0</v>
      </c>
      <c r="AD49" s="21">
        <f t="shared" si="7"/>
        <v>14300</v>
      </c>
    </row>
    <row r="50" spans="1:30">
      <c r="A50" s="1" t="s">
        <v>3</v>
      </c>
      <c r="B50" s="56" t="s">
        <v>92</v>
      </c>
      <c r="C50" s="57">
        <v>8100</v>
      </c>
      <c r="D50" s="58">
        <v>20000</v>
      </c>
      <c r="E50" s="58">
        <v>17800</v>
      </c>
      <c r="F50" s="58">
        <v>14100</v>
      </c>
      <c r="G50" s="58">
        <v>12800</v>
      </c>
      <c r="H50" s="58">
        <v>10300</v>
      </c>
      <c r="I50" s="58">
        <v>13200</v>
      </c>
      <c r="J50" s="58">
        <v>15400</v>
      </c>
      <c r="K50" s="58">
        <v>14900</v>
      </c>
      <c r="L50" s="58">
        <v>1100</v>
      </c>
      <c r="M50" s="58">
        <v>0</v>
      </c>
      <c r="N50" s="58">
        <v>7800</v>
      </c>
      <c r="O50" s="58">
        <v>11700</v>
      </c>
      <c r="P50" s="59">
        <v>11800</v>
      </c>
      <c r="Q50" s="60">
        <f t="shared" si="4"/>
        <v>159000</v>
      </c>
      <c r="R50" s="58">
        <v>20200</v>
      </c>
      <c r="S50" s="58">
        <v>14600</v>
      </c>
      <c r="T50" s="58">
        <v>7800</v>
      </c>
      <c r="U50" s="58">
        <v>0</v>
      </c>
      <c r="V50" s="58">
        <v>500</v>
      </c>
      <c r="W50" s="58">
        <v>2300</v>
      </c>
      <c r="X50" s="58">
        <v>0</v>
      </c>
      <c r="Y50" s="58">
        <v>2600</v>
      </c>
      <c r="Z50" s="59">
        <v>7100</v>
      </c>
      <c r="AA50" s="60">
        <f t="shared" si="5"/>
        <v>55100</v>
      </c>
      <c r="AB50" s="61">
        <v>21800</v>
      </c>
      <c r="AC50" s="62">
        <f t="shared" si="6"/>
        <v>21800</v>
      </c>
      <c r="AD50" s="62">
        <f t="shared" si="7"/>
        <v>235900</v>
      </c>
    </row>
    <row r="51" spans="1:30">
      <c r="A51" s="1" t="s">
        <v>3</v>
      </c>
      <c r="B51" s="63" t="s">
        <v>93</v>
      </c>
      <c r="C51" s="64">
        <v>61268</v>
      </c>
      <c r="D51" s="65">
        <v>79464</v>
      </c>
      <c r="E51" s="65">
        <v>86594</v>
      </c>
      <c r="F51" s="65">
        <v>72605</v>
      </c>
      <c r="G51" s="65">
        <v>72804</v>
      </c>
      <c r="H51" s="65">
        <v>64265</v>
      </c>
      <c r="I51" s="65">
        <v>69515</v>
      </c>
      <c r="J51" s="65">
        <v>74482</v>
      </c>
      <c r="K51" s="65">
        <v>74800</v>
      </c>
      <c r="L51" s="65">
        <v>61779</v>
      </c>
      <c r="M51" s="65">
        <v>55766</v>
      </c>
      <c r="N51" s="65">
        <v>66590</v>
      </c>
      <c r="O51" s="65">
        <v>67901</v>
      </c>
      <c r="P51" s="66">
        <v>72385</v>
      </c>
      <c r="Q51" s="67">
        <f t="shared" si="4"/>
        <v>980218</v>
      </c>
      <c r="R51" s="65">
        <v>87427</v>
      </c>
      <c r="S51" s="65">
        <v>83174</v>
      </c>
      <c r="T51" s="65">
        <v>55102</v>
      </c>
      <c r="U51" s="65">
        <v>0</v>
      </c>
      <c r="V51" s="65">
        <v>1088</v>
      </c>
      <c r="W51" s="65">
        <v>5114</v>
      </c>
      <c r="X51" s="65">
        <v>0</v>
      </c>
      <c r="Y51" s="65">
        <v>3148</v>
      </c>
      <c r="Z51" s="66">
        <v>31800</v>
      </c>
      <c r="AA51" s="67">
        <f t="shared" si="5"/>
        <v>266853</v>
      </c>
      <c r="AB51" s="68">
        <v>96575</v>
      </c>
      <c r="AC51" s="69">
        <f t="shared" si="6"/>
        <v>96575</v>
      </c>
      <c r="AD51" s="69">
        <f t="shared" si="7"/>
        <v>1343646</v>
      </c>
    </row>
    <row r="52" spans="1:30">
      <c r="A52" s="1" t="s">
        <v>3</v>
      </c>
      <c r="B52" s="63" t="s">
        <v>94</v>
      </c>
      <c r="C52" s="64">
        <v>244849</v>
      </c>
      <c r="D52" s="65">
        <v>344446</v>
      </c>
      <c r="E52" s="65">
        <v>344666</v>
      </c>
      <c r="F52" s="65">
        <v>263080</v>
      </c>
      <c r="G52" s="65">
        <v>298685</v>
      </c>
      <c r="H52" s="65">
        <v>265522</v>
      </c>
      <c r="I52" s="65">
        <v>283043</v>
      </c>
      <c r="J52" s="65">
        <v>276061</v>
      </c>
      <c r="K52" s="65">
        <v>332343</v>
      </c>
      <c r="L52" s="65">
        <v>320962</v>
      </c>
      <c r="M52" s="65">
        <v>268720</v>
      </c>
      <c r="N52" s="65">
        <v>306872</v>
      </c>
      <c r="O52" s="65">
        <v>279642</v>
      </c>
      <c r="P52" s="66">
        <v>270489</v>
      </c>
      <c r="Q52" s="67">
        <f t="shared" si="4"/>
        <v>4099380</v>
      </c>
      <c r="R52" s="65">
        <v>320323</v>
      </c>
      <c r="S52" s="65">
        <v>344091</v>
      </c>
      <c r="T52" s="65">
        <v>231042</v>
      </c>
      <c r="U52" s="65">
        <v>87913</v>
      </c>
      <c r="V52" s="65">
        <v>87502</v>
      </c>
      <c r="W52" s="65">
        <v>126966</v>
      </c>
      <c r="X52" s="65">
        <v>68178</v>
      </c>
      <c r="Y52" s="65">
        <v>94998</v>
      </c>
      <c r="Z52" s="66">
        <v>136575</v>
      </c>
      <c r="AA52" s="67">
        <f t="shared" si="5"/>
        <v>1497588</v>
      </c>
      <c r="AB52" s="68">
        <v>325705</v>
      </c>
      <c r="AC52" s="69">
        <f t="shared" si="6"/>
        <v>325705</v>
      </c>
      <c r="AD52" s="69">
        <f t="shared" si="7"/>
        <v>5922673</v>
      </c>
    </row>
    <row r="53" spans="1:30">
      <c r="A53" s="1" t="s">
        <v>3</v>
      </c>
      <c r="B53" s="63" t="s">
        <v>95</v>
      </c>
      <c r="C53" s="64">
        <v>242020</v>
      </c>
      <c r="D53" s="65">
        <v>321246</v>
      </c>
      <c r="E53" s="65">
        <v>317801</v>
      </c>
      <c r="F53" s="65">
        <v>242925</v>
      </c>
      <c r="G53" s="65">
        <v>278883</v>
      </c>
      <c r="H53" s="65">
        <v>249457</v>
      </c>
      <c r="I53" s="65">
        <v>264048</v>
      </c>
      <c r="J53" s="65">
        <v>256841</v>
      </c>
      <c r="K53" s="65">
        <v>312563</v>
      </c>
      <c r="L53" s="65">
        <v>321762</v>
      </c>
      <c r="M53" s="65">
        <v>270739</v>
      </c>
      <c r="N53" s="65">
        <v>298832</v>
      </c>
      <c r="O53" s="65">
        <v>266741</v>
      </c>
      <c r="P53" s="66">
        <v>253997</v>
      </c>
      <c r="Q53" s="67">
        <f t="shared" si="4"/>
        <v>3897855</v>
      </c>
      <c r="R53" s="65">
        <v>295646</v>
      </c>
      <c r="S53" s="65">
        <v>326564</v>
      </c>
      <c r="T53" s="65">
        <v>223518</v>
      </c>
      <c r="U53" s="65">
        <v>92226</v>
      </c>
      <c r="V53" s="65">
        <v>89500</v>
      </c>
      <c r="W53" s="65">
        <v>124723</v>
      </c>
      <c r="X53" s="65">
        <v>70982</v>
      </c>
      <c r="Y53" s="65">
        <v>96549</v>
      </c>
      <c r="Z53" s="66">
        <v>140924</v>
      </c>
      <c r="AA53" s="67">
        <f t="shared" si="5"/>
        <v>1460632</v>
      </c>
      <c r="AB53" s="68">
        <v>299733</v>
      </c>
      <c r="AC53" s="69">
        <f t="shared" si="6"/>
        <v>299733</v>
      </c>
      <c r="AD53" s="69">
        <f t="shared" si="7"/>
        <v>5658220</v>
      </c>
    </row>
    <row r="54" spans="1:30">
      <c r="A54" s="1" t="s">
        <v>3</v>
      </c>
      <c r="B54" s="63" t="s">
        <v>96</v>
      </c>
      <c r="C54" s="64">
        <v>242020</v>
      </c>
      <c r="D54" s="65">
        <v>321246</v>
      </c>
      <c r="E54" s="65">
        <v>317801</v>
      </c>
      <c r="F54" s="65">
        <v>242925</v>
      </c>
      <c r="G54" s="65">
        <v>278883</v>
      </c>
      <c r="H54" s="65">
        <v>249457</v>
      </c>
      <c r="I54" s="65">
        <v>264048</v>
      </c>
      <c r="J54" s="65">
        <v>256841</v>
      </c>
      <c r="K54" s="65">
        <v>312563</v>
      </c>
      <c r="L54" s="65">
        <v>321762</v>
      </c>
      <c r="M54" s="65">
        <v>270739</v>
      </c>
      <c r="N54" s="65">
        <v>298832</v>
      </c>
      <c r="O54" s="65">
        <v>266741</v>
      </c>
      <c r="P54" s="66">
        <v>253997</v>
      </c>
      <c r="Q54" s="67">
        <f t="shared" si="4"/>
        <v>3897855</v>
      </c>
      <c r="R54" s="65">
        <v>295646</v>
      </c>
      <c r="S54" s="65">
        <v>326564</v>
      </c>
      <c r="T54" s="65">
        <v>223518</v>
      </c>
      <c r="U54" s="65">
        <v>92226</v>
      </c>
      <c r="V54" s="65">
        <v>89500</v>
      </c>
      <c r="W54" s="65">
        <v>124723</v>
      </c>
      <c r="X54" s="65">
        <v>70982</v>
      </c>
      <c r="Y54" s="65">
        <v>96549</v>
      </c>
      <c r="Z54" s="66">
        <v>140924</v>
      </c>
      <c r="AA54" s="67">
        <f t="shared" si="5"/>
        <v>1460632</v>
      </c>
      <c r="AB54" s="68">
        <v>299733</v>
      </c>
      <c r="AC54" s="69">
        <f t="shared" si="6"/>
        <v>299733</v>
      </c>
      <c r="AD54" s="69">
        <f t="shared" si="7"/>
        <v>5658220</v>
      </c>
    </row>
    <row r="55" spans="1:30">
      <c r="A55" s="1" t="s">
        <v>3</v>
      </c>
      <c r="B55" s="42" t="s">
        <v>97</v>
      </c>
      <c r="C55" s="43">
        <v>1</v>
      </c>
      <c r="D55" s="44">
        <v>1</v>
      </c>
      <c r="E55" s="44">
        <v>0</v>
      </c>
      <c r="F55" s="44">
        <v>0</v>
      </c>
      <c r="G55" s="44">
        <v>0</v>
      </c>
      <c r="H55" s="44">
        <v>1</v>
      </c>
      <c r="I55" s="44">
        <v>0</v>
      </c>
      <c r="J55" s="44">
        <v>0</v>
      </c>
      <c r="K55" s="44">
        <v>0</v>
      </c>
      <c r="L55" s="44">
        <v>4</v>
      </c>
      <c r="M55" s="44">
        <v>0</v>
      </c>
      <c r="N55" s="44">
        <v>1</v>
      </c>
      <c r="O55" s="44">
        <v>0</v>
      </c>
      <c r="P55" s="45">
        <v>0</v>
      </c>
      <c r="Q55" s="46"/>
      <c r="R55" s="44">
        <v>1</v>
      </c>
      <c r="S55" s="44">
        <v>1</v>
      </c>
      <c r="T55" s="44">
        <v>0</v>
      </c>
      <c r="U55" s="44">
        <v>1</v>
      </c>
      <c r="V55" s="44">
        <v>0</v>
      </c>
      <c r="W55" s="44">
        <v>0</v>
      </c>
      <c r="X55" s="44">
        <v>1</v>
      </c>
      <c r="Y55" s="44">
        <v>1</v>
      </c>
      <c r="Z55" s="45">
        <v>1</v>
      </c>
      <c r="AA55" s="46"/>
      <c r="AB55" s="47">
        <v>0</v>
      </c>
      <c r="AC55" s="48"/>
      <c r="AD55" s="48"/>
    </row>
    <row r="56" spans="1:30" ht="19.5" thickBot="1">
      <c r="A56" s="1" t="s">
        <v>3</v>
      </c>
      <c r="B56" s="17" t="s">
        <v>98</v>
      </c>
      <c r="C56" s="30" t="s">
        <v>99</v>
      </c>
      <c r="D56" s="12" t="s">
        <v>99</v>
      </c>
      <c r="E56" s="12" t="s">
        <v>99</v>
      </c>
      <c r="F56" s="12" t="s">
        <v>99</v>
      </c>
      <c r="G56" s="12" t="s">
        <v>99</v>
      </c>
      <c r="H56" s="12" t="s">
        <v>99</v>
      </c>
      <c r="I56" s="12" t="s">
        <v>99</v>
      </c>
      <c r="J56" s="12" t="s">
        <v>99</v>
      </c>
      <c r="K56" s="12" t="s">
        <v>99</v>
      </c>
      <c r="L56" s="12" t="s">
        <v>99</v>
      </c>
      <c r="M56" s="12" t="s">
        <v>99</v>
      </c>
      <c r="N56" s="12" t="s">
        <v>99</v>
      </c>
      <c r="O56" s="12" t="s">
        <v>99</v>
      </c>
      <c r="P56" s="36" t="s">
        <v>99</v>
      </c>
      <c r="Q56" s="41"/>
      <c r="R56" s="12" t="s">
        <v>99</v>
      </c>
      <c r="S56" s="12" t="s">
        <v>99</v>
      </c>
      <c r="T56" s="12" t="s">
        <v>99</v>
      </c>
      <c r="U56" s="12" t="s">
        <v>99</v>
      </c>
      <c r="V56" s="12" t="s">
        <v>99</v>
      </c>
      <c r="W56" s="12" t="s">
        <v>99</v>
      </c>
      <c r="X56" s="12" t="s">
        <v>99</v>
      </c>
      <c r="Y56" s="12" t="s">
        <v>99</v>
      </c>
      <c r="Z56" s="36" t="s">
        <v>99</v>
      </c>
      <c r="AA56" s="41"/>
      <c r="AB56" s="13" t="s">
        <v>99</v>
      </c>
      <c r="AC56" s="22"/>
      <c r="AD56" s="22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1B58-9CBE-436A-9DEF-8ADC3A067C22}">
  <dimension ref="A1:O56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7" sqref="L7:L8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10" width="11.125" style="2" bestFit="1" customWidth="1"/>
    <col min="11" max="11" width="9" style="2" bestFit="1" customWidth="1"/>
    <col min="12" max="12" width="9.625" style="2" bestFit="1" customWidth="1"/>
    <col min="13" max="13" width="11.125" style="2" bestFit="1" customWidth="1"/>
    <col min="14" max="15" width="9.625" style="2" bestFit="1" customWidth="1"/>
    <col min="16" max="244" width="9" style="2"/>
    <col min="245" max="245" width="2.375" style="2" customWidth="1"/>
    <col min="246" max="246" width="13.25" style="2" bestFit="1" customWidth="1"/>
    <col min="247" max="247" width="11.125" style="2" bestFit="1" customWidth="1"/>
    <col min="248" max="248" width="13.25" style="2" bestFit="1" customWidth="1"/>
    <col min="249" max="249" width="11.125" style="2" bestFit="1" customWidth="1"/>
    <col min="250" max="250" width="9" style="2"/>
    <col min="251" max="261" width="11.125" style="2" bestFit="1" customWidth="1"/>
    <col min="262" max="262" width="9" style="2"/>
    <col min="263" max="269" width="11.125" style="2" bestFit="1" customWidth="1"/>
    <col min="270" max="270" width="9" style="2"/>
    <col min="271" max="271" width="9.625" style="2" bestFit="1" customWidth="1"/>
    <col min="272" max="500" width="9" style="2"/>
    <col min="501" max="501" width="2.375" style="2" customWidth="1"/>
    <col min="502" max="502" width="13.25" style="2" bestFit="1" customWidth="1"/>
    <col min="503" max="503" width="11.125" style="2" bestFit="1" customWidth="1"/>
    <col min="504" max="504" width="13.25" style="2" bestFit="1" customWidth="1"/>
    <col min="505" max="505" width="11.125" style="2" bestFit="1" customWidth="1"/>
    <col min="506" max="506" width="9" style="2"/>
    <col min="507" max="517" width="11.125" style="2" bestFit="1" customWidth="1"/>
    <col min="518" max="518" width="9" style="2"/>
    <col min="519" max="525" width="11.125" style="2" bestFit="1" customWidth="1"/>
    <col min="526" max="526" width="9" style="2"/>
    <col min="527" max="527" width="9.625" style="2" bestFit="1" customWidth="1"/>
    <col min="528" max="756" width="9" style="2"/>
    <col min="757" max="757" width="2.375" style="2" customWidth="1"/>
    <col min="758" max="758" width="13.25" style="2" bestFit="1" customWidth="1"/>
    <col min="759" max="759" width="11.125" style="2" bestFit="1" customWidth="1"/>
    <col min="760" max="760" width="13.25" style="2" bestFit="1" customWidth="1"/>
    <col min="761" max="761" width="11.125" style="2" bestFit="1" customWidth="1"/>
    <col min="762" max="762" width="9" style="2"/>
    <col min="763" max="773" width="11.125" style="2" bestFit="1" customWidth="1"/>
    <col min="774" max="774" width="9" style="2"/>
    <col min="775" max="781" width="11.125" style="2" bestFit="1" customWidth="1"/>
    <col min="782" max="782" width="9" style="2"/>
    <col min="783" max="783" width="9.625" style="2" bestFit="1" customWidth="1"/>
    <col min="784" max="1012" width="9" style="2"/>
    <col min="1013" max="1013" width="2.375" style="2" customWidth="1"/>
    <col min="1014" max="1014" width="13.25" style="2" bestFit="1" customWidth="1"/>
    <col min="1015" max="1015" width="11.125" style="2" bestFit="1" customWidth="1"/>
    <col min="1016" max="1016" width="13.25" style="2" bestFit="1" customWidth="1"/>
    <col min="1017" max="1017" width="11.125" style="2" bestFit="1" customWidth="1"/>
    <col min="1018" max="1018" width="9" style="2"/>
    <col min="1019" max="1029" width="11.125" style="2" bestFit="1" customWidth="1"/>
    <col min="1030" max="1030" width="9" style="2"/>
    <col min="1031" max="1037" width="11.125" style="2" bestFit="1" customWidth="1"/>
    <col min="1038" max="1038" width="9" style="2"/>
    <col min="1039" max="1039" width="9.625" style="2" bestFit="1" customWidth="1"/>
    <col min="1040" max="1268" width="9" style="2"/>
    <col min="1269" max="1269" width="2.375" style="2" customWidth="1"/>
    <col min="1270" max="1270" width="13.25" style="2" bestFit="1" customWidth="1"/>
    <col min="1271" max="1271" width="11.125" style="2" bestFit="1" customWidth="1"/>
    <col min="1272" max="1272" width="13.25" style="2" bestFit="1" customWidth="1"/>
    <col min="1273" max="1273" width="11.125" style="2" bestFit="1" customWidth="1"/>
    <col min="1274" max="1274" width="9" style="2"/>
    <col min="1275" max="1285" width="11.125" style="2" bestFit="1" customWidth="1"/>
    <col min="1286" max="1286" width="9" style="2"/>
    <col min="1287" max="1293" width="11.125" style="2" bestFit="1" customWidth="1"/>
    <col min="1294" max="1294" width="9" style="2"/>
    <col min="1295" max="1295" width="9.625" style="2" bestFit="1" customWidth="1"/>
    <col min="1296" max="1524" width="9" style="2"/>
    <col min="1525" max="1525" width="2.375" style="2" customWidth="1"/>
    <col min="1526" max="1526" width="13.25" style="2" bestFit="1" customWidth="1"/>
    <col min="1527" max="1527" width="11.125" style="2" bestFit="1" customWidth="1"/>
    <col min="1528" max="1528" width="13.25" style="2" bestFit="1" customWidth="1"/>
    <col min="1529" max="1529" width="11.125" style="2" bestFit="1" customWidth="1"/>
    <col min="1530" max="1530" width="9" style="2"/>
    <col min="1531" max="1541" width="11.125" style="2" bestFit="1" customWidth="1"/>
    <col min="1542" max="1542" width="9" style="2"/>
    <col min="1543" max="1549" width="11.125" style="2" bestFit="1" customWidth="1"/>
    <col min="1550" max="1550" width="9" style="2"/>
    <col min="1551" max="1551" width="9.625" style="2" bestFit="1" customWidth="1"/>
    <col min="1552" max="1780" width="9" style="2"/>
    <col min="1781" max="1781" width="2.375" style="2" customWidth="1"/>
    <col min="1782" max="1782" width="13.25" style="2" bestFit="1" customWidth="1"/>
    <col min="1783" max="1783" width="11.125" style="2" bestFit="1" customWidth="1"/>
    <col min="1784" max="1784" width="13.25" style="2" bestFit="1" customWidth="1"/>
    <col min="1785" max="1785" width="11.125" style="2" bestFit="1" customWidth="1"/>
    <col min="1786" max="1786" width="9" style="2"/>
    <col min="1787" max="1797" width="11.125" style="2" bestFit="1" customWidth="1"/>
    <col min="1798" max="1798" width="9" style="2"/>
    <col min="1799" max="1805" width="11.125" style="2" bestFit="1" customWidth="1"/>
    <col min="1806" max="1806" width="9" style="2"/>
    <col min="1807" max="1807" width="9.625" style="2" bestFit="1" customWidth="1"/>
    <col min="1808" max="2036" width="9" style="2"/>
    <col min="2037" max="2037" width="2.375" style="2" customWidth="1"/>
    <col min="2038" max="2038" width="13.25" style="2" bestFit="1" customWidth="1"/>
    <col min="2039" max="2039" width="11.125" style="2" bestFit="1" customWidth="1"/>
    <col min="2040" max="2040" width="13.25" style="2" bestFit="1" customWidth="1"/>
    <col min="2041" max="2041" width="11.125" style="2" bestFit="1" customWidth="1"/>
    <col min="2042" max="2042" width="9" style="2"/>
    <col min="2043" max="2053" width="11.125" style="2" bestFit="1" customWidth="1"/>
    <col min="2054" max="2054" width="9" style="2"/>
    <col min="2055" max="2061" width="11.125" style="2" bestFit="1" customWidth="1"/>
    <col min="2062" max="2062" width="9" style="2"/>
    <col min="2063" max="2063" width="9.625" style="2" bestFit="1" customWidth="1"/>
    <col min="2064" max="2292" width="9" style="2"/>
    <col min="2293" max="2293" width="2.375" style="2" customWidth="1"/>
    <col min="2294" max="2294" width="13.25" style="2" bestFit="1" customWidth="1"/>
    <col min="2295" max="2295" width="11.125" style="2" bestFit="1" customWidth="1"/>
    <col min="2296" max="2296" width="13.25" style="2" bestFit="1" customWidth="1"/>
    <col min="2297" max="2297" width="11.125" style="2" bestFit="1" customWidth="1"/>
    <col min="2298" max="2298" width="9" style="2"/>
    <col min="2299" max="2309" width="11.125" style="2" bestFit="1" customWidth="1"/>
    <col min="2310" max="2310" width="9" style="2"/>
    <col min="2311" max="2317" width="11.125" style="2" bestFit="1" customWidth="1"/>
    <col min="2318" max="2318" width="9" style="2"/>
    <col min="2319" max="2319" width="9.625" style="2" bestFit="1" customWidth="1"/>
    <col min="2320" max="2548" width="9" style="2"/>
    <col min="2549" max="2549" width="2.375" style="2" customWidth="1"/>
    <col min="2550" max="2550" width="13.25" style="2" bestFit="1" customWidth="1"/>
    <col min="2551" max="2551" width="11.125" style="2" bestFit="1" customWidth="1"/>
    <col min="2552" max="2552" width="13.25" style="2" bestFit="1" customWidth="1"/>
    <col min="2553" max="2553" width="11.125" style="2" bestFit="1" customWidth="1"/>
    <col min="2554" max="2554" width="9" style="2"/>
    <col min="2555" max="2565" width="11.125" style="2" bestFit="1" customWidth="1"/>
    <col min="2566" max="2566" width="9" style="2"/>
    <col min="2567" max="2573" width="11.125" style="2" bestFit="1" customWidth="1"/>
    <col min="2574" max="2574" width="9" style="2"/>
    <col min="2575" max="2575" width="9.625" style="2" bestFit="1" customWidth="1"/>
    <col min="2576" max="2804" width="9" style="2"/>
    <col min="2805" max="2805" width="2.375" style="2" customWidth="1"/>
    <col min="2806" max="2806" width="13.25" style="2" bestFit="1" customWidth="1"/>
    <col min="2807" max="2807" width="11.125" style="2" bestFit="1" customWidth="1"/>
    <col min="2808" max="2808" width="13.25" style="2" bestFit="1" customWidth="1"/>
    <col min="2809" max="2809" width="11.125" style="2" bestFit="1" customWidth="1"/>
    <col min="2810" max="2810" width="9" style="2"/>
    <col min="2811" max="2821" width="11.125" style="2" bestFit="1" customWidth="1"/>
    <col min="2822" max="2822" width="9" style="2"/>
    <col min="2823" max="2829" width="11.125" style="2" bestFit="1" customWidth="1"/>
    <col min="2830" max="2830" width="9" style="2"/>
    <col min="2831" max="2831" width="9.625" style="2" bestFit="1" customWidth="1"/>
    <col min="2832" max="3060" width="9" style="2"/>
    <col min="3061" max="3061" width="2.375" style="2" customWidth="1"/>
    <col min="3062" max="3062" width="13.25" style="2" bestFit="1" customWidth="1"/>
    <col min="3063" max="3063" width="11.125" style="2" bestFit="1" customWidth="1"/>
    <col min="3064" max="3064" width="13.25" style="2" bestFit="1" customWidth="1"/>
    <col min="3065" max="3065" width="11.125" style="2" bestFit="1" customWidth="1"/>
    <col min="3066" max="3066" width="9" style="2"/>
    <col min="3067" max="3077" width="11.125" style="2" bestFit="1" customWidth="1"/>
    <col min="3078" max="3078" width="9" style="2"/>
    <col min="3079" max="3085" width="11.125" style="2" bestFit="1" customWidth="1"/>
    <col min="3086" max="3086" width="9" style="2"/>
    <col min="3087" max="3087" width="9.625" style="2" bestFit="1" customWidth="1"/>
    <col min="3088" max="3316" width="9" style="2"/>
    <col min="3317" max="3317" width="2.375" style="2" customWidth="1"/>
    <col min="3318" max="3318" width="13.25" style="2" bestFit="1" customWidth="1"/>
    <col min="3319" max="3319" width="11.125" style="2" bestFit="1" customWidth="1"/>
    <col min="3320" max="3320" width="13.25" style="2" bestFit="1" customWidth="1"/>
    <col min="3321" max="3321" width="11.125" style="2" bestFit="1" customWidth="1"/>
    <col min="3322" max="3322" width="9" style="2"/>
    <col min="3323" max="3333" width="11.125" style="2" bestFit="1" customWidth="1"/>
    <col min="3334" max="3334" width="9" style="2"/>
    <col min="3335" max="3341" width="11.125" style="2" bestFit="1" customWidth="1"/>
    <col min="3342" max="3342" width="9" style="2"/>
    <col min="3343" max="3343" width="9.625" style="2" bestFit="1" customWidth="1"/>
    <col min="3344" max="3572" width="9" style="2"/>
    <col min="3573" max="3573" width="2.375" style="2" customWidth="1"/>
    <col min="3574" max="3574" width="13.25" style="2" bestFit="1" customWidth="1"/>
    <col min="3575" max="3575" width="11.125" style="2" bestFit="1" customWidth="1"/>
    <col min="3576" max="3576" width="13.25" style="2" bestFit="1" customWidth="1"/>
    <col min="3577" max="3577" width="11.125" style="2" bestFit="1" customWidth="1"/>
    <col min="3578" max="3578" width="9" style="2"/>
    <col min="3579" max="3589" width="11.125" style="2" bestFit="1" customWidth="1"/>
    <col min="3590" max="3590" width="9" style="2"/>
    <col min="3591" max="3597" width="11.125" style="2" bestFit="1" customWidth="1"/>
    <col min="3598" max="3598" width="9" style="2"/>
    <col min="3599" max="3599" width="9.625" style="2" bestFit="1" customWidth="1"/>
    <col min="3600" max="3828" width="9" style="2"/>
    <col min="3829" max="3829" width="2.375" style="2" customWidth="1"/>
    <col min="3830" max="3830" width="13.25" style="2" bestFit="1" customWidth="1"/>
    <col min="3831" max="3831" width="11.125" style="2" bestFit="1" customWidth="1"/>
    <col min="3832" max="3832" width="13.25" style="2" bestFit="1" customWidth="1"/>
    <col min="3833" max="3833" width="11.125" style="2" bestFit="1" customWidth="1"/>
    <col min="3834" max="3834" width="9" style="2"/>
    <col min="3835" max="3845" width="11.125" style="2" bestFit="1" customWidth="1"/>
    <col min="3846" max="3846" width="9" style="2"/>
    <col min="3847" max="3853" width="11.125" style="2" bestFit="1" customWidth="1"/>
    <col min="3854" max="3854" width="9" style="2"/>
    <col min="3855" max="3855" width="9.625" style="2" bestFit="1" customWidth="1"/>
    <col min="3856" max="4084" width="9" style="2"/>
    <col min="4085" max="4085" width="2.375" style="2" customWidth="1"/>
    <col min="4086" max="4086" width="13.25" style="2" bestFit="1" customWidth="1"/>
    <col min="4087" max="4087" width="11.125" style="2" bestFit="1" customWidth="1"/>
    <col min="4088" max="4088" width="13.25" style="2" bestFit="1" customWidth="1"/>
    <col min="4089" max="4089" width="11.125" style="2" bestFit="1" customWidth="1"/>
    <col min="4090" max="4090" width="9" style="2"/>
    <col min="4091" max="4101" width="11.125" style="2" bestFit="1" customWidth="1"/>
    <col min="4102" max="4102" width="9" style="2"/>
    <col min="4103" max="4109" width="11.125" style="2" bestFit="1" customWidth="1"/>
    <col min="4110" max="4110" width="9" style="2"/>
    <col min="4111" max="4111" width="9.625" style="2" bestFit="1" customWidth="1"/>
    <col min="4112" max="4340" width="9" style="2"/>
    <col min="4341" max="4341" width="2.375" style="2" customWidth="1"/>
    <col min="4342" max="4342" width="13.25" style="2" bestFit="1" customWidth="1"/>
    <col min="4343" max="4343" width="11.125" style="2" bestFit="1" customWidth="1"/>
    <col min="4344" max="4344" width="13.25" style="2" bestFit="1" customWidth="1"/>
    <col min="4345" max="4345" width="11.125" style="2" bestFit="1" customWidth="1"/>
    <col min="4346" max="4346" width="9" style="2"/>
    <col min="4347" max="4357" width="11.125" style="2" bestFit="1" customWidth="1"/>
    <col min="4358" max="4358" width="9" style="2"/>
    <col min="4359" max="4365" width="11.125" style="2" bestFit="1" customWidth="1"/>
    <col min="4366" max="4366" width="9" style="2"/>
    <col min="4367" max="4367" width="9.625" style="2" bestFit="1" customWidth="1"/>
    <col min="4368" max="4596" width="9" style="2"/>
    <col min="4597" max="4597" width="2.375" style="2" customWidth="1"/>
    <col min="4598" max="4598" width="13.25" style="2" bestFit="1" customWidth="1"/>
    <col min="4599" max="4599" width="11.125" style="2" bestFit="1" customWidth="1"/>
    <col min="4600" max="4600" width="13.25" style="2" bestFit="1" customWidth="1"/>
    <col min="4601" max="4601" width="11.125" style="2" bestFit="1" customWidth="1"/>
    <col min="4602" max="4602" width="9" style="2"/>
    <col min="4603" max="4613" width="11.125" style="2" bestFit="1" customWidth="1"/>
    <col min="4614" max="4614" width="9" style="2"/>
    <col min="4615" max="4621" width="11.125" style="2" bestFit="1" customWidth="1"/>
    <col min="4622" max="4622" width="9" style="2"/>
    <col min="4623" max="4623" width="9.625" style="2" bestFit="1" customWidth="1"/>
    <col min="4624" max="4852" width="9" style="2"/>
    <col min="4853" max="4853" width="2.375" style="2" customWidth="1"/>
    <col min="4854" max="4854" width="13.25" style="2" bestFit="1" customWidth="1"/>
    <col min="4855" max="4855" width="11.125" style="2" bestFit="1" customWidth="1"/>
    <col min="4856" max="4856" width="13.25" style="2" bestFit="1" customWidth="1"/>
    <col min="4857" max="4857" width="11.125" style="2" bestFit="1" customWidth="1"/>
    <col min="4858" max="4858" width="9" style="2"/>
    <col min="4859" max="4869" width="11.125" style="2" bestFit="1" customWidth="1"/>
    <col min="4870" max="4870" width="9" style="2"/>
    <col min="4871" max="4877" width="11.125" style="2" bestFit="1" customWidth="1"/>
    <col min="4878" max="4878" width="9" style="2"/>
    <col min="4879" max="4879" width="9.625" style="2" bestFit="1" customWidth="1"/>
    <col min="4880" max="5108" width="9" style="2"/>
    <col min="5109" max="5109" width="2.375" style="2" customWidth="1"/>
    <col min="5110" max="5110" width="13.25" style="2" bestFit="1" customWidth="1"/>
    <col min="5111" max="5111" width="11.125" style="2" bestFit="1" customWidth="1"/>
    <col min="5112" max="5112" width="13.25" style="2" bestFit="1" customWidth="1"/>
    <col min="5113" max="5113" width="11.125" style="2" bestFit="1" customWidth="1"/>
    <col min="5114" max="5114" width="9" style="2"/>
    <col min="5115" max="5125" width="11.125" style="2" bestFit="1" customWidth="1"/>
    <col min="5126" max="5126" width="9" style="2"/>
    <col min="5127" max="5133" width="11.125" style="2" bestFit="1" customWidth="1"/>
    <col min="5134" max="5134" width="9" style="2"/>
    <col min="5135" max="5135" width="9.625" style="2" bestFit="1" customWidth="1"/>
    <col min="5136" max="5364" width="9" style="2"/>
    <col min="5365" max="5365" width="2.375" style="2" customWidth="1"/>
    <col min="5366" max="5366" width="13.25" style="2" bestFit="1" customWidth="1"/>
    <col min="5367" max="5367" width="11.125" style="2" bestFit="1" customWidth="1"/>
    <col min="5368" max="5368" width="13.25" style="2" bestFit="1" customWidth="1"/>
    <col min="5369" max="5369" width="11.125" style="2" bestFit="1" customWidth="1"/>
    <col min="5370" max="5370" width="9" style="2"/>
    <col min="5371" max="5381" width="11.125" style="2" bestFit="1" customWidth="1"/>
    <col min="5382" max="5382" width="9" style="2"/>
    <col min="5383" max="5389" width="11.125" style="2" bestFit="1" customWidth="1"/>
    <col min="5390" max="5390" width="9" style="2"/>
    <col min="5391" max="5391" width="9.625" style="2" bestFit="1" customWidth="1"/>
    <col min="5392" max="5620" width="9" style="2"/>
    <col min="5621" max="5621" width="2.375" style="2" customWidth="1"/>
    <col min="5622" max="5622" width="13.25" style="2" bestFit="1" customWidth="1"/>
    <col min="5623" max="5623" width="11.125" style="2" bestFit="1" customWidth="1"/>
    <col min="5624" max="5624" width="13.25" style="2" bestFit="1" customWidth="1"/>
    <col min="5625" max="5625" width="11.125" style="2" bestFit="1" customWidth="1"/>
    <col min="5626" max="5626" width="9" style="2"/>
    <col min="5627" max="5637" width="11.125" style="2" bestFit="1" customWidth="1"/>
    <col min="5638" max="5638" width="9" style="2"/>
    <col min="5639" max="5645" width="11.125" style="2" bestFit="1" customWidth="1"/>
    <col min="5646" max="5646" width="9" style="2"/>
    <col min="5647" max="5647" width="9.625" style="2" bestFit="1" customWidth="1"/>
    <col min="5648" max="5876" width="9" style="2"/>
    <col min="5877" max="5877" width="2.375" style="2" customWidth="1"/>
    <col min="5878" max="5878" width="13.25" style="2" bestFit="1" customWidth="1"/>
    <col min="5879" max="5879" width="11.125" style="2" bestFit="1" customWidth="1"/>
    <col min="5880" max="5880" width="13.25" style="2" bestFit="1" customWidth="1"/>
    <col min="5881" max="5881" width="11.125" style="2" bestFit="1" customWidth="1"/>
    <col min="5882" max="5882" width="9" style="2"/>
    <col min="5883" max="5893" width="11.125" style="2" bestFit="1" customWidth="1"/>
    <col min="5894" max="5894" width="9" style="2"/>
    <col min="5895" max="5901" width="11.125" style="2" bestFit="1" customWidth="1"/>
    <col min="5902" max="5902" width="9" style="2"/>
    <col min="5903" max="5903" width="9.625" style="2" bestFit="1" customWidth="1"/>
    <col min="5904" max="6132" width="9" style="2"/>
    <col min="6133" max="6133" width="2.375" style="2" customWidth="1"/>
    <col min="6134" max="6134" width="13.25" style="2" bestFit="1" customWidth="1"/>
    <col min="6135" max="6135" width="11.125" style="2" bestFit="1" customWidth="1"/>
    <col min="6136" max="6136" width="13.25" style="2" bestFit="1" customWidth="1"/>
    <col min="6137" max="6137" width="11.125" style="2" bestFit="1" customWidth="1"/>
    <col min="6138" max="6138" width="9" style="2"/>
    <col min="6139" max="6149" width="11.125" style="2" bestFit="1" customWidth="1"/>
    <col min="6150" max="6150" width="9" style="2"/>
    <col min="6151" max="6157" width="11.125" style="2" bestFit="1" customWidth="1"/>
    <col min="6158" max="6158" width="9" style="2"/>
    <col min="6159" max="6159" width="9.625" style="2" bestFit="1" customWidth="1"/>
    <col min="6160" max="6388" width="9" style="2"/>
    <col min="6389" max="6389" width="2.375" style="2" customWidth="1"/>
    <col min="6390" max="6390" width="13.25" style="2" bestFit="1" customWidth="1"/>
    <col min="6391" max="6391" width="11.125" style="2" bestFit="1" customWidth="1"/>
    <col min="6392" max="6392" width="13.25" style="2" bestFit="1" customWidth="1"/>
    <col min="6393" max="6393" width="11.125" style="2" bestFit="1" customWidth="1"/>
    <col min="6394" max="6394" width="9" style="2"/>
    <col min="6395" max="6405" width="11.125" style="2" bestFit="1" customWidth="1"/>
    <col min="6406" max="6406" width="9" style="2"/>
    <col min="6407" max="6413" width="11.125" style="2" bestFit="1" customWidth="1"/>
    <col min="6414" max="6414" width="9" style="2"/>
    <col min="6415" max="6415" width="9.625" style="2" bestFit="1" customWidth="1"/>
    <col min="6416" max="6644" width="9" style="2"/>
    <col min="6645" max="6645" width="2.375" style="2" customWidth="1"/>
    <col min="6646" max="6646" width="13.25" style="2" bestFit="1" customWidth="1"/>
    <col min="6647" max="6647" width="11.125" style="2" bestFit="1" customWidth="1"/>
    <col min="6648" max="6648" width="13.25" style="2" bestFit="1" customWidth="1"/>
    <col min="6649" max="6649" width="11.125" style="2" bestFit="1" customWidth="1"/>
    <col min="6650" max="6650" width="9" style="2"/>
    <col min="6651" max="6661" width="11.125" style="2" bestFit="1" customWidth="1"/>
    <col min="6662" max="6662" width="9" style="2"/>
    <col min="6663" max="6669" width="11.125" style="2" bestFit="1" customWidth="1"/>
    <col min="6670" max="6670" width="9" style="2"/>
    <col min="6671" max="6671" width="9.625" style="2" bestFit="1" customWidth="1"/>
    <col min="6672" max="6900" width="9" style="2"/>
    <col min="6901" max="6901" width="2.375" style="2" customWidth="1"/>
    <col min="6902" max="6902" width="13.25" style="2" bestFit="1" customWidth="1"/>
    <col min="6903" max="6903" width="11.125" style="2" bestFit="1" customWidth="1"/>
    <col min="6904" max="6904" width="13.25" style="2" bestFit="1" customWidth="1"/>
    <col min="6905" max="6905" width="11.125" style="2" bestFit="1" customWidth="1"/>
    <col min="6906" max="6906" width="9" style="2"/>
    <col min="6907" max="6917" width="11.125" style="2" bestFit="1" customWidth="1"/>
    <col min="6918" max="6918" width="9" style="2"/>
    <col min="6919" max="6925" width="11.125" style="2" bestFit="1" customWidth="1"/>
    <col min="6926" max="6926" width="9" style="2"/>
    <col min="6927" max="6927" width="9.625" style="2" bestFit="1" customWidth="1"/>
    <col min="6928" max="7156" width="9" style="2"/>
    <col min="7157" max="7157" width="2.375" style="2" customWidth="1"/>
    <col min="7158" max="7158" width="13.25" style="2" bestFit="1" customWidth="1"/>
    <col min="7159" max="7159" width="11.125" style="2" bestFit="1" customWidth="1"/>
    <col min="7160" max="7160" width="13.25" style="2" bestFit="1" customWidth="1"/>
    <col min="7161" max="7161" width="11.125" style="2" bestFit="1" customWidth="1"/>
    <col min="7162" max="7162" width="9" style="2"/>
    <col min="7163" max="7173" width="11.125" style="2" bestFit="1" customWidth="1"/>
    <col min="7174" max="7174" width="9" style="2"/>
    <col min="7175" max="7181" width="11.125" style="2" bestFit="1" customWidth="1"/>
    <col min="7182" max="7182" width="9" style="2"/>
    <col min="7183" max="7183" width="9.625" style="2" bestFit="1" customWidth="1"/>
    <col min="7184" max="7412" width="9" style="2"/>
    <col min="7413" max="7413" width="2.375" style="2" customWidth="1"/>
    <col min="7414" max="7414" width="13.25" style="2" bestFit="1" customWidth="1"/>
    <col min="7415" max="7415" width="11.125" style="2" bestFit="1" customWidth="1"/>
    <col min="7416" max="7416" width="13.25" style="2" bestFit="1" customWidth="1"/>
    <col min="7417" max="7417" width="11.125" style="2" bestFit="1" customWidth="1"/>
    <col min="7418" max="7418" width="9" style="2"/>
    <col min="7419" max="7429" width="11.125" style="2" bestFit="1" customWidth="1"/>
    <col min="7430" max="7430" width="9" style="2"/>
    <col min="7431" max="7437" width="11.125" style="2" bestFit="1" customWidth="1"/>
    <col min="7438" max="7438" width="9" style="2"/>
    <col min="7439" max="7439" width="9.625" style="2" bestFit="1" customWidth="1"/>
    <col min="7440" max="7668" width="9" style="2"/>
    <col min="7669" max="7669" width="2.375" style="2" customWidth="1"/>
    <col min="7670" max="7670" width="13.25" style="2" bestFit="1" customWidth="1"/>
    <col min="7671" max="7671" width="11.125" style="2" bestFit="1" customWidth="1"/>
    <col min="7672" max="7672" width="13.25" style="2" bestFit="1" customWidth="1"/>
    <col min="7673" max="7673" width="11.125" style="2" bestFit="1" customWidth="1"/>
    <col min="7674" max="7674" width="9" style="2"/>
    <col min="7675" max="7685" width="11.125" style="2" bestFit="1" customWidth="1"/>
    <col min="7686" max="7686" width="9" style="2"/>
    <col min="7687" max="7693" width="11.125" style="2" bestFit="1" customWidth="1"/>
    <col min="7694" max="7694" width="9" style="2"/>
    <col min="7695" max="7695" width="9.625" style="2" bestFit="1" customWidth="1"/>
    <col min="7696" max="7924" width="9" style="2"/>
    <col min="7925" max="7925" width="2.375" style="2" customWidth="1"/>
    <col min="7926" max="7926" width="13.25" style="2" bestFit="1" customWidth="1"/>
    <col min="7927" max="7927" width="11.125" style="2" bestFit="1" customWidth="1"/>
    <col min="7928" max="7928" width="13.25" style="2" bestFit="1" customWidth="1"/>
    <col min="7929" max="7929" width="11.125" style="2" bestFit="1" customWidth="1"/>
    <col min="7930" max="7930" width="9" style="2"/>
    <col min="7931" max="7941" width="11.125" style="2" bestFit="1" customWidth="1"/>
    <col min="7942" max="7942" width="9" style="2"/>
    <col min="7943" max="7949" width="11.125" style="2" bestFit="1" customWidth="1"/>
    <col min="7950" max="7950" width="9" style="2"/>
    <col min="7951" max="7951" width="9.625" style="2" bestFit="1" customWidth="1"/>
    <col min="7952" max="8180" width="9" style="2"/>
    <col min="8181" max="8181" width="2.375" style="2" customWidth="1"/>
    <col min="8182" max="8182" width="13.25" style="2" bestFit="1" customWidth="1"/>
    <col min="8183" max="8183" width="11.125" style="2" bestFit="1" customWidth="1"/>
    <col min="8184" max="8184" width="13.25" style="2" bestFit="1" customWidth="1"/>
    <col min="8185" max="8185" width="11.125" style="2" bestFit="1" customWidth="1"/>
    <col min="8186" max="8186" width="9" style="2"/>
    <col min="8187" max="8197" width="11.125" style="2" bestFit="1" customWidth="1"/>
    <col min="8198" max="8198" width="9" style="2"/>
    <col min="8199" max="8205" width="11.125" style="2" bestFit="1" customWidth="1"/>
    <col min="8206" max="8206" width="9" style="2"/>
    <col min="8207" max="8207" width="9.625" style="2" bestFit="1" customWidth="1"/>
    <col min="8208" max="8436" width="9" style="2"/>
    <col min="8437" max="8437" width="2.375" style="2" customWidth="1"/>
    <col min="8438" max="8438" width="13.25" style="2" bestFit="1" customWidth="1"/>
    <col min="8439" max="8439" width="11.125" style="2" bestFit="1" customWidth="1"/>
    <col min="8440" max="8440" width="13.25" style="2" bestFit="1" customWidth="1"/>
    <col min="8441" max="8441" width="11.125" style="2" bestFit="1" customWidth="1"/>
    <col min="8442" max="8442" width="9" style="2"/>
    <col min="8443" max="8453" width="11.125" style="2" bestFit="1" customWidth="1"/>
    <col min="8454" max="8454" width="9" style="2"/>
    <col min="8455" max="8461" width="11.125" style="2" bestFit="1" customWidth="1"/>
    <col min="8462" max="8462" width="9" style="2"/>
    <col min="8463" max="8463" width="9.625" style="2" bestFit="1" customWidth="1"/>
    <col min="8464" max="8692" width="9" style="2"/>
    <col min="8693" max="8693" width="2.375" style="2" customWidth="1"/>
    <col min="8694" max="8694" width="13.25" style="2" bestFit="1" customWidth="1"/>
    <col min="8695" max="8695" width="11.125" style="2" bestFit="1" customWidth="1"/>
    <col min="8696" max="8696" width="13.25" style="2" bestFit="1" customWidth="1"/>
    <col min="8697" max="8697" width="11.125" style="2" bestFit="1" customWidth="1"/>
    <col min="8698" max="8698" width="9" style="2"/>
    <col min="8699" max="8709" width="11.125" style="2" bestFit="1" customWidth="1"/>
    <col min="8710" max="8710" width="9" style="2"/>
    <col min="8711" max="8717" width="11.125" style="2" bestFit="1" customWidth="1"/>
    <col min="8718" max="8718" width="9" style="2"/>
    <col min="8719" max="8719" width="9.625" style="2" bestFit="1" customWidth="1"/>
    <col min="8720" max="8948" width="9" style="2"/>
    <col min="8949" max="8949" width="2.375" style="2" customWidth="1"/>
    <col min="8950" max="8950" width="13.25" style="2" bestFit="1" customWidth="1"/>
    <col min="8951" max="8951" width="11.125" style="2" bestFit="1" customWidth="1"/>
    <col min="8952" max="8952" width="13.25" style="2" bestFit="1" customWidth="1"/>
    <col min="8953" max="8953" width="11.125" style="2" bestFit="1" customWidth="1"/>
    <col min="8954" max="8954" width="9" style="2"/>
    <col min="8955" max="8965" width="11.125" style="2" bestFit="1" customWidth="1"/>
    <col min="8966" max="8966" width="9" style="2"/>
    <col min="8967" max="8973" width="11.125" style="2" bestFit="1" customWidth="1"/>
    <col min="8974" max="8974" width="9" style="2"/>
    <col min="8975" max="8975" width="9.625" style="2" bestFit="1" customWidth="1"/>
    <col min="8976" max="9204" width="9" style="2"/>
    <col min="9205" max="9205" width="2.375" style="2" customWidth="1"/>
    <col min="9206" max="9206" width="13.25" style="2" bestFit="1" customWidth="1"/>
    <col min="9207" max="9207" width="11.125" style="2" bestFit="1" customWidth="1"/>
    <col min="9208" max="9208" width="13.25" style="2" bestFit="1" customWidth="1"/>
    <col min="9209" max="9209" width="11.125" style="2" bestFit="1" customWidth="1"/>
    <col min="9210" max="9210" width="9" style="2"/>
    <col min="9211" max="9221" width="11.125" style="2" bestFit="1" customWidth="1"/>
    <col min="9222" max="9222" width="9" style="2"/>
    <col min="9223" max="9229" width="11.125" style="2" bestFit="1" customWidth="1"/>
    <col min="9230" max="9230" width="9" style="2"/>
    <col min="9231" max="9231" width="9.625" style="2" bestFit="1" customWidth="1"/>
    <col min="9232" max="9460" width="9" style="2"/>
    <col min="9461" max="9461" width="2.375" style="2" customWidth="1"/>
    <col min="9462" max="9462" width="13.25" style="2" bestFit="1" customWidth="1"/>
    <col min="9463" max="9463" width="11.125" style="2" bestFit="1" customWidth="1"/>
    <col min="9464" max="9464" width="13.25" style="2" bestFit="1" customWidth="1"/>
    <col min="9465" max="9465" width="11.125" style="2" bestFit="1" customWidth="1"/>
    <col min="9466" max="9466" width="9" style="2"/>
    <col min="9467" max="9477" width="11.125" style="2" bestFit="1" customWidth="1"/>
    <col min="9478" max="9478" width="9" style="2"/>
    <col min="9479" max="9485" width="11.125" style="2" bestFit="1" customWidth="1"/>
    <col min="9486" max="9486" width="9" style="2"/>
    <col min="9487" max="9487" width="9.625" style="2" bestFit="1" customWidth="1"/>
    <col min="9488" max="9716" width="9" style="2"/>
    <col min="9717" max="9717" width="2.375" style="2" customWidth="1"/>
    <col min="9718" max="9718" width="13.25" style="2" bestFit="1" customWidth="1"/>
    <col min="9719" max="9719" width="11.125" style="2" bestFit="1" customWidth="1"/>
    <col min="9720" max="9720" width="13.25" style="2" bestFit="1" customWidth="1"/>
    <col min="9721" max="9721" width="11.125" style="2" bestFit="1" customWidth="1"/>
    <col min="9722" max="9722" width="9" style="2"/>
    <col min="9723" max="9733" width="11.125" style="2" bestFit="1" customWidth="1"/>
    <col min="9734" max="9734" width="9" style="2"/>
    <col min="9735" max="9741" width="11.125" style="2" bestFit="1" customWidth="1"/>
    <col min="9742" max="9742" width="9" style="2"/>
    <col min="9743" max="9743" width="9.625" style="2" bestFit="1" customWidth="1"/>
    <col min="9744" max="9972" width="9" style="2"/>
    <col min="9973" max="9973" width="2.375" style="2" customWidth="1"/>
    <col min="9974" max="9974" width="13.25" style="2" bestFit="1" customWidth="1"/>
    <col min="9975" max="9975" width="11.125" style="2" bestFit="1" customWidth="1"/>
    <col min="9976" max="9976" width="13.25" style="2" bestFit="1" customWidth="1"/>
    <col min="9977" max="9977" width="11.125" style="2" bestFit="1" customWidth="1"/>
    <col min="9978" max="9978" width="9" style="2"/>
    <col min="9979" max="9989" width="11.125" style="2" bestFit="1" customWidth="1"/>
    <col min="9990" max="9990" width="9" style="2"/>
    <col min="9991" max="9997" width="11.125" style="2" bestFit="1" customWidth="1"/>
    <col min="9998" max="9998" width="9" style="2"/>
    <col min="9999" max="9999" width="9.625" style="2" bestFit="1" customWidth="1"/>
    <col min="10000" max="10228" width="9" style="2"/>
    <col min="10229" max="10229" width="2.375" style="2" customWidth="1"/>
    <col min="10230" max="10230" width="13.25" style="2" bestFit="1" customWidth="1"/>
    <col min="10231" max="10231" width="11.125" style="2" bestFit="1" customWidth="1"/>
    <col min="10232" max="10232" width="13.25" style="2" bestFit="1" customWidth="1"/>
    <col min="10233" max="10233" width="11.125" style="2" bestFit="1" customWidth="1"/>
    <col min="10234" max="10234" width="9" style="2"/>
    <col min="10235" max="10245" width="11.125" style="2" bestFit="1" customWidth="1"/>
    <col min="10246" max="10246" width="9" style="2"/>
    <col min="10247" max="10253" width="11.125" style="2" bestFit="1" customWidth="1"/>
    <col min="10254" max="10254" width="9" style="2"/>
    <col min="10255" max="10255" width="9.625" style="2" bestFit="1" customWidth="1"/>
    <col min="10256" max="10484" width="9" style="2"/>
    <col min="10485" max="10485" width="2.375" style="2" customWidth="1"/>
    <col min="10486" max="10486" width="13.25" style="2" bestFit="1" customWidth="1"/>
    <col min="10487" max="10487" width="11.125" style="2" bestFit="1" customWidth="1"/>
    <col min="10488" max="10488" width="13.25" style="2" bestFit="1" customWidth="1"/>
    <col min="10489" max="10489" width="11.125" style="2" bestFit="1" customWidth="1"/>
    <col min="10490" max="10490" width="9" style="2"/>
    <col min="10491" max="10501" width="11.125" style="2" bestFit="1" customWidth="1"/>
    <col min="10502" max="10502" width="9" style="2"/>
    <col min="10503" max="10509" width="11.125" style="2" bestFit="1" customWidth="1"/>
    <col min="10510" max="10510" width="9" style="2"/>
    <col min="10511" max="10511" width="9.625" style="2" bestFit="1" customWidth="1"/>
    <col min="10512" max="10740" width="9" style="2"/>
    <col min="10741" max="10741" width="2.375" style="2" customWidth="1"/>
    <col min="10742" max="10742" width="13.25" style="2" bestFit="1" customWidth="1"/>
    <col min="10743" max="10743" width="11.125" style="2" bestFit="1" customWidth="1"/>
    <col min="10744" max="10744" width="13.25" style="2" bestFit="1" customWidth="1"/>
    <col min="10745" max="10745" width="11.125" style="2" bestFit="1" customWidth="1"/>
    <col min="10746" max="10746" width="9" style="2"/>
    <col min="10747" max="10757" width="11.125" style="2" bestFit="1" customWidth="1"/>
    <col min="10758" max="10758" width="9" style="2"/>
    <col min="10759" max="10765" width="11.125" style="2" bestFit="1" customWidth="1"/>
    <col min="10766" max="10766" width="9" style="2"/>
    <col min="10767" max="10767" width="9.625" style="2" bestFit="1" customWidth="1"/>
    <col min="10768" max="10996" width="9" style="2"/>
    <col min="10997" max="10997" width="2.375" style="2" customWidth="1"/>
    <col min="10998" max="10998" width="13.25" style="2" bestFit="1" customWidth="1"/>
    <col min="10999" max="10999" width="11.125" style="2" bestFit="1" customWidth="1"/>
    <col min="11000" max="11000" width="13.25" style="2" bestFit="1" customWidth="1"/>
    <col min="11001" max="11001" width="11.125" style="2" bestFit="1" customWidth="1"/>
    <col min="11002" max="11002" width="9" style="2"/>
    <col min="11003" max="11013" width="11.125" style="2" bestFit="1" customWidth="1"/>
    <col min="11014" max="11014" width="9" style="2"/>
    <col min="11015" max="11021" width="11.125" style="2" bestFit="1" customWidth="1"/>
    <col min="11022" max="11022" width="9" style="2"/>
    <col min="11023" max="11023" width="9.625" style="2" bestFit="1" customWidth="1"/>
    <col min="11024" max="11252" width="9" style="2"/>
    <col min="11253" max="11253" width="2.375" style="2" customWidth="1"/>
    <col min="11254" max="11254" width="13.25" style="2" bestFit="1" customWidth="1"/>
    <col min="11255" max="11255" width="11.125" style="2" bestFit="1" customWidth="1"/>
    <col min="11256" max="11256" width="13.25" style="2" bestFit="1" customWidth="1"/>
    <col min="11257" max="11257" width="11.125" style="2" bestFit="1" customWidth="1"/>
    <col min="11258" max="11258" width="9" style="2"/>
    <col min="11259" max="11269" width="11.125" style="2" bestFit="1" customWidth="1"/>
    <col min="11270" max="11270" width="9" style="2"/>
    <col min="11271" max="11277" width="11.125" style="2" bestFit="1" customWidth="1"/>
    <col min="11278" max="11278" width="9" style="2"/>
    <col min="11279" max="11279" width="9.625" style="2" bestFit="1" customWidth="1"/>
    <col min="11280" max="11508" width="9" style="2"/>
    <col min="11509" max="11509" width="2.375" style="2" customWidth="1"/>
    <col min="11510" max="11510" width="13.25" style="2" bestFit="1" customWidth="1"/>
    <col min="11511" max="11511" width="11.125" style="2" bestFit="1" customWidth="1"/>
    <col min="11512" max="11512" width="13.25" style="2" bestFit="1" customWidth="1"/>
    <col min="11513" max="11513" width="11.125" style="2" bestFit="1" customWidth="1"/>
    <col min="11514" max="11514" width="9" style="2"/>
    <col min="11515" max="11525" width="11.125" style="2" bestFit="1" customWidth="1"/>
    <col min="11526" max="11526" width="9" style="2"/>
    <col min="11527" max="11533" width="11.125" style="2" bestFit="1" customWidth="1"/>
    <col min="11534" max="11534" width="9" style="2"/>
    <col min="11535" max="11535" width="9.625" style="2" bestFit="1" customWidth="1"/>
    <col min="11536" max="11764" width="9" style="2"/>
    <col min="11765" max="11765" width="2.375" style="2" customWidth="1"/>
    <col min="11766" max="11766" width="13.25" style="2" bestFit="1" customWidth="1"/>
    <col min="11767" max="11767" width="11.125" style="2" bestFit="1" customWidth="1"/>
    <col min="11768" max="11768" width="13.25" style="2" bestFit="1" customWidth="1"/>
    <col min="11769" max="11769" width="11.125" style="2" bestFit="1" customWidth="1"/>
    <col min="11770" max="11770" width="9" style="2"/>
    <col min="11771" max="11781" width="11.125" style="2" bestFit="1" customWidth="1"/>
    <col min="11782" max="11782" width="9" style="2"/>
    <col min="11783" max="11789" width="11.125" style="2" bestFit="1" customWidth="1"/>
    <col min="11790" max="11790" width="9" style="2"/>
    <col min="11791" max="11791" width="9.625" style="2" bestFit="1" customWidth="1"/>
    <col min="11792" max="12020" width="9" style="2"/>
    <col min="12021" max="12021" width="2.375" style="2" customWidth="1"/>
    <col min="12022" max="12022" width="13.25" style="2" bestFit="1" customWidth="1"/>
    <col min="12023" max="12023" width="11.125" style="2" bestFit="1" customWidth="1"/>
    <col min="12024" max="12024" width="13.25" style="2" bestFit="1" customWidth="1"/>
    <col min="12025" max="12025" width="11.125" style="2" bestFit="1" customWidth="1"/>
    <col min="12026" max="12026" width="9" style="2"/>
    <col min="12027" max="12037" width="11.125" style="2" bestFit="1" customWidth="1"/>
    <col min="12038" max="12038" width="9" style="2"/>
    <col min="12039" max="12045" width="11.125" style="2" bestFit="1" customWidth="1"/>
    <col min="12046" max="12046" width="9" style="2"/>
    <col min="12047" max="12047" width="9.625" style="2" bestFit="1" customWidth="1"/>
    <col min="12048" max="12276" width="9" style="2"/>
    <col min="12277" max="12277" width="2.375" style="2" customWidth="1"/>
    <col min="12278" max="12278" width="13.25" style="2" bestFit="1" customWidth="1"/>
    <col min="12279" max="12279" width="11.125" style="2" bestFit="1" customWidth="1"/>
    <col min="12280" max="12280" width="13.25" style="2" bestFit="1" customWidth="1"/>
    <col min="12281" max="12281" width="11.125" style="2" bestFit="1" customWidth="1"/>
    <col min="12282" max="12282" width="9" style="2"/>
    <col min="12283" max="12293" width="11.125" style="2" bestFit="1" customWidth="1"/>
    <col min="12294" max="12294" width="9" style="2"/>
    <col min="12295" max="12301" width="11.125" style="2" bestFit="1" customWidth="1"/>
    <col min="12302" max="12302" width="9" style="2"/>
    <col min="12303" max="12303" width="9.625" style="2" bestFit="1" customWidth="1"/>
    <col min="12304" max="12532" width="9" style="2"/>
    <col min="12533" max="12533" width="2.375" style="2" customWidth="1"/>
    <col min="12534" max="12534" width="13.25" style="2" bestFit="1" customWidth="1"/>
    <col min="12535" max="12535" width="11.125" style="2" bestFit="1" customWidth="1"/>
    <col min="12536" max="12536" width="13.25" style="2" bestFit="1" customWidth="1"/>
    <col min="12537" max="12537" width="11.125" style="2" bestFit="1" customWidth="1"/>
    <col min="12538" max="12538" width="9" style="2"/>
    <col min="12539" max="12549" width="11.125" style="2" bestFit="1" customWidth="1"/>
    <col min="12550" max="12550" width="9" style="2"/>
    <col min="12551" max="12557" width="11.125" style="2" bestFit="1" customWidth="1"/>
    <col min="12558" max="12558" width="9" style="2"/>
    <col min="12559" max="12559" width="9.625" style="2" bestFit="1" customWidth="1"/>
    <col min="12560" max="12788" width="9" style="2"/>
    <col min="12789" max="12789" width="2.375" style="2" customWidth="1"/>
    <col min="12790" max="12790" width="13.25" style="2" bestFit="1" customWidth="1"/>
    <col min="12791" max="12791" width="11.125" style="2" bestFit="1" customWidth="1"/>
    <col min="12792" max="12792" width="13.25" style="2" bestFit="1" customWidth="1"/>
    <col min="12793" max="12793" width="11.125" style="2" bestFit="1" customWidth="1"/>
    <col min="12794" max="12794" width="9" style="2"/>
    <col min="12795" max="12805" width="11.125" style="2" bestFit="1" customWidth="1"/>
    <col min="12806" max="12806" width="9" style="2"/>
    <col min="12807" max="12813" width="11.125" style="2" bestFit="1" customWidth="1"/>
    <col min="12814" max="12814" width="9" style="2"/>
    <col min="12815" max="12815" width="9.625" style="2" bestFit="1" customWidth="1"/>
    <col min="12816" max="13044" width="9" style="2"/>
    <col min="13045" max="13045" width="2.375" style="2" customWidth="1"/>
    <col min="13046" max="13046" width="13.25" style="2" bestFit="1" customWidth="1"/>
    <col min="13047" max="13047" width="11.125" style="2" bestFit="1" customWidth="1"/>
    <col min="13048" max="13048" width="13.25" style="2" bestFit="1" customWidth="1"/>
    <col min="13049" max="13049" width="11.125" style="2" bestFit="1" customWidth="1"/>
    <col min="13050" max="13050" width="9" style="2"/>
    <col min="13051" max="13061" width="11.125" style="2" bestFit="1" customWidth="1"/>
    <col min="13062" max="13062" width="9" style="2"/>
    <col min="13063" max="13069" width="11.125" style="2" bestFit="1" customWidth="1"/>
    <col min="13070" max="13070" width="9" style="2"/>
    <col min="13071" max="13071" width="9.625" style="2" bestFit="1" customWidth="1"/>
    <col min="13072" max="13300" width="9" style="2"/>
    <col min="13301" max="13301" width="2.375" style="2" customWidth="1"/>
    <col min="13302" max="13302" width="13.25" style="2" bestFit="1" customWidth="1"/>
    <col min="13303" max="13303" width="11.125" style="2" bestFit="1" customWidth="1"/>
    <col min="13304" max="13304" width="13.25" style="2" bestFit="1" customWidth="1"/>
    <col min="13305" max="13305" width="11.125" style="2" bestFit="1" customWidth="1"/>
    <col min="13306" max="13306" width="9" style="2"/>
    <col min="13307" max="13317" width="11.125" style="2" bestFit="1" customWidth="1"/>
    <col min="13318" max="13318" width="9" style="2"/>
    <col min="13319" max="13325" width="11.125" style="2" bestFit="1" customWidth="1"/>
    <col min="13326" max="13326" width="9" style="2"/>
    <col min="13327" max="13327" width="9.625" style="2" bestFit="1" customWidth="1"/>
    <col min="13328" max="13556" width="9" style="2"/>
    <col min="13557" max="13557" width="2.375" style="2" customWidth="1"/>
    <col min="13558" max="13558" width="13.25" style="2" bestFit="1" customWidth="1"/>
    <col min="13559" max="13559" width="11.125" style="2" bestFit="1" customWidth="1"/>
    <col min="13560" max="13560" width="13.25" style="2" bestFit="1" customWidth="1"/>
    <col min="13561" max="13561" width="11.125" style="2" bestFit="1" customWidth="1"/>
    <col min="13562" max="13562" width="9" style="2"/>
    <col min="13563" max="13573" width="11.125" style="2" bestFit="1" customWidth="1"/>
    <col min="13574" max="13574" width="9" style="2"/>
    <col min="13575" max="13581" width="11.125" style="2" bestFit="1" customWidth="1"/>
    <col min="13582" max="13582" width="9" style="2"/>
    <col min="13583" max="13583" width="9.625" style="2" bestFit="1" customWidth="1"/>
    <col min="13584" max="13812" width="9" style="2"/>
    <col min="13813" max="13813" width="2.375" style="2" customWidth="1"/>
    <col min="13814" max="13814" width="13.25" style="2" bestFit="1" customWidth="1"/>
    <col min="13815" max="13815" width="11.125" style="2" bestFit="1" customWidth="1"/>
    <col min="13816" max="13816" width="13.25" style="2" bestFit="1" customWidth="1"/>
    <col min="13817" max="13817" width="11.125" style="2" bestFit="1" customWidth="1"/>
    <col min="13818" max="13818" width="9" style="2"/>
    <col min="13819" max="13829" width="11.125" style="2" bestFit="1" customWidth="1"/>
    <col min="13830" max="13830" width="9" style="2"/>
    <col min="13831" max="13837" width="11.125" style="2" bestFit="1" customWidth="1"/>
    <col min="13838" max="13838" width="9" style="2"/>
    <col min="13839" max="13839" width="9.625" style="2" bestFit="1" customWidth="1"/>
    <col min="13840" max="14068" width="9" style="2"/>
    <col min="14069" max="14069" width="2.375" style="2" customWidth="1"/>
    <col min="14070" max="14070" width="13.25" style="2" bestFit="1" customWidth="1"/>
    <col min="14071" max="14071" width="11.125" style="2" bestFit="1" customWidth="1"/>
    <col min="14072" max="14072" width="13.25" style="2" bestFit="1" customWidth="1"/>
    <col min="14073" max="14073" width="11.125" style="2" bestFit="1" customWidth="1"/>
    <col min="14074" max="14074" width="9" style="2"/>
    <col min="14075" max="14085" width="11.125" style="2" bestFit="1" customWidth="1"/>
    <col min="14086" max="14086" width="9" style="2"/>
    <col min="14087" max="14093" width="11.125" style="2" bestFit="1" customWidth="1"/>
    <col min="14094" max="14094" width="9" style="2"/>
    <col min="14095" max="14095" width="9.625" style="2" bestFit="1" customWidth="1"/>
    <col min="14096" max="14324" width="9" style="2"/>
    <col min="14325" max="14325" width="2.375" style="2" customWidth="1"/>
    <col min="14326" max="14326" width="13.25" style="2" bestFit="1" customWidth="1"/>
    <col min="14327" max="14327" width="11.125" style="2" bestFit="1" customWidth="1"/>
    <col min="14328" max="14328" width="13.25" style="2" bestFit="1" customWidth="1"/>
    <col min="14329" max="14329" width="11.125" style="2" bestFit="1" customWidth="1"/>
    <col min="14330" max="14330" width="9" style="2"/>
    <col min="14331" max="14341" width="11.125" style="2" bestFit="1" customWidth="1"/>
    <col min="14342" max="14342" width="9" style="2"/>
    <col min="14343" max="14349" width="11.125" style="2" bestFit="1" customWidth="1"/>
    <col min="14350" max="14350" width="9" style="2"/>
    <col min="14351" max="14351" width="9.625" style="2" bestFit="1" customWidth="1"/>
    <col min="14352" max="14580" width="9" style="2"/>
    <col min="14581" max="14581" width="2.375" style="2" customWidth="1"/>
    <col min="14582" max="14582" width="13.25" style="2" bestFit="1" customWidth="1"/>
    <col min="14583" max="14583" width="11.125" style="2" bestFit="1" customWidth="1"/>
    <col min="14584" max="14584" width="13.25" style="2" bestFit="1" customWidth="1"/>
    <col min="14585" max="14585" width="11.125" style="2" bestFit="1" customWidth="1"/>
    <col min="14586" max="14586" width="9" style="2"/>
    <col min="14587" max="14597" width="11.125" style="2" bestFit="1" customWidth="1"/>
    <col min="14598" max="14598" width="9" style="2"/>
    <col min="14599" max="14605" width="11.125" style="2" bestFit="1" customWidth="1"/>
    <col min="14606" max="14606" width="9" style="2"/>
    <col min="14607" max="14607" width="9.625" style="2" bestFit="1" customWidth="1"/>
    <col min="14608" max="14836" width="9" style="2"/>
    <col min="14837" max="14837" width="2.375" style="2" customWidth="1"/>
    <col min="14838" max="14838" width="13.25" style="2" bestFit="1" customWidth="1"/>
    <col min="14839" max="14839" width="11.125" style="2" bestFit="1" customWidth="1"/>
    <col min="14840" max="14840" width="13.25" style="2" bestFit="1" customWidth="1"/>
    <col min="14841" max="14841" width="11.125" style="2" bestFit="1" customWidth="1"/>
    <col min="14842" max="14842" width="9" style="2"/>
    <col min="14843" max="14853" width="11.125" style="2" bestFit="1" customWidth="1"/>
    <col min="14854" max="14854" width="9" style="2"/>
    <col min="14855" max="14861" width="11.125" style="2" bestFit="1" customWidth="1"/>
    <col min="14862" max="14862" width="9" style="2"/>
    <col min="14863" max="14863" width="9.625" style="2" bestFit="1" customWidth="1"/>
    <col min="14864" max="15092" width="9" style="2"/>
    <col min="15093" max="15093" width="2.375" style="2" customWidth="1"/>
    <col min="15094" max="15094" width="13.25" style="2" bestFit="1" customWidth="1"/>
    <col min="15095" max="15095" width="11.125" style="2" bestFit="1" customWidth="1"/>
    <col min="15096" max="15096" width="13.25" style="2" bestFit="1" customWidth="1"/>
    <col min="15097" max="15097" width="11.125" style="2" bestFit="1" customWidth="1"/>
    <col min="15098" max="15098" width="9" style="2"/>
    <col min="15099" max="15109" width="11.125" style="2" bestFit="1" customWidth="1"/>
    <col min="15110" max="15110" width="9" style="2"/>
    <col min="15111" max="15117" width="11.125" style="2" bestFit="1" customWidth="1"/>
    <col min="15118" max="15118" width="9" style="2"/>
    <col min="15119" max="15119" width="9.625" style="2" bestFit="1" customWidth="1"/>
    <col min="15120" max="15348" width="9" style="2"/>
    <col min="15349" max="15349" width="2.375" style="2" customWidth="1"/>
    <col min="15350" max="15350" width="13.25" style="2" bestFit="1" customWidth="1"/>
    <col min="15351" max="15351" width="11.125" style="2" bestFit="1" customWidth="1"/>
    <col min="15352" max="15352" width="13.25" style="2" bestFit="1" customWidth="1"/>
    <col min="15353" max="15353" width="11.125" style="2" bestFit="1" customWidth="1"/>
    <col min="15354" max="15354" width="9" style="2"/>
    <col min="15355" max="15365" width="11.125" style="2" bestFit="1" customWidth="1"/>
    <col min="15366" max="15366" width="9" style="2"/>
    <col min="15367" max="15373" width="11.125" style="2" bestFit="1" customWidth="1"/>
    <col min="15374" max="15374" width="9" style="2"/>
    <col min="15375" max="15375" width="9.625" style="2" bestFit="1" customWidth="1"/>
    <col min="15376" max="15604" width="9" style="2"/>
    <col min="15605" max="15605" width="2.375" style="2" customWidth="1"/>
    <col min="15606" max="15606" width="13.25" style="2" bestFit="1" customWidth="1"/>
    <col min="15607" max="15607" width="11.125" style="2" bestFit="1" customWidth="1"/>
    <col min="15608" max="15608" width="13.25" style="2" bestFit="1" customWidth="1"/>
    <col min="15609" max="15609" width="11.125" style="2" bestFit="1" customWidth="1"/>
    <col min="15610" max="15610" width="9" style="2"/>
    <col min="15611" max="15621" width="11.125" style="2" bestFit="1" customWidth="1"/>
    <col min="15622" max="15622" width="9" style="2"/>
    <col min="15623" max="15629" width="11.125" style="2" bestFit="1" customWidth="1"/>
    <col min="15630" max="15630" width="9" style="2"/>
    <col min="15631" max="15631" width="9.625" style="2" bestFit="1" customWidth="1"/>
    <col min="15632" max="15860" width="9" style="2"/>
    <col min="15861" max="15861" width="2.375" style="2" customWidth="1"/>
    <col min="15862" max="15862" width="13.25" style="2" bestFit="1" customWidth="1"/>
    <col min="15863" max="15863" width="11.125" style="2" bestFit="1" customWidth="1"/>
    <col min="15864" max="15864" width="13.25" style="2" bestFit="1" customWidth="1"/>
    <col min="15865" max="15865" width="11.125" style="2" bestFit="1" customWidth="1"/>
    <col min="15866" max="15866" width="9" style="2"/>
    <col min="15867" max="15877" width="11.125" style="2" bestFit="1" customWidth="1"/>
    <col min="15878" max="15878" width="9" style="2"/>
    <col min="15879" max="15885" width="11.125" style="2" bestFit="1" customWidth="1"/>
    <col min="15886" max="15886" width="9" style="2"/>
    <col min="15887" max="15887" width="9.625" style="2" bestFit="1" customWidth="1"/>
    <col min="15888" max="16116" width="9" style="2"/>
    <col min="16117" max="16117" width="2.375" style="2" customWidth="1"/>
    <col min="16118" max="16118" width="13.25" style="2" bestFit="1" customWidth="1"/>
    <col min="16119" max="16119" width="11.125" style="2" bestFit="1" customWidth="1"/>
    <col min="16120" max="16120" width="13.25" style="2" bestFit="1" customWidth="1"/>
    <col min="16121" max="16121" width="11.125" style="2" bestFit="1" customWidth="1"/>
    <col min="16122" max="16122" width="9" style="2"/>
    <col min="16123" max="16133" width="11.125" style="2" bestFit="1" customWidth="1"/>
    <col min="16134" max="16134" width="9" style="2"/>
    <col min="16135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/>
    </row>
    <row r="3" spans="1:15">
      <c r="A3" s="1" t="s">
        <v>1</v>
      </c>
    </row>
    <row r="4" spans="1:15">
      <c r="A4" s="1" t="s">
        <v>2</v>
      </c>
    </row>
    <row r="5" spans="1:15">
      <c r="A5" s="1" t="s">
        <v>3</v>
      </c>
    </row>
    <row r="6" spans="1:15" ht="19.5" thickBot="1">
      <c r="A6" s="1" t="s">
        <v>100</v>
      </c>
    </row>
    <row r="7" spans="1:15">
      <c r="B7" s="14"/>
      <c r="C7" s="4" t="s">
        <v>15</v>
      </c>
      <c r="D7" s="4" t="s">
        <v>5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31" t="s">
        <v>27</v>
      </c>
      <c r="L7" s="71" t="s">
        <v>101</v>
      </c>
      <c r="M7" s="24" t="s">
        <v>6</v>
      </c>
      <c r="N7" s="70" t="s">
        <v>101</v>
      </c>
      <c r="O7" s="70" t="s">
        <v>53</v>
      </c>
    </row>
    <row r="8" spans="1:15" ht="19.5" thickBot="1">
      <c r="A8" s="3"/>
      <c r="B8" s="15" t="s">
        <v>28</v>
      </c>
      <c r="C8" s="5" t="s">
        <v>40</v>
      </c>
      <c r="D8" s="5" t="s">
        <v>30</v>
      </c>
      <c r="E8" s="5" t="s">
        <v>46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32" t="s">
        <v>52</v>
      </c>
      <c r="L8" s="37" t="s">
        <v>104</v>
      </c>
      <c r="M8" s="26" t="s">
        <v>31</v>
      </c>
      <c r="N8" s="18" t="s">
        <v>102</v>
      </c>
      <c r="O8" s="18" t="s">
        <v>105</v>
      </c>
    </row>
    <row r="9" spans="1:15">
      <c r="A9" s="1" t="s">
        <v>3</v>
      </c>
      <c r="B9" s="16" t="s">
        <v>54</v>
      </c>
      <c r="C9" s="6">
        <v>18</v>
      </c>
      <c r="D9" s="6">
        <v>18</v>
      </c>
      <c r="E9" s="6">
        <v>17</v>
      </c>
      <c r="F9" s="6">
        <v>10</v>
      </c>
      <c r="G9" s="6">
        <v>12</v>
      </c>
      <c r="H9" s="6">
        <v>16</v>
      </c>
      <c r="I9" s="6">
        <v>8</v>
      </c>
      <c r="J9" s="6">
        <v>11</v>
      </c>
      <c r="K9" s="33">
        <v>20</v>
      </c>
      <c r="L9" s="38">
        <f>SUM(C9:K9)</f>
        <v>130</v>
      </c>
      <c r="M9" s="7">
        <v>18</v>
      </c>
      <c r="N9" s="19">
        <f>M9</f>
        <v>18</v>
      </c>
      <c r="O9" s="19">
        <f>L9+N9</f>
        <v>148</v>
      </c>
    </row>
    <row r="10" spans="1:15">
      <c r="A10" s="1" t="s">
        <v>3</v>
      </c>
      <c r="B10" s="16" t="s">
        <v>55</v>
      </c>
      <c r="C10" s="6">
        <v>0</v>
      </c>
      <c r="D10" s="6">
        <v>4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33">
        <v>0</v>
      </c>
      <c r="L10" s="38">
        <f t="shared" ref="L10:L21" si="0">SUM(C10:K10)</f>
        <v>5</v>
      </c>
      <c r="M10" s="7">
        <v>0</v>
      </c>
      <c r="N10" s="19">
        <f t="shared" ref="N10:N21" si="1">M10</f>
        <v>0</v>
      </c>
      <c r="O10" s="19">
        <f t="shared" ref="O10:O21" si="2">L10+N10</f>
        <v>5</v>
      </c>
    </row>
    <row r="11" spans="1:15">
      <c r="A11" s="1" t="s">
        <v>3</v>
      </c>
      <c r="B11" s="16" t="s">
        <v>56</v>
      </c>
      <c r="C11" s="6">
        <v>0</v>
      </c>
      <c r="D11" s="6">
        <v>2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33">
        <v>0</v>
      </c>
      <c r="L11" s="38">
        <f t="shared" si="0"/>
        <v>3</v>
      </c>
      <c r="M11" s="7">
        <v>0</v>
      </c>
      <c r="N11" s="19">
        <f t="shared" si="1"/>
        <v>0</v>
      </c>
      <c r="O11" s="19">
        <f t="shared" si="2"/>
        <v>3</v>
      </c>
    </row>
    <row r="12" spans="1:15">
      <c r="A12" s="1" t="s">
        <v>3</v>
      </c>
      <c r="B12" s="16" t="s">
        <v>57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33">
        <v>0</v>
      </c>
      <c r="L12" s="38">
        <f t="shared" si="0"/>
        <v>0</v>
      </c>
      <c r="M12" s="7">
        <v>0</v>
      </c>
      <c r="N12" s="19">
        <f t="shared" si="1"/>
        <v>0</v>
      </c>
      <c r="O12" s="19">
        <f t="shared" si="2"/>
        <v>0</v>
      </c>
    </row>
    <row r="13" spans="1:15">
      <c r="A13" s="1" t="s">
        <v>3</v>
      </c>
      <c r="B13" s="16" t="s">
        <v>58</v>
      </c>
      <c r="C13" s="6">
        <v>0</v>
      </c>
      <c r="D13" s="6">
        <v>0.5</v>
      </c>
      <c r="E13" s="6">
        <v>1</v>
      </c>
      <c r="F13" s="6">
        <v>0</v>
      </c>
      <c r="G13" s="6">
        <v>1</v>
      </c>
      <c r="H13" s="6">
        <v>1</v>
      </c>
      <c r="I13" s="6">
        <v>0</v>
      </c>
      <c r="J13" s="6">
        <v>0</v>
      </c>
      <c r="K13" s="33">
        <v>0</v>
      </c>
      <c r="L13" s="38">
        <f t="shared" si="0"/>
        <v>3.5</v>
      </c>
      <c r="M13" s="7">
        <v>0</v>
      </c>
      <c r="N13" s="19">
        <f t="shared" si="1"/>
        <v>0</v>
      </c>
      <c r="O13" s="19">
        <f t="shared" si="2"/>
        <v>3.5</v>
      </c>
    </row>
    <row r="14" spans="1:15">
      <c r="A14" s="1" t="s">
        <v>3</v>
      </c>
      <c r="B14" s="16" t="s">
        <v>59</v>
      </c>
      <c r="C14" s="8">
        <v>0</v>
      </c>
      <c r="D14" s="8">
        <v>0</v>
      </c>
      <c r="E14" s="8">
        <v>0</v>
      </c>
      <c r="F14" s="8">
        <v>2.9583333333333335</v>
      </c>
      <c r="G14" s="8">
        <v>3.0833333333333335</v>
      </c>
      <c r="H14" s="8">
        <v>4.375</v>
      </c>
      <c r="I14" s="8">
        <v>2.5416666666666665</v>
      </c>
      <c r="J14" s="8">
        <v>3.2083333333333335</v>
      </c>
      <c r="K14" s="34">
        <v>5.291666666666667</v>
      </c>
      <c r="L14" s="39">
        <f t="shared" si="0"/>
        <v>21.458333333333336</v>
      </c>
      <c r="M14" s="9">
        <v>0</v>
      </c>
      <c r="N14" s="20">
        <f t="shared" si="1"/>
        <v>0</v>
      </c>
      <c r="O14" s="20">
        <f t="shared" si="2"/>
        <v>21.458333333333336</v>
      </c>
    </row>
    <row r="15" spans="1:15">
      <c r="A15" s="1" t="s">
        <v>3</v>
      </c>
      <c r="B15" s="16" t="s">
        <v>60</v>
      </c>
      <c r="C15" s="8">
        <v>0</v>
      </c>
      <c r="D15" s="8">
        <v>0.91666666666666663</v>
      </c>
      <c r="E15" s="8">
        <v>0.66666666666666663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34">
        <v>0.375</v>
      </c>
      <c r="L15" s="39">
        <f t="shared" si="0"/>
        <v>1.9583333333333333</v>
      </c>
      <c r="M15" s="9">
        <v>0</v>
      </c>
      <c r="N15" s="20">
        <f t="shared" si="1"/>
        <v>0</v>
      </c>
      <c r="O15" s="20">
        <f t="shared" si="2"/>
        <v>1.9583333333333333</v>
      </c>
    </row>
    <row r="16" spans="1:15">
      <c r="A16" s="1" t="s">
        <v>3</v>
      </c>
      <c r="B16" s="16" t="s">
        <v>61</v>
      </c>
      <c r="C16" s="8">
        <v>0</v>
      </c>
      <c r="D16" s="8">
        <v>0.875</v>
      </c>
      <c r="E16" s="8">
        <v>0.20833333333333334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34">
        <v>0</v>
      </c>
      <c r="L16" s="39">
        <f t="shared" si="0"/>
        <v>1.0833333333333333</v>
      </c>
      <c r="M16" s="9">
        <v>0</v>
      </c>
      <c r="N16" s="20">
        <f t="shared" si="1"/>
        <v>0</v>
      </c>
      <c r="O16" s="20">
        <f t="shared" si="2"/>
        <v>1.0833333333333333</v>
      </c>
    </row>
    <row r="17" spans="1:15">
      <c r="A17" s="1" t="s">
        <v>3</v>
      </c>
      <c r="B17" s="16" t="s">
        <v>62</v>
      </c>
      <c r="C17" s="8">
        <v>0</v>
      </c>
      <c r="D17" s="8">
        <v>0.25</v>
      </c>
      <c r="E17" s="8">
        <v>0.20833333333333334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34">
        <v>0</v>
      </c>
      <c r="L17" s="39">
        <f t="shared" si="0"/>
        <v>0.45833333333333337</v>
      </c>
      <c r="M17" s="9">
        <v>0</v>
      </c>
      <c r="N17" s="20">
        <f t="shared" si="1"/>
        <v>0</v>
      </c>
      <c r="O17" s="20">
        <f t="shared" si="2"/>
        <v>0.45833333333333337</v>
      </c>
    </row>
    <row r="18" spans="1:15">
      <c r="A18" s="1" t="s">
        <v>3</v>
      </c>
      <c r="B18" s="16" t="s">
        <v>63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34">
        <v>0</v>
      </c>
      <c r="L18" s="39">
        <f t="shared" si="0"/>
        <v>0</v>
      </c>
      <c r="M18" s="9">
        <v>0</v>
      </c>
      <c r="N18" s="20">
        <f t="shared" si="1"/>
        <v>0</v>
      </c>
      <c r="O18" s="20">
        <f t="shared" si="2"/>
        <v>0</v>
      </c>
    </row>
    <row r="19" spans="1:15">
      <c r="A19" s="1" t="s">
        <v>3</v>
      </c>
      <c r="B19" s="16" t="s">
        <v>64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34">
        <v>0</v>
      </c>
      <c r="L19" s="39">
        <f t="shared" si="0"/>
        <v>0</v>
      </c>
      <c r="M19" s="9">
        <v>0</v>
      </c>
      <c r="N19" s="20">
        <f t="shared" si="1"/>
        <v>0</v>
      </c>
      <c r="O19" s="20">
        <f t="shared" si="2"/>
        <v>0</v>
      </c>
    </row>
    <row r="20" spans="1:15">
      <c r="A20" s="1" t="s">
        <v>3</v>
      </c>
      <c r="B20" s="16" t="s">
        <v>65</v>
      </c>
      <c r="C20" s="8">
        <v>0</v>
      </c>
      <c r="D20" s="8">
        <v>0</v>
      </c>
      <c r="E20" s="8">
        <v>0</v>
      </c>
      <c r="F20" s="8">
        <v>0</v>
      </c>
      <c r="G20" s="8">
        <v>0.25</v>
      </c>
      <c r="H20" s="8">
        <v>0.29166666666666669</v>
      </c>
      <c r="I20" s="8">
        <v>0</v>
      </c>
      <c r="J20" s="8">
        <v>0</v>
      </c>
      <c r="K20" s="34">
        <v>0</v>
      </c>
      <c r="L20" s="39">
        <f t="shared" si="0"/>
        <v>0.54166666666666674</v>
      </c>
      <c r="M20" s="9">
        <v>0</v>
      </c>
      <c r="N20" s="20">
        <f t="shared" si="1"/>
        <v>0</v>
      </c>
      <c r="O20" s="20">
        <f t="shared" si="2"/>
        <v>0.54166666666666674</v>
      </c>
    </row>
    <row r="21" spans="1:15">
      <c r="A21" s="1" t="s">
        <v>3</v>
      </c>
      <c r="B21" s="16" t="s">
        <v>66</v>
      </c>
      <c r="C21" s="8">
        <v>0</v>
      </c>
      <c r="D21" s="8">
        <v>0</v>
      </c>
      <c r="E21" s="8">
        <v>0</v>
      </c>
      <c r="F21" s="8">
        <v>2.0833333333333335</v>
      </c>
      <c r="G21" s="8">
        <v>0</v>
      </c>
      <c r="H21" s="8">
        <v>0</v>
      </c>
      <c r="I21" s="8">
        <v>0.625</v>
      </c>
      <c r="J21" s="8">
        <v>2.2916666666666665</v>
      </c>
      <c r="K21" s="34">
        <v>1.25</v>
      </c>
      <c r="L21" s="39">
        <f t="shared" si="0"/>
        <v>6.25</v>
      </c>
      <c r="M21" s="9">
        <v>0</v>
      </c>
      <c r="N21" s="20">
        <f t="shared" si="1"/>
        <v>0</v>
      </c>
      <c r="O21" s="20">
        <f t="shared" si="2"/>
        <v>6.25</v>
      </c>
    </row>
    <row r="22" spans="1:15">
      <c r="A22" s="1" t="s">
        <v>3</v>
      </c>
      <c r="B22" s="49" t="s">
        <v>67</v>
      </c>
      <c r="C22" s="51">
        <v>27</v>
      </c>
      <c r="D22" s="51">
        <v>36.5</v>
      </c>
      <c r="E22" s="51">
        <v>8</v>
      </c>
      <c r="F22" s="51">
        <v>3</v>
      </c>
      <c r="G22" s="51">
        <v>20</v>
      </c>
      <c r="H22" s="51">
        <v>20</v>
      </c>
      <c r="I22" s="51">
        <v>6</v>
      </c>
      <c r="J22" s="51">
        <v>18</v>
      </c>
      <c r="K22" s="52">
        <v>6</v>
      </c>
      <c r="L22" s="53"/>
      <c r="M22" s="54">
        <v>31.5</v>
      </c>
      <c r="N22" s="55"/>
      <c r="O22" s="55"/>
    </row>
    <row r="23" spans="1:15">
      <c r="A23" s="1" t="s">
        <v>3</v>
      </c>
      <c r="B23" s="42" t="s">
        <v>68</v>
      </c>
      <c r="C23" s="44">
        <v>380000</v>
      </c>
      <c r="D23" s="44">
        <v>285000</v>
      </c>
      <c r="E23" s="44">
        <v>225000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5">
        <v>0</v>
      </c>
      <c r="L23" s="46">
        <f t="shared" ref="L23:L54" si="3">SUM(C23:K23)</f>
        <v>890000</v>
      </c>
      <c r="M23" s="47">
        <v>390000</v>
      </c>
      <c r="N23" s="48">
        <f t="shared" ref="N23:N54" si="4">M23</f>
        <v>390000</v>
      </c>
      <c r="O23" s="48">
        <f t="shared" ref="O23:O54" si="5">L23+N23</f>
        <v>1280000</v>
      </c>
    </row>
    <row r="24" spans="1:15">
      <c r="A24" s="1" t="s">
        <v>3</v>
      </c>
      <c r="B24" s="16" t="s">
        <v>69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35">
        <v>0</v>
      </c>
      <c r="L24" s="40">
        <f t="shared" si="3"/>
        <v>0</v>
      </c>
      <c r="M24" s="11">
        <v>0</v>
      </c>
      <c r="N24" s="21">
        <f t="shared" si="4"/>
        <v>0</v>
      </c>
      <c r="O24" s="21">
        <f t="shared" si="5"/>
        <v>0</v>
      </c>
    </row>
    <row r="25" spans="1:15">
      <c r="A25" s="1" t="s">
        <v>3</v>
      </c>
      <c r="B25" s="16" t="s">
        <v>70</v>
      </c>
      <c r="C25" s="10">
        <v>0</v>
      </c>
      <c r="D25" s="10">
        <v>3000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35">
        <v>0</v>
      </c>
      <c r="L25" s="40">
        <f t="shared" si="3"/>
        <v>3000</v>
      </c>
      <c r="M25" s="11">
        <v>0</v>
      </c>
      <c r="N25" s="21">
        <f t="shared" si="4"/>
        <v>0</v>
      </c>
      <c r="O25" s="21">
        <f t="shared" si="5"/>
        <v>3000</v>
      </c>
    </row>
    <row r="26" spans="1:15">
      <c r="A26" s="1" t="s">
        <v>3</v>
      </c>
      <c r="B26" s="16" t="s">
        <v>71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35">
        <v>0</v>
      </c>
      <c r="L26" s="40">
        <f t="shared" si="3"/>
        <v>0</v>
      </c>
      <c r="M26" s="11">
        <v>0</v>
      </c>
      <c r="N26" s="21">
        <f t="shared" si="4"/>
        <v>0</v>
      </c>
      <c r="O26" s="21">
        <f t="shared" si="5"/>
        <v>0</v>
      </c>
    </row>
    <row r="27" spans="1:15">
      <c r="A27" s="1" t="s">
        <v>3</v>
      </c>
      <c r="B27" s="16" t="s">
        <v>72</v>
      </c>
      <c r="C27" s="10">
        <v>0</v>
      </c>
      <c r="D27" s="10">
        <v>1000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35">
        <v>0</v>
      </c>
      <c r="L27" s="40">
        <f t="shared" si="3"/>
        <v>1000</v>
      </c>
      <c r="M27" s="11">
        <v>0</v>
      </c>
      <c r="N27" s="21">
        <f t="shared" si="4"/>
        <v>0</v>
      </c>
      <c r="O27" s="21">
        <f t="shared" si="5"/>
        <v>1000</v>
      </c>
    </row>
    <row r="28" spans="1:15">
      <c r="A28" s="1" t="s">
        <v>3</v>
      </c>
      <c r="B28" s="16" t="s">
        <v>73</v>
      </c>
      <c r="C28" s="10">
        <v>0</v>
      </c>
      <c r="D28" s="10">
        <v>0</v>
      </c>
      <c r="E28" s="10">
        <v>0</v>
      </c>
      <c r="F28" s="10">
        <v>74763</v>
      </c>
      <c r="G28" s="10">
        <v>81400</v>
      </c>
      <c r="H28" s="10">
        <v>119700</v>
      </c>
      <c r="I28" s="10">
        <v>64233</v>
      </c>
      <c r="J28" s="10">
        <v>81081</v>
      </c>
      <c r="K28" s="35">
        <v>139700</v>
      </c>
      <c r="L28" s="40">
        <f t="shared" si="3"/>
        <v>560877</v>
      </c>
      <c r="M28" s="11">
        <v>0</v>
      </c>
      <c r="N28" s="21">
        <f t="shared" si="4"/>
        <v>0</v>
      </c>
      <c r="O28" s="21">
        <f t="shared" si="5"/>
        <v>560877</v>
      </c>
    </row>
    <row r="29" spans="1:15">
      <c r="A29" s="1" t="s">
        <v>3</v>
      </c>
      <c r="B29" s="16" t="s">
        <v>74</v>
      </c>
      <c r="C29" s="10">
        <v>0</v>
      </c>
      <c r="D29" s="10">
        <v>4600</v>
      </c>
      <c r="E29" s="10">
        <v>2350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35">
        <v>0</v>
      </c>
      <c r="L29" s="40">
        <f t="shared" si="3"/>
        <v>6950</v>
      </c>
      <c r="M29" s="11">
        <v>0</v>
      </c>
      <c r="N29" s="21">
        <f t="shared" si="4"/>
        <v>0</v>
      </c>
      <c r="O29" s="21">
        <f t="shared" si="5"/>
        <v>6950</v>
      </c>
    </row>
    <row r="30" spans="1:15">
      <c r="A30" s="1" t="s">
        <v>3</v>
      </c>
      <c r="B30" s="16" t="s">
        <v>75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35">
        <v>0</v>
      </c>
      <c r="L30" s="40">
        <f t="shared" si="3"/>
        <v>0</v>
      </c>
      <c r="M30" s="11">
        <v>0</v>
      </c>
      <c r="N30" s="21">
        <f t="shared" si="4"/>
        <v>0</v>
      </c>
      <c r="O30" s="21">
        <f t="shared" si="5"/>
        <v>0</v>
      </c>
    </row>
    <row r="31" spans="1:15">
      <c r="A31" s="1" t="s">
        <v>3</v>
      </c>
      <c r="B31" s="16" t="s">
        <v>76</v>
      </c>
      <c r="C31" s="10">
        <v>0</v>
      </c>
      <c r="D31" s="10">
        <v>0</v>
      </c>
      <c r="E31" s="10">
        <v>0</v>
      </c>
      <c r="F31" s="10">
        <v>0</v>
      </c>
      <c r="G31" s="10">
        <v>6600</v>
      </c>
      <c r="H31" s="10">
        <v>7980</v>
      </c>
      <c r="I31" s="10">
        <v>0</v>
      </c>
      <c r="J31" s="10">
        <v>0</v>
      </c>
      <c r="K31" s="35">
        <v>0</v>
      </c>
      <c r="L31" s="40">
        <f t="shared" si="3"/>
        <v>14580</v>
      </c>
      <c r="M31" s="11">
        <v>0</v>
      </c>
      <c r="N31" s="21">
        <f t="shared" si="4"/>
        <v>0</v>
      </c>
      <c r="O31" s="21">
        <f t="shared" si="5"/>
        <v>14580</v>
      </c>
    </row>
    <row r="32" spans="1:15">
      <c r="A32" s="1" t="s">
        <v>3</v>
      </c>
      <c r="B32" s="16" t="s">
        <v>77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35">
        <v>0</v>
      </c>
      <c r="L32" s="40">
        <f t="shared" si="3"/>
        <v>0</v>
      </c>
      <c r="M32" s="11">
        <v>0</v>
      </c>
      <c r="N32" s="21">
        <f t="shared" si="4"/>
        <v>0</v>
      </c>
      <c r="O32" s="21">
        <f t="shared" si="5"/>
        <v>0</v>
      </c>
    </row>
    <row r="33" spans="1:15">
      <c r="A33" s="1" t="s">
        <v>3</v>
      </c>
      <c r="B33" s="16" t="s">
        <v>60</v>
      </c>
      <c r="C33" s="10">
        <v>0</v>
      </c>
      <c r="D33" s="10">
        <v>47432</v>
      </c>
      <c r="E33" s="10">
        <v>26944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35">
        <v>12375</v>
      </c>
      <c r="L33" s="40">
        <f t="shared" si="3"/>
        <v>86751</v>
      </c>
      <c r="M33" s="11">
        <v>0</v>
      </c>
      <c r="N33" s="21">
        <f t="shared" si="4"/>
        <v>0</v>
      </c>
      <c r="O33" s="21">
        <f t="shared" si="5"/>
        <v>86751</v>
      </c>
    </row>
    <row r="34" spans="1:15">
      <c r="A34" s="1" t="s">
        <v>3</v>
      </c>
      <c r="B34" s="16" t="s">
        <v>78</v>
      </c>
      <c r="C34" s="10">
        <v>0</v>
      </c>
      <c r="D34" s="10">
        <v>48909</v>
      </c>
      <c r="E34" s="10">
        <v>9090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35">
        <v>0</v>
      </c>
      <c r="L34" s="40">
        <f t="shared" si="3"/>
        <v>57999</v>
      </c>
      <c r="M34" s="11">
        <v>0</v>
      </c>
      <c r="N34" s="21">
        <f t="shared" si="4"/>
        <v>0</v>
      </c>
      <c r="O34" s="21">
        <f t="shared" si="5"/>
        <v>57999</v>
      </c>
    </row>
    <row r="35" spans="1:15">
      <c r="A35" s="1" t="s">
        <v>3</v>
      </c>
      <c r="B35" s="16" t="s">
        <v>79</v>
      </c>
      <c r="C35" s="10">
        <v>0</v>
      </c>
      <c r="D35" s="10">
        <v>13974</v>
      </c>
      <c r="E35" s="10">
        <v>9090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35">
        <v>0</v>
      </c>
      <c r="L35" s="40">
        <f t="shared" si="3"/>
        <v>23064</v>
      </c>
      <c r="M35" s="11">
        <v>0</v>
      </c>
      <c r="N35" s="21">
        <f t="shared" si="4"/>
        <v>0</v>
      </c>
      <c r="O35" s="21">
        <f t="shared" si="5"/>
        <v>23064</v>
      </c>
    </row>
    <row r="36" spans="1:15">
      <c r="A36" s="1" t="s">
        <v>3</v>
      </c>
      <c r="B36" s="16" t="s">
        <v>80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35">
        <v>0</v>
      </c>
      <c r="L36" s="40">
        <f t="shared" si="3"/>
        <v>0</v>
      </c>
      <c r="M36" s="11">
        <v>0</v>
      </c>
      <c r="N36" s="21">
        <f t="shared" si="4"/>
        <v>0</v>
      </c>
      <c r="O36" s="21">
        <f t="shared" si="5"/>
        <v>0</v>
      </c>
    </row>
    <row r="37" spans="1:15">
      <c r="A37" s="1" t="s">
        <v>3</v>
      </c>
      <c r="B37" s="16" t="s">
        <v>64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35">
        <v>0</v>
      </c>
      <c r="L37" s="40">
        <f t="shared" si="3"/>
        <v>0</v>
      </c>
      <c r="M37" s="11">
        <v>0</v>
      </c>
      <c r="N37" s="21">
        <f t="shared" si="4"/>
        <v>0</v>
      </c>
      <c r="O37" s="21">
        <f t="shared" si="5"/>
        <v>0</v>
      </c>
    </row>
    <row r="38" spans="1:15">
      <c r="A38" s="1" t="s">
        <v>3</v>
      </c>
      <c r="B38" s="56" t="s">
        <v>66</v>
      </c>
      <c r="C38" s="58">
        <v>0</v>
      </c>
      <c r="D38" s="58">
        <v>0</v>
      </c>
      <c r="E38" s="58">
        <v>0</v>
      </c>
      <c r="F38" s="58">
        <v>13150</v>
      </c>
      <c r="G38" s="58">
        <v>0</v>
      </c>
      <c r="H38" s="58">
        <v>0</v>
      </c>
      <c r="I38" s="58">
        <v>3945</v>
      </c>
      <c r="J38" s="58">
        <v>14465</v>
      </c>
      <c r="K38" s="59">
        <v>8250</v>
      </c>
      <c r="L38" s="60">
        <f t="shared" si="3"/>
        <v>39810</v>
      </c>
      <c r="M38" s="61">
        <v>0</v>
      </c>
      <c r="N38" s="62">
        <f t="shared" si="4"/>
        <v>0</v>
      </c>
      <c r="O38" s="62">
        <f t="shared" si="5"/>
        <v>39810</v>
      </c>
    </row>
    <row r="39" spans="1:15">
      <c r="A39" s="1" t="s">
        <v>3</v>
      </c>
      <c r="B39" s="63" t="s">
        <v>81</v>
      </c>
      <c r="C39" s="65">
        <v>380000</v>
      </c>
      <c r="D39" s="65">
        <v>403915</v>
      </c>
      <c r="E39" s="65">
        <v>272474</v>
      </c>
      <c r="F39" s="65">
        <v>87913</v>
      </c>
      <c r="G39" s="65">
        <v>88000</v>
      </c>
      <c r="H39" s="65">
        <v>127680</v>
      </c>
      <c r="I39" s="65">
        <v>68178</v>
      </c>
      <c r="J39" s="65">
        <v>95546</v>
      </c>
      <c r="K39" s="66">
        <v>160325</v>
      </c>
      <c r="L39" s="67">
        <f t="shared" si="3"/>
        <v>1684031</v>
      </c>
      <c r="M39" s="68">
        <v>390000</v>
      </c>
      <c r="N39" s="69">
        <f t="shared" si="4"/>
        <v>390000</v>
      </c>
      <c r="O39" s="69">
        <f t="shared" si="5"/>
        <v>2074031</v>
      </c>
    </row>
    <row r="40" spans="1:15">
      <c r="A40" s="1" t="s">
        <v>3</v>
      </c>
      <c r="B40" s="63" t="s">
        <v>82</v>
      </c>
      <c r="C40" s="65">
        <v>3073</v>
      </c>
      <c r="D40" s="65">
        <v>5823</v>
      </c>
      <c r="E40" s="65">
        <v>6146</v>
      </c>
      <c r="F40" s="65">
        <v>4313</v>
      </c>
      <c r="G40" s="65">
        <v>2588</v>
      </c>
      <c r="H40" s="65">
        <v>2157</v>
      </c>
      <c r="I40" s="65">
        <v>2804</v>
      </c>
      <c r="J40" s="65">
        <v>4151</v>
      </c>
      <c r="K40" s="66">
        <v>12399</v>
      </c>
      <c r="L40" s="67">
        <f t="shared" si="3"/>
        <v>43454</v>
      </c>
      <c r="M40" s="68">
        <v>6308</v>
      </c>
      <c r="N40" s="69">
        <f t="shared" si="4"/>
        <v>6308</v>
      </c>
      <c r="O40" s="69">
        <f t="shared" si="5"/>
        <v>49762</v>
      </c>
    </row>
    <row r="41" spans="1:15">
      <c r="A41" s="1" t="s">
        <v>3</v>
      </c>
      <c r="B41" s="63" t="s">
        <v>83</v>
      </c>
      <c r="C41" s="65">
        <v>3073</v>
      </c>
      <c r="D41" s="65">
        <v>5823</v>
      </c>
      <c r="E41" s="65">
        <v>6146</v>
      </c>
      <c r="F41" s="65">
        <v>4313</v>
      </c>
      <c r="G41" s="65">
        <v>2588</v>
      </c>
      <c r="H41" s="65">
        <v>2157</v>
      </c>
      <c r="I41" s="65">
        <v>2804</v>
      </c>
      <c r="J41" s="65">
        <v>4151</v>
      </c>
      <c r="K41" s="66">
        <v>12399</v>
      </c>
      <c r="L41" s="67">
        <f t="shared" si="3"/>
        <v>43454</v>
      </c>
      <c r="M41" s="68">
        <v>6308</v>
      </c>
      <c r="N41" s="69">
        <f t="shared" si="4"/>
        <v>6308</v>
      </c>
      <c r="O41" s="69">
        <f t="shared" si="5"/>
        <v>49762</v>
      </c>
    </row>
    <row r="42" spans="1:15">
      <c r="A42" s="1" t="s">
        <v>3</v>
      </c>
      <c r="B42" s="63" t="s">
        <v>84</v>
      </c>
      <c r="C42" s="65">
        <v>383073</v>
      </c>
      <c r="D42" s="65">
        <v>409738</v>
      </c>
      <c r="E42" s="65">
        <v>278620</v>
      </c>
      <c r="F42" s="65">
        <v>92226</v>
      </c>
      <c r="G42" s="65">
        <v>90588</v>
      </c>
      <c r="H42" s="65">
        <v>129837</v>
      </c>
      <c r="I42" s="65">
        <v>70982</v>
      </c>
      <c r="J42" s="65">
        <v>99697</v>
      </c>
      <c r="K42" s="66">
        <v>172724</v>
      </c>
      <c r="L42" s="67">
        <f t="shared" si="3"/>
        <v>1727485</v>
      </c>
      <c r="M42" s="68">
        <v>396308</v>
      </c>
      <c r="N42" s="69">
        <f t="shared" si="4"/>
        <v>396308</v>
      </c>
      <c r="O42" s="69">
        <f t="shared" si="5"/>
        <v>2123793</v>
      </c>
    </row>
    <row r="43" spans="1:15">
      <c r="A43" s="1" t="s">
        <v>3</v>
      </c>
      <c r="B43" s="42" t="s">
        <v>85</v>
      </c>
      <c r="C43" s="44">
        <v>19380</v>
      </c>
      <c r="D43" s="44">
        <v>19380</v>
      </c>
      <c r="E43" s="44">
        <v>14280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5">
        <v>8160</v>
      </c>
      <c r="L43" s="46">
        <f t="shared" si="3"/>
        <v>61200</v>
      </c>
      <c r="M43" s="47">
        <v>20910</v>
      </c>
      <c r="N43" s="48">
        <f t="shared" si="4"/>
        <v>20910</v>
      </c>
      <c r="O43" s="48">
        <f t="shared" si="5"/>
        <v>82110</v>
      </c>
    </row>
    <row r="44" spans="1:15">
      <c r="A44" s="1" t="s">
        <v>3</v>
      </c>
      <c r="B44" s="16" t="s">
        <v>86</v>
      </c>
      <c r="C44" s="10">
        <v>3420</v>
      </c>
      <c r="D44" s="10">
        <v>3420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35">
        <v>0</v>
      </c>
      <c r="L44" s="40">
        <f t="shared" si="3"/>
        <v>6840</v>
      </c>
      <c r="M44" s="11">
        <v>3690</v>
      </c>
      <c r="N44" s="21">
        <f t="shared" si="4"/>
        <v>3690</v>
      </c>
      <c r="O44" s="21">
        <f t="shared" si="5"/>
        <v>10530</v>
      </c>
    </row>
    <row r="45" spans="1:15">
      <c r="A45" s="1" t="s">
        <v>3</v>
      </c>
      <c r="B45" s="16" t="s">
        <v>87</v>
      </c>
      <c r="C45" s="10">
        <v>34770</v>
      </c>
      <c r="D45" s="10">
        <v>34770</v>
      </c>
      <c r="E45" s="10">
        <v>25620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35">
        <v>14640</v>
      </c>
      <c r="L45" s="40">
        <f t="shared" si="3"/>
        <v>109800</v>
      </c>
      <c r="M45" s="11">
        <v>37515</v>
      </c>
      <c r="N45" s="21">
        <f t="shared" si="4"/>
        <v>37515</v>
      </c>
      <c r="O45" s="21">
        <f t="shared" si="5"/>
        <v>147315</v>
      </c>
    </row>
    <row r="46" spans="1:15">
      <c r="A46" s="1" t="s">
        <v>3</v>
      </c>
      <c r="B46" s="56" t="s">
        <v>88</v>
      </c>
      <c r="C46" s="58">
        <v>2107</v>
      </c>
      <c r="D46" s="58">
        <v>2254</v>
      </c>
      <c r="E46" s="58">
        <v>1532</v>
      </c>
      <c r="F46" s="58">
        <v>0</v>
      </c>
      <c r="G46" s="58">
        <v>498</v>
      </c>
      <c r="H46" s="58">
        <v>714</v>
      </c>
      <c r="I46" s="58">
        <v>0</v>
      </c>
      <c r="J46" s="58">
        <v>548</v>
      </c>
      <c r="K46" s="59">
        <v>950</v>
      </c>
      <c r="L46" s="60">
        <f t="shared" si="3"/>
        <v>8603</v>
      </c>
      <c r="M46" s="61">
        <v>2180</v>
      </c>
      <c r="N46" s="62">
        <f t="shared" si="4"/>
        <v>2180</v>
      </c>
      <c r="O46" s="62">
        <f t="shared" si="5"/>
        <v>10783</v>
      </c>
    </row>
    <row r="47" spans="1:15">
      <c r="A47" s="1" t="s">
        <v>3</v>
      </c>
      <c r="B47" s="63" t="s">
        <v>89</v>
      </c>
      <c r="C47" s="65">
        <v>59677</v>
      </c>
      <c r="D47" s="65">
        <v>59824</v>
      </c>
      <c r="E47" s="65">
        <v>41432</v>
      </c>
      <c r="F47" s="65">
        <v>0</v>
      </c>
      <c r="G47" s="65">
        <v>498</v>
      </c>
      <c r="H47" s="65">
        <v>714</v>
      </c>
      <c r="I47" s="65">
        <v>0</v>
      </c>
      <c r="J47" s="65">
        <v>548</v>
      </c>
      <c r="K47" s="66">
        <v>23750</v>
      </c>
      <c r="L47" s="67">
        <f t="shared" si="3"/>
        <v>186443</v>
      </c>
      <c r="M47" s="68">
        <v>64295</v>
      </c>
      <c r="N47" s="69">
        <f t="shared" si="4"/>
        <v>64295</v>
      </c>
      <c r="O47" s="69">
        <f t="shared" si="5"/>
        <v>250738</v>
      </c>
    </row>
    <row r="48" spans="1:15">
      <c r="A48" s="1" t="s">
        <v>3</v>
      </c>
      <c r="B48" s="42" t="s">
        <v>90</v>
      </c>
      <c r="C48" s="44">
        <v>7550</v>
      </c>
      <c r="D48" s="44">
        <v>8750</v>
      </c>
      <c r="E48" s="44">
        <v>5870</v>
      </c>
      <c r="F48" s="44">
        <v>0</v>
      </c>
      <c r="G48" s="44">
        <v>90</v>
      </c>
      <c r="H48" s="44">
        <v>2100</v>
      </c>
      <c r="I48" s="44">
        <v>0</v>
      </c>
      <c r="J48" s="44">
        <v>0</v>
      </c>
      <c r="K48" s="45">
        <v>950</v>
      </c>
      <c r="L48" s="46">
        <f t="shared" si="3"/>
        <v>25310</v>
      </c>
      <c r="M48" s="47">
        <v>10480</v>
      </c>
      <c r="N48" s="48">
        <f t="shared" si="4"/>
        <v>10480</v>
      </c>
      <c r="O48" s="48">
        <f t="shared" si="5"/>
        <v>35790</v>
      </c>
    </row>
    <row r="49" spans="1:15">
      <c r="A49" s="1" t="s">
        <v>3</v>
      </c>
      <c r="B49" s="16" t="s">
        <v>91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35">
        <v>0</v>
      </c>
      <c r="L49" s="40">
        <f t="shared" si="3"/>
        <v>0</v>
      </c>
      <c r="M49" s="11">
        <v>0</v>
      </c>
      <c r="N49" s="21">
        <f t="shared" si="4"/>
        <v>0</v>
      </c>
      <c r="O49" s="21">
        <f t="shared" si="5"/>
        <v>0</v>
      </c>
    </row>
    <row r="50" spans="1:15">
      <c r="A50" s="1" t="s">
        <v>3</v>
      </c>
      <c r="B50" s="56" t="s">
        <v>92</v>
      </c>
      <c r="C50" s="58">
        <v>20200</v>
      </c>
      <c r="D50" s="58">
        <v>14600</v>
      </c>
      <c r="E50" s="58">
        <v>7800</v>
      </c>
      <c r="F50" s="58">
        <v>0</v>
      </c>
      <c r="G50" s="58">
        <v>500</v>
      </c>
      <c r="H50" s="58">
        <v>2300</v>
      </c>
      <c r="I50" s="58">
        <v>0</v>
      </c>
      <c r="J50" s="58">
        <v>2600</v>
      </c>
      <c r="K50" s="59">
        <v>7100</v>
      </c>
      <c r="L50" s="60">
        <f t="shared" si="3"/>
        <v>55100</v>
      </c>
      <c r="M50" s="61">
        <v>21800</v>
      </c>
      <c r="N50" s="62">
        <f t="shared" si="4"/>
        <v>21800</v>
      </c>
      <c r="O50" s="62">
        <f t="shared" si="5"/>
        <v>76900</v>
      </c>
    </row>
    <row r="51" spans="1:15">
      <c r="A51" s="1" t="s">
        <v>3</v>
      </c>
      <c r="B51" s="63" t="s">
        <v>93</v>
      </c>
      <c r="C51" s="65">
        <v>87427</v>
      </c>
      <c r="D51" s="65">
        <v>83174</v>
      </c>
      <c r="E51" s="65">
        <v>55102</v>
      </c>
      <c r="F51" s="65">
        <v>0</v>
      </c>
      <c r="G51" s="65">
        <v>1088</v>
      </c>
      <c r="H51" s="65">
        <v>5114</v>
      </c>
      <c r="I51" s="65">
        <v>0</v>
      </c>
      <c r="J51" s="65">
        <v>3148</v>
      </c>
      <c r="K51" s="66">
        <v>31800</v>
      </c>
      <c r="L51" s="67">
        <f t="shared" si="3"/>
        <v>266853</v>
      </c>
      <c r="M51" s="68">
        <v>96575</v>
      </c>
      <c r="N51" s="69">
        <f t="shared" si="4"/>
        <v>96575</v>
      </c>
      <c r="O51" s="69">
        <f t="shared" si="5"/>
        <v>363428</v>
      </c>
    </row>
    <row r="52" spans="1:15">
      <c r="A52" s="1" t="s">
        <v>3</v>
      </c>
      <c r="B52" s="63" t="s">
        <v>94</v>
      </c>
      <c r="C52" s="65">
        <v>320323</v>
      </c>
      <c r="D52" s="65">
        <v>344091</v>
      </c>
      <c r="E52" s="65">
        <v>231042</v>
      </c>
      <c r="F52" s="65">
        <v>87913</v>
      </c>
      <c r="G52" s="65">
        <v>87502</v>
      </c>
      <c r="H52" s="65">
        <v>126966</v>
      </c>
      <c r="I52" s="65">
        <v>68178</v>
      </c>
      <c r="J52" s="65">
        <v>94998</v>
      </c>
      <c r="K52" s="66">
        <v>136575</v>
      </c>
      <c r="L52" s="67">
        <f t="shared" si="3"/>
        <v>1497588</v>
      </c>
      <c r="M52" s="68">
        <v>325705</v>
      </c>
      <c r="N52" s="69">
        <f t="shared" si="4"/>
        <v>325705</v>
      </c>
      <c r="O52" s="69">
        <f t="shared" si="5"/>
        <v>1823293</v>
      </c>
    </row>
    <row r="53" spans="1:15">
      <c r="A53" s="1" t="s">
        <v>3</v>
      </c>
      <c r="B53" s="63" t="s">
        <v>95</v>
      </c>
      <c r="C53" s="65">
        <v>295646</v>
      </c>
      <c r="D53" s="65">
        <v>326564</v>
      </c>
      <c r="E53" s="65">
        <v>223518</v>
      </c>
      <c r="F53" s="65">
        <v>92226</v>
      </c>
      <c r="G53" s="65">
        <v>89500</v>
      </c>
      <c r="H53" s="65">
        <v>124723</v>
      </c>
      <c r="I53" s="65">
        <v>70982</v>
      </c>
      <c r="J53" s="65">
        <v>96549</v>
      </c>
      <c r="K53" s="66">
        <v>140924</v>
      </c>
      <c r="L53" s="67">
        <f t="shared" si="3"/>
        <v>1460632</v>
      </c>
      <c r="M53" s="68">
        <v>299733</v>
      </c>
      <c r="N53" s="69">
        <f t="shared" si="4"/>
        <v>299733</v>
      </c>
      <c r="O53" s="69">
        <f t="shared" si="5"/>
        <v>1760365</v>
      </c>
    </row>
    <row r="54" spans="1:15">
      <c r="A54" s="1" t="s">
        <v>3</v>
      </c>
      <c r="B54" s="63" t="s">
        <v>96</v>
      </c>
      <c r="C54" s="65">
        <v>295646</v>
      </c>
      <c r="D54" s="65">
        <v>326564</v>
      </c>
      <c r="E54" s="65">
        <v>223518</v>
      </c>
      <c r="F54" s="65">
        <v>92226</v>
      </c>
      <c r="G54" s="65">
        <v>89500</v>
      </c>
      <c r="H54" s="65">
        <v>124723</v>
      </c>
      <c r="I54" s="65">
        <v>70982</v>
      </c>
      <c r="J54" s="65">
        <v>96549</v>
      </c>
      <c r="K54" s="66">
        <v>140924</v>
      </c>
      <c r="L54" s="67">
        <f t="shared" si="3"/>
        <v>1460632</v>
      </c>
      <c r="M54" s="68">
        <v>299733</v>
      </c>
      <c r="N54" s="69">
        <f t="shared" si="4"/>
        <v>299733</v>
      </c>
      <c r="O54" s="69">
        <f t="shared" si="5"/>
        <v>1760365</v>
      </c>
    </row>
    <row r="55" spans="1:15">
      <c r="A55" s="1" t="s">
        <v>3</v>
      </c>
      <c r="B55" s="42" t="s">
        <v>97</v>
      </c>
      <c r="C55" s="44">
        <v>1</v>
      </c>
      <c r="D55" s="44">
        <v>1</v>
      </c>
      <c r="E55" s="44">
        <v>0</v>
      </c>
      <c r="F55" s="44">
        <v>1</v>
      </c>
      <c r="G55" s="44">
        <v>0</v>
      </c>
      <c r="H55" s="44">
        <v>0</v>
      </c>
      <c r="I55" s="44">
        <v>1</v>
      </c>
      <c r="J55" s="44">
        <v>1</v>
      </c>
      <c r="K55" s="45">
        <v>1</v>
      </c>
      <c r="L55" s="46"/>
      <c r="M55" s="47">
        <v>0</v>
      </c>
      <c r="N55" s="48"/>
      <c r="O55" s="48"/>
    </row>
    <row r="56" spans="1:15" ht="19.5" thickBot="1">
      <c r="A56" s="1" t="s">
        <v>3</v>
      </c>
      <c r="B56" s="17" t="s">
        <v>98</v>
      </c>
      <c r="C56" s="12" t="s">
        <v>99</v>
      </c>
      <c r="D56" s="12" t="s">
        <v>99</v>
      </c>
      <c r="E56" s="12" t="s">
        <v>99</v>
      </c>
      <c r="F56" s="12" t="s">
        <v>99</v>
      </c>
      <c r="G56" s="12" t="s">
        <v>99</v>
      </c>
      <c r="H56" s="12" t="s">
        <v>99</v>
      </c>
      <c r="I56" s="12" t="s">
        <v>99</v>
      </c>
      <c r="J56" s="12" t="s">
        <v>99</v>
      </c>
      <c r="K56" s="36" t="s">
        <v>99</v>
      </c>
      <c r="L56" s="41"/>
      <c r="M56" s="13" t="s">
        <v>99</v>
      </c>
      <c r="N56" s="22"/>
      <c r="O56" s="22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ABDB-3EC1-43E4-B73F-DBB434BD5AAA}">
  <dimension ref="A1:Q56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R1" sqref="R1:AD1048576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4" width="11.125" style="2" bestFit="1" customWidth="1"/>
    <col min="15" max="15" width="9" style="2" bestFit="1" customWidth="1"/>
    <col min="16" max="16" width="11.125" style="2" bestFit="1" customWidth="1"/>
    <col min="17" max="17" width="9.625" style="2" bestFit="1" customWidth="1"/>
    <col min="18" max="246" width="9" style="2"/>
    <col min="247" max="247" width="2.375" style="2" customWidth="1"/>
    <col min="248" max="248" width="13.25" style="2" bestFit="1" customWidth="1"/>
    <col min="249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63" width="11.125" style="2" bestFit="1" customWidth="1"/>
    <col min="264" max="264" width="9" style="2"/>
    <col min="265" max="271" width="11.125" style="2" bestFit="1" customWidth="1"/>
    <col min="272" max="272" width="9" style="2"/>
    <col min="273" max="273" width="9.625" style="2" bestFit="1" customWidth="1"/>
    <col min="274" max="502" width="9" style="2"/>
    <col min="503" max="503" width="2.375" style="2" customWidth="1"/>
    <col min="504" max="504" width="13.25" style="2" bestFit="1" customWidth="1"/>
    <col min="505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19" width="11.125" style="2" bestFit="1" customWidth="1"/>
    <col min="520" max="520" width="9" style="2"/>
    <col min="521" max="527" width="11.125" style="2" bestFit="1" customWidth="1"/>
    <col min="528" max="528" width="9" style="2"/>
    <col min="529" max="529" width="9.625" style="2" bestFit="1" customWidth="1"/>
    <col min="530" max="758" width="9" style="2"/>
    <col min="759" max="759" width="2.375" style="2" customWidth="1"/>
    <col min="760" max="760" width="13.25" style="2" bestFit="1" customWidth="1"/>
    <col min="761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75" width="11.125" style="2" bestFit="1" customWidth="1"/>
    <col min="776" max="776" width="9" style="2"/>
    <col min="777" max="783" width="11.125" style="2" bestFit="1" customWidth="1"/>
    <col min="784" max="784" width="9" style="2"/>
    <col min="785" max="785" width="9.625" style="2" bestFit="1" customWidth="1"/>
    <col min="786" max="1014" width="9" style="2"/>
    <col min="1015" max="1015" width="2.375" style="2" customWidth="1"/>
    <col min="1016" max="1016" width="13.25" style="2" bestFit="1" customWidth="1"/>
    <col min="1017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31" width="11.125" style="2" bestFit="1" customWidth="1"/>
    <col min="1032" max="1032" width="9" style="2"/>
    <col min="1033" max="1039" width="11.125" style="2" bestFit="1" customWidth="1"/>
    <col min="1040" max="1040" width="9" style="2"/>
    <col min="1041" max="1041" width="9.625" style="2" bestFit="1" customWidth="1"/>
    <col min="1042" max="1270" width="9" style="2"/>
    <col min="1271" max="1271" width="2.375" style="2" customWidth="1"/>
    <col min="1272" max="1272" width="13.25" style="2" bestFit="1" customWidth="1"/>
    <col min="1273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87" width="11.125" style="2" bestFit="1" customWidth="1"/>
    <col min="1288" max="1288" width="9" style="2"/>
    <col min="1289" max="1295" width="11.125" style="2" bestFit="1" customWidth="1"/>
    <col min="1296" max="1296" width="9" style="2"/>
    <col min="1297" max="1297" width="9.625" style="2" bestFit="1" customWidth="1"/>
    <col min="1298" max="1526" width="9" style="2"/>
    <col min="1527" max="1527" width="2.375" style="2" customWidth="1"/>
    <col min="1528" max="1528" width="13.25" style="2" bestFit="1" customWidth="1"/>
    <col min="1529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43" width="11.125" style="2" bestFit="1" customWidth="1"/>
    <col min="1544" max="1544" width="9" style="2"/>
    <col min="1545" max="1551" width="11.125" style="2" bestFit="1" customWidth="1"/>
    <col min="1552" max="1552" width="9" style="2"/>
    <col min="1553" max="1553" width="9.625" style="2" bestFit="1" customWidth="1"/>
    <col min="1554" max="1782" width="9" style="2"/>
    <col min="1783" max="1783" width="2.375" style="2" customWidth="1"/>
    <col min="1784" max="1784" width="13.25" style="2" bestFit="1" customWidth="1"/>
    <col min="1785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99" width="11.125" style="2" bestFit="1" customWidth="1"/>
    <col min="1800" max="1800" width="9" style="2"/>
    <col min="1801" max="1807" width="11.125" style="2" bestFit="1" customWidth="1"/>
    <col min="1808" max="1808" width="9" style="2"/>
    <col min="1809" max="1809" width="9.625" style="2" bestFit="1" customWidth="1"/>
    <col min="1810" max="2038" width="9" style="2"/>
    <col min="2039" max="2039" width="2.375" style="2" customWidth="1"/>
    <col min="2040" max="2040" width="13.25" style="2" bestFit="1" customWidth="1"/>
    <col min="2041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55" width="11.125" style="2" bestFit="1" customWidth="1"/>
    <col min="2056" max="2056" width="9" style="2"/>
    <col min="2057" max="2063" width="11.125" style="2" bestFit="1" customWidth="1"/>
    <col min="2064" max="2064" width="9" style="2"/>
    <col min="2065" max="2065" width="9.625" style="2" bestFit="1" customWidth="1"/>
    <col min="2066" max="2294" width="9" style="2"/>
    <col min="2295" max="2295" width="2.375" style="2" customWidth="1"/>
    <col min="2296" max="2296" width="13.25" style="2" bestFit="1" customWidth="1"/>
    <col min="2297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11" width="11.125" style="2" bestFit="1" customWidth="1"/>
    <col min="2312" max="2312" width="9" style="2"/>
    <col min="2313" max="2319" width="11.125" style="2" bestFit="1" customWidth="1"/>
    <col min="2320" max="2320" width="9" style="2"/>
    <col min="2321" max="2321" width="9.625" style="2" bestFit="1" customWidth="1"/>
    <col min="2322" max="2550" width="9" style="2"/>
    <col min="2551" max="2551" width="2.375" style="2" customWidth="1"/>
    <col min="2552" max="2552" width="13.25" style="2" bestFit="1" customWidth="1"/>
    <col min="2553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67" width="11.125" style="2" bestFit="1" customWidth="1"/>
    <col min="2568" max="2568" width="9" style="2"/>
    <col min="2569" max="2575" width="11.125" style="2" bestFit="1" customWidth="1"/>
    <col min="2576" max="2576" width="9" style="2"/>
    <col min="2577" max="2577" width="9.625" style="2" bestFit="1" customWidth="1"/>
    <col min="2578" max="2806" width="9" style="2"/>
    <col min="2807" max="2807" width="2.375" style="2" customWidth="1"/>
    <col min="2808" max="2808" width="13.25" style="2" bestFit="1" customWidth="1"/>
    <col min="2809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23" width="11.125" style="2" bestFit="1" customWidth="1"/>
    <col min="2824" max="2824" width="9" style="2"/>
    <col min="2825" max="2831" width="11.125" style="2" bestFit="1" customWidth="1"/>
    <col min="2832" max="2832" width="9" style="2"/>
    <col min="2833" max="2833" width="9.625" style="2" bestFit="1" customWidth="1"/>
    <col min="2834" max="3062" width="9" style="2"/>
    <col min="3063" max="3063" width="2.375" style="2" customWidth="1"/>
    <col min="3064" max="3064" width="13.25" style="2" bestFit="1" customWidth="1"/>
    <col min="3065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79" width="11.125" style="2" bestFit="1" customWidth="1"/>
    <col min="3080" max="3080" width="9" style="2"/>
    <col min="3081" max="3087" width="11.125" style="2" bestFit="1" customWidth="1"/>
    <col min="3088" max="3088" width="9" style="2"/>
    <col min="3089" max="3089" width="9.625" style="2" bestFit="1" customWidth="1"/>
    <col min="3090" max="3318" width="9" style="2"/>
    <col min="3319" max="3319" width="2.375" style="2" customWidth="1"/>
    <col min="3320" max="3320" width="13.25" style="2" bestFit="1" customWidth="1"/>
    <col min="3321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35" width="11.125" style="2" bestFit="1" customWidth="1"/>
    <col min="3336" max="3336" width="9" style="2"/>
    <col min="3337" max="3343" width="11.125" style="2" bestFit="1" customWidth="1"/>
    <col min="3344" max="3344" width="9" style="2"/>
    <col min="3345" max="3345" width="9.625" style="2" bestFit="1" customWidth="1"/>
    <col min="3346" max="3574" width="9" style="2"/>
    <col min="3575" max="3575" width="2.375" style="2" customWidth="1"/>
    <col min="3576" max="3576" width="13.25" style="2" bestFit="1" customWidth="1"/>
    <col min="3577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91" width="11.125" style="2" bestFit="1" customWidth="1"/>
    <col min="3592" max="3592" width="9" style="2"/>
    <col min="3593" max="3599" width="11.125" style="2" bestFit="1" customWidth="1"/>
    <col min="3600" max="3600" width="9" style="2"/>
    <col min="3601" max="3601" width="9.625" style="2" bestFit="1" customWidth="1"/>
    <col min="3602" max="3830" width="9" style="2"/>
    <col min="3831" max="3831" width="2.375" style="2" customWidth="1"/>
    <col min="3832" max="3832" width="13.25" style="2" bestFit="1" customWidth="1"/>
    <col min="3833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47" width="11.125" style="2" bestFit="1" customWidth="1"/>
    <col min="3848" max="3848" width="9" style="2"/>
    <col min="3849" max="3855" width="11.125" style="2" bestFit="1" customWidth="1"/>
    <col min="3856" max="3856" width="9" style="2"/>
    <col min="3857" max="3857" width="9.625" style="2" bestFit="1" customWidth="1"/>
    <col min="3858" max="4086" width="9" style="2"/>
    <col min="4087" max="4087" width="2.375" style="2" customWidth="1"/>
    <col min="4088" max="4088" width="13.25" style="2" bestFit="1" customWidth="1"/>
    <col min="4089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103" width="11.125" style="2" bestFit="1" customWidth="1"/>
    <col min="4104" max="4104" width="9" style="2"/>
    <col min="4105" max="4111" width="11.125" style="2" bestFit="1" customWidth="1"/>
    <col min="4112" max="4112" width="9" style="2"/>
    <col min="4113" max="4113" width="9.625" style="2" bestFit="1" customWidth="1"/>
    <col min="4114" max="4342" width="9" style="2"/>
    <col min="4343" max="4343" width="2.375" style="2" customWidth="1"/>
    <col min="4344" max="4344" width="13.25" style="2" bestFit="1" customWidth="1"/>
    <col min="4345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59" width="11.125" style="2" bestFit="1" customWidth="1"/>
    <col min="4360" max="4360" width="9" style="2"/>
    <col min="4361" max="4367" width="11.125" style="2" bestFit="1" customWidth="1"/>
    <col min="4368" max="4368" width="9" style="2"/>
    <col min="4369" max="4369" width="9.625" style="2" bestFit="1" customWidth="1"/>
    <col min="4370" max="4598" width="9" style="2"/>
    <col min="4599" max="4599" width="2.375" style="2" customWidth="1"/>
    <col min="4600" max="4600" width="13.25" style="2" bestFit="1" customWidth="1"/>
    <col min="4601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15" width="11.125" style="2" bestFit="1" customWidth="1"/>
    <col min="4616" max="4616" width="9" style="2"/>
    <col min="4617" max="4623" width="11.125" style="2" bestFit="1" customWidth="1"/>
    <col min="4624" max="4624" width="9" style="2"/>
    <col min="4625" max="4625" width="9.625" style="2" bestFit="1" customWidth="1"/>
    <col min="4626" max="4854" width="9" style="2"/>
    <col min="4855" max="4855" width="2.375" style="2" customWidth="1"/>
    <col min="4856" max="4856" width="13.25" style="2" bestFit="1" customWidth="1"/>
    <col min="4857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71" width="11.125" style="2" bestFit="1" customWidth="1"/>
    <col min="4872" max="4872" width="9" style="2"/>
    <col min="4873" max="4879" width="11.125" style="2" bestFit="1" customWidth="1"/>
    <col min="4880" max="4880" width="9" style="2"/>
    <col min="4881" max="4881" width="9.625" style="2" bestFit="1" customWidth="1"/>
    <col min="4882" max="5110" width="9" style="2"/>
    <col min="5111" max="5111" width="2.375" style="2" customWidth="1"/>
    <col min="5112" max="5112" width="13.25" style="2" bestFit="1" customWidth="1"/>
    <col min="5113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27" width="11.125" style="2" bestFit="1" customWidth="1"/>
    <col min="5128" max="5128" width="9" style="2"/>
    <col min="5129" max="5135" width="11.125" style="2" bestFit="1" customWidth="1"/>
    <col min="5136" max="5136" width="9" style="2"/>
    <col min="5137" max="5137" width="9.625" style="2" bestFit="1" customWidth="1"/>
    <col min="5138" max="5366" width="9" style="2"/>
    <col min="5367" max="5367" width="2.375" style="2" customWidth="1"/>
    <col min="5368" max="5368" width="13.25" style="2" bestFit="1" customWidth="1"/>
    <col min="5369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83" width="11.125" style="2" bestFit="1" customWidth="1"/>
    <col min="5384" max="5384" width="9" style="2"/>
    <col min="5385" max="5391" width="11.125" style="2" bestFit="1" customWidth="1"/>
    <col min="5392" max="5392" width="9" style="2"/>
    <col min="5393" max="5393" width="9.625" style="2" bestFit="1" customWidth="1"/>
    <col min="5394" max="5622" width="9" style="2"/>
    <col min="5623" max="5623" width="2.375" style="2" customWidth="1"/>
    <col min="5624" max="5624" width="13.25" style="2" bestFit="1" customWidth="1"/>
    <col min="5625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39" width="11.125" style="2" bestFit="1" customWidth="1"/>
    <col min="5640" max="5640" width="9" style="2"/>
    <col min="5641" max="5647" width="11.125" style="2" bestFit="1" customWidth="1"/>
    <col min="5648" max="5648" width="9" style="2"/>
    <col min="5649" max="5649" width="9.625" style="2" bestFit="1" customWidth="1"/>
    <col min="5650" max="5878" width="9" style="2"/>
    <col min="5879" max="5879" width="2.375" style="2" customWidth="1"/>
    <col min="5880" max="5880" width="13.25" style="2" bestFit="1" customWidth="1"/>
    <col min="5881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95" width="11.125" style="2" bestFit="1" customWidth="1"/>
    <col min="5896" max="5896" width="9" style="2"/>
    <col min="5897" max="5903" width="11.125" style="2" bestFit="1" customWidth="1"/>
    <col min="5904" max="5904" width="9" style="2"/>
    <col min="5905" max="5905" width="9.625" style="2" bestFit="1" customWidth="1"/>
    <col min="5906" max="6134" width="9" style="2"/>
    <col min="6135" max="6135" width="2.375" style="2" customWidth="1"/>
    <col min="6136" max="6136" width="13.25" style="2" bestFit="1" customWidth="1"/>
    <col min="6137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51" width="11.125" style="2" bestFit="1" customWidth="1"/>
    <col min="6152" max="6152" width="9" style="2"/>
    <col min="6153" max="6159" width="11.125" style="2" bestFit="1" customWidth="1"/>
    <col min="6160" max="6160" width="9" style="2"/>
    <col min="6161" max="6161" width="9.625" style="2" bestFit="1" customWidth="1"/>
    <col min="6162" max="6390" width="9" style="2"/>
    <col min="6391" max="6391" width="2.375" style="2" customWidth="1"/>
    <col min="6392" max="6392" width="13.25" style="2" bestFit="1" customWidth="1"/>
    <col min="6393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407" width="11.125" style="2" bestFit="1" customWidth="1"/>
    <col min="6408" max="6408" width="9" style="2"/>
    <col min="6409" max="6415" width="11.125" style="2" bestFit="1" customWidth="1"/>
    <col min="6416" max="6416" width="9" style="2"/>
    <col min="6417" max="6417" width="9.625" style="2" bestFit="1" customWidth="1"/>
    <col min="6418" max="6646" width="9" style="2"/>
    <col min="6647" max="6647" width="2.375" style="2" customWidth="1"/>
    <col min="6648" max="6648" width="13.25" style="2" bestFit="1" customWidth="1"/>
    <col min="6649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63" width="11.125" style="2" bestFit="1" customWidth="1"/>
    <col min="6664" max="6664" width="9" style="2"/>
    <col min="6665" max="6671" width="11.125" style="2" bestFit="1" customWidth="1"/>
    <col min="6672" max="6672" width="9" style="2"/>
    <col min="6673" max="6673" width="9.625" style="2" bestFit="1" customWidth="1"/>
    <col min="6674" max="6902" width="9" style="2"/>
    <col min="6903" max="6903" width="2.375" style="2" customWidth="1"/>
    <col min="6904" max="6904" width="13.25" style="2" bestFit="1" customWidth="1"/>
    <col min="6905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19" width="11.125" style="2" bestFit="1" customWidth="1"/>
    <col min="6920" max="6920" width="9" style="2"/>
    <col min="6921" max="6927" width="11.125" style="2" bestFit="1" customWidth="1"/>
    <col min="6928" max="6928" width="9" style="2"/>
    <col min="6929" max="6929" width="9.625" style="2" bestFit="1" customWidth="1"/>
    <col min="6930" max="7158" width="9" style="2"/>
    <col min="7159" max="7159" width="2.375" style="2" customWidth="1"/>
    <col min="7160" max="7160" width="13.25" style="2" bestFit="1" customWidth="1"/>
    <col min="7161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75" width="11.125" style="2" bestFit="1" customWidth="1"/>
    <col min="7176" max="7176" width="9" style="2"/>
    <col min="7177" max="7183" width="11.125" style="2" bestFit="1" customWidth="1"/>
    <col min="7184" max="7184" width="9" style="2"/>
    <col min="7185" max="7185" width="9.625" style="2" bestFit="1" customWidth="1"/>
    <col min="7186" max="7414" width="9" style="2"/>
    <col min="7415" max="7415" width="2.375" style="2" customWidth="1"/>
    <col min="7416" max="7416" width="13.25" style="2" bestFit="1" customWidth="1"/>
    <col min="7417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31" width="11.125" style="2" bestFit="1" customWidth="1"/>
    <col min="7432" max="7432" width="9" style="2"/>
    <col min="7433" max="7439" width="11.125" style="2" bestFit="1" customWidth="1"/>
    <col min="7440" max="7440" width="9" style="2"/>
    <col min="7441" max="7441" width="9.625" style="2" bestFit="1" customWidth="1"/>
    <col min="7442" max="7670" width="9" style="2"/>
    <col min="7671" max="7671" width="2.375" style="2" customWidth="1"/>
    <col min="7672" max="7672" width="13.25" style="2" bestFit="1" customWidth="1"/>
    <col min="7673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87" width="11.125" style="2" bestFit="1" customWidth="1"/>
    <col min="7688" max="7688" width="9" style="2"/>
    <col min="7689" max="7695" width="11.125" style="2" bestFit="1" customWidth="1"/>
    <col min="7696" max="7696" width="9" style="2"/>
    <col min="7697" max="7697" width="9.625" style="2" bestFit="1" customWidth="1"/>
    <col min="7698" max="7926" width="9" style="2"/>
    <col min="7927" max="7927" width="2.375" style="2" customWidth="1"/>
    <col min="7928" max="7928" width="13.25" style="2" bestFit="1" customWidth="1"/>
    <col min="7929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43" width="11.125" style="2" bestFit="1" customWidth="1"/>
    <col min="7944" max="7944" width="9" style="2"/>
    <col min="7945" max="7951" width="11.125" style="2" bestFit="1" customWidth="1"/>
    <col min="7952" max="7952" width="9" style="2"/>
    <col min="7953" max="7953" width="9.625" style="2" bestFit="1" customWidth="1"/>
    <col min="7954" max="8182" width="9" style="2"/>
    <col min="8183" max="8183" width="2.375" style="2" customWidth="1"/>
    <col min="8184" max="8184" width="13.25" style="2" bestFit="1" customWidth="1"/>
    <col min="8185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99" width="11.125" style="2" bestFit="1" customWidth="1"/>
    <col min="8200" max="8200" width="9" style="2"/>
    <col min="8201" max="8207" width="11.125" style="2" bestFit="1" customWidth="1"/>
    <col min="8208" max="8208" width="9" style="2"/>
    <col min="8209" max="8209" width="9.625" style="2" bestFit="1" customWidth="1"/>
    <col min="8210" max="8438" width="9" style="2"/>
    <col min="8439" max="8439" width="2.375" style="2" customWidth="1"/>
    <col min="8440" max="8440" width="13.25" style="2" bestFit="1" customWidth="1"/>
    <col min="8441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55" width="11.125" style="2" bestFit="1" customWidth="1"/>
    <col min="8456" max="8456" width="9" style="2"/>
    <col min="8457" max="8463" width="11.125" style="2" bestFit="1" customWidth="1"/>
    <col min="8464" max="8464" width="9" style="2"/>
    <col min="8465" max="8465" width="9.625" style="2" bestFit="1" customWidth="1"/>
    <col min="8466" max="8694" width="9" style="2"/>
    <col min="8695" max="8695" width="2.375" style="2" customWidth="1"/>
    <col min="8696" max="8696" width="13.25" style="2" bestFit="1" customWidth="1"/>
    <col min="8697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11" width="11.125" style="2" bestFit="1" customWidth="1"/>
    <col min="8712" max="8712" width="9" style="2"/>
    <col min="8713" max="8719" width="11.125" style="2" bestFit="1" customWidth="1"/>
    <col min="8720" max="8720" width="9" style="2"/>
    <col min="8721" max="8721" width="9.625" style="2" bestFit="1" customWidth="1"/>
    <col min="8722" max="8950" width="9" style="2"/>
    <col min="8951" max="8951" width="2.375" style="2" customWidth="1"/>
    <col min="8952" max="8952" width="13.25" style="2" bestFit="1" customWidth="1"/>
    <col min="8953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67" width="11.125" style="2" bestFit="1" customWidth="1"/>
    <col min="8968" max="8968" width="9" style="2"/>
    <col min="8969" max="8975" width="11.125" style="2" bestFit="1" customWidth="1"/>
    <col min="8976" max="8976" width="9" style="2"/>
    <col min="8977" max="8977" width="9.625" style="2" bestFit="1" customWidth="1"/>
    <col min="8978" max="9206" width="9" style="2"/>
    <col min="9207" max="9207" width="2.375" style="2" customWidth="1"/>
    <col min="9208" max="9208" width="13.25" style="2" bestFit="1" customWidth="1"/>
    <col min="9209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23" width="11.125" style="2" bestFit="1" customWidth="1"/>
    <col min="9224" max="9224" width="9" style="2"/>
    <col min="9225" max="9231" width="11.125" style="2" bestFit="1" customWidth="1"/>
    <col min="9232" max="9232" width="9" style="2"/>
    <col min="9233" max="9233" width="9.625" style="2" bestFit="1" customWidth="1"/>
    <col min="9234" max="9462" width="9" style="2"/>
    <col min="9463" max="9463" width="2.375" style="2" customWidth="1"/>
    <col min="9464" max="9464" width="13.25" style="2" bestFit="1" customWidth="1"/>
    <col min="9465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79" width="11.125" style="2" bestFit="1" customWidth="1"/>
    <col min="9480" max="9480" width="9" style="2"/>
    <col min="9481" max="9487" width="11.125" style="2" bestFit="1" customWidth="1"/>
    <col min="9488" max="9488" width="9" style="2"/>
    <col min="9489" max="9489" width="9.625" style="2" bestFit="1" customWidth="1"/>
    <col min="9490" max="9718" width="9" style="2"/>
    <col min="9719" max="9719" width="2.375" style="2" customWidth="1"/>
    <col min="9720" max="9720" width="13.25" style="2" bestFit="1" customWidth="1"/>
    <col min="9721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35" width="11.125" style="2" bestFit="1" customWidth="1"/>
    <col min="9736" max="9736" width="9" style="2"/>
    <col min="9737" max="9743" width="11.125" style="2" bestFit="1" customWidth="1"/>
    <col min="9744" max="9744" width="9" style="2"/>
    <col min="9745" max="9745" width="9.625" style="2" bestFit="1" customWidth="1"/>
    <col min="9746" max="9974" width="9" style="2"/>
    <col min="9975" max="9975" width="2.375" style="2" customWidth="1"/>
    <col min="9976" max="9976" width="13.25" style="2" bestFit="1" customWidth="1"/>
    <col min="9977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91" width="11.125" style="2" bestFit="1" customWidth="1"/>
    <col min="9992" max="9992" width="9" style="2"/>
    <col min="9993" max="9999" width="11.125" style="2" bestFit="1" customWidth="1"/>
    <col min="10000" max="10000" width="9" style="2"/>
    <col min="10001" max="10001" width="9.625" style="2" bestFit="1" customWidth="1"/>
    <col min="10002" max="10230" width="9" style="2"/>
    <col min="10231" max="10231" width="2.375" style="2" customWidth="1"/>
    <col min="10232" max="10232" width="13.25" style="2" bestFit="1" customWidth="1"/>
    <col min="10233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47" width="11.125" style="2" bestFit="1" customWidth="1"/>
    <col min="10248" max="10248" width="9" style="2"/>
    <col min="10249" max="10255" width="11.125" style="2" bestFit="1" customWidth="1"/>
    <col min="10256" max="10256" width="9" style="2"/>
    <col min="10257" max="10257" width="9.625" style="2" bestFit="1" customWidth="1"/>
    <col min="10258" max="10486" width="9" style="2"/>
    <col min="10487" max="10487" width="2.375" style="2" customWidth="1"/>
    <col min="10488" max="10488" width="13.25" style="2" bestFit="1" customWidth="1"/>
    <col min="10489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503" width="11.125" style="2" bestFit="1" customWidth="1"/>
    <col min="10504" max="10504" width="9" style="2"/>
    <col min="10505" max="10511" width="11.125" style="2" bestFit="1" customWidth="1"/>
    <col min="10512" max="10512" width="9" style="2"/>
    <col min="10513" max="10513" width="9.625" style="2" bestFit="1" customWidth="1"/>
    <col min="10514" max="10742" width="9" style="2"/>
    <col min="10743" max="10743" width="2.375" style="2" customWidth="1"/>
    <col min="10744" max="10744" width="13.25" style="2" bestFit="1" customWidth="1"/>
    <col min="10745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59" width="11.125" style="2" bestFit="1" customWidth="1"/>
    <col min="10760" max="10760" width="9" style="2"/>
    <col min="10761" max="10767" width="11.125" style="2" bestFit="1" customWidth="1"/>
    <col min="10768" max="10768" width="9" style="2"/>
    <col min="10769" max="10769" width="9.625" style="2" bestFit="1" customWidth="1"/>
    <col min="10770" max="10998" width="9" style="2"/>
    <col min="10999" max="10999" width="2.375" style="2" customWidth="1"/>
    <col min="11000" max="11000" width="13.25" style="2" bestFit="1" customWidth="1"/>
    <col min="11001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15" width="11.125" style="2" bestFit="1" customWidth="1"/>
    <col min="11016" max="11016" width="9" style="2"/>
    <col min="11017" max="11023" width="11.125" style="2" bestFit="1" customWidth="1"/>
    <col min="11024" max="11024" width="9" style="2"/>
    <col min="11025" max="11025" width="9.625" style="2" bestFit="1" customWidth="1"/>
    <col min="11026" max="11254" width="9" style="2"/>
    <col min="11255" max="11255" width="2.375" style="2" customWidth="1"/>
    <col min="11256" max="11256" width="13.25" style="2" bestFit="1" customWidth="1"/>
    <col min="11257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71" width="11.125" style="2" bestFit="1" customWidth="1"/>
    <col min="11272" max="11272" width="9" style="2"/>
    <col min="11273" max="11279" width="11.125" style="2" bestFit="1" customWidth="1"/>
    <col min="11280" max="11280" width="9" style="2"/>
    <col min="11281" max="11281" width="9.625" style="2" bestFit="1" customWidth="1"/>
    <col min="11282" max="11510" width="9" style="2"/>
    <col min="11511" max="11511" width="2.375" style="2" customWidth="1"/>
    <col min="11512" max="11512" width="13.25" style="2" bestFit="1" customWidth="1"/>
    <col min="11513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27" width="11.125" style="2" bestFit="1" customWidth="1"/>
    <col min="11528" max="11528" width="9" style="2"/>
    <col min="11529" max="11535" width="11.125" style="2" bestFit="1" customWidth="1"/>
    <col min="11536" max="11536" width="9" style="2"/>
    <col min="11537" max="11537" width="9.625" style="2" bestFit="1" customWidth="1"/>
    <col min="11538" max="11766" width="9" style="2"/>
    <col min="11767" max="11767" width="2.375" style="2" customWidth="1"/>
    <col min="11768" max="11768" width="13.25" style="2" bestFit="1" customWidth="1"/>
    <col min="11769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83" width="11.125" style="2" bestFit="1" customWidth="1"/>
    <col min="11784" max="11784" width="9" style="2"/>
    <col min="11785" max="11791" width="11.125" style="2" bestFit="1" customWidth="1"/>
    <col min="11792" max="11792" width="9" style="2"/>
    <col min="11793" max="11793" width="9.625" style="2" bestFit="1" customWidth="1"/>
    <col min="11794" max="12022" width="9" style="2"/>
    <col min="12023" max="12023" width="2.375" style="2" customWidth="1"/>
    <col min="12024" max="12024" width="13.25" style="2" bestFit="1" customWidth="1"/>
    <col min="12025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39" width="11.125" style="2" bestFit="1" customWidth="1"/>
    <col min="12040" max="12040" width="9" style="2"/>
    <col min="12041" max="12047" width="11.125" style="2" bestFit="1" customWidth="1"/>
    <col min="12048" max="12048" width="9" style="2"/>
    <col min="12049" max="12049" width="9.625" style="2" bestFit="1" customWidth="1"/>
    <col min="12050" max="12278" width="9" style="2"/>
    <col min="12279" max="12279" width="2.375" style="2" customWidth="1"/>
    <col min="12280" max="12280" width="13.25" style="2" bestFit="1" customWidth="1"/>
    <col min="12281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95" width="11.125" style="2" bestFit="1" customWidth="1"/>
    <col min="12296" max="12296" width="9" style="2"/>
    <col min="12297" max="12303" width="11.125" style="2" bestFit="1" customWidth="1"/>
    <col min="12304" max="12304" width="9" style="2"/>
    <col min="12305" max="12305" width="9.625" style="2" bestFit="1" customWidth="1"/>
    <col min="12306" max="12534" width="9" style="2"/>
    <col min="12535" max="12535" width="2.375" style="2" customWidth="1"/>
    <col min="12536" max="12536" width="13.25" style="2" bestFit="1" customWidth="1"/>
    <col min="12537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51" width="11.125" style="2" bestFit="1" customWidth="1"/>
    <col min="12552" max="12552" width="9" style="2"/>
    <col min="12553" max="12559" width="11.125" style="2" bestFit="1" customWidth="1"/>
    <col min="12560" max="12560" width="9" style="2"/>
    <col min="12561" max="12561" width="9.625" style="2" bestFit="1" customWidth="1"/>
    <col min="12562" max="12790" width="9" style="2"/>
    <col min="12791" max="12791" width="2.375" style="2" customWidth="1"/>
    <col min="12792" max="12792" width="13.25" style="2" bestFit="1" customWidth="1"/>
    <col min="12793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807" width="11.125" style="2" bestFit="1" customWidth="1"/>
    <col min="12808" max="12808" width="9" style="2"/>
    <col min="12809" max="12815" width="11.125" style="2" bestFit="1" customWidth="1"/>
    <col min="12816" max="12816" width="9" style="2"/>
    <col min="12817" max="12817" width="9.625" style="2" bestFit="1" customWidth="1"/>
    <col min="12818" max="13046" width="9" style="2"/>
    <col min="13047" max="13047" width="2.375" style="2" customWidth="1"/>
    <col min="13048" max="13048" width="13.25" style="2" bestFit="1" customWidth="1"/>
    <col min="13049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63" width="11.125" style="2" bestFit="1" customWidth="1"/>
    <col min="13064" max="13064" width="9" style="2"/>
    <col min="13065" max="13071" width="11.125" style="2" bestFit="1" customWidth="1"/>
    <col min="13072" max="13072" width="9" style="2"/>
    <col min="13073" max="13073" width="9.625" style="2" bestFit="1" customWidth="1"/>
    <col min="13074" max="13302" width="9" style="2"/>
    <col min="13303" max="13303" width="2.375" style="2" customWidth="1"/>
    <col min="13304" max="13304" width="13.25" style="2" bestFit="1" customWidth="1"/>
    <col min="13305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19" width="11.125" style="2" bestFit="1" customWidth="1"/>
    <col min="13320" max="13320" width="9" style="2"/>
    <col min="13321" max="13327" width="11.125" style="2" bestFit="1" customWidth="1"/>
    <col min="13328" max="13328" width="9" style="2"/>
    <col min="13329" max="13329" width="9.625" style="2" bestFit="1" customWidth="1"/>
    <col min="13330" max="13558" width="9" style="2"/>
    <col min="13559" max="13559" width="2.375" style="2" customWidth="1"/>
    <col min="13560" max="13560" width="13.25" style="2" bestFit="1" customWidth="1"/>
    <col min="13561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75" width="11.125" style="2" bestFit="1" customWidth="1"/>
    <col min="13576" max="13576" width="9" style="2"/>
    <col min="13577" max="13583" width="11.125" style="2" bestFit="1" customWidth="1"/>
    <col min="13584" max="13584" width="9" style="2"/>
    <col min="13585" max="13585" width="9.625" style="2" bestFit="1" customWidth="1"/>
    <col min="13586" max="13814" width="9" style="2"/>
    <col min="13815" max="13815" width="2.375" style="2" customWidth="1"/>
    <col min="13816" max="13816" width="13.25" style="2" bestFit="1" customWidth="1"/>
    <col min="13817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31" width="11.125" style="2" bestFit="1" customWidth="1"/>
    <col min="13832" max="13832" width="9" style="2"/>
    <col min="13833" max="13839" width="11.125" style="2" bestFit="1" customWidth="1"/>
    <col min="13840" max="13840" width="9" style="2"/>
    <col min="13841" max="13841" width="9.625" style="2" bestFit="1" customWidth="1"/>
    <col min="13842" max="14070" width="9" style="2"/>
    <col min="14071" max="14071" width="2.375" style="2" customWidth="1"/>
    <col min="14072" max="14072" width="13.25" style="2" bestFit="1" customWidth="1"/>
    <col min="14073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87" width="11.125" style="2" bestFit="1" customWidth="1"/>
    <col min="14088" max="14088" width="9" style="2"/>
    <col min="14089" max="14095" width="11.125" style="2" bestFit="1" customWidth="1"/>
    <col min="14096" max="14096" width="9" style="2"/>
    <col min="14097" max="14097" width="9.625" style="2" bestFit="1" customWidth="1"/>
    <col min="14098" max="14326" width="9" style="2"/>
    <col min="14327" max="14327" width="2.375" style="2" customWidth="1"/>
    <col min="14328" max="14328" width="13.25" style="2" bestFit="1" customWidth="1"/>
    <col min="14329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43" width="11.125" style="2" bestFit="1" customWidth="1"/>
    <col min="14344" max="14344" width="9" style="2"/>
    <col min="14345" max="14351" width="11.125" style="2" bestFit="1" customWidth="1"/>
    <col min="14352" max="14352" width="9" style="2"/>
    <col min="14353" max="14353" width="9.625" style="2" bestFit="1" customWidth="1"/>
    <col min="14354" max="14582" width="9" style="2"/>
    <col min="14583" max="14583" width="2.375" style="2" customWidth="1"/>
    <col min="14584" max="14584" width="13.25" style="2" bestFit="1" customWidth="1"/>
    <col min="14585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99" width="11.125" style="2" bestFit="1" customWidth="1"/>
    <col min="14600" max="14600" width="9" style="2"/>
    <col min="14601" max="14607" width="11.125" style="2" bestFit="1" customWidth="1"/>
    <col min="14608" max="14608" width="9" style="2"/>
    <col min="14609" max="14609" width="9.625" style="2" bestFit="1" customWidth="1"/>
    <col min="14610" max="14838" width="9" style="2"/>
    <col min="14839" max="14839" width="2.375" style="2" customWidth="1"/>
    <col min="14840" max="14840" width="13.25" style="2" bestFit="1" customWidth="1"/>
    <col min="14841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55" width="11.125" style="2" bestFit="1" customWidth="1"/>
    <col min="14856" max="14856" width="9" style="2"/>
    <col min="14857" max="14863" width="11.125" style="2" bestFit="1" customWidth="1"/>
    <col min="14864" max="14864" width="9" style="2"/>
    <col min="14865" max="14865" width="9.625" style="2" bestFit="1" customWidth="1"/>
    <col min="14866" max="15094" width="9" style="2"/>
    <col min="15095" max="15095" width="2.375" style="2" customWidth="1"/>
    <col min="15096" max="15096" width="13.25" style="2" bestFit="1" customWidth="1"/>
    <col min="15097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11" width="11.125" style="2" bestFit="1" customWidth="1"/>
    <col min="15112" max="15112" width="9" style="2"/>
    <col min="15113" max="15119" width="11.125" style="2" bestFit="1" customWidth="1"/>
    <col min="15120" max="15120" width="9" style="2"/>
    <col min="15121" max="15121" width="9.625" style="2" bestFit="1" customWidth="1"/>
    <col min="15122" max="15350" width="9" style="2"/>
    <col min="15351" max="15351" width="2.375" style="2" customWidth="1"/>
    <col min="15352" max="15352" width="13.25" style="2" bestFit="1" customWidth="1"/>
    <col min="15353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67" width="11.125" style="2" bestFit="1" customWidth="1"/>
    <col min="15368" max="15368" width="9" style="2"/>
    <col min="15369" max="15375" width="11.125" style="2" bestFit="1" customWidth="1"/>
    <col min="15376" max="15376" width="9" style="2"/>
    <col min="15377" max="15377" width="9.625" style="2" bestFit="1" customWidth="1"/>
    <col min="15378" max="15606" width="9" style="2"/>
    <col min="15607" max="15607" width="2.375" style="2" customWidth="1"/>
    <col min="15608" max="15608" width="13.25" style="2" bestFit="1" customWidth="1"/>
    <col min="15609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23" width="11.125" style="2" bestFit="1" customWidth="1"/>
    <col min="15624" max="15624" width="9" style="2"/>
    <col min="15625" max="15631" width="11.125" style="2" bestFit="1" customWidth="1"/>
    <col min="15632" max="15632" width="9" style="2"/>
    <col min="15633" max="15633" width="9.625" style="2" bestFit="1" customWidth="1"/>
    <col min="15634" max="15862" width="9" style="2"/>
    <col min="15863" max="15863" width="2.375" style="2" customWidth="1"/>
    <col min="15864" max="15864" width="13.25" style="2" bestFit="1" customWidth="1"/>
    <col min="15865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79" width="11.125" style="2" bestFit="1" customWidth="1"/>
    <col min="15880" max="15880" width="9" style="2"/>
    <col min="15881" max="15887" width="11.125" style="2" bestFit="1" customWidth="1"/>
    <col min="15888" max="15888" width="9" style="2"/>
    <col min="15889" max="15889" width="9.625" style="2" bestFit="1" customWidth="1"/>
    <col min="15890" max="16118" width="9" style="2"/>
    <col min="16119" max="16119" width="2.375" style="2" customWidth="1"/>
    <col min="16120" max="16120" width="13.25" style="2" bestFit="1" customWidth="1"/>
    <col min="16121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35" width="11.125" style="2" bestFit="1" customWidth="1"/>
    <col min="16136" max="16136" width="9" style="2"/>
    <col min="16137" max="16143" width="11.125" style="2" bestFit="1" customWidth="1"/>
    <col min="16144" max="16144" width="9" style="2"/>
    <col min="16145" max="16145" width="9.625" style="2" bestFit="1" customWidth="1"/>
    <col min="16146" max="16384" width="9" style="2"/>
  </cols>
  <sheetData>
    <row r="1" spans="1:17">
      <c r="A1" s="1" t="s">
        <v>0</v>
      </c>
    </row>
    <row r="2" spans="1:17">
      <c r="A2" s="1"/>
    </row>
    <row r="3" spans="1:17">
      <c r="A3" s="1" t="s">
        <v>1</v>
      </c>
    </row>
    <row r="4" spans="1:17">
      <c r="A4" s="1" t="s">
        <v>2</v>
      </c>
    </row>
    <row r="5" spans="1:17">
      <c r="A5" s="1" t="s">
        <v>3</v>
      </c>
    </row>
    <row r="6" spans="1:17" ht="19.5" thickBot="1">
      <c r="A6" s="1" t="s">
        <v>100</v>
      </c>
    </row>
    <row r="7" spans="1:17">
      <c r="B7" s="14"/>
      <c r="C7" s="23" t="s">
        <v>4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16</v>
      </c>
      <c r="M7" s="4" t="s">
        <v>17</v>
      </c>
      <c r="N7" s="4" t="s">
        <v>18</v>
      </c>
      <c r="O7" s="4" t="s">
        <v>19</v>
      </c>
      <c r="P7" s="31" t="s">
        <v>20</v>
      </c>
      <c r="Q7" s="71" t="s">
        <v>101</v>
      </c>
    </row>
    <row r="8" spans="1:17" ht="19.5" thickBot="1">
      <c r="A8" s="3"/>
      <c r="B8" s="15" t="s">
        <v>28</v>
      </c>
      <c r="C8" s="25" t="s">
        <v>29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36</v>
      </c>
      <c r="I8" s="5" t="s">
        <v>37</v>
      </c>
      <c r="J8" s="5" t="s">
        <v>38</v>
      </c>
      <c r="K8" s="5" t="s">
        <v>39</v>
      </c>
      <c r="L8" s="5" t="s">
        <v>41</v>
      </c>
      <c r="M8" s="5" t="s">
        <v>42</v>
      </c>
      <c r="N8" s="5" t="s">
        <v>43</v>
      </c>
      <c r="O8" s="5" t="s">
        <v>44</v>
      </c>
      <c r="P8" s="32" t="s">
        <v>45</v>
      </c>
      <c r="Q8" s="37" t="s">
        <v>103</v>
      </c>
    </row>
    <row r="9" spans="1:17">
      <c r="A9" s="1" t="s">
        <v>3</v>
      </c>
      <c r="B9" s="16" t="s">
        <v>54</v>
      </c>
      <c r="C9" s="27">
        <v>14</v>
      </c>
      <c r="D9" s="6">
        <v>18</v>
      </c>
      <c r="E9" s="6">
        <v>16</v>
      </c>
      <c r="F9" s="6">
        <v>17</v>
      </c>
      <c r="G9" s="6">
        <v>16</v>
      </c>
      <c r="H9" s="6">
        <v>15</v>
      </c>
      <c r="I9" s="6">
        <v>17</v>
      </c>
      <c r="J9" s="6">
        <v>17</v>
      </c>
      <c r="K9" s="6">
        <v>17</v>
      </c>
      <c r="L9" s="6">
        <v>18</v>
      </c>
      <c r="M9" s="6">
        <v>18</v>
      </c>
      <c r="N9" s="6">
        <v>16</v>
      </c>
      <c r="O9" s="6">
        <v>17</v>
      </c>
      <c r="P9" s="33">
        <v>18</v>
      </c>
      <c r="Q9" s="38">
        <f>SUM(C9:P9)</f>
        <v>234</v>
      </c>
    </row>
    <row r="10" spans="1:17">
      <c r="A10" s="1" t="s">
        <v>3</v>
      </c>
      <c r="B10" s="16" t="s">
        <v>55</v>
      </c>
      <c r="C10" s="27">
        <v>2</v>
      </c>
      <c r="D10" s="6">
        <v>2</v>
      </c>
      <c r="E10" s="6">
        <v>3</v>
      </c>
      <c r="F10" s="6">
        <v>2</v>
      </c>
      <c r="G10" s="6">
        <v>3</v>
      </c>
      <c r="H10" s="6">
        <v>2</v>
      </c>
      <c r="I10" s="6">
        <v>5</v>
      </c>
      <c r="J10" s="6">
        <v>2</v>
      </c>
      <c r="K10" s="6">
        <v>4</v>
      </c>
      <c r="L10" s="6">
        <v>4</v>
      </c>
      <c r="M10" s="6">
        <v>4</v>
      </c>
      <c r="N10" s="6">
        <v>4</v>
      </c>
      <c r="O10" s="6">
        <v>2</v>
      </c>
      <c r="P10" s="33">
        <v>2</v>
      </c>
      <c r="Q10" s="38">
        <f t="shared" ref="Q10:Q21" si="0">SUM(C10:P10)</f>
        <v>41</v>
      </c>
    </row>
    <row r="11" spans="1:17">
      <c r="A11" s="1" t="s">
        <v>3</v>
      </c>
      <c r="B11" s="16" t="s">
        <v>56</v>
      </c>
      <c r="C11" s="27">
        <v>5</v>
      </c>
      <c r="D11" s="6">
        <v>3</v>
      </c>
      <c r="E11" s="6">
        <v>3</v>
      </c>
      <c r="F11" s="6">
        <v>2</v>
      </c>
      <c r="G11" s="6">
        <v>5</v>
      </c>
      <c r="H11" s="6">
        <v>2</v>
      </c>
      <c r="I11" s="6">
        <v>2</v>
      </c>
      <c r="J11" s="6">
        <v>4</v>
      </c>
      <c r="K11" s="6">
        <v>2</v>
      </c>
      <c r="L11" s="6">
        <v>0</v>
      </c>
      <c r="M11" s="6">
        <v>1</v>
      </c>
      <c r="N11" s="6">
        <v>3</v>
      </c>
      <c r="O11" s="6">
        <v>3</v>
      </c>
      <c r="P11" s="33">
        <v>4</v>
      </c>
      <c r="Q11" s="38">
        <f t="shared" si="0"/>
        <v>39</v>
      </c>
    </row>
    <row r="12" spans="1:17">
      <c r="A12" s="1" t="s">
        <v>3</v>
      </c>
      <c r="B12" s="16" t="s">
        <v>57</v>
      </c>
      <c r="C12" s="27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33">
        <v>0</v>
      </c>
      <c r="Q12" s="38">
        <f t="shared" si="0"/>
        <v>1</v>
      </c>
    </row>
    <row r="13" spans="1:17">
      <c r="A13" s="1" t="s">
        <v>3</v>
      </c>
      <c r="B13" s="16" t="s">
        <v>58</v>
      </c>
      <c r="C13" s="27">
        <v>3</v>
      </c>
      <c r="D13" s="6">
        <v>0</v>
      </c>
      <c r="E13" s="6">
        <v>2</v>
      </c>
      <c r="F13" s="6">
        <v>1</v>
      </c>
      <c r="G13" s="6">
        <v>2</v>
      </c>
      <c r="H13" s="6">
        <v>3</v>
      </c>
      <c r="I13" s="6">
        <v>1</v>
      </c>
      <c r="J13" s="6">
        <v>1</v>
      </c>
      <c r="K13" s="6">
        <v>1</v>
      </c>
      <c r="L13" s="6">
        <v>0</v>
      </c>
      <c r="M13" s="6">
        <v>0</v>
      </c>
      <c r="N13" s="6">
        <v>2</v>
      </c>
      <c r="O13" s="6">
        <v>1</v>
      </c>
      <c r="P13" s="33">
        <v>0</v>
      </c>
      <c r="Q13" s="38">
        <f t="shared" si="0"/>
        <v>17</v>
      </c>
    </row>
    <row r="14" spans="1:17">
      <c r="A14" s="1" t="s">
        <v>3</v>
      </c>
      <c r="B14" s="16" t="s">
        <v>59</v>
      </c>
      <c r="C14" s="2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34">
        <v>0</v>
      </c>
      <c r="Q14" s="39">
        <f t="shared" si="0"/>
        <v>0</v>
      </c>
    </row>
    <row r="15" spans="1:17">
      <c r="A15" s="1" t="s">
        <v>3</v>
      </c>
      <c r="B15" s="16" t="s">
        <v>60</v>
      </c>
      <c r="C15" s="28">
        <v>0.54166666666666663</v>
      </c>
      <c r="D15" s="8">
        <v>1.7083333333333335</v>
      </c>
      <c r="E15" s="8">
        <v>2.0833333333333335</v>
      </c>
      <c r="F15" s="8">
        <v>2.125</v>
      </c>
      <c r="G15" s="8">
        <v>1.5</v>
      </c>
      <c r="H15" s="8">
        <v>1.25</v>
      </c>
      <c r="I15" s="8">
        <v>1.5</v>
      </c>
      <c r="J15" s="8">
        <v>0.91666666666666663</v>
      </c>
      <c r="K15" s="8">
        <v>1.5833333333333335</v>
      </c>
      <c r="L15" s="8">
        <v>1.0416666666666667</v>
      </c>
      <c r="M15" s="8">
        <v>1.2916666666666667</v>
      </c>
      <c r="N15" s="8">
        <v>1.875</v>
      </c>
      <c r="O15" s="8">
        <v>2.375</v>
      </c>
      <c r="P15" s="34">
        <v>1.25</v>
      </c>
      <c r="Q15" s="39">
        <f>SUM(C15:P15)</f>
        <v>21.041666666666664</v>
      </c>
    </row>
    <row r="16" spans="1:17">
      <c r="A16" s="1" t="s">
        <v>3</v>
      </c>
      <c r="B16" s="16" t="s">
        <v>61</v>
      </c>
      <c r="C16" s="28">
        <v>0.29166666666666669</v>
      </c>
      <c r="D16" s="8">
        <v>0.75</v>
      </c>
      <c r="E16" s="8">
        <v>1.25</v>
      </c>
      <c r="F16" s="8">
        <v>0.875</v>
      </c>
      <c r="G16" s="8">
        <v>1.125</v>
      </c>
      <c r="H16" s="8">
        <v>0.83333333333333337</v>
      </c>
      <c r="I16" s="8">
        <v>1.6666666666666665</v>
      </c>
      <c r="J16" s="8">
        <v>0.5</v>
      </c>
      <c r="K16" s="8">
        <v>1.2916666666666667</v>
      </c>
      <c r="L16" s="8">
        <v>1.3333333333333333</v>
      </c>
      <c r="M16" s="8">
        <v>1.3333333333333333</v>
      </c>
      <c r="N16" s="8">
        <v>1.6666666666666665</v>
      </c>
      <c r="O16" s="8">
        <v>0.66666666666666663</v>
      </c>
      <c r="P16" s="34">
        <v>1.0833333333333333</v>
      </c>
      <c r="Q16" s="39">
        <f t="shared" si="0"/>
        <v>14.666666666666666</v>
      </c>
    </row>
    <row r="17" spans="1:17">
      <c r="A17" s="1" t="s">
        <v>3</v>
      </c>
      <c r="B17" s="16" t="s">
        <v>62</v>
      </c>
      <c r="C17" s="28">
        <v>1.8333333333333335</v>
      </c>
      <c r="D17" s="8">
        <v>1.25</v>
      </c>
      <c r="E17" s="8">
        <v>0.70833333333333337</v>
      </c>
      <c r="F17" s="8">
        <v>0.58333333333333337</v>
      </c>
      <c r="G17" s="8">
        <v>1.75</v>
      </c>
      <c r="H17" s="8">
        <v>0.70833333333333337</v>
      </c>
      <c r="I17" s="8">
        <v>0.70833333333333337</v>
      </c>
      <c r="J17" s="8">
        <v>1.1666666666666667</v>
      </c>
      <c r="K17" s="8">
        <v>0.83333333333333337</v>
      </c>
      <c r="L17" s="8">
        <v>0</v>
      </c>
      <c r="M17" s="8">
        <v>0.375</v>
      </c>
      <c r="N17" s="8">
        <v>1.3333333333333333</v>
      </c>
      <c r="O17" s="8">
        <v>1.0833333333333333</v>
      </c>
      <c r="P17" s="34">
        <v>1.0833333333333333</v>
      </c>
      <c r="Q17" s="39">
        <f t="shared" si="0"/>
        <v>13.416666666666668</v>
      </c>
    </row>
    <row r="18" spans="1:17">
      <c r="A18" s="1" t="s">
        <v>3</v>
      </c>
      <c r="B18" s="16" t="s">
        <v>63</v>
      </c>
      <c r="C18" s="28">
        <v>0.25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34">
        <v>0</v>
      </c>
      <c r="Q18" s="39">
        <f t="shared" si="0"/>
        <v>0.25</v>
      </c>
    </row>
    <row r="19" spans="1:17">
      <c r="A19" s="1" t="s">
        <v>3</v>
      </c>
      <c r="B19" s="16" t="s">
        <v>64</v>
      </c>
      <c r="C19" s="2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0.16666666666666666</v>
      </c>
      <c r="P19" s="34">
        <v>0</v>
      </c>
      <c r="Q19" s="39">
        <f t="shared" si="0"/>
        <v>0.16666666666666666</v>
      </c>
    </row>
    <row r="20" spans="1:17">
      <c r="A20" s="1" t="s">
        <v>3</v>
      </c>
      <c r="B20" s="16" t="s">
        <v>65</v>
      </c>
      <c r="C20" s="2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34">
        <v>0</v>
      </c>
      <c r="Q20" s="39">
        <f t="shared" si="0"/>
        <v>0</v>
      </c>
    </row>
    <row r="21" spans="1:17">
      <c r="A21" s="1" t="s">
        <v>3</v>
      </c>
      <c r="B21" s="16" t="s">
        <v>66</v>
      </c>
      <c r="C21" s="28">
        <v>0.125</v>
      </c>
      <c r="D21" s="8">
        <v>0.91666666666666663</v>
      </c>
      <c r="E21" s="8">
        <v>0.33333333333333331</v>
      </c>
      <c r="F21" s="8">
        <v>0.75</v>
      </c>
      <c r="G21" s="8">
        <v>8.3333333333333329E-2</v>
      </c>
      <c r="H21" s="8">
        <v>0.875</v>
      </c>
      <c r="I21" s="8">
        <v>0</v>
      </c>
      <c r="J21" s="8">
        <v>0.41666666666666669</v>
      </c>
      <c r="K21" s="8">
        <v>0.66666666666666663</v>
      </c>
      <c r="L21" s="8">
        <v>0.125</v>
      </c>
      <c r="M21" s="8">
        <v>0.25</v>
      </c>
      <c r="N21" s="8">
        <v>0.5</v>
      </c>
      <c r="O21" s="8">
        <v>0.91666666666666663</v>
      </c>
      <c r="P21" s="34">
        <v>0.16666666666666666</v>
      </c>
      <c r="Q21" s="39">
        <f t="shared" si="0"/>
        <v>6.1250000000000009</v>
      </c>
    </row>
    <row r="22" spans="1:17">
      <c r="A22" s="1" t="s">
        <v>3</v>
      </c>
      <c r="B22" s="49" t="s">
        <v>67</v>
      </c>
      <c r="C22" s="50">
        <v>3.5</v>
      </c>
      <c r="D22" s="51">
        <v>22</v>
      </c>
      <c r="E22" s="51">
        <v>27</v>
      </c>
      <c r="F22" s="51">
        <v>18</v>
      </c>
      <c r="G22" s="51">
        <v>12</v>
      </c>
      <c r="H22" s="51">
        <v>26</v>
      </c>
      <c r="I22" s="51">
        <v>22.5</v>
      </c>
      <c r="J22" s="51">
        <v>24.5</v>
      </c>
      <c r="K22" s="51">
        <v>26</v>
      </c>
      <c r="L22" s="51">
        <v>23.5</v>
      </c>
      <c r="M22" s="51">
        <v>24</v>
      </c>
      <c r="N22" s="51">
        <v>10</v>
      </c>
      <c r="O22" s="51">
        <v>11</v>
      </c>
      <c r="P22" s="52">
        <v>22</v>
      </c>
      <c r="Q22" s="53"/>
    </row>
    <row r="23" spans="1:17">
      <c r="A23" s="1" t="s">
        <v>3</v>
      </c>
      <c r="B23" s="42" t="s">
        <v>68</v>
      </c>
      <c r="C23" s="43">
        <v>182000</v>
      </c>
      <c r="D23" s="44">
        <v>197000</v>
      </c>
      <c r="E23" s="44">
        <v>197000</v>
      </c>
      <c r="F23" s="44">
        <v>175000</v>
      </c>
      <c r="G23" s="44">
        <v>182000</v>
      </c>
      <c r="H23" s="44">
        <v>187000</v>
      </c>
      <c r="I23" s="44">
        <v>182000</v>
      </c>
      <c r="J23" s="44">
        <v>197000</v>
      </c>
      <c r="K23" s="44">
        <v>197000</v>
      </c>
      <c r="L23" s="44">
        <v>192000</v>
      </c>
      <c r="M23" s="44">
        <v>187000</v>
      </c>
      <c r="N23" s="44">
        <v>180000</v>
      </c>
      <c r="O23" s="44">
        <v>175000</v>
      </c>
      <c r="P23" s="45">
        <v>180000</v>
      </c>
      <c r="Q23" s="46">
        <f t="shared" ref="Q23:Q54" si="1">SUM(C23:P23)</f>
        <v>2610000</v>
      </c>
    </row>
    <row r="24" spans="1:17">
      <c r="A24" s="1" t="s">
        <v>3</v>
      </c>
      <c r="B24" s="16" t="s">
        <v>69</v>
      </c>
      <c r="C24" s="29">
        <v>0</v>
      </c>
      <c r="D24" s="10">
        <v>20000</v>
      </c>
      <c r="E24" s="10">
        <v>20000</v>
      </c>
      <c r="F24" s="10">
        <v>0</v>
      </c>
      <c r="G24" s="10">
        <v>0</v>
      </c>
      <c r="H24" s="10">
        <v>5000</v>
      </c>
      <c r="I24" s="10">
        <v>0</v>
      </c>
      <c r="J24" s="10">
        <v>0</v>
      </c>
      <c r="K24" s="10">
        <v>0</v>
      </c>
      <c r="L24" s="10">
        <v>5000</v>
      </c>
      <c r="M24" s="10">
        <v>0</v>
      </c>
      <c r="N24" s="10">
        <v>0</v>
      </c>
      <c r="O24" s="10">
        <v>0</v>
      </c>
      <c r="P24" s="35">
        <v>0</v>
      </c>
      <c r="Q24" s="40">
        <f t="shared" si="1"/>
        <v>50000</v>
      </c>
    </row>
    <row r="25" spans="1:17">
      <c r="A25" s="1" t="s">
        <v>3</v>
      </c>
      <c r="B25" s="16" t="s">
        <v>70</v>
      </c>
      <c r="C25" s="29">
        <v>0</v>
      </c>
      <c r="D25" s="10">
        <v>3000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35">
        <v>0</v>
      </c>
      <c r="Q25" s="40">
        <f t="shared" si="1"/>
        <v>3000</v>
      </c>
    </row>
    <row r="26" spans="1:17">
      <c r="A26" s="1" t="s">
        <v>3</v>
      </c>
      <c r="B26" s="16" t="s">
        <v>71</v>
      </c>
      <c r="C26" s="29">
        <v>0</v>
      </c>
      <c r="D26" s="10">
        <v>0</v>
      </c>
      <c r="E26" s="10">
        <v>3047</v>
      </c>
      <c r="F26" s="10">
        <v>2510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86596</v>
      </c>
      <c r="M26" s="10">
        <v>7803</v>
      </c>
      <c r="N26" s="10">
        <v>0</v>
      </c>
      <c r="O26" s="10">
        <v>0</v>
      </c>
      <c r="P26" s="35">
        <v>15939</v>
      </c>
      <c r="Q26" s="40">
        <f t="shared" si="1"/>
        <v>115895</v>
      </c>
    </row>
    <row r="27" spans="1:17">
      <c r="A27" s="1" t="s">
        <v>3</v>
      </c>
      <c r="B27" s="16" t="s">
        <v>72</v>
      </c>
      <c r="C27" s="29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35">
        <v>0</v>
      </c>
      <c r="Q27" s="40">
        <f t="shared" si="1"/>
        <v>0</v>
      </c>
    </row>
    <row r="28" spans="1:17">
      <c r="A28" s="1" t="s">
        <v>3</v>
      </c>
      <c r="B28" s="16" t="s">
        <v>73</v>
      </c>
      <c r="C28" s="29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35">
        <v>0</v>
      </c>
      <c r="Q28" s="40">
        <f t="shared" si="1"/>
        <v>0</v>
      </c>
    </row>
    <row r="29" spans="1:17">
      <c r="A29" s="1" t="s">
        <v>3</v>
      </c>
      <c r="B29" s="16" t="s">
        <v>74</v>
      </c>
      <c r="C29" s="29">
        <v>4933</v>
      </c>
      <c r="D29" s="10">
        <v>4667</v>
      </c>
      <c r="E29" s="10">
        <v>4567</v>
      </c>
      <c r="F29" s="10">
        <v>4567</v>
      </c>
      <c r="G29" s="10">
        <v>4967</v>
      </c>
      <c r="H29" s="10">
        <v>4733</v>
      </c>
      <c r="I29" s="10">
        <v>5000</v>
      </c>
      <c r="J29" s="10">
        <v>2467</v>
      </c>
      <c r="K29" s="10">
        <v>4867</v>
      </c>
      <c r="L29" s="10">
        <v>2383</v>
      </c>
      <c r="M29" s="10">
        <v>4633</v>
      </c>
      <c r="N29" s="10">
        <v>4767</v>
      </c>
      <c r="O29" s="10">
        <v>4733</v>
      </c>
      <c r="P29" s="35">
        <v>4867</v>
      </c>
      <c r="Q29" s="40">
        <f t="shared" si="1"/>
        <v>62151</v>
      </c>
    </row>
    <row r="30" spans="1:17">
      <c r="A30" s="1" t="s">
        <v>3</v>
      </c>
      <c r="B30" s="16" t="s">
        <v>75</v>
      </c>
      <c r="C30" s="29">
        <v>6000</v>
      </c>
      <c r="D30" s="10">
        <v>6000</v>
      </c>
      <c r="E30" s="10">
        <v>6000</v>
      </c>
      <c r="F30" s="10">
        <v>6000</v>
      </c>
      <c r="G30" s="10">
        <v>6000</v>
      </c>
      <c r="H30" s="10">
        <v>6000</v>
      </c>
      <c r="I30" s="10">
        <v>6000</v>
      </c>
      <c r="J30" s="10">
        <v>3500</v>
      </c>
      <c r="K30" s="10">
        <v>6000</v>
      </c>
      <c r="L30" s="10">
        <v>2000</v>
      </c>
      <c r="M30" s="10">
        <v>6000</v>
      </c>
      <c r="N30" s="10">
        <v>2000</v>
      </c>
      <c r="O30" s="10">
        <v>3500</v>
      </c>
      <c r="P30" s="35">
        <v>3500</v>
      </c>
      <c r="Q30" s="40">
        <f t="shared" si="1"/>
        <v>68500</v>
      </c>
    </row>
    <row r="31" spans="1:17">
      <c r="A31" s="1" t="s">
        <v>3</v>
      </c>
      <c r="B31" s="16" t="s">
        <v>76</v>
      </c>
      <c r="C31" s="29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35">
        <v>0</v>
      </c>
      <c r="Q31" s="40">
        <f t="shared" si="1"/>
        <v>0</v>
      </c>
    </row>
    <row r="32" spans="1:17">
      <c r="A32" s="1" t="s">
        <v>3</v>
      </c>
      <c r="B32" s="16" t="s">
        <v>77</v>
      </c>
      <c r="C32" s="29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15000</v>
      </c>
      <c r="K32" s="10">
        <v>15000</v>
      </c>
      <c r="L32" s="10">
        <v>0</v>
      </c>
      <c r="M32" s="10">
        <v>0</v>
      </c>
      <c r="N32" s="10">
        <v>0</v>
      </c>
      <c r="O32" s="10">
        <v>0</v>
      </c>
      <c r="P32" s="35">
        <v>0</v>
      </c>
      <c r="Q32" s="40">
        <f t="shared" si="1"/>
        <v>30000</v>
      </c>
    </row>
    <row r="33" spans="1:17">
      <c r="A33" s="1" t="s">
        <v>3</v>
      </c>
      <c r="B33" s="16" t="s">
        <v>60</v>
      </c>
      <c r="C33" s="29">
        <v>18304</v>
      </c>
      <c r="D33" s="10">
        <v>69331</v>
      </c>
      <c r="E33" s="10">
        <v>83450</v>
      </c>
      <c r="F33" s="10">
        <v>69105</v>
      </c>
      <c r="G33" s="10">
        <v>50688</v>
      </c>
      <c r="H33" s="10">
        <v>44490</v>
      </c>
      <c r="I33" s="10">
        <v>50688</v>
      </c>
      <c r="J33" s="10">
        <v>35486</v>
      </c>
      <c r="K33" s="10">
        <v>61978</v>
      </c>
      <c r="L33" s="10">
        <v>37250</v>
      </c>
      <c r="M33" s="10">
        <v>44795</v>
      </c>
      <c r="N33" s="10">
        <v>61335</v>
      </c>
      <c r="O33" s="10">
        <v>76152</v>
      </c>
      <c r="P33" s="35">
        <v>41220</v>
      </c>
      <c r="Q33" s="40">
        <f t="shared" si="1"/>
        <v>744272</v>
      </c>
    </row>
    <row r="34" spans="1:17">
      <c r="A34" s="1" t="s">
        <v>3</v>
      </c>
      <c r="B34" s="16" t="s">
        <v>78</v>
      </c>
      <c r="C34" s="29">
        <v>10640</v>
      </c>
      <c r="D34" s="10">
        <v>32886</v>
      </c>
      <c r="E34" s="10">
        <v>54060</v>
      </c>
      <c r="F34" s="10">
        <v>30723</v>
      </c>
      <c r="G34" s="10">
        <v>41040</v>
      </c>
      <c r="H34" s="10">
        <v>32020</v>
      </c>
      <c r="I34" s="10">
        <v>60800</v>
      </c>
      <c r="J34" s="10">
        <v>20904</v>
      </c>
      <c r="K34" s="10">
        <v>54622</v>
      </c>
      <c r="L34" s="10">
        <v>51488</v>
      </c>
      <c r="M34" s="10">
        <v>49952</v>
      </c>
      <c r="N34" s="10">
        <v>58880</v>
      </c>
      <c r="O34" s="10">
        <v>23088</v>
      </c>
      <c r="P34" s="35">
        <v>38584</v>
      </c>
      <c r="Q34" s="40">
        <f t="shared" si="1"/>
        <v>559687</v>
      </c>
    </row>
    <row r="35" spans="1:17">
      <c r="A35" s="1" t="s">
        <v>3</v>
      </c>
      <c r="B35" s="16" t="s">
        <v>79</v>
      </c>
      <c r="C35" s="29">
        <v>66880</v>
      </c>
      <c r="D35" s="10">
        <v>54810</v>
      </c>
      <c r="E35" s="10">
        <v>30634</v>
      </c>
      <c r="F35" s="10">
        <v>20482</v>
      </c>
      <c r="G35" s="10">
        <v>63840</v>
      </c>
      <c r="H35" s="10">
        <v>27217</v>
      </c>
      <c r="I35" s="10">
        <v>25840</v>
      </c>
      <c r="J35" s="10">
        <v>48776</v>
      </c>
      <c r="K35" s="10">
        <v>35240</v>
      </c>
      <c r="L35" s="10">
        <v>0</v>
      </c>
      <c r="M35" s="10">
        <v>14049</v>
      </c>
      <c r="N35" s="10">
        <v>47104</v>
      </c>
      <c r="O35" s="10">
        <v>37518</v>
      </c>
      <c r="P35" s="35">
        <v>38584</v>
      </c>
      <c r="Q35" s="40">
        <f t="shared" si="1"/>
        <v>510974</v>
      </c>
    </row>
    <row r="36" spans="1:17">
      <c r="A36" s="1" t="s">
        <v>3</v>
      </c>
      <c r="B36" s="16" t="s">
        <v>80</v>
      </c>
      <c r="C36" s="29">
        <v>2364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35">
        <v>0</v>
      </c>
      <c r="Q36" s="40">
        <f t="shared" si="1"/>
        <v>2364</v>
      </c>
    </row>
    <row r="37" spans="1:17">
      <c r="A37" s="1" t="s">
        <v>3</v>
      </c>
      <c r="B37" s="16" t="s">
        <v>64</v>
      </c>
      <c r="C37" s="29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1068</v>
      </c>
      <c r="P37" s="35">
        <v>0</v>
      </c>
      <c r="Q37" s="40">
        <f t="shared" si="1"/>
        <v>1068</v>
      </c>
    </row>
    <row r="38" spans="1:17">
      <c r="A38" s="1" t="s">
        <v>3</v>
      </c>
      <c r="B38" s="56" t="s">
        <v>66</v>
      </c>
      <c r="C38" s="57">
        <v>846</v>
      </c>
      <c r="D38" s="58">
        <v>7436</v>
      </c>
      <c r="E38" s="58">
        <v>2672</v>
      </c>
      <c r="F38" s="58">
        <v>4878</v>
      </c>
      <c r="G38" s="58">
        <v>564</v>
      </c>
      <c r="H38" s="58">
        <v>6237</v>
      </c>
      <c r="I38" s="58">
        <v>0</v>
      </c>
      <c r="J38" s="58">
        <v>3230</v>
      </c>
      <c r="K38" s="58">
        <v>5216</v>
      </c>
      <c r="L38" s="58">
        <v>894</v>
      </c>
      <c r="M38" s="58">
        <v>1734</v>
      </c>
      <c r="N38" s="58">
        <v>3276</v>
      </c>
      <c r="O38" s="58">
        <v>5874</v>
      </c>
      <c r="P38" s="59">
        <v>1100</v>
      </c>
      <c r="Q38" s="60">
        <f t="shared" si="1"/>
        <v>43957</v>
      </c>
    </row>
    <row r="39" spans="1:17">
      <c r="A39" s="1" t="s">
        <v>3</v>
      </c>
      <c r="B39" s="63" t="s">
        <v>81</v>
      </c>
      <c r="C39" s="64">
        <v>291967</v>
      </c>
      <c r="D39" s="65">
        <v>395130</v>
      </c>
      <c r="E39" s="65">
        <v>401430</v>
      </c>
      <c r="F39" s="65">
        <v>313265</v>
      </c>
      <c r="G39" s="65">
        <v>349099</v>
      </c>
      <c r="H39" s="65">
        <v>312697</v>
      </c>
      <c r="I39" s="65">
        <v>330328</v>
      </c>
      <c r="J39" s="65">
        <v>326363</v>
      </c>
      <c r="K39" s="65">
        <v>379923</v>
      </c>
      <c r="L39" s="65">
        <v>377611</v>
      </c>
      <c r="M39" s="65">
        <v>315966</v>
      </c>
      <c r="N39" s="65">
        <v>357362</v>
      </c>
      <c r="O39" s="65">
        <v>326933</v>
      </c>
      <c r="P39" s="66">
        <v>323794</v>
      </c>
      <c r="Q39" s="67">
        <f t="shared" si="1"/>
        <v>4801868</v>
      </c>
    </row>
    <row r="40" spans="1:17">
      <c r="A40" s="1" t="s">
        <v>3</v>
      </c>
      <c r="B40" s="63" t="s">
        <v>82</v>
      </c>
      <c r="C40" s="64">
        <v>11321</v>
      </c>
      <c r="D40" s="65">
        <v>5580</v>
      </c>
      <c r="E40" s="65">
        <v>2965</v>
      </c>
      <c r="F40" s="65">
        <v>2265</v>
      </c>
      <c r="G40" s="65">
        <v>2588</v>
      </c>
      <c r="H40" s="65">
        <v>1025</v>
      </c>
      <c r="I40" s="65">
        <v>3235</v>
      </c>
      <c r="J40" s="65">
        <v>4960</v>
      </c>
      <c r="K40" s="65">
        <v>7440</v>
      </c>
      <c r="L40" s="65">
        <v>5930</v>
      </c>
      <c r="M40" s="65">
        <v>10539</v>
      </c>
      <c r="N40" s="65">
        <v>8060</v>
      </c>
      <c r="O40" s="65">
        <v>7709</v>
      </c>
      <c r="P40" s="66">
        <v>2588</v>
      </c>
      <c r="Q40" s="67">
        <f t="shared" si="1"/>
        <v>76205</v>
      </c>
    </row>
    <row r="41" spans="1:17">
      <c r="A41" s="1" t="s">
        <v>3</v>
      </c>
      <c r="B41" s="63" t="s">
        <v>83</v>
      </c>
      <c r="C41" s="64">
        <v>11321</v>
      </c>
      <c r="D41" s="65">
        <v>5580</v>
      </c>
      <c r="E41" s="65">
        <v>2965</v>
      </c>
      <c r="F41" s="65">
        <v>2265</v>
      </c>
      <c r="G41" s="65">
        <v>2588</v>
      </c>
      <c r="H41" s="65">
        <v>1025</v>
      </c>
      <c r="I41" s="65">
        <v>3235</v>
      </c>
      <c r="J41" s="65">
        <v>4960</v>
      </c>
      <c r="K41" s="65">
        <v>7440</v>
      </c>
      <c r="L41" s="65">
        <v>5930</v>
      </c>
      <c r="M41" s="65">
        <v>10539</v>
      </c>
      <c r="N41" s="65">
        <v>8060</v>
      </c>
      <c r="O41" s="65">
        <v>7709</v>
      </c>
      <c r="P41" s="66">
        <v>2588</v>
      </c>
      <c r="Q41" s="67">
        <f t="shared" si="1"/>
        <v>76205</v>
      </c>
    </row>
    <row r="42" spans="1:17">
      <c r="A42" s="1" t="s">
        <v>3</v>
      </c>
      <c r="B42" s="63" t="s">
        <v>84</v>
      </c>
      <c r="C42" s="64">
        <v>303288</v>
      </c>
      <c r="D42" s="65">
        <v>400710</v>
      </c>
      <c r="E42" s="65">
        <v>404395</v>
      </c>
      <c r="F42" s="65">
        <v>315530</v>
      </c>
      <c r="G42" s="65">
        <v>351687</v>
      </c>
      <c r="H42" s="65">
        <v>313722</v>
      </c>
      <c r="I42" s="65">
        <v>333563</v>
      </c>
      <c r="J42" s="65">
        <v>331323</v>
      </c>
      <c r="K42" s="65">
        <v>387363</v>
      </c>
      <c r="L42" s="65">
        <v>383541</v>
      </c>
      <c r="M42" s="65">
        <v>326505</v>
      </c>
      <c r="N42" s="65">
        <v>365422</v>
      </c>
      <c r="O42" s="65">
        <v>334642</v>
      </c>
      <c r="P42" s="66">
        <v>326382</v>
      </c>
      <c r="Q42" s="67">
        <f t="shared" si="1"/>
        <v>4878073</v>
      </c>
    </row>
    <row r="43" spans="1:17">
      <c r="A43" s="1" t="s">
        <v>3</v>
      </c>
      <c r="B43" s="42" t="s">
        <v>85</v>
      </c>
      <c r="C43" s="43">
        <v>15300</v>
      </c>
      <c r="D43" s="44">
        <v>16320</v>
      </c>
      <c r="E43" s="44">
        <v>18360</v>
      </c>
      <c r="F43" s="44">
        <v>17340</v>
      </c>
      <c r="G43" s="44">
        <v>16320</v>
      </c>
      <c r="H43" s="44">
        <v>15300</v>
      </c>
      <c r="I43" s="44">
        <v>15300</v>
      </c>
      <c r="J43" s="44">
        <v>16320</v>
      </c>
      <c r="K43" s="44">
        <v>15300</v>
      </c>
      <c r="L43" s="44">
        <v>18360</v>
      </c>
      <c r="M43" s="44">
        <v>15300</v>
      </c>
      <c r="N43" s="44">
        <v>16320</v>
      </c>
      <c r="O43" s="44">
        <v>15300</v>
      </c>
      <c r="P43" s="45">
        <v>17340</v>
      </c>
      <c r="Q43" s="46">
        <f t="shared" si="1"/>
        <v>228480</v>
      </c>
    </row>
    <row r="44" spans="1:17">
      <c r="A44" s="1" t="s">
        <v>3</v>
      </c>
      <c r="B44" s="16" t="s">
        <v>86</v>
      </c>
      <c r="C44" s="29">
        <v>2700</v>
      </c>
      <c r="D44" s="10">
        <v>2880</v>
      </c>
      <c r="E44" s="10">
        <v>3240</v>
      </c>
      <c r="F44" s="10">
        <v>0</v>
      </c>
      <c r="G44" s="10">
        <v>2880</v>
      </c>
      <c r="H44" s="10">
        <v>2700</v>
      </c>
      <c r="I44" s="10">
        <v>2700</v>
      </c>
      <c r="J44" s="10">
        <v>2880</v>
      </c>
      <c r="K44" s="10">
        <v>2700</v>
      </c>
      <c r="L44" s="10">
        <v>3240</v>
      </c>
      <c r="M44" s="10">
        <v>2700</v>
      </c>
      <c r="N44" s="10">
        <v>2880</v>
      </c>
      <c r="O44" s="10">
        <v>2700</v>
      </c>
      <c r="P44" s="35">
        <v>3060</v>
      </c>
      <c r="Q44" s="40">
        <f t="shared" si="1"/>
        <v>37260</v>
      </c>
    </row>
    <row r="45" spans="1:17">
      <c r="A45" s="1" t="s">
        <v>3</v>
      </c>
      <c r="B45" s="16" t="s">
        <v>87</v>
      </c>
      <c r="C45" s="29">
        <v>27450</v>
      </c>
      <c r="D45" s="10">
        <v>29280</v>
      </c>
      <c r="E45" s="10">
        <v>32940</v>
      </c>
      <c r="F45" s="10">
        <v>31110</v>
      </c>
      <c r="G45" s="10">
        <v>29280</v>
      </c>
      <c r="H45" s="10">
        <v>27450</v>
      </c>
      <c r="I45" s="10">
        <v>27450</v>
      </c>
      <c r="J45" s="10">
        <v>29280</v>
      </c>
      <c r="K45" s="10">
        <v>27450</v>
      </c>
      <c r="L45" s="10">
        <v>32940</v>
      </c>
      <c r="M45" s="10">
        <v>27450</v>
      </c>
      <c r="N45" s="10">
        <v>29280</v>
      </c>
      <c r="O45" s="10">
        <v>27450</v>
      </c>
      <c r="P45" s="35">
        <v>31110</v>
      </c>
      <c r="Q45" s="40">
        <f t="shared" si="1"/>
        <v>409920</v>
      </c>
    </row>
    <row r="46" spans="1:17">
      <c r="A46" s="1" t="s">
        <v>3</v>
      </c>
      <c r="B46" s="56" t="s">
        <v>88</v>
      </c>
      <c r="C46" s="57">
        <v>1668</v>
      </c>
      <c r="D46" s="58">
        <v>2204</v>
      </c>
      <c r="E46" s="58">
        <v>2224</v>
      </c>
      <c r="F46" s="58">
        <v>1735</v>
      </c>
      <c r="G46" s="58">
        <v>1934</v>
      </c>
      <c r="H46" s="58">
        <v>1725</v>
      </c>
      <c r="I46" s="58">
        <v>1835</v>
      </c>
      <c r="J46" s="58">
        <v>1822</v>
      </c>
      <c r="K46" s="58">
        <v>2130</v>
      </c>
      <c r="L46" s="58">
        <v>2109</v>
      </c>
      <c r="M46" s="58">
        <v>1796</v>
      </c>
      <c r="N46" s="58">
        <v>2010</v>
      </c>
      <c r="O46" s="58">
        <v>1841</v>
      </c>
      <c r="P46" s="59">
        <v>1795</v>
      </c>
      <c r="Q46" s="60">
        <f t="shared" si="1"/>
        <v>26828</v>
      </c>
    </row>
    <row r="47" spans="1:17">
      <c r="A47" s="1" t="s">
        <v>3</v>
      </c>
      <c r="B47" s="63" t="s">
        <v>89</v>
      </c>
      <c r="C47" s="64">
        <v>47118</v>
      </c>
      <c r="D47" s="65">
        <v>50684</v>
      </c>
      <c r="E47" s="65">
        <v>56764</v>
      </c>
      <c r="F47" s="65">
        <v>50185</v>
      </c>
      <c r="G47" s="65">
        <v>50414</v>
      </c>
      <c r="H47" s="65">
        <v>47175</v>
      </c>
      <c r="I47" s="65">
        <v>47285</v>
      </c>
      <c r="J47" s="65">
        <v>50302</v>
      </c>
      <c r="K47" s="65">
        <v>47580</v>
      </c>
      <c r="L47" s="65">
        <v>56649</v>
      </c>
      <c r="M47" s="65">
        <v>47246</v>
      </c>
      <c r="N47" s="65">
        <v>50490</v>
      </c>
      <c r="O47" s="65">
        <v>47291</v>
      </c>
      <c r="P47" s="66">
        <v>53305</v>
      </c>
      <c r="Q47" s="67">
        <f t="shared" si="1"/>
        <v>702488</v>
      </c>
    </row>
    <row r="48" spans="1:17">
      <c r="A48" s="1" t="s">
        <v>3</v>
      </c>
      <c r="B48" s="42" t="s">
        <v>90</v>
      </c>
      <c r="C48" s="43">
        <v>4750</v>
      </c>
      <c r="D48" s="44">
        <v>8780</v>
      </c>
      <c r="E48" s="44">
        <v>12030</v>
      </c>
      <c r="F48" s="44">
        <v>7020</v>
      </c>
      <c r="G48" s="44">
        <v>8290</v>
      </c>
      <c r="H48" s="44">
        <v>5490</v>
      </c>
      <c r="I48" s="44">
        <v>7730</v>
      </c>
      <c r="J48" s="44">
        <v>7480</v>
      </c>
      <c r="K48" s="44">
        <v>11020</v>
      </c>
      <c r="L48" s="44">
        <v>2730</v>
      </c>
      <c r="M48" s="44">
        <v>7220</v>
      </c>
      <c r="N48" s="44">
        <v>7000</v>
      </c>
      <c r="O48" s="44">
        <v>7610</v>
      </c>
      <c r="P48" s="45">
        <v>7280</v>
      </c>
      <c r="Q48" s="46">
        <f t="shared" si="1"/>
        <v>104430</v>
      </c>
    </row>
    <row r="49" spans="1:17">
      <c r="A49" s="1" t="s">
        <v>3</v>
      </c>
      <c r="B49" s="16" t="s">
        <v>91</v>
      </c>
      <c r="C49" s="29">
        <v>1300</v>
      </c>
      <c r="D49" s="10">
        <v>0</v>
      </c>
      <c r="E49" s="10">
        <v>0</v>
      </c>
      <c r="F49" s="10">
        <v>1300</v>
      </c>
      <c r="G49" s="10">
        <v>1300</v>
      </c>
      <c r="H49" s="10">
        <v>1300</v>
      </c>
      <c r="I49" s="10">
        <v>1300</v>
      </c>
      <c r="J49" s="10">
        <v>1300</v>
      </c>
      <c r="K49" s="10">
        <v>1300</v>
      </c>
      <c r="L49" s="10">
        <v>1300</v>
      </c>
      <c r="M49" s="10">
        <v>1300</v>
      </c>
      <c r="N49" s="10">
        <v>1300</v>
      </c>
      <c r="O49" s="10">
        <v>1300</v>
      </c>
      <c r="P49" s="35">
        <v>0</v>
      </c>
      <c r="Q49" s="40">
        <f t="shared" si="1"/>
        <v>14300</v>
      </c>
    </row>
    <row r="50" spans="1:17">
      <c r="A50" s="1" t="s">
        <v>3</v>
      </c>
      <c r="B50" s="56" t="s">
        <v>92</v>
      </c>
      <c r="C50" s="57">
        <v>8100</v>
      </c>
      <c r="D50" s="58">
        <v>20000</v>
      </c>
      <c r="E50" s="58">
        <v>17800</v>
      </c>
      <c r="F50" s="58">
        <v>14100</v>
      </c>
      <c r="G50" s="58">
        <v>12800</v>
      </c>
      <c r="H50" s="58">
        <v>10300</v>
      </c>
      <c r="I50" s="58">
        <v>13200</v>
      </c>
      <c r="J50" s="58">
        <v>15400</v>
      </c>
      <c r="K50" s="58">
        <v>14900</v>
      </c>
      <c r="L50" s="58">
        <v>1100</v>
      </c>
      <c r="M50" s="58">
        <v>0</v>
      </c>
      <c r="N50" s="58">
        <v>7800</v>
      </c>
      <c r="O50" s="58">
        <v>11700</v>
      </c>
      <c r="P50" s="59">
        <v>11800</v>
      </c>
      <c r="Q50" s="60">
        <f t="shared" si="1"/>
        <v>159000</v>
      </c>
    </row>
    <row r="51" spans="1:17">
      <c r="A51" s="1" t="s">
        <v>3</v>
      </c>
      <c r="B51" s="63" t="s">
        <v>93</v>
      </c>
      <c r="C51" s="64">
        <v>61268</v>
      </c>
      <c r="D51" s="65">
        <v>79464</v>
      </c>
      <c r="E51" s="65">
        <v>86594</v>
      </c>
      <c r="F51" s="65">
        <v>72605</v>
      </c>
      <c r="G51" s="65">
        <v>72804</v>
      </c>
      <c r="H51" s="65">
        <v>64265</v>
      </c>
      <c r="I51" s="65">
        <v>69515</v>
      </c>
      <c r="J51" s="65">
        <v>74482</v>
      </c>
      <c r="K51" s="65">
        <v>74800</v>
      </c>
      <c r="L51" s="65">
        <v>61779</v>
      </c>
      <c r="M51" s="65">
        <v>55766</v>
      </c>
      <c r="N51" s="65">
        <v>66590</v>
      </c>
      <c r="O51" s="65">
        <v>67901</v>
      </c>
      <c r="P51" s="66">
        <v>72385</v>
      </c>
      <c r="Q51" s="67">
        <f t="shared" si="1"/>
        <v>980218</v>
      </c>
    </row>
    <row r="52" spans="1:17">
      <c r="A52" s="1" t="s">
        <v>3</v>
      </c>
      <c r="B52" s="63" t="s">
        <v>94</v>
      </c>
      <c r="C52" s="64">
        <v>244849</v>
      </c>
      <c r="D52" s="65">
        <v>344446</v>
      </c>
      <c r="E52" s="65">
        <v>344666</v>
      </c>
      <c r="F52" s="65">
        <v>263080</v>
      </c>
      <c r="G52" s="65">
        <v>298685</v>
      </c>
      <c r="H52" s="65">
        <v>265522</v>
      </c>
      <c r="I52" s="65">
        <v>283043</v>
      </c>
      <c r="J52" s="65">
        <v>276061</v>
      </c>
      <c r="K52" s="65">
        <v>332343</v>
      </c>
      <c r="L52" s="65">
        <v>320962</v>
      </c>
      <c r="M52" s="65">
        <v>268720</v>
      </c>
      <c r="N52" s="65">
        <v>306872</v>
      </c>
      <c r="O52" s="65">
        <v>279642</v>
      </c>
      <c r="P52" s="66">
        <v>270489</v>
      </c>
      <c r="Q52" s="67">
        <f t="shared" si="1"/>
        <v>4099380</v>
      </c>
    </row>
    <row r="53" spans="1:17">
      <c r="A53" s="1" t="s">
        <v>3</v>
      </c>
      <c r="B53" s="63" t="s">
        <v>95</v>
      </c>
      <c r="C53" s="64">
        <v>242020</v>
      </c>
      <c r="D53" s="65">
        <v>321246</v>
      </c>
      <c r="E53" s="65">
        <v>317801</v>
      </c>
      <c r="F53" s="65">
        <v>242925</v>
      </c>
      <c r="G53" s="65">
        <v>278883</v>
      </c>
      <c r="H53" s="65">
        <v>249457</v>
      </c>
      <c r="I53" s="65">
        <v>264048</v>
      </c>
      <c r="J53" s="65">
        <v>256841</v>
      </c>
      <c r="K53" s="65">
        <v>312563</v>
      </c>
      <c r="L53" s="65">
        <v>321762</v>
      </c>
      <c r="M53" s="65">
        <v>270739</v>
      </c>
      <c r="N53" s="65">
        <v>298832</v>
      </c>
      <c r="O53" s="65">
        <v>266741</v>
      </c>
      <c r="P53" s="66">
        <v>253997</v>
      </c>
      <c r="Q53" s="67">
        <f t="shared" si="1"/>
        <v>3897855</v>
      </c>
    </row>
    <row r="54" spans="1:17">
      <c r="A54" s="1" t="s">
        <v>3</v>
      </c>
      <c r="B54" s="63" t="s">
        <v>96</v>
      </c>
      <c r="C54" s="64">
        <v>242020</v>
      </c>
      <c r="D54" s="65">
        <v>321246</v>
      </c>
      <c r="E54" s="65">
        <v>317801</v>
      </c>
      <c r="F54" s="65">
        <v>242925</v>
      </c>
      <c r="G54" s="65">
        <v>278883</v>
      </c>
      <c r="H54" s="65">
        <v>249457</v>
      </c>
      <c r="I54" s="65">
        <v>264048</v>
      </c>
      <c r="J54" s="65">
        <v>256841</v>
      </c>
      <c r="K54" s="65">
        <v>312563</v>
      </c>
      <c r="L54" s="65">
        <v>321762</v>
      </c>
      <c r="M54" s="65">
        <v>270739</v>
      </c>
      <c r="N54" s="65">
        <v>298832</v>
      </c>
      <c r="O54" s="65">
        <v>266741</v>
      </c>
      <c r="P54" s="66">
        <v>253997</v>
      </c>
      <c r="Q54" s="67">
        <f t="shared" si="1"/>
        <v>3897855</v>
      </c>
    </row>
    <row r="55" spans="1:17">
      <c r="A55" s="1" t="s">
        <v>3</v>
      </c>
      <c r="B55" s="42" t="s">
        <v>97</v>
      </c>
      <c r="C55" s="43">
        <v>1</v>
      </c>
      <c r="D55" s="44">
        <v>1</v>
      </c>
      <c r="E55" s="44">
        <v>0</v>
      </c>
      <c r="F55" s="44">
        <v>0</v>
      </c>
      <c r="G55" s="44">
        <v>0</v>
      </c>
      <c r="H55" s="44">
        <v>1</v>
      </c>
      <c r="I55" s="44">
        <v>0</v>
      </c>
      <c r="J55" s="44">
        <v>0</v>
      </c>
      <c r="K55" s="44">
        <v>0</v>
      </c>
      <c r="L55" s="44">
        <v>4</v>
      </c>
      <c r="M55" s="44">
        <v>0</v>
      </c>
      <c r="N55" s="44">
        <v>1</v>
      </c>
      <c r="O55" s="44">
        <v>0</v>
      </c>
      <c r="P55" s="45">
        <v>0</v>
      </c>
      <c r="Q55" s="46"/>
    </row>
    <row r="56" spans="1:17" ht="19.5" thickBot="1">
      <c r="A56" s="1" t="s">
        <v>3</v>
      </c>
      <c r="B56" s="17" t="s">
        <v>98</v>
      </c>
      <c r="C56" s="30" t="s">
        <v>99</v>
      </c>
      <c r="D56" s="12" t="s">
        <v>99</v>
      </c>
      <c r="E56" s="12" t="s">
        <v>99</v>
      </c>
      <c r="F56" s="12" t="s">
        <v>99</v>
      </c>
      <c r="G56" s="12" t="s">
        <v>99</v>
      </c>
      <c r="H56" s="12" t="s">
        <v>99</v>
      </c>
      <c r="I56" s="12" t="s">
        <v>99</v>
      </c>
      <c r="J56" s="12" t="s">
        <v>99</v>
      </c>
      <c r="K56" s="12" t="s">
        <v>99</v>
      </c>
      <c r="L56" s="12" t="s">
        <v>99</v>
      </c>
      <c r="M56" s="12" t="s">
        <v>99</v>
      </c>
      <c r="N56" s="12" t="s">
        <v>99</v>
      </c>
      <c r="O56" s="12" t="s">
        <v>99</v>
      </c>
      <c r="P56" s="36" t="s">
        <v>99</v>
      </c>
      <c r="Q56" s="4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2025年11月度給与</vt:lpstr>
      <vt:lpstr>2025年11月度給与 (2)</vt:lpstr>
      <vt:lpstr>2025年11月度給与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dcterms:created xsi:type="dcterms:W3CDTF">2025-12-08T14:11:17Z</dcterms:created>
  <dcterms:modified xsi:type="dcterms:W3CDTF">2025-12-10T03:04:11Z</dcterms:modified>
</cp:coreProperties>
</file>