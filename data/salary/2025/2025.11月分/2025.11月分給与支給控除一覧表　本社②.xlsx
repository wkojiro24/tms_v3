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浅田恵美子\総務・経理\01給与\02給与集計内訳\2025\2025.11月分\"/>
    </mc:Choice>
  </mc:AlternateContent>
  <xr:revisionPtr revIDLastSave="0" documentId="13_ncr:1_{A70F629F-3B2B-46FE-BF9C-ED4445C0038C}" xr6:coauthVersionLast="47" xr6:coauthVersionMax="47" xr10:uidLastSave="{00000000-0000-0000-0000-000000000000}"/>
  <bookViews>
    <workbookView xWindow="-120" yWindow="-120" windowWidth="20730" windowHeight="11040" xr2:uid="{C116D644-8170-4913-B792-AEFF0AF9C795}"/>
  </bookViews>
  <sheets>
    <sheet name="2025年11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2" l="1"/>
  <c r="K35" i="2"/>
  <c r="K34" i="2"/>
  <c r="L34" i="2" s="1"/>
  <c r="L33" i="2"/>
  <c r="K33" i="2"/>
  <c r="K32" i="2"/>
  <c r="L32" i="2" s="1"/>
  <c r="K31" i="2"/>
  <c r="L31" i="2" s="1"/>
  <c r="K30" i="2"/>
  <c r="L30" i="2" s="1"/>
  <c r="L29" i="2"/>
  <c r="K29" i="2"/>
  <c r="K28" i="2"/>
  <c r="L28" i="2" s="1"/>
  <c r="L27" i="2"/>
  <c r="K27" i="2"/>
  <c r="K26" i="2"/>
  <c r="L26" i="2" s="1"/>
  <c r="K25" i="2"/>
  <c r="L25" i="2" s="1"/>
  <c r="K24" i="2"/>
  <c r="L24" i="2" s="1"/>
  <c r="L23" i="2"/>
  <c r="K23" i="2"/>
  <c r="K22" i="2"/>
  <c r="L22" i="2" s="1"/>
  <c r="L21" i="2"/>
  <c r="K21" i="2"/>
  <c r="K20" i="2"/>
  <c r="L20" i="2" s="1"/>
  <c r="K19" i="2"/>
  <c r="L19" i="2" s="1"/>
  <c r="K18" i="2"/>
  <c r="L18" i="2" s="1"/>
  <c r="L17" i="2"/>
  <c r="K17" i="2"/>
  <c r="K16" i="2"/>
  <c r="L16" i="2" s="1"/>
  <c r="L15" i="2"/>
  <c r="K15" i="2"/>
  <c r="K14" i="2"/>
  <c r="L14" i="2" s="1"/>
  <c r="K13" i="2"/>
  <c r="L13" i="2" s="1"/>
  <c r="K12" i="2"/>
  <c r="L12" i="2" s="1"/>
  <c r="L11" i="2"/>
  <c r="K11" i="2"/>
  <c r="K10" i="2"/>
  <c r="L10" i="2" s="1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L9" i="2"/>
  <c r="K9" i="2"/>
  <c r="H9" i="2"/>
</calcChain>
</file>

<file path=xl/sharedStrings.xml><?xml version="1.0" encoding="utf-8"?>
<sst xmlns="http://schemas.openxmlformats.org/spreadsheetml/2006/main" count="91" uniqueCount="56">
  <si>
    <t>支給控除一覧表</t>
    <phoneticPr fontId="4"/>
  </si>
  <si>
    <t>若林運送株式会社</t>
    <phoneticPr fontId="4"/>
  </si>
  <si>
    <t>2025年12月10日 作成</t>
    <phoneticPr fontId="4"/>
  </si>
  <si>
    <t/>
  </si>
  <si>
    <t>1019</t>
    <phoneticPr fontId="4"/>
  </si>
  <si>
    <t>1024</t>
    <phoneticPr fontId="4"/>
  </si>
  <si>
    <t>1111</t>
    <phoneticPr fontId="4"/>
  </si>
  <si>
    <t>1200</t>
    <phoneticPr fontId="4"/>
  </si>
  <si>
    <t>1213</t>
    <phoneticPr fontId="4"/>
  </si>
  <si>
    <t>1041</t>
    <phoneticPr fontId="4"/>
  </si>
  <si>
    <t>1036</t>
    <phoneticPr fontId="4"/>
  </si>
  <si>
    <t>項目名</t>
    <phoneticPr fontId="4"/>
  </si>
  <si>
    <t>若林　孝次郎</t>
    <phoneticPr fontId="4"/>
  </si>
  <si>
    <t>若林　裕子</t>
    <phoneticPr fontId="4"/>
  </si>
  <si>
    <t>若林　英司</t>
    <phoneticPr fontId="4"/>
  </si>
  <si>
    <t>若林　作太郎</t>
    <phoneticPr fontId="4"/>
  </si>
  <si>
    <t>若林　奈穂子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</si>
  <si>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</si>
  <si>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</si>
  <si>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</si>
  <si>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</si>
  <si>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</si>
  <si>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</si>
  <si>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</si>
  <si>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</si>
  <si>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</si>
  <si>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</si>
  <si>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</si>
  <si>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</si>
  <si>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</si>
  <si>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</si>
  <si>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</si>
  <si>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</si>
  <si>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</si>
  <si>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</si>
  <si>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</si>
  <si>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</si>
  <si>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</si>
  <si>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社保料調整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</si>
  <si>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</si>
  <si>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</si>
  <si>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</si>
  <si>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</si>
  <si>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</si>
  <si>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</si>
  <si>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</si>
  <si>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</si>
  <si>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</si>
  <si>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</si>
  <si>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</si>
  <si>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</si>
  <si>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2025年11月度給与</t>
    <phoneticPr fontId="4"/>
  </si>
  <si>
    <t>小計</t>
    <rPh sb="0" eb="2">
      <t>ショウケイ</t>
    </rPh>
    <phoneticPr fontId="3"/>
  </si>
  <si>
    <t>5名</t>
    <rPh sb="1" eb="2">
      <t>メイ</t>
    </rPh>
    <phoneticPr fontId="4"/>
  </si>
  <si>
    <t>2名</t>
    <rPh sb="1" eb="2">
      <t>メイ</t>
    </rPh>
    <phoneticPr fontId="4"/>
  </si>
  <si>
    <t>7名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</si>
</sst>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8" xfId="1" applyNumberFormat="1" applyFont="1" applyBorder="1"/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176" fontId="2" fillId="0" borderId="18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/>
    <xf numFmtId="2" fontId="2" fillId="0" borderId="21" xfId="1" applyNumberFormat="1" applyFont="1" applyBorder="1"/>
    <xf numFmtId="176" fontId="2" fillId="0" borderId="21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31" xfId="1" applyNumberFormat="1" applyFont="1" applyBorder="1" applyAlignment="1">
      <alignment horizontal="left"/>
    </xf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0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8" xfId="1" applyNumberFormat="1" applyFont="1" applyBorder="1" applyAlignment="1">
      <alignment horizontal="left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49" fontId="2" fillId="0" borderId="45" xfId="1" applyNumberFormat="1" applyFont="1" applyBorder="1" applyAlignment="1">
      <alignment horizontal="left"/>
    </xf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3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0" fontId="2" fillId="0" borderId="20" xfId="1" applyFont="1" applyBorder="1" applyAlignment="1">
      <alignment horizontal="center"/>
    </xf>
    <xf numFmtId="0" fontId="2" fillId="0" borderId="14" xfId="1" applyFont="1" applyBorder="1" applyAlignment="1">
      <alignment horizontal="center"/>
    </xf>
  </cellXfs>
  <cellStyles count="2">
    <cellStyle name="標準" xfId="0" builtinId="0"/>
    <cellStyle name="標準 2" xfId="1" xr:uid="{9790CBA6-EF09-4EFA-9FE9-D84FCB7316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7BC8-1176-4416-B0D2-47A895D6AAF7}">
  <dimension ref="A1:L37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6" sqref="B6"/>
    </sheetView>
  </sheetViews>
  <sheetFormatPr defaultRowHeight="18.75"/>
  <cols>
    <col min="1" max="1" width="2.375" style="2" customWidth="1"/>
    <col min="2" max="3" width="13.25" style="2" bestFit="1" customWidth="1"/>
    <col min="4" max="5" width="11.125" style="2" bestFit="1" customWidth="1"/>
    <col min="6" max="7" width="13.25" style="2" bestFit="1" customWidth="1"/>
    <col min="8" max="8" width="9.625" style="2" bestFit="1" customWidth="1"/>
    <col min="9" max="9" width="13.25" style="2" bestFit="1" customWidth="1"/>
    <col min="10" max="10" width="11.125" style="2" bestFit="1" customWidth="1"/>
    <col min="11" max="12" width="9.625" style="2" bestFit="1" customWidth="1"/>
    <col min="13" max="258" width="9" style="2"/>
    <col min="259" max="259" width="2.375" style="2" customWidth="1"/>
    <col min="260" max="261" width="13.25" style="2" bestFit="1" customWidth="1"/>
    <col min="262" max="263" width="11.125" style="2" bestFit="1" customWidth="1"/>
    <col min="264" max="266" width="13.25" style="2" bestFit="1" customWidth="1"/>
    <col min="267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7" width="13.25" style="2" bestFit="1" customWidth="1"/>
    <col min="518" max="519" width="11.125" style="2" bestFit="1" customWidth="1"/>
    <col min="520" max="522" width="13.25" style="2" bestFit="1" customWidth="1"/>
    <col min="523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3" width="13.25" style="2" bestFit="1" customWidth="1"/>
    <col min="774" max="775" width="11.125" style="2" bestFit="1" customWidth="1"/>
    <col min="776" max="778" width="13.25" style="2" bestFit="1" customWidth="1"/>
    <col min="779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29" width="13.25" style="2" bestFit="1" customWidth="1"/>
    <col min="1030" max="1031" width="11.125" style="2" bestFit="1" customWidth="1"/>
    <col min="1032" max="1034" width="13.25" style="2" bestFit="1" customWidth="1"/>
    <col min="1035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5" width="13.25" style="2" bestFit="1" customWidth="1"/>
    <col min="1286" max="1287" width="11.125" style="2" bestFit="1" customWidth="1"/>
    <col min="1288" max="1290" width="13.25" style="2" bestFit="1" customWidth="1"/>
    <col min="1291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1" width="13.25" style="2" bestFit="1" customWidth="1"/>
    <col min="1542" max="1543" width="11.125" style="2" bestFit="1" customWidth="1"/>
    <col min="1544" max="1546" width="13.25" style="2" bestFit="1" customWidth="1"/>
    <col min="1547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7" width="13.25" style="2" bestFit="1" customWidth="1"/>
    <col min="1798" max="1799" width="11.125" style="2" bestFit="1" customWidth="1"/>
    <col min="1800" max="1802" width="13.25" style="2" bestFit="1" customWidth="1"/>
    <col min="1803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3" width="13.25" style="2" bestFit="1" customWidth="1"/>
    <col min="2054" max="2055" width="11.125" style="2" bestFit="1" customWidth="1"/>
    <col min="2056" max="2058" width="13.25" style="2" bestFit="1" customWidth="1"/>
    <col min="2059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09" width="13.25" style="2" bestFit="1" customWidth="1"/>
    <col min="2310" max="2311" width="11.125" style="2" bestFit="1" customWidth="1"/>
    <col min="2312" max="2314" width="13.25" style="2" bestFit="1" customWidth="1"/>
    <col min="2315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5" width="13.25" style="2" bestFit="1" customWidth="1"/>
    <col min="2566" max="2567" width="11.125" style="2" bestFit="1" customWidth="1"/>
    <col min="2568" max="2570" width="13.25" style="2" bestFit="1" customWidth="1"/>
    <col min="2571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1" width="13.25" style="2" bestFit="1" customWidth="1"/>
    <col min="2822" max="2823" width="11.125" style="2" bestFit="1" customWidth="1"/>
    <col min="2824" max="2826" width="13.25" style="2" bestFit="1" customWidth="1"/>
    <col min="2827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7" width="13.25" style="2" bestFit="1" customWidth="1"/>
    <col min="3078" max="3079" width="11.125" style="2" bestFit="1" customWidth="1"/>
    <col min="3080" max="3082" width="13.25" style="2" bestFit="1" customWidth="1"/>
    <col min="3083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3" width="13.25" style="2" bestFit="1" customWidth="1"/>
    <col min="3334" max="3335" width="11.125" style="2" bestFit="1" customWidth="1"/>
    <col min="3336" max="3338" width="13.25" style="2" bestFit="1" customWidth="1"/>
    <col min="3339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89" width="13.25" style="2" bestFit="1" customWidth="1"/>
    <col min="3590" max="3591" width="11.125" style="2" bestFit="1" customWidth="1"/>
    <col min="3592" max="3594" width="13.25" style="2" bestFit="1" customWidth="1"/>
    <col min="3595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5" width="13.25" style="2" bestFit="1" customWidth="1"/>
    <col min="3846" max="3847" width="11.125" style="2" bestFit="1" customWidth="1"/>
    <col min="3848" max="3850" width="13.25" style="2" bestFit="1" customWidth="1"/>
    <col min="3851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1" width="13.25" style="2" bestFit="1" customWidth="1"/>
    <col min="4102" max="4103" width="11.125" style="2" bestFit="1" customWidth="1"/>
    <col min="4104" max="4106" width="13.25" style="2" bestFit="1" customWidth="1"/>
    <col min="4107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7" width="13.25" style="2" bestFit="1" customWidth="1"/>
    <col min="4358" max="4359" width="11.125" style="2" bestFit="1" customWidth="1"/>
    <col min="4360" max="4362" width="13.25" style="2" bestFit="1" customWidth="1"/>
    <col min="4363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3" width="13.25" style="2" bestFit="1" customWidth="1"/>
    <col min="4614" max="4615" width="11.125" style="2" bestFit="1" customWidth="1"/>
    <col min="4616" max="4618" width="13.25" style="2" bestFit="1" customWidth="1"/>
    <col min="4619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69" width="13.25" style="2" bestFit="1" customWidth="1"/>
    <col min="4870" max="4871" width="11.125" style="2" bestFit="1" customWidth="1"/>
    <col min="4872" max="4874" width="13.25" style="2" bestFit="1" customWidth="1"/>
    <col min="4875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5" width="13.25" style="2" bestFit="1" customWidth="1"/>
    <col min="5126" max="5127" width="11.125" style="2" bestFit="1" customWidth="1"/>
    <col min="5128" max="5130" width="13.25" style="2" bestFit="1" customWidth="1"/>
    <col min="5131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1" width="13.25" style="2" bestFit="1" customWidth="1"/>
    <col min="5382" max="5383" width="11.125" style="2" bestFit="1" customWidth="1"/>
    <col min="5384" max="5386" width="13.25" style="2" bestFit="1" customWidth="1"/>
    <col min="5387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7" width="13.25" style="2" bestFit="1" customWidth="1"/>
    <col min="5638" max="5639" width="11.125" style="2" bestFit="1" customWidth="1"/>
    <col min="5640" max="5642" width="13.25" style="2" bestFit="1" customWidth="1"/>
    <col min="5643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3" width="13.25" style="2" bestFit="1" customWidth="1"/>
    <col min="5894" max="5895" width="11.125" style="2" bestFit="1" customWidth="1"/>
    <col min="5896" max="5898" width="13.25" style="2" bestFit="1" customWidth="1"/>
    <col min="5899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49" width="13.25" style="2" bestFit="1" customWidth="1"/>
    <col min="6150" max="6151" width="11.125" style="2" bestFit="1" customWidth="1"/>
    <col min="6152" max="6154" width="13.25" style="2" bestFit="1" customWidth="1"/>
    <col min="6155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5" width="13.25" style="2" bestFit="1" customWidth="1"/>
    <col min="6406" max="6407" width="11.125" style="2" bestFit="1" customWidth="1"/>
    <col min="6408" max="6410" width="13.25" style="2" bestFit="1" customWidth="1"/>
    <col min="6411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1" width="13.25" style="2" bestFit="1" customWidth="1"/>
    <col min="6662" max="6663" width="11.125" style="2" bestFit="1" customWidth="1"/>
    <col min="6664" max="6666" width="13.25" style="2" bestFit="1" customWidth="1"/>
    <col min="6667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7" width="13.25" style="2" bestFit="1" customWidth="1"/>
    <col min="6918" max="6919" width="11.125" style="2" bestFit="1" customWidth="1"/>
    <col min="6920" max="6922" width="13.25" style="2" bestFit="1" customWidth="1"/>
    <col min="6923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3" width="13.25" style="2" bestFit="1" customWidth="1"/>
    <col min="7174" max="7175" width="11.125" style="2" bestFit="1" customWidth="1"/>
    <col min="7176" max="7178" width="13.25" style="2" bestFit="1" customWidth="1"/>
    <col min="7179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29" width="13.25" style="2" bestFit="1" customWidth="1"/>
    <col min="7430" max="7431" width="11.125" style="2" bestFit="1" customWidth="1"/>
    <col min="7432" max="7434" width="13.25" style="2" bestFit="1" customWidth="1"/>
    <col min="7435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5" width="13.25" style="2" bestFit="1" customWidth="1"/>
    <col min="7686" max="7687" width="11.125" style="2" bestFit="1" customWidth="1"/>
    <col min="7688" max="7690" width="13.25" style="2" bestFit="1" customWidth="1"/>
    <col min="7691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1" width="13.25" style="2" bestFit="1" customWidth="1"/>
    <col min="7942" max="7943" width="11.125" style="2" bestFit="1" customWidth="1"/>
    <col min="7944" max="7946" width="13.25" style="2" bestFit="1" customWidth="1"/>
    <col min="7947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7" width="13.25" style="2" bestFit="1" customWidth="1"/>
    <col min="8198" max="8199" width="11.125" style="2" bestFit="1" customWidth="1"/>
    <col min="8200" max="8202" width="13.25" style="2" bestFit="1" customWidth="1"/>
    <col min="8203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3" width="13.25" style="2" bestFit="1" customWidth="1"/>
    <col min="8454" max="8455" width="11.125" style="2" bestFit="1" customWidth="1"/>
    <col min="8456" max="8458" width="13.25" style="2" bestFit="1" customWidth="1"/>
    <col min="8459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09" width="13.25" style="2" bestFit="1" customWidth="1"/>
    <col min="8710" max="8711" width="11.125" style="2" bestFit="1" customWidth="1"/>
    <col min="8712" max="8714" width="13.25" style="2" bestFit="1" customWidth="1"/>
    <col min="8715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5" width="13.25" style="2" bestFit="1" customWidth="1"/>
    <col min="8966" max="8967" width="11.125" style="2" bestFit="1" customWidth="1"/>
    <col min="8968" max="8970" width="13.25" style="2" bestFit="1" customWidth="1"/>
    <col min="8971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1" width="13.25" style="2" bestFit="1" customWidth="1"/>
    <col min="9222" max="9223" width="11.125" style="2" bestFit="1" customWidth="1"/>
    <col min="9224" max="9226" width="13.25" style="2" bestFit="1" customWidth="1"/>
    <col min="9227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7" width="13.25" style="2" bestFit="1" customWidth="1"/>
    <col min="9478" max="9479" width="11.125" style="2" bestFit="1" customWidth="1"/>
    <col min="9480" max="9482" width="13.25" style="2" bestFit="1" customWidth="1"/>
    <col min="9483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3" width="13.25" style="2" bestFit="1" customWidth="1"/>
    <col min="9734" max="9735" width="11.125" style="2" bestFit="1" customWidth="1"/>
    <col min="9736" max="9738" width="13.25" style="2" bestFit="1" customWidth="1"/>
    <col min="9739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89" width="13.25" style="2" bestFit="1" customWidth="1"/>
    <col min="9990" max="9991" width="11.125" style="2" bestFit="1" customWidth="1"/>
    <col min="9992" max="9994" width="13.25" style="2" bestFit="1" customWidth="1"/>
    <col min="9995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5" width="13.25" style="2" bestFit="1" customWidth="1"/>
    <col min="10246" max="10247" width="11.125" style="2" bestFit="1" customWidth="1"/>
    <col min="10248" max="10250" width="13.25" style="2" bestFit="1" customWidth="1"/>
    <col min="10251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1" width="13.25" style="2" bestFit="1" customWidth="1"/>
    <col min="10502" max="10503" width="11.125" style="2" bestFit="1" customWidth="1"/>
    <col min="10504" max="10506" width="13.25" style="2" bestFit="1" customWidth="1"/>
    <col min="10507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7" width="13.25" style="2" bestFit="1" customWidth="1"/>
    <col min="10758" max="10759" width="11.125" style="2" bestFit="1" customWidth="1"/>
    <col min="10760" max="10762" width="13.25" style="2" bestFit="1" customWidth="1"/>
    <col min="10763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3" width="13.25" style="2" bestFit="1" customWidth="1"/>
    <col min="11014" max="11015" width="11.125" style="2" bestFit="1" customWidth="1"/>
    <col min="11016" max="11018" width="13.25" style="2" bestFit="1" customWidth="1"/>
    <col min="11019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69" width="13.25" style="2" bestFit="1" customWidth="1"/>
    <col min="11270" max="11271" width="11.125" style="2" bestFit="1" customWidth="1"/>
    <col min="11272" max="11274" width="13.25" style="2" bestFit="1" customWidth="1"/>
    <col min="11275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5" width="13.25" style="2" bestFit="1" customWidth="1"/>
    <col min="11526" max="11527" width="11.125" style="2" bestFit="1" customWidth="1"/>
    <col min="11528" max="11530" width="13.25" style="2" bestFit="1" customWidth="1"/>
    <col min="11531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1" width="13.25" style="2" bestFit="1" customWidth="1"/>
    <col min="11782" max="11783" width="11.125" style="2" bestFit="1" customWidth="1"/>
    <col min="11784" max="11786" width="13.25" style="2" bestFit="1" customWidth="1"/>
    <col min="11787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7" width="13.25" style="2" bestFit="1" customWidth="1"/>
    <col min="12038" max="12039" width="11.125" style="2" bestFit="1" customWidth="1"/>
    <col min="12040" max="12042" width="13.25" style="2" bestFit="1" customWidth="1"/>
    <col min="12043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3" width="13.25" style="2" bestFit="1" customWidth="1"/>
    <col min="12294" max="12295" width="11.125" style="2" bestFit="1" customWidth="1"/>
    <col min="12296" max="12298" width="13.25" style="2" bestFit="1" customWidth="1"/>
    <col min="12299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49" width="13.25" style="2" bestFit="1" customWidth="1"/>
    <col min="12550" max="12551" width="11.125" style="2" bestFit="1" customWidth="1"/>
    <col min="12552" max="12554" width="13.25" style="2" bestFit="1" customWidth="1"/>
    <col min="12555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5" width="13.25" style="2" bestFit="1" customWidth="1"/>
    <col min="12806" max="12807" width="11.125" style="2" bestFit="1" customWidth="1"/>
    <col min="12808" max="12810" width="13.25" style="2" bestFit="1" customWidth="1"/>
    <col min="12811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1" width="13.25" style="2" bestFit="1" customWidth="1"/>
    <col min="13062" max="13063" width="11.125" style="2" bestFit="1" customWidth="1"/>
    <col min="13064" max="13066" width="13.25" style="2" bestFit="1" customWidth="1"/>
    <col min="13067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7" width="13.25" style="2" bestFit="1" customWidth="1"/>
    <col min="13318" max="13319" width="11.125" style="2" bestFit="1" customWidth="1"/>
    <col min="13320" max="13322" width="13.25" style="2" bestFit="1" customWidth="1"/>
    <col min="13323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3" width="13.25" style="2" bestFit="1" customWidth="1"/>
    <col min="13574" max="13575" width="11.125" style="2" bestFit="1" customWidth="1"/>
    <col min="13576" max="13578" width="13.25" style="2" bestFit="1" customWidth="1"/>
    <col min="13579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29" width="13.25" style="2" bestFit="1" customWidth="1"/>
    <col min="13830" max="13831" width="11.125" style="2" bestFit="1" customWidth="1"/>
    <col min="13832" max="13834" width="13.25" style="2" bestFit="1" customWidth="1"/>
    <col min="13835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5" width="13.25" style="2" bestFit="1" customWidth="1"/>
    <col min="14086" max="14087" width="11.125" style="2" bestFit="1" customWidth="1"/>
    <col min="14088" max="14090" width="13.25" style="2" bestFit="1" customWidth="1"/>
    <col min="14091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1" width="13.25" style="2" bestFit="1" customWidth="1"/>
    <col min="14342" max="14343" width="11.125" style="2" bestFit="1" customWidth="1"/>
    <col min="14344" max="14346" width="13.25" style="2" bestFit="1" customWidth="1"/>
    <col min="14347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7" width="13.25" style="2" bestFit="1" customWidth="1"/>
    <col min="14598" max="14599" width="11.125" style="2" bestFit="1" customWidth="1"/>
    <col min="14600" max="14602" width="13.25" style="2" bestFit="1" customWidth="1"/>
    <col min="14603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3" width="13.25" style="2" bestFit="1" customWidth="1"/>
    <col min="14854" max="14855" width="11.125" style="2" bestFit="1" customWidth="1"/>
    <col min="14856" max="14858" width="13.25" style="2" bestFit="1" customWidth="1"/>
    <col min="14859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09" width="13.25" style="2" bestFit="1" customWidth="1"/>
    <col min="15110" max="15111" width="11.125" style="2" bestFit="1" customWidth="1"/>
    <col min="15112" max="15114" width="13.25" style="2" bestFit="1" customWidth="1"/>
    <col min="15115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5" width="13.25" style="2" bestFit="1" customWidth="1"/>
    <col min="15366" max="15367" width="11.125" style="2" bestFit="1" customWidth="1"/>
    <col min="15368" max="15370" width="13.25" style="2" bestFit="1" customWidth="1"/>
    <col min="15371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1" width="13.25" style="2" bestFit="1" customWidth="1"/>
    <col min="15622" max="15623" width="11.125" style="2" bestFit="1" customWidth="1"/>
    <col min="15624" max="15626" width="13.25" style="2" bestFit="1" customWidth="1"/>
    <col min="15627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7" width="13.25" style="2" bestFit="1" customWidth="1"/>
    <col min="15878" max="15879" width="11.125" style="2" bestFit="1" customWidth="1"/>
    <col min="15880" max="15882" width="13.25" style="2" bestFit="1" customWidth="1"/>
    <col min="15883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3" width="13.25" style="2" bestFit="1" customWidth="1"/>
    <col min="16134" max="16135" width="11.125" style="2" bestFit="1" customWidth="1"/>
    <col min="16136" max="16138" width="13.25" style="2" bestFit="1" customWidth="1"/>
    <col min="16139" max="16139" width="11.125" style="2" bestFit="1" customWidth="1"/>
    <col min="16140" max="16140" width="9.625" style="2" bestFit="1" customWidth="1"/>
    <col min="16141" max="16384" width="9" style="2"/>
  </cols>
  <sheetData>
    <row r="1" spans="1:12">
      <c r="A1" s="1" t="s">
        <v>0</v>
      </c>
    </row>
    <row r="2" spans="1:12">
      <c r="A2" s="1"/>
    </row>
    <row r="3" spans="1:12">
      <c r="A3" s="1" t="s">
        <v>1</v>
      </c>
    </row>
    <row r="4" spans="1:12">
      <c r="A4" s="1" t="s">
        <v>2</v>
      </c>
    </row>
    <row r="5" spans="1:12">
      <c r="A5" s="1" t="s">
        <v>3</v>
      </c>
    </row>
    <row r="6" spans="1:12" ht="19.5" thickBot="1">
      <c r="A6" s="1" t="s">
        <v>51</v>
      </c>
    </row>
    <row r="7" spans="1:12">
      <c r="B7" s="13"/>
      <c r="C7" s="20" t="s">
        <v>4</v>
      </c>
      <c r="D7" s="4" t="s">
        <v>5</v>
      </c>
      <c r="E7" s="4" t="s">
        <v>6</v>
      </c>
      <c r="F7" s="4" t="s">
        <v>7</v>
      </c>
      <c r="G7" s="26" t="s">
        <v>8</v>
      </c>
      <c r="H7" s="76" t="s">
        <v>52</v>
      </c>
      <c r="I7" s="4" t="s">
        <v>9</v>
      </c>
      <c r="J7" s="21" t="s">
        <v>10</v>
      </c>
      <c r="K7" s="77" t="s">
        <v>52</v>
      </c>
      <c r="L7" s="77" t="s">
        <v>19</v>
      </c>
    </row>
    <row r="8" spans="1:12" ht="19.5" thickBot="1">
      <c r="A8" s="3"/>
      <c r="B8" s="42" t="s">
        <v>11</v>
      </c>
      <c r="C8" s="43" t="s">
        <v>12</v>
      </c>
      <c r="D8" s="44" t="s">
        <v>13</v>
      </c>
      <c r="E8" s="44" t="s">
        <v>14</v>
      </c>
      <c r="F8" s="44" t="s">
        <v>15</v>
      </c>
      <c r="G8" s="45" t="s">
        <v>16</v>
      </c>
      <c r="H8" s="46" t="s">
        <v>53</v>
      </c>
      <c r="I8" s="44" t="s">
        <v>17</v>
      </c>
      <c r="J8" s="47" t="s">
        <v>18</v>
      </c>
      <c r="K8" s="48" t="s">
        <v>54</v>
      </c>
      <c r="L8" s="48" t="s">
        <v>55</v>
      </c>
    </row>
    <row r="9" spans="1:12">
      <c r="A9" s="1" t="s">
        <v>3</v>
      </c>
      <c r="B9" s="35" t="s">
        <v>20</v>
      </c>
      <c r="C9" s="36">
        <v>0</v>
      </c>
      <c r="D9" s="37">
        <v>0</v>
      </c>
      <c r="E9" s="37">
        <v>0</v>
      </c>
      <c r="F9" s="37">
        <v>0</v>
      </c>
      <c r="G9" s="38">
        <v>0</v>
      </c>
      <c r="H9" s="39">
        <f>SUM(C9:G9)</f>
        <v>0</v>
      </c>
      <c r="I9" s="37">
        <v>17</v>
      </c>
      <c r="J9" s="40">
        <v>14</v>
      </c>
      <c r="K9" s="41">
        <f>SUM(I9:J9)</f>
        <v>31</v>
      </c>
      <c r="L9" s="41">
        <f>H9+K9</f>
        <v>31</v>
      </c>
    </row>
    <row r="10" spans="1:12">
      <c r="A10" s="1" t="s">
        <v>3</v>
      </c>
      <c r="B10" s="14" t="s">
        <v>21</v>
      </c>
      <c r="C10" s="22">
        <v>0</v>
      </c>
      <c r="D10" s="5">
        <v>0</v>
      </c>
      <c r="E10" s="5">
        <v>0</v>
      </c>
      <c r="F10" s="5">
        <v>0</v>
      </c>
      <c r="G10" s="27">
        <v>0</v>
      </c>
      <c r="H10" s="31">
        <f t="shared" ref="H10:H37" si="0">SUM(C10:G10)</f>
        <v>0</v>
      </c>
      <c r="I10" s="5">
        <v>1</v>
      </c>
      <c r="J10" s="6">
        <v>1</v>
      </c>
      <c r="K10" s="16">
        <f t="shared" ref="K10:K35" si="1">SUM(I10:J10)</f>
        <v>2</v>
      </c>
      <c r="L10" s="16">
        <f t="shared" ref="L10:L35" si="2">H10+K10</f>
        <v>2</v>
      </c>
    </row>
    <row r="11" spans="1:12">
      <c r="A11" s="1" t="s">
        <v>3</v>
      </c>
      <c r="B11" s="14" t="s">
        <v>22</v>
      </c>
      <c r="C11" s="23">
        <v>0</v>
      </c>
      <c r="D11" s="7">
        <v>0</v>
      </c>
      <c r="E11" s="7">
        <v>0</v>
      </c>
      <c r="F11" s="7">
        <v>0</v>
      </c>
      <c r="G11" s="28">
        <v>0</v>
      </c>
      <c r="H11" s="32">
        <f t="shared" si="0"/>
        <v>0</v>
      </c>
      <c r="I11" s="7">
        <v>0</v>
      </c>
      <c r="J11" s="8">
        <v>2.9166666666666665</v>
      </c>
      <c r="K11" s="17">
        <f t="shared" si="1"/>
        <v>2.9166666666666665</v>
      </c>
      <c r="L11" s="17">
        <f t="shared" si="2"/>
        <v>2.9166666666666665</v>
      </c>
    </row>
    <row r="12" spans="1:12">
      <c r="A12" s="1" t="s">
        <v>3</v>
      </c>
      <c r="B12" s="14" t="s">
        <v>23</v>
      </c>
      <c r="C12" s="23">
        <v>0</v>
      </c>
      <c r="D12" s="7">
        <v>0</v>
      </c>
      <c r="E12" s="7">
        <v>0</v>
      </c>
      <c r="F12" s="7">
        <v>0</v>
      </c>
      <c r="G12" s="28">
        <v>0</v>
      </c>
      <c r="H12" s="32">
        <f t="shared" si="0"/>
        <v>0</v>
      </c>
      <c r="I12" s="7">
        <v>0</v>
      </c>
      <c r="J12" s="8">
        <v>0.20833333333333334</v>
      </c>
      <c r="K12" s="17">
        <f t="shared" si="1"/>
        <v>0.20833333333333334</v>
      </c>
      <c r="L12" s="17">
        <f t="shared" si="2"/>
        <v>0.20833333333333334</v>
      </c>
    </row>
    <row r="13" spans="1:12">
      <c r="A13" s="1" t="s">
        <v>3</v>
      </c>
      <c r="B13" s="14" t="s">
        <v>24</v>
      </c>
      <c r="C13" s="22">
        <v>0</v>
      </c>
      <c r="D13" s="5">
        <v>0</v>
      </c>
      <c r="E13" s="5">
        <v>0</v>
      </c>
      <c r="F13" s="5">
        <v>0</v>
      </c>
      <c r="G13" s="27">
        <v>0</v>
      </c>
      <c r="H13" s="31">
        <f t="shared" si="0"/>
        <v>0</v>
      </c>
      <c r="I13" s="5">
        <v>36</v>
      </c>
      <c r="J13" s="6">
        <v>33</v>
      </c>
      <c r="K13" s="16">
        <f t="shared" si="1"/>
        <v>69</v>
      </c>
      <c r="L13" s="16">
        <f t="shared" si="2"/>
        <v>69</v>
      </c>
    </row>
    <row r="14" spans="1:12">
      <c r="A14" s="1" t="s">
        <v>3</v>
      </c>
      <c r="B14" s="14" t="s">
        <v>25</v>
      </c>
      <c r="C14" s="24">
        <v>0</v>
      </c>
      <c r="D14" s="9">
        <v>0</v>
      </c>
      <c r="E14" s="9">
        <v>0</v>
      </c>
      <c r="F14" s="9">
        <v>0</v>
      </c>
      <c r="G14" s="29">
        <v>0</v>
      </c>
      <c r="H14" s="33">
        <f t="shared" si="0"/>
        <v>0</v>
      </c>
      <c r="I14" s="9">
        <v>390000</v>
      </c>
      <c r="J14" s="10">
        <v>0</v>
      </c>
      <c r="K14" s="18">
        <f t="shared" si="1"/>
        <v>390000</v>
      </c>
      <c r="L14" s="18">
        <f t="shared" si="2"/>
        <v>390000</v>
      </c>
    </row>
    <row r="15" spans="1:12">
      <c r="A15" s="1" t="s">
        <v>3</v>
      </c>
      <c r="B15" s="14" t="s">
        <v>26</v>
      </c>
      <c r="C15" s="24">
        <v>0</v>
      </c>
      <c r="D15" s="9">
        <v>0</v>
      </c>
      <c r="E15" s="9">
        <v>0</v>
      </c>
      <c r="F15" s="9">
        <v>0</v>
      </c>
      <c r="G15" s="29">
        <v>0</v>
      </c>
      <c r="H15" s="33">
        <f t="shared" si="0"/>
        <v>0</v>
      </c>
      <c r="I15" s="9">
        <v>50000</v>
      </c>
      <c r="J15" s="10">
        <v>0</v>
      </c>
      <c r="K15" s="18">
        <f t="shared" si="1"/>
        <v>50000</v>
      </c>
      <c r="L15" s="18">
        <f t="shared" si="2"/>
        <v>50000</v>
      </c>
    </row>
    <row r="16" spans="1:12">
      <c r="A16" s="1" t="s">
        <v>3</v>
      </c>
      <c r="B16" s="55" t="s">
        <v>27</v>
      </c>
      <c r="C16" s="56">
        <v>0</v>
      </c>
      <c r="D16" s="57">
        <v>0</v>
      </c>
      <c r="E16" s="57">
        <v>0</v>
      </c>
      <c r="F16" s="57">
        <v>0</v>
      </c>
      <c r="G16" s="58">
        <v>0</v>
      </c>
      <c r="H16" s="59">
        <f t="shared" si="0"/>
        <v>0</v>
      </c>
      <c r="I16" s="57">
        <v>0</v>
      </c>
      <c r="J16" s="60">
        <v>92400</v>
      </c>
      <c r="K16" s="61">
        <f t="shared" si="1"/>
        <v>92400</v>
      </c>
      <c r="L16" s="61">
        <f t="shared" si="2"/>
        <v>92400</v>
      </c>
    </row>
    <row r="17" spans="1:12">
      <c r="A17" s="1" t="s">
        <v>3</v>
      </c>
      <c r="B17" s="35" t="s">
        <v>28</v>
      </c>
      <c r="C17" s="49">
        <v>1200000</v>
      </c>
      <c r="D17" s="50">
        <v>200000</v>
      </c>
      <c r="E17" s="50">
        <v>240000</v>
      </c>
      <c r="F17" s="50">
        <v>120000</v>
      </c>
      <c r="G17" s="51">
        <v>240000</v>
      </c>
      <c r="H17" s="52">
        <f t="shared" si="0"/>
        <v>2000000</v>
      </c>
      <c r="I17" s="50">
        <v>0</v>
      </c>
      <c r="J17" s="53">
        <v>0</v>
      </c>
      <c r="K17" s="54">
        <f t="shared" si="1"/>
        <v>0</v>
      </c>
      <c r="L17" s="54">
        <f t="shared" si="2"/>
        <v>2000000</v>
      </c>
    </row>
    <row r="18" spans="1:12">
      <c r="A18" s="1" t="s">
        <v>3</v>
      </c>
      <c r="B18" s="62" t="s">
        <v>29</v>
      </c>
      <c r="C18" s="63">
        <v>0</v>
      </c>
      <c r="D18" s="64">
        <v>0</v>
      </c>
      <c r="E18" s="64">
        <v>0</v>
      </c>
      <c r="F18" s="64">
        <v>0</v>
      </c>
      <c r="G18" s="65">
        <v>0</v>
      </c>
      <c r="H18" s="66">
        <f t="shared" si="0"/>
        <v>0</v>
      </c>
      <c r="I18" s="64">
        <v>0</v>
      </c>
      <c r="J18" s="67">
        <v>6600</v>
      </c>
      <c r="K18" s="68">
        <f t="shared" si="1"/>
        <v>6600</v>
      </c>
      <c r="L18" s="68">
        <f t="shared" si="2"/>
        <v>6600</v>
      </c>
    </row>
    <row r="19" spans="1:12">
      <c r="A19" s="1" t="s">
        <v>3</v>
      </c>
      <c r="B19" s="69" t="s">
        <v>30</v>
      </c>
      <c r="C19" s="70">
        <v>1200000</v>
      </c>
      <c r="D19" s="71">
        <v>200000</v>
      </c>
      <c r="E19" s="71">
        <v>240000</v>
      </c>
      <c r="F19" s="71">
        <v>120000</v>
      </c>
      <c r="G19" s="72">
        <v>240000</v>
      </c>
      <c r="H19" s="73">
        <f t="shared" si="0"/>
        <v>2000000</v>
      </c>
      <c r="I19" s="71">
        <v>440000</v>
      </c>
      <c r="J19" s="74">
        <v>99000</v>
      </c>
      <c r="K19" s="75">
        <f t="shared" si="1"/>
        <v>539000</v>
      </c>
      <c r="L19" s="75">
        <f t="shared" si="2"/>
        <v>2539000</v>
      </c>
    </row>
    <row r="20" spans="1:12">
      <c r="A20" s="1" t="s">
        <v>3</v>
      </c>
      <c r="B20" s="69" t="s">
        <v>31</v>
      </c>
      <c r="C20" s="70">
        <v>0</v>
      </c>
      <c r="D20" s="71">
        <v>0</v>
      </c>
      <c r="E20" s="71">
        <v>0</v>
      </c>
      <c r="F20" s="71">
        <v>0</v>
      </c>
      <c r="G20" s="72">
        <v>0</v>
      </c>
      <c r="H20" s="73">
        <f t="shared" si="0"/>
        <v>0</v>
      </c>
      <c r="I20" s="71">
        <v>8200</v>
      </c>
      <c r="J20" s="74">
        <v>3520</v>
      </c>
      <c r="K20" s="75">
        <f t="shared" si="1"/>
        <v>11720</v>
      </c>
      <c r="L20" s="75">
        <f t="shared" si="2"/>
        <v>11720</v>
      </c>
    </row>
    <row r="21" spans="1:12">
      <c r="A21" s="1" t="s">
        <v>3</v>
      </c>
      <c r="B21" s="69" t="s">
        <v>32</v>
      </c>
      <c r="C21" s="70">
        <v>0</v>
      </c>
      <c r="D21" s="71">
        <v>0</v>
      </c>
      <c r="E21" s="71">
        <v>0</v>
      </c>
      <c r="F21" s="71">
        <v>0</v>
      </c>
      <c r="G21" s="72">
        <v>0</v>
      </c>
      <c r="H21" s="73">
        <f t="shared" si="0"/>
        <v>0</v>
      </c>
      <c r="I21" s="71">
        <v>8200</v>
      </c>
      <c r="J21" s="74">
        <v>3520</v>
      </c>
      <c r="K21" s="75">
        <f t="shared" si="1"/>
        <v>11720</v>
      </c>
      <c r="L21" s="75">
        <f t="shared" si="2"/>
        <v>11720</v>
      </c>
    </row>
    <row r="22" spans="1:12">
      <c r="A22" s="1" t="s">
        <v>3</v>
      </c>
      <c r="B22" s="69" t="s">
        <v>33</v>
      </c>
      <c r="C22" s="70">
        <v>1200000</v>
      </c>
      <c r="D22" s="71">
        <v>200000</v>
      </c>
      <c r="E22" s="71">
        <v>240000</v>
      </c>
      <c r="F22" s="71">
        <v>120000</v>
      </c>
      <c r="G22" s="72">
        <v>240000</v>
      </c>
      <c r="H22" s="73">
        <f t="shared" si="0"/>
        <v>2000000</v>
      </c>
      <c r="I22" s="71">
        <v>448200</v>
      </c>
      <c r="J22" s="74">
        <v>102520</v>
      </c>
      <c r="K22" s="75">
        <f t="shared" si="1"/>
        <v>550720</v>
      </c>
      <c r="L22" s="75">
        <f t="shared" si="2"/>
        <v>2550720</v>
      </c>
    </row>
    <row r="23" spans="1:12">
      <c r="A23" s="1" t="s">
        <v>3</v>
      </c>
      <c r="B23" s="35" t="s">
        <v>34</v>
      </c>
      <c r="C23" s="49">
        <v>49980</v>
      </c>
      <c r="D23" s="50">
        <v>0</v>
      </c>
      <c r="E23" s="50">
        <v>0</v>
      </c>
      <c r="F23" s="50">
        <v>0</v>
      </c>
      <c r="G23" s="51">
        <v>12240</v>
      </c>
      <c r="H23" s="52">
        <f t="shared" si="0"/>
        <v>62220</v>
      </c>
      <c r="I23" s="50">
        <v>22440</v>
      </c>
      <c r="J23" s="53">
        <v>0</v>
      </c>
      <c r="K23" s="54">
        <f t="shared" si="1"/>
        <v>22440</v>
      </c>
      <c r="L23" s="54">
        <f t="shared" si="2"/>
        <v>84660</v>
      </c>
    </row>
    <row r="24" spans="1:12">
      <c r="A24" s="1" t="s">
        <v>3</v>
      </c>
      <c r="B24" s="14" t="s">
        <v>35</v>
      </c>
      <c r="C24" s="24">
        <v>8820</v>
      </c>
      <c r="D24" s="9">
        <v>0</v>
      </c>
      <c r="E24" s="9">
        <v>0</v>
      </c>
      <c r="F24" s="9">
        <v>0</v>
      </c>
      <c r="G24" s="29">
        <v>2160</v>
      </c>
      <c r="H24" s="33">
        <f t="shared" si="0"/>
        <v>10980</v>
      </c>
      <c r="I24" s="9">
        <v>3960</v>
      </c>
      <c r="J24" s="10">
        <v>0</v>
      </c>
      <c r="K24" s="18">
        <f t="shared" si="1"/>
        <v>3960</v>
      </c>
      <c r="L24" s="18">
        <f t="shared" si="2"/>
        <v>14940</v>
      </c>
    </row>
    <row r="25" spans="1:12">
      <c r="A25" s="1" t="s">
        <v>3</v>
      </c>
      <c r="B25" s="14" t="s">
        <v>36</v>
      </c>
      <c r="C25" s="24">
        <v>59475</v>
      </c>
      <c r="D25" s="9">
        <v>0</v>
      </c>
      <c r="E25" s="9">
        <v>0</v>
      </c>
      <c r="F25" s="9">
        <v>0</v>
      </c>
      <c r="G25" s="29">
        <v>21960</v>
      </c>
      <c r="H25" s="33">
        <f t="shared" si="0"/>
        <v>81435</v>
      </c>
      <c r="I25" s="9">
        <v>40260</v>
      </c>
      <c r="J25" s="10">
        <v>0</v>
      </c>
      <c r="K25" s="18">
        <f t="shared" si="1"/>
        <v>40260</v>
      </c>
      <c r="L25" s="18">
        <f t="shared" si="2"/>
        <v>121695</v>
      </c>
    </row>
    <row r="26" spans="1:12">
      <c r="A26" s="1" t="s">
        <v>3</v>
      </c>
      <c r="B26" s="14" t="s">
        <v>37</v>
      </c>
      <c r="C26" s="24">
        <v>0</v>
      </c>
      <c r="D26" s="9">
        <v>0</v>
      </c>
      <c r="E26" s="9">
        <v>0</v>
      </c>
      <c r="F26" s="9">
        <v>0</v>
      </c>
      <c r="G26" s="29">
        <v>0</v>
      </c>
      <c r="H26" s="33">
        <f t="shared" si="0"/>
        <v>0</v>
      </c>
      <c r="I26" s="9">
        <v>2465</v>
      </c>
      <c r="J26" s="10">
        <v>564</v>
      </c>
      <c r="K26" s="18">
        <f t="shared" si="1"/>
        <v>3029</v>
      </c>
      <c r="L26" s="18">
        <f t="shared" si="2"/>
        <v>3029</v>
      </c>
    </row>
    <row r="27" spans="1:12">
      <c r="A27" s="1" t="s">
        <v>3</v>
      </c>
      <c r="B27" s="62" t="s">
        <v>38</v>
      </c>
      <c r="C27" s="63">
        <v>150000</v>
      </c>
      <c r="D27" s="64">
        <v>0</v>
      </c>
      <c r="E27" s="64">
        <v>0</v>
      </c>
      <c r="F27" s="64">
        <v>0</v>
      </c>
      <c r="G27" s="65">
        <v>0</v>
      </c>
      <c r="H27" s="66">
        <f t="shared" si="0"/>
        <v>150000</v>
      </c>
      <c r="I27" s="64">
        <v>0</v>
      </c>
      <c r="J27" s="67">
        <v>0</v>
      </c>
      <c r="K27" s="68">
        <f t="shared" si="1"/>
        <v>0</v>
      </c>
      <c r="L27" s="68">
        <f t="shared" si="2"/>
        <v>150000</v>
      </c>
    </row>
    <row r="28" spans="1:12">
      <c r="A28" s="1" t="s">
        <v>3</v>
      </c>
      <c r="B28" s="69" t="s">
        <v>39</v>
      </c>
      <c r="C28" s="70">
        <v>268275</v>
      </c>
      <c r="D28" s="71">
        <v>0</v>
      </c>
      <c r="E28" s="71">
        <v>0</v>
      </c>
      <c r="F28" s="71">
        <v>0</v>
      </c>
      <c r="G28" s="72">
        <v>36360</v>
      </c>
      <c r="H28" s="73">
        <f t="shared" si="0"/>
        <v>304635</v>
      </c>
      <c r="I28" s="71">
        <v>69125</v>
      </c>
      <c r="J28" s="74">
        <v>564</v>
      </c>
      <c r="K28" s="75">
        <f t="shared" si="1"/>
        <v>69689</v>
      </c>
      <c r="L28" s="75">
        <f t="shared" si="2"/>
        <v>374324</v>
      </c>
    </row>
    <row r="29" spans="1:12">
      <c r="A29" s="1" t="s">
        <v>3</v>
      </c>
      <c r="B29" s="35" t="s">
        <v>40</v>
      </c>
      <c r="C29" s="49">
        <v>109690</v>
      </c>
      <c r="D29" s="50">
        <v>4760</v>
      </c>
      <c r="E29" s="50">
        <v>33400</v>
      </c>
      <c r="F29" s="50">
        <v>4300</v>
      </c>
      <c r="G29" s="51">
        <v>0</v>
      </c>
      <c r="H29" s="52">
        <f t="shared" si="0"/>
        <v>152150</v>
      </c>
      <c r="I29" s="50">
        <v>14170</v>
      </c>
      <c r="J29" s="53">
        <v>640</v>
      </c>
      <c r="K29" s="54">
        <f t="shared" si="1"/>
        <v>14810</v>
      </c>
      <c r="L29" s="54">
        <f t="shared" si="2"/>
        <v>166960</v>
      </c>
    </row>
    <row r="30" spans="1:12">
      <c r="A30" s="1" t="s">
        <v>3</v>
      </c>
      <c r="B30" s="14" t="s">
        <v>41</v>
      </c>
      <c r="C30" s="63">
        <v>0</v>
      </c>
      <c r="D30" s="64">
        <v>1700</v>
      </c>
      <c r="E30" s="64">
        <v>0</v>
      </c>
      <c r="F30" s="64">
        <v>0</v>
      </c>
      <c r="G30" s="65">
        <v>0</v>
      </c>
      <c r="H30" s="66">
        <f t="shared" si="0"/>
        <v>1700</v>
      </c>
      <c r="I30" s="64">
        <v>18300</v>
      </c>
      <c r="J30" s="67">
        <v>2200</v>
      </c>
      <c r="K30" s="68">
        <f t="shared" si="1"/>
        <v>20500</v>
      </c>
      <c r="L30" s="68">
        <f t="shared" si="2"/>
        <v>22200</v>
      </c>
    </row>
    <row r="31" spans="1:12">
      <c r="A31" s="1" t="s">
        <v>3</v>
      </c>
      <c r="B31" s="14" t="s">
        <v>42</v>
      </c>
      <c r="C31" s="70">
        <v>377965</v>
      </c>
      <c r="D31" s="71">
        <v>6460</v>
      </c>
      <c r="E31" s="71">
        <v>33400</v>
      </c>
      <c r="F31" s="71">
        <v>4300</v>
      </c>
      <c r="G31" s="72">
        <v>36360</v>
      </c>
      <c r="H31" s="73">
        <f t="shared" si="0"/>
        <v>458485</v>
      </c>
      <c r="I31" s="71">
        <v>101595</v>
      </c>
      <c r="J31" s="74">
        <v>3404</v>
      </c>
      <c r="K31" s="75">
        <f t="shared" si="1"/>
        <v>104999</v>
      </c>
      <c r="L31" s="75">
        <f t="shared" si="2"/>
        <v>563484</v>
      </c>
    </row>
    <row r="32" spans="1:12">
      <c r="A32" s="1" t="s">
        <v>3</v>
      </c>
      <c r="B32" s="14" t="s">
        <v>43</v>
      </c>
      <c r="C32" s="70">
        <v>931725</v>
      </c>
      <c r="D32" s="71">
        <v>200000</v>
      </c>
      <c r="E32" s="71">
        <v>240000</v>
      </c>
      <c r="F32" s="71">
        <v>120000</v>
      </c>
      <c r="G32" s="72">
        <v>203640</v>
      </c>
      <c r="H32" s="73">
        <f t="shared" si="0"/>
        <v>1695365</v>
      </c>
      <c r="I32" s="71">
        <v>370875</v>
      </c>
      <c r="J32" s="74">
        <v>98436</v>
      </c>
      <c r="K32" s="75">
        <f t="shared" si="1"/>
        <v>469311</v>
      </c>
      <c r="L32" s="75">
        <f t="shared" si="2"/>
        <v>2164676</v>
      </c>
    </row>
    <row r="33" spans="1:12">
      <c r="A33" s="1" t="s">
        <v>3</v>
      </c>
      <c r="B33" s="14" t="s">
        <v>44</v>
      </c>
      <c r="C33" s="70">
        <v>822035</v>
      </c>
      <c r="D33" s="71">
        <v>193540</v>
      </c>
      <c r="E33" s="71">
        <v>206600</v>
      </c>
      <c r="F33" s="71">
        <v>115700</v>
      </c>
      <c r="G33" s="72">
        <v>203640</v>
      </c>
      <c r="H33" s="73">
        <f t="shared" si="0"/>
        <v>1541515</v>
      </c>
      <c r="I33" s="71">
        <v>346605</v>
      </c>
      <c r="J33" s="74">
        <v>99116</v>
      </c>
      <c r="K33" s="75">
        <f t="shared" si="1"/>
        <v>445721</v>
      </c>
      <c r="L33" s="75">
        <f t="shared" si="2"/>
        <v>1987236</v>
      </c>
    </row>
    <row r="34" spans="1:12">
      <c r="A34" s="1" t="s">
        <v>3</v>
      </c>
      <c r="B34" s="14" t="s">
        <v>45</v>
      </c>
      <c r="C34" s="70">
        <v>0</v>
      </c>
      <c r="D34" s="71">
        <v>193540</v>
      </c>
      <c r="E34" s="71">
        <v>0</v>
      </c>
      <c r="F34" s="71">
        <v>0</v>
      </c>
      <c r="G34" s="72">
        <v>0</v>
      </c>
      <c r="H34" s="73">
        <f t="shared" si="0"/>
        <v>193540</v>
      </c>
      <c r="I34" s="71">
        <v>0</v>
      </c>
      <c r="J34" s="74">
        <v>0</v>
      </c>
      <c r="K34" s="75">
        <f t="shared" si="1"/>
        <v>0</v>
      </c>
      <c r="L34" s="75">
        <f t="shared" si="2"/>
        <v>193540</v>
      </c>
    </row>
    <row r="35" spans="1:12">
      <c r="A35" s="1" t="s">
        <v>3</v>
      </c>
      <c r="B35" s="14" t="s">
        <v>46</v>
      </c>
      <c r="C35" s="70">
        <v>822035</v>
      </c>
      <c r="D35" s="71">
        <v>0</v>
      </c>
      <c r="E35" s="71">
        <v>206600</v>
      </c>
      <c r="F35" s="71">
        <v>115700</v>
      </c>
      <c r="G35" s="72">
        <v>203640</v>
      </c>
      <c r="H35" s="73">
        <f t="shared" si="0"/>
        <v>1347975</v>
      </c>
      <c r="I35" s="71">
        <v>346605</v>
      </c>
      <c r="J35" s="74">
        <v>99116</v>
      </c>
      <c r="K35" s="75">
        <f t="shared" si="1"/>
        <v>445721</v>
      </c>
      <c r="L35" s="75">
        <f t="shared" si="2"/>
        <v>1793696</v>
      </c>
    </row>
    <row r="36" spans="1:12">
      <c r="A36" s="1" t="s">
        <v>3</v>
      </c>
      <c r="B36" s="14" t="s">
        <v>47</v>
      </c>
      <c r="C36" s="49">
        <v>1</v>
      </c>
      <c r="D36" s="50">
        <v>0</v>
      </c>
      <c r="E36" s="50">
        <v>0</v>
      </c>
      <c r="F36" s="50">
        <v>0</v>
      </c>
      <c r="G36" s="51">
        <v>0</v>
      </c>
      <c r="H36" s="52">
        <f t="shared" si="0"/>
        <v>1</v>
      </c>
      <c r="I36" s="50">
        <v>0</v>
      </c>
      <c r="J36" s="53">
        <v>0</v>
      </c>
      <c r="K36" s="54"/>
      <c r="L36" s="54"/>
    </row>
    <row r="37" spans="1:12" ht="19.5" thickBot="1">
      <c r="A37" s="1" t="s">
        <v>3</v>
      </c>
      <c r="B37" s="15" t="s">
        <v>48</v>
      </c>
      <c r="C37" s="25" t="s">
        <v>49</v>
      </c>
      <c r="D37" s="11" t="s">
        <v>49</v>
      </c>
      <c r="E37" s="11" t="s">
        <v>50</v>
      </c>
      <c r="F37" s="11" t="s">
        <v>50</v>
      </c>
      <c r="G37" s="30" t="s">
        <v>49</v>
      </c>
      <c r="H37" s="34">
        <f t="shared" si="0"/>
        <v>0</v>
      </c>
      <c r="I37" s="11" t="s">
        <v>49</v>
      </c>
      <c r="J37" s="12" t="s">
        <v>49</v>
      </c>
      <c r="K37" s="19"/>
      <c r="L37" s="19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2025年11月度給与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dcterms:created xsi:type="dcterms:W3CDTF">2025-12-10T02:27:20Z</dcterms:created>
  <dcterms:modified xsi:type="dcterms:W3CDTF">2025-12-10T03:48:22Z</dcterms:modified>
</cp:coreProperties>
</file>