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zawa\若林運送 Dropbox\浅田恵美子\総務・経理\01給与\02給与集計内訳\2025\2025.11月分\"/>
    </mc:Choice>
  </mc:AlternateContent>
  <xr:revisionPtr revIDLastSave="0" documentId="13_ncr:1_{6DF0D1C8-C0FF-4343-B27C-9B6DAB1519D4}" xr6:coauthVersionLast="47" xr6:coauthVersionMax="47" xr10:uidLastSave="{00000000-0000-0000-0000-000000000000}"/>
  <bookViews>
    <workbookView xWindow="-120" yWindow="-120" windowWidth="20730" windowHeight="11040" xr2:uid="{8972583D-7351-401C-A265-1A71F68796B8}"/>
  </bookViews>
  <sheets>
    <sheet name="2025年11月度給与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9" i="2" l="1"/>
  <c r="N49" i="2" s="1"/>
  <c r="M48" i="2"/>
  <c r="N48" i="2" s="1"/>
  <c r="N47" i="2"/>
  <c r="M47" i="2"/>
  <c r="M46" i="2"/>
  <c r="N46" i="2" s="1"/>
  <c r="M45" i="2"/>
  <c r="N45" i="2" s="1"/>
  <c r="M44" i="2"/>
  <c r="N44" i="2" s="1"/>
  <c r="M43" i="2"/>
  <c r="N43" i="2" s="1"/>
  <c r="M42" i="2"/>
  <c r="N42" i="2" s="1"/>
  <c r="N41" i="2"/>
  <c r="M41" i="2"/>
  <c r="M40" i="2"/>
  <c r="N40" i="2" s="1"/>
  <c r="M39" i="2"/>
  <c r="N39" i="2" s="1"/>
  <c r="M38" i="2"/>
  <c r="N38" i="2" s="1"/>
  <c r="M37" i="2"/>
  <c r="N37" i="2" s="1"/>
  <c r="M36" i="2"/>
  <c r="N36" i="2" s="1"/>
  <c r="N35" i="2"/>
  <c r="M35" i="2"/>
  <c r="M34" i="2"/>
  <c r="N34" i="2" s="1"/>
  <c r="M33" i="2"/>
  <c r="N33" i="2" s="1"/>
  <c r="M32" i="2"/>
  <c r="N32" i="2" s="1"/>
  <c r="N31" i="2"/>
  <c r="M31" i="2"/>
  <c r="M30" i="2"/>
  <c r="N30" i="2" s="1"/>
  <c r="N29" i="2"/>
  <c r="M29" i="2"/>
  <c r="M28" i="2"/>
  <c r="N28" i="2" s="1"/>
  <c r="M27" i="2"/>
  <c r="N27" i="2" s="1"/>
  <c r="M26" i="2"/>
  <c r="N26" i="2" s="1"/>
  <c r="N25" i="2"/>
  <c r="M25" i="2"/>
  <c r="M24" i="2"/>
  <c r="N24" i="2" s="1"/>
  <c r="N23" i="2"/>
  <c r="M23" i="2"/>
  <c r="M22" i="2"/>
  <c r="N22" i="2" s="1"/>
  <c r="M20" i="2"/>
  <c r="N20" i="2" s="1"/>
  <c r="M19" i="2"/>
  <c r="N19" i="2" s="1"/>
  <c r="N18" i="2"/>
  <c r="M18" i="2"/>
  <c r="M17" i="2"/>
  <c r="N17" i="2" s="1"/>
  <c r="N16" i="2"/>
  <c r="M16" i="2"/>
  <c r="M15" i="2"/>
  <c r="N15" i="2" s="1"/>
  <c r="M14" i="2"/>
  <c r="N14" i="2" s="1"/>
  <c r="M13" i="2"/>
  <c r="N13" i="2" s="1"/>
  <c r="N12" i="2"/>
  <c r="M12" i="2"/>
  <c r="M11" i="2"/>
  <c r="N11" i="2" s="1"/>
  <c r="N10" i="2"/>
  <c r="M10" i="2"/>
  <c r="N9" i="2"/>
  <c r="M9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0" i="2"/>
  <c r="J19" i="2"/>
  <c r="J18" i="2"/>
  <c r="J17" i="2"/>
  <c r="J16" i="2"/>
  <c r="J15" i="2"/>
  <c r="J14" i="2"/>
  <c r="J13" i="2"/>
  <c r="J12" i="2"/>
  <c r="J11" i="2"/>
  <c r="J10" i="2"/>
  <c r="J9" i="2"/>
</calcChain>
</file>

<file path=xl/sharedStrings.xml><?xml version="1.0" encoding="utf-8"?>
<sst xmlns="http://schemas.openxmlformats.org/spreadsheetml/2006/main" count="125" uniqueCount="70">
  <si>
    <t>支給控除一覧表</t>
    <phoneticPr fontId="4"/>
  </si>
  <si>
    <t>若林運送株式会社</t>
    <phoneticPr fontId="4"/>
  </si>
  <si>
    <t>2025年12月 8日 作成</t>
    <phoneticPr fontId="4"/>
  </si>
  <si>
    <t/>
  </si>
  <si>
    <t>1037</t>
    <phoneticPr fontId="4"/>
  </si>
  <si>
    <t>1038</t>
    <phoneticPr fontId="4"/>
  </si>
  <si>
    <t>1042</t>
    <phoneticPr fontId="4"/>
  </si>
  <si>
    <t>1043</t>
    <phoneticPr fontId="4"/>
  </si>
  <si>
    <t>1072</t>
    <phoneticPr fontId="4"/>
  </si>
  <si>
    <t>1099</t>
    <phoneticPr fontId="4"/>
  </si>
  <si>
    <t>1102</t>
    <phoneticPr fontId="4"/>
  </si>
  <si>
    <t>1117</t>
    <phoneticPr fontId="4"/>
  </si>
  <si>
    <t>1212</t>
    <phoneticPr fontId="4"/>
  </si>
  <si>
    <t>項目名</t>
    <phoneticPr fontId="4"/>
  </si>
  <si>
    <t>佐藤　守</t>
    <phoneticPr fontId="4"/>
  </si>
  <si>
    <t>高橋　徹</t>
    <phoneticPr fontId="4"/>
  </si>
  <si>
    <t>高橋　英晃</t>
    <phoneticPr fontId="4"/>
  </si>
  <si>
    <t>鈴木　貴雄</t>
    <phoneticPr fontId="4"/>
  </si>
  <si>
    <t>佐藤　ゆうこ</t>
    <phoneticPr fontId="4"/>
  </si>
  <si>
    <t>土谷　栄</t>
    <phoneticPr fontId="4"/>
  </si>
  <si>
    <t>小田島　健司</t>
    <phoneticPr fontId="4"/>
  </si>
  <si>
    <t>白井　博</t>
    <phoneticPr fontId="4"/>
  </si>
  <si>
    <t>佐藤　武寿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</si>
  <si>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</si>
  <si>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</si>
  <si>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</si>
  <si>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</si>
  <si>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</si>
  <si>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</si>
  <si>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</si>
  <si>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</si>
  <si>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</si>
  <si>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</si>
  <si>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</si>
  <si>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</si>
  <si>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</si>
  <si>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</si>
  <si>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</si>
  <si>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</si>
  <si>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</si>
  <si>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無事故報奨金</t>
    <phoneticPr fontId="4"/>
  </si>
  <si>
    <t>無事故加算</t>
    <phoneticPr fontId="4"/>
  </si>
  <si>
    <t>調整加算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</si>
  <si>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</si>
  <si>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</si>
  <si>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</si>
  <si>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</si>
  <si>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</si>
  <si>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</si>
  <si>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</si>
  <si>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</si>
  <si>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</si>
  <si>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</si>
  <si>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</si>
  <si>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</si>
  <si>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</si>
  <si>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</si>
  <si>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</si>
  <si>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</si>
  <si>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</si>
  <si>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</si>
  <si>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</si>
  <si>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</si>
  <si>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</si>
  <si>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</si>
  <si>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2025年11月度給与</t>
    <phoneticPr fontId="4"/>
  </si>
  <si>
    <t>小計</t>
    <rPh sb="0" eb="2">
      <t>ショウケイ</t>
    </rPh>
    <phoneticPr fontId="3"/>
  </si>
  <si>
    <t>7名</t>
    <rPh sb="1" eb="2">
      <t>メイ</t>
    </rPh>
    <phoneticPr fontId="4"/>
  </si>
  <si>
    <t>2名</t>
    <rPh sb="1" eb="2">
      <t>メイ</t>
    </rPh>
    <phoneticPr fontId="4"/>
  </si>
  <si>
    <t>9名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</si>
</sst>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thin">
        <color auto="1"/>
      </bottom>
      <diagonal/>
    </border>
    <border>
      <left/>
      <right style="medium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8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/>
    <xf numFmtId="49" fontId="2" fillId="0" borderId="3" xfId="1" applyNumberFormat="1" applyFont="1" applyBorder="1" applyAlignment="1">
      <alignment horizontal="center"/>
    </xf>
    <xf numFmtId="2" fontId="2" fillId="0" borderId="6" xfId="1" applyNumberFormat="1" applyFont="1" applyBorder="1"/>
    <xf numFmtId="2" fontId="2" fillId="0" borderId="7" xfId="1" applyNumberFormat="1" applyFont="1" applyBorder="1"/>
    <xf numFmtId="176" fontId="2" fillId="0" borderId="6" xfId="1" applyNumberFormat="1" applyFont="1" applyBorder="1"/>
    <xf numFmtId="176" fontId="2" fillId="0" borderId="7" xfId="1" applyNumberFormat="1" applyFont="1" applyBorder="1"/>
    <xf numFmtId="3" fontId="2" fillId="0" borderId="6" xfId="1" applyNumberFormat="1" applyFont="1" applyBorder="1"/>
    <xf numFmtId="3" fontId="2" fillId="0" borderId="7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0" fontId="2" fillId="0" borderId="11" xfId="1" applyFont="1" applyBorder="1" applyAlignment="1">
      <alignment horizontal="center"/>
    </xf>
    <xf numFmtId="49" fontId="2" fillId="0" borderId="12" xfId="1" applyNumberFormat="1" applyFont="1" applyBorder="1" applyAlignment="1">
      <alignment horizontal="left"/>
    </xf>
    <xf numFmtId="49" fontId="2" fillId="0" borderId="13" xfId="1" applyNumberFormat="1" applyFont="1" applyBorder="1" applyAlignment="1">
      <alignment horizontal="left"/>
    </xf>
    <xf numFmtId="2" fontId="2" fillId="0" borderId="15" xfId="1" applyNumberFormat="1" applyFont="1" applyBorder="1"/>
    <xf numFmtId="176" fontId="2" fillId="0" borderId="15" xfId="1" applyNumberFormat="1" applyFont="1" applyBorder="1"/>
    <xf numFmtId="3" fontId="2" fillId="0" borderId="15" xfId="1" applyNumberFormat="1" applyFont="1" applyBorder="1"/>
    <xf numFmtId="49" fontId="2" fillId="0" borderId="16" xfId="1" applyNumberFormat="1" applyFont="1" applyBorder="1"/>
    <xf numFmtId="49" fontId="2" fillId="0" borderId="2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8" xfId="1" applyNumberFormat="1" applyFont="1" applyBorder="1"/>
    <xf numFmtId="49" fontId="2" fillId="0" borderId="17" xfId="1" applyNumberFormat="1" applyFont="1" applyBorder="1" applyAlignment="1">
      <alignment horizontal="center"/>
    </xf>
    <xf numFmtId="2" fontId="2" fillId="0" borderId="18" xfId="1" applyNumberFormat="1" applyFont="1" applyBorder="1"/>
    <xf numFmtId="176" fontId="2" fillId="0" borderId="18" xfId="1" applyNumberFormat="1" applyFont="1" applyBorder="1"/>
    <xf numFmtId="3" fontId="2" fillId="0" borderId="18" xfId="1" applyNumberFormat="1" applyFont="1" applyBorder="1"/>
    <xf numFmtId="49" fontId="2" fillId="0" borderId="19" xfId="1" applyNumberFormat="1" applyFont="1" applyBorder="1"/>
    <xf numFmtId="2" fontId="2" fillId="0" borderId="21" xfId="1" applyNumberFormat="1" applyFont="1" applyBorder="1"/>
    <xf numFmtId="176" fontId="2" fillId="0" borderId="21" xfId="1" applyNumberFormat="1" applyFont="1" applyBorder="1"/>
    <xf numFmtId="3" fontId="2" fillId="0" borderId="21" xfId="1" applyNumberFormat="1" applyFont="1" applyBorder="1"/>
    <xf numFmtId="49" fontId="2" fillId="0" borderId="22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31" xfId="1" applyNumberFormat="1" applyFont="1" applyBorder="1" applyAlignment="1">
      <alignment horizontal="left"/>
    </xf>
    <xf numFmtId="2" fontId="2" fillId="0" borderId="32" xfId="1" applyNumberFormat="1" applyFont="1" applyBorder="1"/>
    <xf numFmtId="2" fontId="2" fillId="0" borderId="33" xfId="1" applyNumberFormat="1" applyFont="1" applyBorder="1"/>
    <xf numFmtId="2" fontId="2" fillId="0" borderId="34" xfId="1" applyNumberFormat="1" applyFont="1" applyBorder="1"/>
    <xf numFmtId="2" fontId="2" fillId="0" borderId="35" xfId="1" applyNumberFormat="1" applyFont="1" applyBorder="1"/>
    <xf numFmtId="2" fontId="2" fillId="0" borderId="36" xfId="1" applyNumberFormat="1" applyFont="1" applyBorder="1"/>
    <xf numFmtId="2" fontId="2" fillId="0" borderId="23" xfId="1" applyNumberFormat="1" applyFont="1" applyBorder="1"/>
    <xf numFmtId="49" fontId="2" fillId="0" borderId="38" xfId="1" applyNumberFormat="1" applyFont="1" applyBorder="1" applyAlignment="1">
      <alignment horizontal="left"/>
    </xf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49" fontId="2" fillId="0" borderId="45" xfId="1" applyNumberFormat="1" applyFont="1" applyBorder="1" applyAlignment="1">
      <alignment horizontal="left"/>
    </xf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3" fontId="2" fillId="0" borderId="50" xfId="1" applyNumberFormat="1" applyFont="1" applyBorder="1"/>
    <xf numFmtId="3" fontId="2" fillId="0" borderId="37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0" fontId="2" fillId="0" borderId="13" xfId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14" xfId="1" applyFont="1" applyBorder="1" applyAlignment="1">
      <alignment horizontal="center"/>
    </xf>
    <xf numFmtId="0" fontId="2" fillId="0" borderId="20" xfId="1" applyFont="1" applyBorder="1" applyAlignment="1">
      <alignment horizontal="center"/>
    </xf>
  </cellXfs>
  <cellStyles count="2">
    <cellStyle name="標準" xfId="0" builtinId="0"/>
    <cellStyle name="標準 2" xfId="1" xr:uid="{D344E8CE-54FF-43F8-962C-90CF4ABF5A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3E37-C619-430B-8E5F-D438EA8E2AF0}">
  <dimension ref="A1:N51"/>
  <sheetViews>
    <sheetView showZeros="0"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B6" sqref="B6"/>
    </sheetView>
  </sheetViews>
  <sheetFormatPr defaultRowHeight="18.75"/>
  <cols>
    <col min="1" max="1" width="2.375" style="2" customWidth="1"/>
    <col min="2" max="2" width="13.25" style="2" bestFit="1" customWidth="1"/>
    <col min="3" max="4" width="9" style="2" bestFit="1" customWidth="1"/>
    <col min="5" max="5" width="11.125" style="2" bestFit="1" customWidth="1"/>
    <col min="6" max="6" width="9" style="2" bestFit="1" customWidth="1"/>
    <col min="7" max="7" width="13.25" style="2" bestFit="1" customWidth="1"/>
    <col min="8" max="8" width="9" style="2" bestFit="1" customWidth="1"/>
    <col min="9" max="9" width="11.125" style="2" bestFit="1" customWidth="1"/>
    <col min="10" max="10" width="9.625" style="2" bestFit="1" customWidth="1"/>
    <col min="11" max="11" width="11.125" style="2" bestFit="1" customWidth="1"/>
    <col min="12" max="12" width="13.25" style="2" bestFit="1" customWidth="1"/>
    <col min="13" max="14" width="9.625" style="2" bestFit="1" customWidth="1"/>
    <col min="15" max="258" width="9" style="2"/>
    <col min="259" max="259" width="2.375" style="2" customWidth="1"/>
    <col min="260" max="260" width="13.25" style="2" bestFit="1" customWidth="1"/>
    <col min="261" max="262" width="9" style="2" bestFit="1"/>
    <col min="263" max="264" width="11.125" style="2" bestFit="1" customWidth="1"/>
    <col min="265" max="265" width="13.25" style="2" bestFit="1" customWidth="1"/>
    <col min="266" max="266" width="9" style="2" bestFit="1"/>
    <col min="267" max="267" width="13.25" style="2" bestFit="1" customWidth="1"/>
    <col min="268" max="268" width="9" style="2" bestFit="1"/>
    <col min="269" max="269" width="11.125" style="2" bestFit="1" customWidth="1"/>
    <col min="270" max="270" width="9.625" style="2" bestFit="1" customWidth="1"/>
    <col min="271" max="514" width="9" style="2"/>
    <col min="515" max="515" width="2.375" style="2" customWidth="1"/>
    <col min="516" max="516" width="13.25" style="2" bestFit="1" customWidth="1"/>
    <col min="517" max="518" width="9" style="2" bestFit="1"/>
    <col min="519" max="520" width="11.125" style="2" bestFit="1" customWidth="1"/>
    <col min="521" max="521" width="13.25" style="2" bestFit="1" customWidth="1"/>
    <col min="522" max="522" width="9" style="2" bestFit="1"/>
    <col min="523" max="523" width="13.25" style="2" bestFit="1" customWidth="1"/>
    <col min="524" max="524" width="9" style="2" bestFit="1"/>
    <col min="525" max="525" width="11.125" style="2" bestFit="1" customWidth="1"/>
    <col min="526" max="526" width="9.625" style="2" bestFit="1" customWidth="1"/>
    <col min="527" max="770" width="9" style="2"/>
    <col min="771" max="771" width="2.375" style="2" customWidth="1"/>
    <col min="772" max="772" width="13.25" style="2" bestFit="1" customWidth="1"/>
    <col min="773" max="774" width="9" style="2" bestFit="1"/>
    <col min="775" max="776" width="11.125" style="2" bestFit="1" customWidth="1"/>
    <col min="777" max="777" width="13.25" style="2" bestFit="1" customWidth="1"/>
    <col min="778" max="778" width="9" style="2" bestFit="1"/>
    <col min="779" max="779" width="13.25" style="2" bestFit="1" customWidth="1"/>
    <col min="780" max="780" width="9" style="2" bestFit="1"/>
    <col min="781" max="781" width="11.125" style="2" bestFit="1" customWidth="1"/>
    <col min="782" max="782" width="9.625" style="2" bestFit="1" customWidth="1"/>
    <col min="783" max="1026" width="9" style="2"/>
    <col min="1027" max="1027" width="2.375" style="2" customWidth="1"/>
    <col min="1028" max="1028" width="13.25" style="2" bestFit="1" customWidth="1"/>
    <col min="1029" max="1030" width="9" style="2" bestFit="1"/>
    <col min="1031" max="1032" width="11.125" style="2" bestFit="1" customWidth="1"/>
    <col min="1033" max="1033" width="13.25" style="2" bestFit="1" customWidth="1"/>
    <col min="1034" max="1034" width="9" style="2" bestFit="1"/>
    <col min="1035" max="1035" width="13.25" style="2" bestFit="1" customWidth="1"/>
    <col min="1036" max="1036" width="9" style="2" bestFit="1"/>
    <col min="1037" max="1037" width="11.125" style="2" bestFit="1" customWidth="1"/>
    <col min="1038" max="1038" width="9.625" style="2" bestFit="1" customWidth="1"/>
    <col min="1039" max="1282" width="9" style="2"/>
    <col min="1283" max="1283" width="2.375" style="2" customWidth="1"/>
    <col min="1284" max="1284" width="13.25" style="2" bestFit="1" customWidth="1"/>
    <col min="1285" max="1286" width="9" style="2" bestFit="1"/>
    <col min="1287" max="1288" width="11.125" style="2" bestFit="1" customWidth="1"/>
    <col min="1289" max="1289" width="13.25" style="2" bestFit="1" customWidth="1"/>
    <col min="1290" max="1290" width="9" style="2" bestFit="1"/>
    <col min="1291" max="1291" width="13.25" style="2" bestFit="1" customWidth="1"/>
    <col min="1292" max="1292" width="9" style="2" bestFit="1"/>
    <col min="1293" max="1293" width="11.125" style="2" bestFit="1" customWidth="1"/>
    <col min="1294" max="1294" width="9.625" style="2" bestFit="1" customWidth="1"/>
    <col min="1295" max="1538" width="9" style="2"/>
    <col min="1539" max="1539" width="2.375" style="2" customWidth="1"/>
    <col min="1540" max="1540" width="13.25" style="2" bestFit="1" customWidth="1"/>
    <col min="1541" max="1542" width="9" style="2" bestFit="1"/>
    <col min="1543" max="1544" width="11.125" style="2" bestFit="1" customWidth="1"/>
    <col min="1545" max="1545" width="13.25" style="2" bestFit="1" customWidth="1"/>
    <col min="1546" max="1546" width="9" style="2" bestFit="1"/>
    <col min="1547" max="1547" width="13.25" style="2" bestFit="1" customWidth="1"/>
    <col min="1548" max="1548" width="9" style="2" bestFit="1"/>
    <col min="1549" max="1549" width="11.125" style="2" bestFit="1" customWidth="1"/>
    <col min="1550" max="1550" width="9.625" style="2" bestFit="1" customWidth="1"/>
    <col min="1551" max="1794" width="9" style="2"/>
    <col min="1795" max="1795" width="2.375" style="2" customWidth="1"/>
    <col min="1796" max="1796" width="13.25" style="2" bestFit="1" customWidth="1"/>
    <col min="1797" max="1798" width="9" style="2" bestFit="1"/>
    <col min="1799" max="1800" width="11.125" style="2" bestFit="1" customWidth="1"/>
    <col min="1801" max="1801" width="13.25" style="2" bestFit="1" customWidth="1"/>
    <col min="1802" max="1802" width="9" style="2" bestFit="1"/>
    <col min="1803" max="1803" width="13.25" style="2" bestFit="1" customWidth="1"/>
    <col min="1804" max="1804" width="9" style="2" bestFit="1"/>
    <col min="1805" max="1805" width="11.125" style="2" bestFit="1" customWidth="1"/>
    <col min="1806" max="1806" width="9.625" style="2" bestFit="1" customWidth="1"/>
    <col min="1807" max="2050" width="9" style="2"/>
    <col min="2051" max="2051" width="2.375" style="2" customWidth="1"/>
    <col min="2052" max="2052" width="13.25" style="2" bestFit="1" customWidth="1"/>
    <col min="2053" max="2054" width="9" style="2" bestFit="1"/>
    <col min="2055" max="2056" width="11.125" style="2" bestFit="1" customWidth="1"/>
    <col min="2057" max="2057" width="13.25" style="2" bestFit="1" customWidth="1"/>
    <col min="2058" max="2058" width="9" style="2" bestFit="1"/>
    <col min="2059" max="2059" width="13.25" style="2" bestFit="1" customWidth="1"/>
    <col min="2060" max="2060" width="9" style="2" bestFit="1"/>
    <col min="2061" max="2061" width="11.125" style="2" bestFit="1" customWidth="1"/>
    <col min="2062" max="2062" width="9.625" style="2" bestFit="1" customWidth="1"/>
    <col min="2063" max="2306" width="9" style="2"/>
    <col min="2307" max="2307" width="2.375" style="2" customWidth="1"/>
    <col min="2308" max="2308" width="13.25" style="2" bestFit="1" customWidth="1"/>
    <col min="2309" max="2310" width="9" style="2" bestFit="1"/>
    <col min="2311" max="2312" width="11.125" style="2" bestFit="1" customWidth="1"/>
    <col min="2313" max="2313" width="13.25" style="2" bestFit="1" customWidth="1"/>
    <col min="2314" max="2314" width="9" style="2" bestFit="1"/>
    <col min="2315" max="2315" width="13.25" style="2" bestFit="1" customWidth="1"/>
    <col min="2316" max="2316" width="9" style="2" bestFit="1"/>
    <col min="2317" max="2317" width="11.125" style="2" bestFit="1" customWidth="1"/>
    <col min="2318" max="2318" width="9.625" style="2" bestFit="1" customWidth="1"/>
    <col min="2319" max="2562" width="9" style="2"/>
    <col min="2563" max="2563" width="2.375" style="2" customWidth="1"/>
    <col min="2564" max="2564" width="13.25" style="2" bestFit="1" customWidth="1"/>
    <col min="2565" max="2566" width="9" style="2" bestFit="1"/>
    <col min="2567" max="2568" width="11.125" style="2" bestFit="1" customWidth="1"/>
    <col min="2569" max="2569" width="13.25" style="2" bestFit="1" customWidth="1"/>
    <col min="2570" max="2570" width="9" style="2" bestFit="1"/>
    <col min="2571" max="2571" width="13.25" style="2" bestFit="1" customWidth="1"/>
    <col min="2572" max="2572" width="9" style="2" bestFit="1"/>
    <col min="2573" max="2573" width="11.125" style="2" bestFit="1" customWidth="1"/>
    <col min="2574" max="2574" width="9.625" style="2" bestFit="1" customWidth="1"/>
    <col min="2575" max="2818" width="9" style="2"/>
    <col min="2819" max="2819" width="2.375" style="2" customWidth="1"/>
    <col min="2820" max="2820" width="13.25" style="2" bestFit="1" customWidth="1"/>
    <col min="2821" max="2822" width="9" style="2" bestFit="1"/>
    <col min="2823" max="2824" width="11.125" style="2" bestFit="1" customWidth="1"/>
    <col min="2825" max="2825" width="13.25" style="2" bestFit="1" customWidth="1"/>
    <col min="2826" max="2826" width="9" style="2" bestFit="1"/>
    <col min="2827" max="2827" width="13.25" style="2" bestFit="1" customWidth="1"/>
    <col min="2828" max="2828" width="9" style="2" bestFit="1"/>
    <col min="2829" max="2829" width="11.125" style="2" bestFit="1" customWidth="1"/>
    <col min="2830" max="2830" width="9.625" style="2" bestFit="1" customWidth="1"/>
    <col min="2831" max="3074" width="9" style="2"/>
    <col min="3075" max="3075" width="2.375" style="2" customWidth="1"/>
    <col min="3076" max="3076" width="13.25" style="2" bestFit="1" customWidth="1"/>
    <col min="3077" max="3078" width="9" style="2" bestFit="1"/>
    <col min="3079" max="3080" width="11.125" style="2" bestFit="1" customWidth="1"/>
    <col min="3081" max="3081" width="13.25" style="2" bestFit="1" customWidth="1"/>
    <col min="3082" max="3082" width="9" style="2" bestFit="1"/>
    <col min="3083" max="3083" width="13.25" style="2" bestFit="1" customWidth="1"/>
    <col min="3084" max="3084" width="9" style="2" bestFit="1"/>
    <col min="3085" max="3085" width="11.125" style="2" bestFit="1" customWidth="1"/>
    <col min="3086" max="3086" width="9.625" style="2" bestFit="1" customWidth="1"/>
    <col min="3087" max="3330" width="9" style="2"/>
    <col min="3331" max="3331" width="2.375" style="2" customWidth="1"/>
    <col min="3332" max="3332" width="13.25" style="2" bestFit="1" customWidth="1"/>
    <col min="3333" max="3334" width="9" style="2" bestFit="1"/>
    <col min="3335" max="3336" width="11.125" style="2" bestFit="1" customWidth="1"/>
    <col min="3337" max="3337" width="13.25" style="2" bestFit="1" customWidth="1"/>
    <col min="3338" max="3338" width="9" style="2" bestFit="1"/>
    <col min="3339" max="3339" width="13.25" style="2" bestFit="1" customWidth="1"/>
    <col min="3340" max="3340" width="9" style="2" bestFit="1"/>
    <col min="3341" max="3341" width="11.125" style="2" bestFit="1" customWidth="1"/>
    <col min="3342" max="3342" width="9.625" style="2" bestFit="1" customWidth="1"/>
    <col min="3343" max="3586" width="9" style="2"/>
    <col min="3587" max="3587" width="2.375" style="2" customWidth="1"/>
    <col min="3588" max="3588" width="13.25" style="2" bestFit="1" customWidth="1"/>
    <col min="3589" max="3590" width="9" style="2" bestFit="1"/>
    <col min="3591" max="3592" width="11.125" style="2" bestFit="1" customWidth="1"/>
    <col min="3593" max="3593" width="13.25" style="2" bestFit="1" customWidth="1"/>
    <col min="3594" max="3594" width="9" style="2" bestFit="1"/>
    <col min="3595" max="3595" width="13.25" style="2" bestFit="1" customWidth="1"/>
    <col min="3596" max="3596" width="9" style="2" bestFit="1"/>
    <col min="3597" max="3597" width="11.125" style="2" bestFit="1" customWidth="1"/>
    <col min="3598" max="3598" width="9.625" style="2" bestFit="1" customWidth="1"/>
    <col min="3599" max="3842" width="9" style="2"/>
    <col min="3843" max="3843" width="2.375" style="2" customWidth="1"/>
    <col min="3844" max="3844" width="13.25" style="2" bestFit="1" customWidth="1"/>
    <col min="3845" max="3846" width="9" style="2" bestFit="1"/>
    <col min="3847" max="3848" width="11.125" style="2" bestFit="1" customWidth="1"/>
    <col min="3849" max="3849" width="13.25" style="2" bestFit="1" customWidth="1"/>
    <col min="3850" max="3850" width="9" style="2" bestFit="1"/>
    <col min="3851" max="3851" width="13.25" style="2" bestFit="1" customWidth="1"/>
    <col min="3852" max="3852" width="9" style="2" bestFit="1"/>
    <col min="3853" max="3853" width="11.125" style="2" bestFit="1" customWidth="1"/>
    <col min="3854" max="3854" width="9.625" style="2" bestFit="1" customWidth="1"/>
    <col min="3855" max="4098" width="9" style="2"/>
    <col min="4099" max="4099" width="2.375" style="2" customWidth="1"/>
    <col min="4100" max="4100" width="13.25" style="2" bestFit="1" customWidth="1"/>
    <col min="4101" max="4102" width="9" style="2" bestFit="1"/>
    <col min="4103" max="4104" width="11.125" style="2" bestFit="1" customWidth="1"/>
    <col min="4105" max="4105" width="13.25" style="2" bestFit="1" customWidth="1"/>
    <col min="4106" max="4106" width="9" style="2" bestFit="1"/>
    <col min="4107" max="4107" width="13.25" style="2" bestFit="1" customWidth="1"/>
    <col min="4108" max="4108" width="9" style="2" bestFit="1"/>
    <col min="4109" max="4109" width="11.125" style="2" bestFit="1" customWidth="1"/>
    <col min="4110" max="4110" width="9.625" style="2" bestFit="1" customWidth="1"/>
    <col min="4111" max="4354" width="9" style="2"/>
    <col min="4355" max="4355" width="2.375" style="2" customWidth="1"/>
    <col min="4356" max="4356" width="13.25" style="2" bestFit="1" customWidth="1"/>
    <col min="4357" max="4358" width="9" style="2" bestFit="1"/>
    <col min="4359" max="4360" width="11.125" style="2" bestFit="1" customWidth="1"/>
    <col min="4361" max="4361" width="13.25" style="2" bestFit="1" customWidth="1"/>
    <col min="4362" max="4362" width="9" style="2" bestFit="1"/>
    <col min="4363" max="4363" width="13.25" style="2" bestFit="1" customWidth="1"/>
    <col min="4364" max="4364" width="9" style="2" bestFit="1"/>
    <col min="4365" max="4365" width="11.125" style="2" bestFit="1" customWidth="1"/>
    <col min="4366" max="4366" width="9.625" style="2" bestFit="1" customWidth="1"/>
    <col min="4367" max="4610" width="9" style="2"/>
    <col min="4611" max="4611" width="2.375" style="2" customWidth="1"/>
    <col min="4612" max="4612" width="13.25" style="2" bestFit="1" customWidth="1"/>
    <col min="4613" max="4614" width="9" style="2" bestFit="1"/>
    <col min="4615" max="4616" width="11.125" style="2" bestFit="1" customWidth="1"/>
    <col min="4617" max="4617" width="13.25" style="2" bestFit="1" customWidth="1"/>
    <col min="4618" max="4618" width="9" style="2" bestFit="1"/>
    <col min="4619" max="4619" width="13.25" style="2" bestFit="1" customWidth="1"/>
    <col min="4620" max="4620" width="9" style="2" bestFit="1"/>
    <col min="4621" max="4621" width="11.125" style="2" bestFit="1" customWidth="1"/>
    <col min="4622" max="4622" width="9.625" style="2" bestFit="1" customWidth="1"/>
    <col min="4623" max="4866" width="9" style="2"/>
    <col min="4867" max="4867" width="2.375" style="2" customWidth="1"/>
    <col min="4868" max="4868" width="13.25" style="2" bestFit="1" customWidth="1"/>
    <col min="4869" max="4870" width="9" style="2" bestFit="1"/>
    <col min="4871" max="4872" width="11.125" style="2" bestFit="1" customWidth="1"/>
    <col min="4873" max="4873" width="13.25" style="2" bestFit="1" customWidth="1"/>
    <col min="4874" max="4874" width="9" style="2" bestFit="1"/>
    <col min="4875" max="4875" width="13.25" style="2" bestFit="1" customWidth="1"/>
    <col min="4876" max="4876" width="9" style="2" bestFit="1"/>
    <col min="4877" max="4877" width="11.125" style="2" bestFit="1" customWidth="1"/>
    <col min="4878" max="4878" width="9.625" style="2" bestFit="1" customWidth="1"/>
    <col min="4879" max="5122" width="9" style="2"/>
    <col min="5123" max="5123" width="2.375" style="2" customWidth="1"/>
    <col min="5124" max="5124" width="13.25" style="2" bestFit="1" customWidth="1"/>
    <col min="5125" max="5126" width="9" style="2" bestFit="1"/>
    <col min="5127" max="5128" width="11.125" style="2" bestFit="1" customWidth="1"/>
    <col min="5129" max="5129" width="13.25" style="2" bestFit="1" customWidth="1"/>
    <col min="5130" max="5130" width="9" style="2" bestFit="1"/>
    <col min="5131" max="5131" width="13.25" style="2" bestFit="1" customWidth="1"/>
    <col min="5132" max="5132" width="9" style="2" bestFit="1"/>
    <col min="5133" max="5133" width="11.125" style="2" bestFit="1" customWidth="1"/>
    <col min="5134" max="5134" width="9.625" style="2" bestFit="1" customWidth="1"/>
    <col min="5135" max="5378" width="9" style="2"/>
    <col min="5379" max="5379" width="2.375" style="2" customWidth="1"/>
    <col min="5380" max="5380" width="13.25" style="2" bestFit="1" customWidth="1"/>
    <col min="5381" max="5382" width="9" style="2" bestFit="1"/>
    <col min="5383" max="5384" width="11.125" style="2" bestFit="1" customWidth="1"/>
    <col min="5385" max="5385" width="13.25" style="2" bestFit="1" customWidth="1"/>
    <col min="5386" max="5386" width="9" style="2" bestFit="1"/>
    <col min="5387" max="5387" width="13.25" style="2" bestFit="1" customWidth="1"/>
    <col min="5388" max="5388" width="9" style="2" bestFit="1"/>
    <col min="5389" max="5389" width="11.125" style="2" bestFit="1" customWidth="1"/>
    <col min="5390" max="5390" width="9.625" style="2" bestFit="1" customWidth="1"/>
    <col min="5391" max="5634" width="9" style="2"/>
    <col min="5635" max="5635" width="2.375" style="2" customWidth="1"/>
    <col min="5636" max="5636" width="13.25" style="2" bestFit="1" customWidth="1"/>
    <col min="5637" max="5638" width="9" style="2" bestFit="1"/>
    <col min="5639" max="5640" width="11.125" style="2" bestFit="1" customWidth="1"/>
    <col min="5641" max="5641" width="13.25" style="2" bestFit="1" customWidth="1"/>
    <col min="5642" max="5642" width="9" style="2" bestFit="1"/>
    <col min="5643" max="5643" width="13.25" style="2" bestFit="1" customWidth="1"/>
    <col min="5644" max="5644" width="9" style="2" bestFit="1"/>
    <col min="5645" max="5645" width="11.125" style="2" bestFit="1" customWidth="1"/>
    <col min="5646" max="5646" width="9.625" style="2" bestFit="1" customWidth="1"/>
    <col min="5647" max="5890" width="9" style="2"/>
    <col min="5891" max="5891" width="2.375" style="2" customWidth="1"/>
    <col min="5892" max="5892" width="13.25" style="2" bestFit="1" customWidth="1"/>
    <col min="5893" max="5894" width="9" style="2" bestFit="1"/>
    <col min="5895" max="5896" width="11.125" style="2" bestFit="1" customWidth="1"/>
    <col min="5897" max="5897" width="13.25" style="2" bestFit="1" customWidth="1"/>
    <col min="5898" max="5898" width="9" style="2" bestFit="1"/>
    <col min="5899" max="5899" width="13.25" style="2" bestFit="1" customWidth="1"/>
    <col min="5900" max="5900" width="9" style="2" bestFit="1"/>
    <col min="5901" max="5901" width="11.125" style="2" bestFit="1" customWidth="1"/>
    <col min="5902" max="5902" width="9.625" style="2" bestFit="1" customWidth="1"/>
    <col min="5903" max="6146" width="9" style="2"/>
    <col min="6147" max="6147" width="2.375" style="2" customWidth="1"/>
    <col min="6148" max="6148" width="13.25" style="2" bestFit="1" customWidth="1"/>
    <col min="6149" max="6150" width="9" style="2" bestFit="1"/>
    <col min="6151" max="6152" width="11.125" style="2" bestFit="1" customWidth="1"/>
    <col min="6153" max="6153" width="13.25" style="2" bestFit="1" customWidth="1"/>
    <col min="6154" max="6154" width="9" style="2" bestFit="1"/>
    <col min="6155" max="6155" width="13.25" style="2" bestFit="1" customWidth="1"/>
    <col min="6156" max="6156" width="9" style="2" bestFit="1"/>
    <col min="6157" max="6157" width="11.125" style="2" bestFit="1" customWidth="1"/>
    <col min="6158" max="6158" width="9.625" style="2" bestFit="1" customWidth="1"/>
    <col min="6159" max="6402" width="9" style="2"/>
    <col min="6403" max="6403" width="2.375" style="2" customWidth="1"/>
    <col min="6404" max="6404" width="13.25" style="2" bestFit="1" customWidth="1"/>
    <col min="6405" max="6406" width="9" style="2" bestFit="1"/>
    <col min="6407" max="6408" width="11.125" style="2" bestFit="1" customWidth="1"/>
    <col min="6409" max="6409" width="13.25" style="2" bestFit="1" customWidth="1"/>
    <col min="6410" max="6410" width="9" style="2" bestFit="1"/>
    <col min="6411" max="6411" width="13.25" style="2" bestFit="1" customWidth="1"/>
    <col min="6412" max="6412" width="9" style="2" bestFit="1"/>
    <col min="6413" max="6413" width="11.125" style="2" bestFit="1" customWidth="1"/>
    <col min="6414" max="6414" width="9.625" style="2" bestFit="1" customWidth="1"/>
    <col min="6415" max="6658" width="9" style="2"/>
    <col min="6659" max="6659" width="2.375" style="2" customWidth="1"/>
    <col min="6660" max="6660" width="13.25" style="2" bestFit="1" customWidth="1"/>
    <col min="6661" max="6662" width="9" style="2" bestFit="1"/>
    <col min="6663" max="6664" width="11.125" style="2" bestFit="1" customWidth="1"/>
    <col min="6665" max="6665" width="13.25" style="2" bestFit="1" customWidth="1"/>
    <col min="6666" max="6666" width="9" style="2" bestFit="1"/>
    <col min="6667" max="6667" width="13.25" style="2" bestFit="1" customWidth="1"/>
    <col min="6668" max="6668" width="9" style="2" bestFit="1"/>
    <col min="6669" max="6669" width="11.125" style="2" bestFit="1" customWidth="1"/>
    <col min="6670" max="6670" width="9.625" style="2" bestFit="1" customWidth="1"/>
    <col min="6671" max="6914" width="9" style="2"/>
    <col min="6915" max="6915" width="2.375" style="2" customWidth="1"/>
    <col min="6916" max="6916" width="13.25" style="2" bestFit="1" customWidth="1"/>
    <col min="6917" max="6918" width="9" style="2" bestFit="1"/>
    <col min="6919" max="6920" width="11.125" style="2" bestFit="1" customWidth="1"/>
    <col min="6921" max="6921" width="13.25" style="2" bestFit="1" customWidth="1"/>
    <col min="6922" max="6922" width="9" style="2" bestFit="1"/>
    <col min="6923" max="6923" width="13.25" style="2" bestFit="1" customWidth="1"/>
    <col min="6924" max="6924" width="9" style="2" bestFit="1"/>
    <col min="6925" max="6925" width="11.125" style="2" bestFit="1" customWidth="1"/>
    <col min="6926" max="6926" width="9.625" style="2" bestFit="1" customWidth="1"/>
    <col min="6927" max="7170" width="9" style="2"/>
    <col min="7171" max="7171" width="2.375" style="2" customWidth="1"/>
    <col min="7172" max="7172" width="13.25" style="2" bestFit="1" customWidth="1"/>
    <col min="7173" max="7174" width="9" style="2" bestFit="1"/>
    <col min="7175" max="7176" width="11.125" style="2" bestFit="1" customWidth="1"/>
    <col min="7177" max="7177" width="13.25" style="2" bestFit="1" customWidth="1"/>
    <col min="7178" max="7178" width="9" style="2" bestFit="1"/>
    <col min="7179" max="7179" width="13.25" style="2" bestFit="1" customWidth="1"/>
    <col min="7180" max="7180" width="9" style="2" bestFit="1"/>
    <col min="7181" max="7181" width="11.125" style="2" bestFit="1" customWidth="1"/>
    <col min="7182" max="7182" width="9.625" style="2" bestFit="1" customWidth="1"/>
    <col min="7183" max="7426" width="9" style="2"/>
    <col min="7427" max="7427" width="2.375" style="2" customWidth="1"/>
    <col min="7428" max="7428" width="13.25" style="2" bestFit="1" customWidth="1"/>
    <col min="7429" max="7430" width="9" style="2" bestFit="1"/>
    <col min="7431" max="7432" width="11.125" style="2" bestFit="1" customWidth="1"/>
    <col min="7433" max="7433" width="13.25" style="2" bestFit="1" customWidth="1"/>
    <col min="7434" max="7434" width="9" style="2" bestFit="1"/>
    <col min="7435" max="7435" width="13.25" style="2" bestFit="1" customWidth="1"/>
    <col min="7436" max="7436" width="9" style="2" bestFit="1"/>
    <col min="7437" max="7437" width="11.125" style="2" bestFit="1" customWidth="1"/>
    <col min="7438" max="7438" width="9.625" style="2" bestFit="1" customWidth="1"/>
    <col min="7439" max="7682" width="9" style="2"/>
    <col min="7683" max="7683" width="2.375" style="2" customWidth="1"/>
    <col min="7684" max="7684" width="13.25" style="2" bestFit="1" customWidth="1"/>
    <col min="7685" max="7686" width="9" style="2" bestFit="1"/>
    <col min="7687" max="7688" width="11.125" style="2" bestFit="1" customWidth="1"/>
    <col min="7689" max="7689" width="13.25" style="2" bestFit="1" customWidth="1"/>
    <col min="7690" max="7690" width="9" style="2" bestFit="1"/>
    <col min="7691" max="7691" width="13.25" style="2" bestFit="1" customWidth="1"/>
    <col min="7692" max="7692" width="9" style="2" bestFit="1"/>
    <col min="7693" max="7693" width="11.125" style="2" bestFit="1" customWidth="1"/>
    <col min="7694" max="7694" width="9.625" style="2" bestFit="1" customWidth="1"/>
    <col min="7695" max="7938" width="9" style="2"/>
    <col min="7939" max="7939" width="2.375" style="2" customWidth="1"/>
    <col min="7940" max="7940" width="13.25" style="2" bestFit="1" customWidth="1"/>
    <col min="7941" max="7942" width="9" style="2" bestFit="1"/>
    <col min="7943" max="7944" width="11.125" style="2" bestFit="1" customWidth="1"/>
    <col min="7945" max="7945" width="13.25" style="2" bestFit="1" customWidth="1"/>
    <col min="7946" max="7946" width="9" style="2" bestFit="1"/>
    <col min="7947" max="7947" width="13.25" style="2" bestFit="1" customWidth="1"/>
    <col min="7948" max="7948" width="9" style="2" bestFit="1"/>
    <col min="7949" max="7949" width="11.125" style="2" bestFit="1" customWidth="1"/>
    <col min="7950" max="7950" width="9.625" style="2" bestFit="1" customWidth="1"/>
    <col min="7951" max="8194" width="9" style="2"/>
    <col min="8195" max="8195" width="2.375" style="2" customWidth="1"/>
    <col min="8196" max="8196" width="13.25" style="2" bestFit="1" customWidth="1"/>
    <col min="8197" max="8198" width="9" style="2" bestFit="1"/>
    <col min="8199" max="8200" width="11.125" style="2" bestFit="1" customWidth="1"/>
    <col min="8201" max="8201" width="13.25" style="2" bestFit="1" customWidth="1"/>
    <col min="8202" max="8202" width="9" style="2" bestFit="1"/>
    <col min="8203" max="8203" width="13.25" style="2" bestFit="1" customWidth="1"/>
    <col min="8204" max="8204" width="9" style="2" bestFit="1"/>
    <col min="8205" max="8205" width="11.125" style="2" bestFit="1" customWidth="1"/>
    <col min="8206" max="8206" width="9.625" style="2" bestFit="1" customWidth="1"/>
    <col min="8207" max="8450" width="9" style="2"/>
    <col min="8451" max="8451" width="2.375" style="2" customWidth="1"/>
    <col min="8452" max="8452" width="13.25" style="2" bestFit="1" customWidth="1"/>
    <col min="8453" max="8454" width="9" style="2" bestFit="1"/>
    <col min="8455" max="8456" width="11.125" style="2" bestFit="1" customWidth="1"/>
    <col min="8457" max="8457" width="13.25" style="2" bestFit="1" customWidth="1"/>
    <col min="8458" max="8458" width="9" style="2" bestFit="1"/>
    <col min="8459" max="8459" width="13.25" style="2" bestFit="1" customWidth="1"/>
    <col min="8460" max="8460" width="9" style="2" bestFit="1"/>
    <col min="8461" max="8461" width="11.125" style="2" bestFit="1" customWidth="1"/>
    <col min="8462" max="8462" width="9.625" style="2" bestFit="1" customWidth="1"/>
    <col min="8463" max="8706" width="9" style="2"/>
    <col min="8707" max="8707" width="2.375" style="2" customWidth="1"/>
    <col min="8708" max="8708" width="13.25" style="2" bestFit="1" customWidth="1"/>
    <col min="8709" max="8710" width="9" style="2" bestFit="1"/>
    <col min="8711" max="8712" width="11.125" style="2" bestFit="1" customWidth="1"/>
    <col min="8713" max="8713" width="13.25" style="2" bestFit="1" customWidth="1"/>
    <col min="8714" max="8714" width="9" style="2" bestFit="1"/>
    <col min="8715" max="8715" width="13.25" style="2" bestFit="1" customWidth="1"/>
    <col min="8716" max="8716" width="9" style="2" bestFit="1"/>
    <col min="8717" max="8717" width="11.125" style="2" bestFit="1" customWidth="1"/>
    <col min="8718" max="8718" width="9.625" style="2" bestFit="1" customWidth="1"/>
    <col min="8719" max="8962" width="9" style="2"/>
    <col min="8963" max="8963" width="2.375" style="2" customWidth="1"/>
    <col min="8964" max="8964" width="13.25" style="2" bestFit="1" customWidth="1"/>
    <col min="8965" max="8966" width="9" style="2" bestFit="1"/>
    <col min="8967" max="8968" width="11.125" style="2" bestFit="1" customWidth="1"/>
    <col min="8969" max="8969" width="13.25" style="2" bestFit="1" customWidth="1"/>
    <col min="8970" max="8970" width="9" style="2" bestFit="1"/>
    <col min="8971" max="8971" width="13.25" style="2" bestFit="1" customWidth="1"/>
    <col min="8972" max="8972" width="9" style="2" bestFit="1"/>
    <col min="8973" max="8973" width="11.125" style="2" bestFit="1" customWidth="1"/>
    <col min="8974" max="8974" width="9.625" style="2" bestFit="1" customWidth="1"/>
    <col min="8975" max="9218" width="9" style="2"/>
    <col min="9219" max="9219" width="2.375" style="2" customWidth="1"/>
    <col min="9220" max="9220" width="13.25" style="2" bestFit="1" customWidth="1"/>
    <col min="9221" max="9222" width="9" style="2" bestFit="1"/>
    <col min="9223" max="9224" width="11.125" style="2" bestFit="1" customWidth="1"/>
    <col min="9225" max="9225" width="13.25" style="2" bestFit="1" customWidth="1"/>
    <col min="9226" max="9226" width="9" style="2" bestFit="1"/>
    <col min="9227" max="9227" width="13.25" style="2" bestFit="1" customWidth="1"/>
    <col min="9228" max="9228" width="9" style="2" bestFit="1"/>
    <col min="9229" max="9229" width="11.125" style="2" bestFit="1" customWidth="1"/>
    <col min="9230" max="9230" width="9.625" style="2" bestFit="1" customWidth="1"/>
    <col min="9231" max="9474" width="9" style="2"/>
    <col min="9475" max="9475" width="2.375" style="2" customWidth="1"/>
    <col min="9476" max="9476" width="13.25" style="2" bestFit="1" customWidth="1"/>
    <col min="9477" max="9478" width="9" style="2" bestFit="1"/>
    <col min="9479" max="9480" width="11.125" style="2" bestFit="1" customWidth="1"/>
    <col min="9481" max="9481" width="13.25" style="2" bestFit="1" customWidth="1"/>
    <col min="9482" max="9482" width="9" style="2" bestFit="1"/>
    <col min="9483" max="9483" width="13.25" style="2" bestFit="1" customWidth="1"/>
    <col min="9484" max="9484" width="9" style="2" bestFit="1"/>
    <col min="9485" max="9485" width="11.125" style="2" bestFit="1" customWidth="1"/>
    <col min="9486" max="9486" width="9.625" style="2" bestFit="1" customWidth="1"/>
    <col min="9487" max="9730" width="9" style="2"/>
    <col min="9731" max="9731" width="2.375" style="2" customWidth="1"/>
    <col min="9732" max="9732" width="13.25" style="2" bestFit="1" customWidth="1"/>
    <col min="9733" max="9734" width="9" style="2" bestFit="1"/>
    <col min="9735" max="9736" width="11.125" style="2" bestFit="1" customWidth="1"/>
    <col min="9737" max="9737" width="13.25" style="2" bestFit="1" customWidth="1"/>
    <col min="9738" max="9738" width="9" style="2" bestFit="1"/>
    <col min="9739" max="9739" width="13.25" style="2" bestFit="1" customWidth="1"/>
    <col min="9740" max="9740" width="9" style="2" bestFit="1"/>
    <col min="9741" max="9741" width="11.125" style="2" bestFit="1" customWidth="1"/>
    <col min="9742" max="9742" width="9.625" style="2" bestFit="1" customWidth="1"/>
    <col min="9743" max="9986" width="9" style="2"/>
    <col min="9987" max="9987" width="2.375" style="2" customWidth="1"/>
    <col min="9988" max="9988" width="13.25" style="2" bestFit="1" customWidth="1"/>
    <col min="9989" max="9990" width="9" style="2" bestFit="1"/>
    <col min="9991" max="9992" width="11.125" style="2" bestFit="1" customWidth="1"/>
    <col min="9993" max="9993" width="13.25" style="2" bestFit="1" customWidth="1"/>
    <col min="9994" max="9994" width="9" style="2" bestFit="1"/>
    <col min="9995" max="9995" width="13.25" style="2" bestFit="1" customWidth="1"/>
    <col min="9996" max="9996" width="9" style="2" bestFit="1"/>
    <col min="9997" max="9997" width="11.125" style="2" bestFit="1" customWidth="1"/>
    <col min="9998" max="9998" width="9.625" style="2" bestFit="1" customWidth="1"/>
    <col min="9999" max="10242" width="9" style="2"/>
    <col min="10243" max="10243" width="2.375" style="2" customWidth="1"/>
    <col min="10244" max="10244" width="13.25" style="2" bestFit="1" customWidth="1"/>
    <col min="10245" max="10246" width="9" style="2" bestFit="1"/>
    <col min="10247" max="10248" width="11.125" style="2" bestFit="1" customWidth="1"/>
    <col min="10249" max="10249" width="13.25" style="2" bestFit="1" customWidth="1"/>
    <col min="10250" max="10250" width="9" style="2" bestFit="1"/>
    <col min="10251" max="10251" width="13.25" style="2" bestFit="1" customWidth="1"/>
    <col min="10252" max="10252" width="9" style="2" bestFit="1"/>
    <col min="10253" max="10253" width="11.125" style="2" bestFit="1" customWidth="1"/>
    <col min="10254" max="10254" width="9.625" style="2" bestFit="1" customWidth="1"/>
    <col min="10255" max="10498" width="9" style="2"/>
    <col min="10499" max="10499" width="2.375" style="2" customWidth="1"/>
    <col min="10500" max="10500" width="13.25" style="2" bestFit="1" customWidth="1"/>
    <col min="10501" max="10502" width="9" style="2" bestFit="1"/>
    <col min="10503" max="10504" width="11.125" style="2" bestFit="1" customWidth="1"/>
    <col min="10505" max="10505" width="13.25" style="2" bestFit="1" customWidth="1"/>
    <col min="10506" max="10506" width="9" style="2" bestFit="1"/>
    <col min="10507" max="10507" width="13.25" style="2" bestFit="1" customWidth="1"/>
    <col min="10508" max="10508" width="9" style="2" bestFit="1"/>
    <col min="10509" max="10509" width="11.125" style="2" bestFit="1" customWidth="1"/>
    <col min="10510" max="10510" width="9.625" style="2" bestFit="1" customWidth="1"/>
    <col min="10511" max="10754" width="9" style="2"/>
    <col min="10755" max="10755" width="2.375" style="2" customWidth="1"/>
    <col min="10756" max="10756" width="13.25" style="2" bestFit="1" customWidth="1"/>
    <col min="10757" max="10758" width="9" style="2" bestFit="1"/>
    <col min="10759" max="10760" width="11.125" style="2" bestFit="1" customWidth="1"/>
    <col min="10761" max="10761" width="13.25" style="2" bestFit="1" customWidth="1"/>
    <col min="10762" max="10762" width="9" style="2" bestFit="1"/>
    <col min="10763" max="10763" width="13.25" style="2" bestFit="1" customWidth="1"/>
    <col min="10764" max="10764" width="9" style="2" bestFit="1"/>
    <col min="10765" max="10765" width="11.125" style="2" bestFit="1" customWidth="1"/>
    <col min="10766" max="10766" width="9.625" style="2" bestFit="1" customWidth="1"/>
    <col min="10767" max="11010" width="9" style="2"/>
    <col min="11011" max="11011" width="2.375" style="2" customWidth="1"/>
    <col min="11012" max="11012" width="13.25" style="2" bestFit="1" customWidth="1"/>
    <col min="11013" max="11014" width="9" style="2" bestFit="1"/>
    <col min="11015" max="11016" width="11.125" style="2" bestFit="1" customWidth="1"/>
    <col min="11017" max="11017" width="13.25" style="2" bestFit="1" customWidth="1"/>
    <col min="11018" max="11018" width="9" style="2" bestFit="1"/>
    <col min="11019" max="11019" width="13.25" style="2" bestFit="1" customWidth="1"/>
    <col min="11020" max="11020" width="9" style="2" bestFit="1"/>
    <col min="11021" max="11021" width="11.125" style="2" bestFit="1" customWidth="1"/>
    <col min="11022" max="11022" width="9.625" style="2" bestFit="1" customWidth="1"/>
    <col min="11023" max="11266" width="9" style="2"/>
    <col min="11267" max="11267" width="2.375" style="2" customWidth="1"/>
    <col min="11268" max="11268" width="13.25" style="2" bestFit="1" customWidth="1"/>
    <col min="11269" max="11270" width="9" style="2" bestFit="1"/>
    <col min="11271" max="11272" width="11.125" style="2" bestFit="1" customWidth="1"/>
    <col min="11273" max="11273" width="13.25" style="2" bestFit="1" customWidth="1"/>
    <col min="11274" max="11274" width="9" style="2" bestFit="1"/>
    <col min="11275" max="11275" width="13.25" style="2" bestFit="1" customWidth="1"/>
    <col min="11276" max="11276" width="9" style="2" bestFit="1"/>
    <col min="11277" max="11277" width="11.125" style="2" bestFit="1" customWidth="1"/>
    <col min="11278" max="11278" width="9.625" style="2" bestFit="1" customWidth="1"/>
    <col min="11279" max="11522" width="9" style="2"/>
    <col min="11523" max="11523" width="2.375" style="2" customWidth="1"/>
    <col min="11524" max="11524" width="13.25" style="2" bestFit="1" customWidth="1"/>
    <col min="11525" max="11526" width="9" style="2" bestFit="1"/>
    <col min="11527" max="11528" width="11.125" style="2" bestFit="1" customWidth="1"/>
    <col min="11529" max="11529" width="13.25" style="2" bestFit="1" customWidth="1"/>
    <col min="11530" max="11530" width="9" style="2" bestFit="1"/>
    <col min="11531" max="11531" width="13.25" style="2" bestFit="1" customWidth="1"/>
    <col min="11532" max="11532" width="9" style="2" bestFit="1"/>
    <col min="11533" max="11533" width="11.125" style="2" bestFit="1" customWidth="1"/>
    <col min="11534" max="11534" width="9.625" style="2" bestFit="1" customWidth="1"/>
    <col min="11535" max="11778" width="9" style="2"/>
    <col min="11779" max="11779" width="2.375" style="2" customWidth="1"/>
    <col min="11780" max="11780" width="13.25" style="2" bestFit="1" customWidth="1"/>
    <col min="11781" max="11782" width="9" style="2" bestFit="1"/>
    <col min="11783" max="11784" width="11.125" style="2" bestFit="1" customWidth="1"/>
    <col min="11785" max="11785" width="13.25" style="2" bestFit="1" customWidth="1"/>
    <col min="11786" max="11786" width="9" style="2" bestFit="1"/>
    <col min="11787" max="11787" width="13.25" style="2" bestFit="1" customWidth="1"/>
    <col min="11788" max="11788" width="9" style="2" bestFit="1"/>
    <col min="11789" max="11789" width="11.125" style="2" bestFit="1" customWidth="1"/>
    <col min="11790" max="11790" width="9.625" style="2" bestFit="1" customWidth="1"/>
    <col min="11791" max="12034" width="9" style="2"/>
    <col min="12035" max="12035" width="2.375" style="2" customWidth="1"/>
    <col min="12036" max="12036" width="13.25" style="2" bestFit="1" customWidth="1"/>
    <col min="12037" max="12038" width="9" style="2" bestFit="1"/>
    <col min="12039" max="12040" width="11.125" style="2" bestFit="1" customWidth="1"/>
    <col min="12041" max="12041" width="13.25" style="2" bestFit="1" customWidth="1"/>
    <col min="12042" max="12042" width="9" style="2" bestFit="1"/>
    <col min="12043" max="12043" width="13.25" style="2" bestFit="1" customWidth="1"/>
    <col min="12044" max="12044" width="9" style="2" bestFit="1"/>
    <col min="12045" max="12045" width="11.125" style="2" bestFit="1" customWidth="1"/>
    <col min="12046" max="12046" width="9.625" style="2" bestFit="1" customWidth="1"/>
    <col min="12047" max="12290" width="9" style="2"/>
    <col min="12291" max="12291" width="2.375" style="2" customWidth="1"/>
    <col min="12292" max="12292" width="13.25" style="2" bestFit="1" customWidth="1"/>
    <col min="12293" max="12294" width="9" style="2" bestFit="1"/>
    <col min="12295" max="12296" width="11.125" style="2" bestFit="1" customWidth="1"/>
    <col min="12297" max="12297" width="13.25" style="2" bestFit="1" customWidth="1"/>
    <col min="12298" max="12298" width="9" style="2" bestFit="1"/>
    <col min="12299" max="12299" width="13.25" style="2" bestFit="1" customWidth="1"/>
    <col min="12300" max="12300" width="9" style="2" bestFit="1"/>
    <col min="12301" max="12301" width="11.125" style="2" bestFit="1" customWidth="1"/>
    <col min="12302" max="12302" width="9.625" style="2" bestFit="1" customWidth="1"/>
    <col min="12303" max="12546" width="9" style="2"/>
    <col min="12547" max="12547" width="2.375" style="2" customWidth="1"/>
    <col min="12548" max="12548" width="13.25" style="2" bestFit="1" customWidth="1"/>
    <col min="12549" max="12550" width="9" style="2" bestFit="1"/>
    <col min="12551" max="12552" width="11.125" style="2" bestFit="1" customWidth="1"/>
    <col min="12553" max="12553" width="13.25" style="2" bestFit="1" customWidth="1"/>
    <col min="12554" max="12554" width="9" style="2" bestFit="1"/>
    <col min="12555" max="12555" width="13.25" style="2" bestFit="1" customWidth="1"/>
    <col min="12556" max="12556" width="9" style="2" bestFit="1"/>
    <col min="12557" max="12557" width="11.125" style="2" bestFit="1" customWidth="1"/>
    <col min="12558" max="12558" width="9.625" style="2" bestFit="1" customWidth="1"/>
    <col min="12559" max="12802" width="9" style="2"/>
    <col min="12803" max="12803" width="2.375" style="2" customWidth="1"/>
    <col min="12804" max="12804" width="13.25" style="2" bestFit="1" customWidth="1"/>
    <col min="12805" max="12806" width="9" style="2" bestFit="1"/>
    <col min="12807" max="12808" width="11.125" style="2" bestFit="1" customWidth="1"/>
    <col min="12809" max="12809" width="13.25" style="2" bestFit="1" customWidth="1"/>
    <col min="12810" max="12810" width="9" style="2" bestFit="1"/>
    <col min="12811" max="12811" width="13.25" style="2" bestFit="1" customWidth="1"/>
    <col min="12812" max="12812" width="9" style="2" bestFit="1"/>
    <col min="12813" max="12813" width="11.125" style="2" bestFit="1" customWidth="1"/>
    <col min="12814" max="12814" width="9.625" style="2" bestFit="1" customWidth="1"/>
    <col min="12815" max="13058" width="9" style="2"/>
    <col min="13059" max="13059" width="2.375" style="2" customWidth="1"/>
    <col min="13060" max="13060" width="13.25" style="2" bestFit="1" customWidth="1"/>
    <col min="13061" max="13062" width="9" style="2" bestFit="1"/>
    <col min="13063" max="13064" width="11.125" style="2" bestFit="1" customWidth="1"/>
    <col min="13065" max="13065" width="13.25" style="2" bestFit="1" customWidth="1"/>
    <col min="13066" max="13066" width="9" style="2" bestFit="1"/>
    <col min="13067" max="13067" width="13.25" style="2" bestFit="1" customWidth="1"/>
    <col min="13068" max="13068" width="9" style="2" bestFit="1"/>
    <col min="13069" max="13069" width="11.125" style="2" bestFit="1" customWidth="1"/>
    <col min="13070" max="13070" width="9.625" style="2" bestFit="1" customWidth="1"/>
    <col min="13071" max="13314" width="9" style="2"/>
    <col min="13315" max="13315" width="2.375" style="2" customWidth="1"/>
    <col min="13316" max="13316" width="13.25" style="2" bestFit="1" customWidth="1"/>
    <col min="13317" max="13318" width="9" style="2" bestFit="1"/>
    <col min="13319" max="13320" width="11.125" style="2" bestFit="1" customWidth="1"/>
    <col min="13321" max="13321" width="13.25" style="2" bestFit="1" customWidth="1"/>
    <col min="13322" max="13322" width="9" style="2" bestFit="1"/>
    <col min="13323" max="13323" width="13.25" style="2" bestFit="1" customWidth="1"/>
    <col min="13324" max="13324" width="9" style="2" bestFit="1"/>
    <col min="13325" max="13325" width="11.125" style="2" bestFit="1" customWidth="1"/>
    <col min="13326" max="13326" width="9.625" style="2" bestFit="1" customWidth="1"/>
    <col min="13327" max="13570" width="9" style="2"/>
    <col min="13571" max="13571" width="2.375" style="2" customWidth="1"/>
    <col min="13572" max="13572" width="13.25" style="2" bestFit="1" customWidth="1"/>
    <col min="13573" max="13574" width="9" style="2" bestFit="1"/>
    <col min="13575" max="13576" width="11.125" style="2" bestFit="1" customWidth="1"/>
    <col min="13577" max="13577" width="13.25" style="2" bestFit="1" customWidth="1"/>
    <col min="13578" max="13578" width="9" style="2" bestFit="1"/>
    <col min="13579" max="13579" width="13.25" style="2" bestFit="1" customWidth="1"/>
    <col min="13580" max="13580" width="9" style="2" bestFit="1"/>
    <col min="13581" max="13581" width="11.125" style="2" bestFit="1" customWidth="1"/>
    <col min="13582" max="13582" width="9.625" style="2" bestFit="1" customWidth="1"/>
    <col min="13583" max="13826" width="9" style="2"/>
    <col min="13827" max="13827" width="2.375" style="2" customWidth="1"/>
    <col min="13828" max="13828" width="13.25" style="2" bestFit="1" customWidth="1"/>
    <col min="13829" max="13830" width="9" style="2" bestFit="1"/>
    <col min="13831" max="13832" width="11.125" style="2" bestFit="1" customWidth="1"/>
    <col min="13833" max="13833" width="13.25" style="2" bestFit="1" customWidth="1"/>
    <col min="13834" max="13834" width="9" style="2" bestFit="1"/>
    <col min="13835" max="13835" width="13.25" style="2" bestFit="1" customWidth="1"/>
    <col min="13836" max="13836" width="9" style="2" bestFit="1"/>
    <col min="13837" max="13837" width="11.125" style="2" bestFit="1" customWidth="1"/>
    <col min="13838" max="13838" width="9.625" style="2" bestFit="1" customWidth="1"/>
    <col min="13839" max="14082" width="9" style="2"/>
    <col min="14083" max="14083" width="2.375" style="2" customWidth="1"/>
    <col min="14084" max="14084" width="13.25" style="2" bestFit="1" customWidth="1"/>
    <col min="14085" max="14086" width="9" style="2" bestFit="1"/>
    <col min="14087" max="14088" width="11.125" style="2" bestFit="1" customWidth="1"/>
    <col min="14089" max="14089" width="13.25" style="2" bestFit="1" customWidth="1"/>
    <col min="14090" max="14090" width="9" style="2" bestFit="1"/>
    <col min="14091" max="14091" width="13.25" style="2" bestFit="1" customWidth="1"/>
    <col min="14092" max="14092" width="9" style="2" bestFit="1"/>
    <col min="14093" max="14093" width="11.125" style="2" bestFit="1" customWidth="1"/>
    <col min="14094" max="14094" width="9.625" style="2" bestFit="1" customWidth="1"/>
    <col min="14095" max="14338" width="9" style="2"/>
    <col min="14339" max="14339" width="2.375" style="2" customWidth="1"/>
    <col min="14340" max="14340" width="13.25" style="2" bestFit="1" customWidth="1"/>
    <col min="14341" max="14342" width="9" style="2" bestFit="1"/>
    <col min="14343" max="14344" width="11.125" style="2" bestFit="1" customWidth="1"/>
    <col min="14345" max="14345" width="13.25" style="2" bestFit="1" customWidth="1"/>
    <col min="14346" max="14346" width="9" style="2" bestFit="1"/>
    <col min="14347" max="14347" width="13.25" style="2" bestFit="1" customWidth="1"/>
    <col min="14348" max="14348" width="9" style="2" bestFit="1"/>
    <col min="14349" max="14349" width="11.125" style="2" bestFit="1" customWidth="1"/>
    <col min="14350" max="14350" width="9.625" style="2" bestFit="1" customWidth="1"/>
    <col min="14351" max="14594" width="9" style="2"/>
    <col min="14595" max="14595" width="2.375" style="2" customWidth="1"/>
    <col min="14596" max="14596" width="13.25" style="2" bestFit="1" customWidth="1"/>
    <col min="14597" max="14598" width="9" style="2" bestFit="1"/>
    <col min="14599" max="14600" width="11.125" style="2" bestFit="1" customWidth="1"/>
    <col min="14601" max="14601" width="13.25" style="2" bestFit="1" customWidth="1"/>
    <col min="14602" max="14602" width="9" style="2" bestFit="1"/>
    <col min="14603" max="14603" width="13.25" style="2" bestFit="1" customWidth="1"/>
    <col min="14604" max="14604" width="9" style="2" bestFit="1"/>
    <col min="14605" max="14605" width="11.125" style="2" bestFit="1" customWidth="1"/>
    <col min="14606" max="14606" width="9.625" style="2" bestFit="1" customWidth="1"/>
    <col min="14607" max="14850" width="9" style="2"/>
    <col min="14851" max="14851" width="2.375" style="2" customWidth="1"/>
    <col min="14852" max="14852" width="13.25" style="2" bestFit="1" customWidth="1"/>
    <col min="14853" max="14854" width="9" style="2" bestFit="1"/>
    <col min="14855" max="14856" width="11.125" style="2" bestFit="1" customWidth="1"/>
    <col min="14857" max="14857" width="13.25" style="2" bestFit="1" customWidth="1"/>
    <col min="14858" max="14858" width="9" style="2" bestFit="1"/>
    <col min="14859" max="14859" width="13.25" style="2" bestFit="1" customWidth="1"/>
    <col min="14860" max="14860" width="9" style="2" bestFit="1"/>
    <col min="14861" max="14861" width="11.125" style="2" bestFit="1" customWidth="1"/>
    <col min="14862" max="14862" width="9.625" style="2" bestFit="1" customWidth="1"/>
    <col min="14863" max="15106" width="9" style="2"/>
    <col min="15107" max="15107" width="2.375" style="2" customWidth="1"/>
    <col min="15108" max="15108" width="13.25" style="2" bestFit="1" customWidth="1"/>
    <col min="15109" max="15110" width="9" style="2" bestFit="1"/>
    <col min="15111" max="15112" width="11.125" style="2" bestFit="1" customWidth="1"/>
    <col min="15113" max="15113" width="13.25" style="2" bestFit="1" customWidth="1"/>
    <col min="15114" max="15114" width="9" style="2" bestFit="1"/>
    <col min="15115" max="15115" width="13.25" style="2" bestFit="1" customWidth="1"/>
    <col min="15116" max="15116" width="9" style="2" bestFit="1"/>
    <col min="15117" max="15117" width="11.125" style="2" bestFit="1" customWidth="1"/>
    <col min="15118" max="15118" width="9.625" style="2" bestFit="1" customWidth="1"/>
    <col min="15119" max="15362" width="9" style="2"/>
    <col min="15363" max="15363" width="2.375" style="2" customWidth="1"/>
    <col min="15364" max="15364" width="13.25" style="2" bestFit="1" customWidth="1"/>
    <col min="15365" max="15366" width="9" style="2" bestFit="1"/>
    <col min="15367" max="15368" width="11.125" style="2" bestFit="1" customWidth="1"/>
    <col min="15369" max="15369" width="13.25" style="2" bestFit="1" customWidth="1"/>
    <col min="15370" max="15370" width="9" style="2" bestFit="1"/>
    <col min="15371" max="15371" width="13.25" style="2" bestFit="1" customWidth="1"/>
    <col min="15372" max="15372" width="9" style="2" bestFit="1"/>
    <col min="15373" max="15373" width="11.125" style="2" bestFit="1" customWidth="1"/>
    <col min="15374" max="15374" width="9.625" style="2" bestFit="1" customWidth="1"/>
    <col min="15375" max="15618" width="9" style="2"/>
    <col min="15619" max="15619" width="2.375" style="2" customWidth="1"/>
    <col min="15620" max="15620" width="13.25" style="2" bestFit="1" customWidth="1"/>
    <col min="15621" max="15622" width="9" style="2" bestFit="1"/>
    <col min="15623" max="15624" width="11.125" style="2" bestFit="1" customWidth="1"/>
    <col min="15625" max="15625" width="13.25" style="2" bestFit="1" customWidth="1"/>
    <col min="15626" max="15626" width="9" style="2" bestFit="1"/>
    <col min="15627" max="15627" width="13.25" style="2" bestFit="1" customWidth="1"/>
    <col min="15628" max="15628" width="9" style="2" bestFit="1"/>
    <col min="15629" max="15629" width="11.125" style="2" bestFit="1" customWidth="1"/>
    <col min="15630" max="15630" width="9.625" style="2" bestFit="1" customWidth="1"/>
    <col min="15631" max="15874" width="9" style="2"/>
    <col min="15875" max="15875" width="2.375" style="2" customWidth="1"/>
    <col min="15876" max="15876" width="13.25" style="2" bestFit="1" customWidth="1"/>
    <col min="15877" max="15878" width="9" style="2" bestFit="1"/>
    <col min="15879" max="15880" width="11.125" style="2" bestFit="1" customWidth="1"/>
    <col min="15881" max="15881" width="13.25" style="2" bestFit="1" customWidth="1"/>
    <col min="15882" max="15882" width="9" style="2" bestFit="1"/>
    <col min="15883" max="15883" width="13.25" style="2" bestFit="1" customWidth="1"/>
    <col min="15884" max="15884" width="9" style="2" bestFit="1"/>
    <col min="15885" max="15885" width="11.125" style="2" bestFit="1" customWidth="1"/>
    <col min="15886" max="15886" width="9.625" style="2" bestFit="1" customWidth="1"/>
    <col min="15887" max="16130" width="9" style="2"/>
    <col min="16131" max="16131" width="2.375" style="2" customWidth="1"/>
    <col min="16132" max="16132" width="13.25" style="2" bestFit="1" customWidth="1"/>
    <col min="16133" max="16134" width="9" style="2" bestFit="1"/>
    <col min="16135" max="16136" width="11.125" style="2" bestFit="1" customWidth="1"/>
    <col min="16137" max="16137" width="13.25" style="2" bestFit="1" customWidth="1"/>
    <col min="16138" max="16138" width="9" style="2" bestFit="1"/>
    <col min="16139" max="16139" width="13.25" style="2" bestFit="1" customWidth="1"/>
    <col min="16140" max="16140" width="9" style="2" bestFit="1"/>
    <col min="16141" max="16141" width="11.125" style="2" bestFit="1" customWidth="1"/>
    <col min="16142" max="16142" width="9.625" style="2" bestFit="1" customWidth="1"/>
    <col min="16143" max="16384" width="9" style="2"/>
  </cols>
  <sheetData>
    <row r="1" spans="1:14">
      <c r="A1" s="1" t="s">
        <v>0</v>
      </c>
    </row>
    <row r="2" spans="1:14">
      <c r="A2" s="1"/>
    </row>
    <row r="3" spans="1:14">
      <c r="A3" s="1" t="s">
        <v>1</v>
      </c>
    </row>
    <row r="4" spans="1:14">
      <c r="A4" s="1" t="s">
        <v>2</v>
      </c>
    </row>
    <row r="5" spans="1:14">
      <c r="A5" s="1" t="s">
        <v>3</v>
      </c>
    </row>
    <row r="6" spans="1:14" ht="19.5" thickBot="1">
      <c r="A6" s="1" t="s">
        <v>65</v>
      </c>
    </row>
    <row r="7" spans="1:14">
      <c r="B7" s="13"/>
      <c r="C7" s="20" t="s">
        <v>4</v>
      </c>
      <c r="D7" s="4" t="s">
        <v>5</v>
      </c>
      <c r="E7" s="4" t="s">
        <v>6</v>
      </c>
      <c r="F7" s="4" t="s">
        <v>9</v>
      </c>
      <c r="G7" s="4" t="s">
        <v>10</v>
      </c>
      <c r="H7" s="4" t="s">
        <v>11</v>
      </c>
      <c r="I7" s="21" t="s">
        <v>12</v>
      </c>
      <c r="J7" s="76" t="s">
        <v>66</v>
      </c>
      <c r="K7" s="4" t="s">
        <v>7</v>
      </c>
      <c r="L7" s="26" t="s">
        <v>8</v>
      </c>
      <c r="M7" s="77" t="s">
        <v>66</v>
      </c>
      <c r="N7" s="76" t="s">
        <v>23</v>
      </c>
    </row>
    <row r="8" spans="1:14" ht="19.5" thickBot="1">
      <c r="A8" s="3"/>
      <c r="B8" s="69" t="s">
        <v>13</v>
      </c>
      <c r="C8" s="70" t="s">
        <v>14</v>
      </c>
      <c r="D8" s="71" t="s">
        <v>15</v>
      </c>
      <c r="E8" s="71" t="s">
        <v>16</v>
      </c>
      <c r="F8" s="71" t="s">
        <v>19</v>
      </c>
      <c r="G8" s="71" t="s">
        <v>20</v>
      </c>
      <c r="H8" s="71" t="s">
        <v>21</v>
      </c>
      <c r="I8" s="72" t="s">
        <v>22</v>
      </c>
      <c r="J8" s="73" t="s">
        <v>67</v>
      </c>
      <c r="K8" s="71" t="s">
        <v>17</v>
      </c>
      <c r="L8" s="74" t="s">
        <v>18</v>
      </c>
      <c r="M8" s="75" t="s">
        <v>68</v>
      </c>
      <c r="N8" s="73" t="s">
        <v>69</v>
      </c>
    </row>
    <row r="9" spans="1:14">
      <c r="A9" s="1" t="s">
        <v>3</v>
      </c>
      <c r="B9" s="35" t="s">
        <v>24</v>
      </c>
      <c r="C9" s="63">
        <v>17</v>
      </c>
      <c r="D9" s="64">
        <v>16</v>
      </c>
      <c r="E9" s="64">
        <v>15</v>
      </c>
      <c r="F9" s="64">
        <v>15</v>
      </c>
      <c r="G9" s="64">
        <v>17</v>
      </c>
      <c r="H9" s="64">
        <v>18</v>
      </c>
      <c r="I9" s="65">
        <v>18</v>
      </c>
      <c r="J9" s="66">
        <f>SUM(C9:I9)</f>
        <v>116</v>
      </c>
      <c r="K9" s="64">
        <v>18</v>
      </c>
      <c r="L9" s="67">
        <v>18</v>
      </c>
      <c r="M9" s="68">
        <f>SUM(K9:L9)</f>
        <v>36</v>
      </c>
      <c r="N9" s="66">
        <f>J9+M9</f>
        <v>152</v>
      </c>
    </row>
    <row r="10" spans="1:14">
      <c r="A10" s="1" t="s">
        <v>3</v>
      </c>
      <c r="B10" s="14" t="s">
        <v>25</v>
      </c>
      <c r="C10" s="22">
        <v>4</v>
      </c>
      <c r="D10" s="5">
        <v>3</v>
      </c>
      <c r="E10" s="5">
        <v>3</v>
      </c>
      <c r="F10" s="5">
        <v>3</v>
      </c>
      <c r="G10" s="5">
        <v>5</v>
      </c>
      <c r="H10" s="5">
        <v>4</v>
      </c>
      <c r="I10" s="6">
        <v>1</v>
      </c>
      <c r="J10" s="16">
        <f t="shared" ref="J10:J20" si="0">SUM(C10:I10)</f>
        <v>23</v>
      </c>
      <c r="K10" s="5">
        <v>0</v>
      </c>
      <c r="L10" s="27">
        <v>4</v>
      </c>
      <c r="M10" s="31">
        <f t="shared" ref="M10:M20" si="1">SUM(K10:L10)</f>
        <v>4</v>
      </c>
      <c r="N10" s="16">
        <f t="shared" ref="N10:N20" si="2">J10+M10</f>
        <v>27</v>
      </c>
    </row>
    <row r="11" spans="1:14">
      <c r="A11" s="1" t="s">
        <v>3</v>
      </c>
      <c r="B11" s="14" t="s">
        <v>26</v>
      </c>
      <c r="C11" s="22">
        <v>3</v>
      </c>
      <c r="D11" s="5">
        <v>4</v>
      </c>
      <c r="E11" s="5">
        <v>4</v>
      </c>
      <c r="F11" s="5">
        <v>4</v>
      </c>
      <c r="G11" s="5">
        <v>2</v>
      </c>
      <c r="H11" s="5">
        <v>1</v>
      </c>
      <c r="I11" s="6">
        <v>1</v>
      </c>
      <c r="J11" s="16">
        <f t="shared" si="0"/>
        <v>19</v>
      </c>
      <c r="K11" s="5">
        <v>0</v>
      </c>
      <c r="L11" s="27">
        <v>1</v>
      </c>
      <c r="M11" s="31">
        <f t="shared" si="1"/>
        <v>1</v>
      </c>
      <c r="N11" s="16">
        <f t="shared" si="2"/>
        <v>20</v>
      </c>
    </row>
    <row r="12" spans="1:14">
      <c r="A12" s="1" t="s">
        <v>3</v>
      </c>
      <c r="B12" s="14" t="s">
        <v>27</v>
      </c>
      <c r="C12" s="22">
        <v>1</v>
      </c>
      <c r="D12" s="5">
        <v>2</v>
      </c>
      <c r="E12" s="5">
        <v>3</v>
      </c>
      <c r="F12" s="5">
        <v>2</v>
      </c>
      <c r="G12" s="5">
        <v>0</v>
      </c>
      <c r="H12" s="5">
        <v>0</v>
      </c>
      <c r="I12" s="6">
        <v>0</v>
      </c>
      <c r="J12" s="16">
        <f t="shared" si="0"/>
        <v>8</v>
      </c>
      <c r="K12" s="5">
        <v>0</v>
      </c>
      <c r="L12" s="27">
        <v>0</v>
      </c>
      <c r="M12" s="31">
        <f t="shared" si="1"/>
        <v>0</v>
      </c>
      <c r="N12" s="16">
        <f t="shared" si="2"/>
        <v>8</v>
      </c>
    </row>
    <row r="13" spans="1:14">
      <c r="A13" s="1" t="s">
        <v>3</v>
      </c>
      <c r="B13" s="14" t="s">
        <v>28</v>
      </c>
      <c r="C13" s="22">
        <v>0</v>
      </c>
      <c r="D13" s="5">
        <v>0</v>
      </c>
      <c r="E13" s="5">
        <v>0</v>
      </c>
      <c r="F13" s="5">
        <v>1</v>
      </c>
      <c r="G13" s="5">
        <v>1</v>
      </c>
      <c r="H13" s="5">
        <v>0</v>
      </c>
      <c r="I13" s="6">
        <v>0</v>
      </c>
      <c r="J13" s="16">
        <f t="shared" si="0"/>
        <v>2</v>
      </c>
      <c r="K13" s="5">
        <v>0</v>
      </c>
      <c r="L13" s="27">
        <v>1</v>
      </c>
      <c r="M13" s="31">
        <f t="shared" si="1"/>
        <v>1</v>
      </c>
      <c r="N13" s="16">
        <f t="shared" si="2"/>
        <v>3</v>
      </c>
    </row>
    <row r="14" spans="1:14">
      <c r="A14" s="1" t="s">
        <v>3</v>
      </c>
      <c r="B14" s="14" t="s">
        <v>29</v>
      </c>
      <c r="C14" s="23">
        <v>1.5</v>
      </c>
      <c r="D14" s="7">
        <v>0.33333333333333331</v>
      </c>
      <c r="E14" s="7">
        <v>0.79166666666666663</v>
      </c>
      <c r="F14" s="7">
        <v>1.0833333333333333</v>
      </c>
      <c r="G14" s="7">
        <v>1.75</v>
      </c>
      <c r="H14" s="7">
        <v>1.75</v>
      </c>
      <c r="I14" s="8">
        <v>0.83333333333333337</v>
      </c>
      <c r="J14" s="17">
        <f t="shared" si="0"/>
        <v>8.0416666666666661</v>
      </c>
      <c r="K14" s="7">
        <v>0</v>
      </c>
      <c r="L14" s="28">
        <v>4.1666666666666664E-2</v>
      </c>
      <c r="M14" s="32">
        <f t="shared" si="1"/>
        <v>4.1666666666666664E-2</v>
      </c>
      <c r="N14" s="17">
        <f t="shared" si="2"/>
        <v>8.0833333333333321</v>
      </c>
    </row>
    <row r="15" spans="1:14">
      <c r="A15" s="1" t="s">
        <v>3</v>
      </c>
      <c r="B15" s="14" t="s">
        <v>30</v>
      </c>
      <c r="C15" s="23">
        <v>1.625</v>
      </c>
      <c r="D15" s="7">
        <v>1.0416666666666667</v>
      </c>
      <c r="E15" s="7">
        <v>0.75</v>
      </c>
      <c r="F15" s="7">
        <v>0.79166666666666663</v>
      </c>
      <c r="G15" s="7">
        <v>2.0833333333333335</v>
      </c>
      <c r="H15" s="7">
        <v>1.5833333333333335</v>
      </c>
      <c r="I15" s="8">
        <v>0.41666666666666669</v>
      </c>
      <c r="J15" s="17">
        <f t="shared" si="0"/>
        <v>8.2916666666666679</v>
      </c>
      <c r="K15" s="7">
        <v>0</v>
      </c>
      <c r="L15" s="28">
        <v>1.2083333333333333</v>
      </c>
      <c r="M15" s="32">
        <f t="shared" si="1"/>
        <v>1.2083333333333333</v>
      </c>
      <c r="N15" s="17">
        <f t="shared" si="2"/>
        <v>9.5000000000000018</v>
      </c>
    </row>
    <row r="16" spans="1:14">
      <c r="A16" s="1" t="s">
        <v>3</v>
      </c>
      <c r="B16" s="14" t="s">
        <v>31</v>
      </c>
      <c r="C16" s="23">
        <v>0.75</v>
      </c>
      <c r="D16" s="7">
        <v>0.66666666666666663</v>
      </c>
      <c r="E16" s="7">
        <v>0.75</v>
      </c>
      <c r="F16" s="7">
        <v>0.91666666666666663</v>
      </c>
      <c r="G16" s="7">
        <v>0.75</v>
      </c>
      <c r="H16" s="7">
        <v>0.33333333333333331</v>
      </c>
      <c r="I16" s="8">
        <v>0.41666666666666669</v>
      </c>
      <c r="J16" s="17">
        <f t="shared" si="0"/>
        <v>4.583333333333333</v>
      </c>
      <c r="K16" s="7">
        <v>0</v>
      </c>
      <c r="L16" s="28">
        <v>0.29166666666666669</v>
      </c>
      <c r="M16" s="32">
        <f t="shared" si="1"/>
        <v>0.29166666666666669</v>
      </c>
      <c r="N16" s="17">
        <f t="shared" si="2"/>
        <v>4.875</v>
      </c>
    </row>
    <row r="17" spans="1:14">
      <c r="A17" s="1" t="s">
        <v>3</v>
      </c>
      <c r="B17" s="14" t="s">
        <v>32</v>
      </c>
      <c r="C17" s="23">
        <v>0</v>
      </c>
      <c r="D17" s="7">
        <v>0</v>
      </c>
      <c r="E17" s="7">
        <v>0.375</v>
      </c>
      <c r="F17" s="7">
        <v>0.41666666666666669</v>
      </c>
      <c r="G17" s="7">
        <v>0</v>
      </c>
      <c r="H17" s="7">
        <v>0</v>
      </c>
      <c r="I17" s="8">
        <v>0</v>
      </c>
      <c r="J17" s="17">
        <f t="shared" si="0"/>
        <v>0.79166666666666674</v>
      </c>
      <c r="K17" s="7">
        <v>0</v>
      </c>
      <c r="L17" s="28">
        <v>0</v>
      </c>
      <c r="M17" s="32">
        <f t="shared" si="1"/>
        <v>0</v>
      </c>
      <c r="N17" s="17">
        <f t="shared" si="2"/>
        <v>0.79166666666666674</v>
      </c>
    </row>
    <row r="18" spans="1:14">
      <c r="A18" s="1" t="s">
        <v>3</v>
      </c>
      <c r="B18" s="14" t="s">
        <v>33</v>
      </c>
      <c r="C18" s="23">
        <v>0.33333333333333331</v>
      </c>
      <c r="D18" s="7">
        <v>0.70833333333333337</v>
      </c>
      <c r="E18" s="7">
        <v>0.70833333333333337</v>
      </c>
      <c r="F18" s="7">
        <v>0.29166666666666669</v>
      </c>
      <c r="G18" s="7">
        <v>0</v>
      </c>
      <c r="H18" s="7">
        <v>0</v>
      </c>
      <c r="I18" s="8">
        <v>0</v>
      </c>
      <c r="J18" s="17">
        <f t="shared" si="0"/>
        <v>2.0416666666666665</v>
      </c>
      <c r="K18" s="7">
        <v>0</v>
      </c>
      <c r="L18" s="28">
        <v>0</v>
      </c>
      <c r="M18" s="32">
        <f t="shared" si="1"/>
        <v>0</v>
      </c>
      <c r="N18" s="17">
        <f t="shared" si="2"/>
        <v>2.0416666666666665</v>
      </c>
    </row>
    <row r="19" spans="1:14">
      <c r="A19" s="1" t="s">
        <v>3</v>
      </c>
      <c r="B19" s="14" t="s">
        <v>34</v>
      </c>
      <c r="C19" s="23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8">
        <v>0</v>
      </c>
      <c r="J19" s="17">
        <f t="shared" si="0"/>
        <v>0</v>
      </c>
      <c r="K19" s="7">
        <v>0</v>
      </c>
      <c r="L19" s="28">
        <v>0.45833333333333331</v>
      </c>
      <c r="M19" s="32">
        <f t="shared" si="1"/>
        <v>0.45833333333333331</v>
      </c>
      <c r="N19" s="17">
        <f t="shared" si="2"/>
        <v>0.45833333333333331</v>
      </c>
    </row>
    <row r="20" spans="1:14">
      <c r="A20" s="1" t="s">
        <v>3</v>
      </c>
      <c r="B20" s="14" t="s">
        <v>35</v>
      </c>
      <c r="C20" s="23">
        <v>1.2083333333333333</v>
      </c>
      <c r="D20" s="7">
        <v>2.875</v>
      </c>
      <c r="E20" s="7">
        <v>2.7916666666666665</v>
      </c>
      <c r="F20" s="7">
        <v>0.58333333333333337</v>
      </c>
      <c r="G20" s="7">
        <v>0.91666666666666663</v>
      </c>
      <c r="H20" s="7">
        <v>0.58333333333333337</v>
      </c>
      <c r="I20" s="8">
        <v>0.45833333333333331</v>
      </c>
      <c r="J20" s="17">
        <f t="shared" si="0"/>
        <v>9.4166666666666679</v>
      </c>
      <c r="K20" s="7">
        <v>4.1666666666666664E-2</v>
      </c>
      <c r="L20" s="28">
        <v>0</v>
      </c>
      <c r="M20" s="32">
        <f t="shared" si="1"/>
        <v>4.1666666666666664E-2</v>
      </c>
      <c r="N20" s="17">
        <f t="shared" si="2"/>
        <v>9.4583333333333339</v>
      </c>
    </row>
    <row r="21" spans="1:14">
      <c r="A21" s="1" t="s">
        <v>3</v>
      </c>
      <c r="B21" s="42" t="s">
        <v>36</v>
      </c>
      <c r="C21" s="43">
        <v>35</v>
      </c>
      <c r="D21" s="44">
        <v>27</v>
      </c>
      <c r="E21" s="44">
        <v>20</v>
      </c>
      <c r="F21" s="44">
        <v>14</v>
      </c>
      <c r="G21" s="44">
        <v>8</v>
      </c>
      <c r="H21" s="44">
        <v>11</v>
      </c>
      <c r="I21" s="45">
        <v>0</v>
      </c>
      <c r="J21" s="46"/>
      <c r="K21" s="44">
        <v>37</v>
      </c>
      <c r="L21" s="47">
        <v>23.5</v>
      </c>
      <c r="M21" s="48"/>
      <c r="N21" s="46"/>
    </row>
    <row r="22" spans="1:14">
      <c r="A22" s="1" t="s">
        <v>3</v>
      </c>
      <c r="B22" s="35" t="s">
        <v>37</v>
      </c>
      <c r="C22" s="36">
        <v>187000</v>
      </c>
      <c r="D22" s="37">
        <v>187000</v>
      </c>
      <c r="E22" s="37">
        <v>187000</v>
      </c>
      <c r="F22" s="37">
        <v>187000</v>
      </c>
      <c r="G22" s="37">
        <v>187000</v>
      </c>
      <c r="H22" s="37">
        <v>180000</v>
      </c>
      <c r="I22" s="38">
        <v>175000</v>
      </c>
      <c r="J22" s="39">
        <f t="shared" ref="J22:J49" si="3">SUM(C22:I22)</f>
        <v>1290000</v>
      </c>
      <c r="K22" s="37">
        <v>370000</v>
      </c>
      <c r="L22" s="40">
        <v>180000</v>
      </c>
      <c r="M22" s="41">
        <f t="shared" ref="M22:M49" si="4">SUM(K22:L22)</f>
        <v>550000</v>
      </c>
      <c r="N22" s="39">
        <f t="shared" ref="N22:N49" si="5">J22+M22</f>
        <v>1840000</v>
      </c>
    </row>
    <row r="23" spans="1:14">
      <c r="A23" s="1" t="s">
        <v>3</v>
      </c>
      <c r="B23" s="14" t="s">
        <v>38</v>
      </c>
      <c r="C23" s="24">
        <v>5000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10">
        <v>0</v>
      </c>
      <c r="J23" s="18">
        <f t="shared" si="3"/>
        <v>5000</v>
      </c>
      <c r="K23" s="9">
        <v>0</v>
      </c>
      <c r="L23" s="29">
        <v>0</v>
      </c>
      <c r="M23" s="33">
        <f t="shared" si="4"/>
        <v>0</v>
      </c>
      <c r="N23" s="18">
        <f t="shared" si="5"/>
        <v>5000</v>
      </c>
    </row>
    <row r="24" spans="1:14">
      <c r="A24" s="1" t="s">
        <v>3</v>
      </c>
      <c r="B24" s="14" t="s">
        <v>39</v>
      </c>
      <c r="C24" s="24">
        <v>6000</v>
      </c>
      <c r="D24" s="9">
        <v>10000</v>
      </c>
      <c r="E24" s="9">
        <v>0</v>
      </c>
      <c r="F24" s="9">
        <v>0</v>
      </c>
      <c r="G24" s="9">
        <v>0</v>
      </c>
      <c r="H24" s="9">
        <v>0</v>
      </c>
      <c r="I24" s="10">
        <v>0</v>
      </c>
      <c r="J24" s="18">
        <f t="shared" si="3"/>
        <v>16000</v>
      </c>
      <c r="K24" s="9">
        <v>0</v>
      </c>
      <c r="L24" s="29">
        <v>18000</v>
      </c>
      <c r="M24" s="33">
        <f t="shared" si="4"/>
        <v>18000</v>
      </c>
      <c r="N24" s="18">
        <f t="shared" si="5"/>
        <v>34000</v>
      </c>
    </row>
    <row r="25" spans="1:14">
      <c r="A25" s="1" t="s">
        <v>3</v>
      </c>
      <c r="B25" s="14" t="s">
        <v>40</v>
      </c>
      <c r="C25" s="24">
        <v>5033</v>
      </c>
      <c r="D25" s="9">
        <v>4566</v>
      </c>
      <c r="E25" s="9">
        <v>4566</v>
      </c>
      <c r="F25" s="9">
        <v>4633</v>
      </c>
      <c r="G25" s="9">
        <v>4766</v>
      </c>
      <c r="H25" s="9">
        <v>0</v>
      </c>
      <c r="I25" s="10">
        <v>0</v>
      </c>
      <c r="J25" s="18">
        <f t="shared" si="3"/>
        <v>23564</v>
      </c>
      <c r="K25" s="9">
        <v>0</v>
      </c>
      <c r="L25" s="29">
        <v>0</v>
      </c>
      <c r="M25" s="33">
        <f t="shared" si="4"/>
        <v>0</v>
      </c>
      <c r="N25" s="18">
        <f t="shared" si="5"/>
        <v>23564</v>
      </c>
    </row>
    <row r="26" spans="1:14">
      <c r="A26" s="1" t="s">
        <v>3</v>
      </c>
      <c r="B26" s="14" t="s">
        <v>41</v>
      </c>
      <c r="C26" s="24">
        <v>6000</v>
      </c>
      <c r="D26" s="9">
        <v>6000</v>
      </c>
      <c r="E26" s="9">
        <v>6000</v>
      </c>
      <c r="F26" s="9">
        <v>3500</v>
      </c>
      <c r="G26" s="9">
        <v>3500</v>
      </c>
      <c r="H26" s="9">
        <v>1000</v>
      </c>
      <c r="I26" s="10">
        <v>0</v>
      </c>
      <c r="J26" s="18">
        <f t="shared" si="3"/>
        <v>26000</v>
      </c>
      <c r="K26" s="9">
        <v>0</v>
      </c>
      <c r="L26" s="29">
        <v>0</v>
      </c>
      <c r="M26" s="33">
        <f t="shared" si="4"/>
        <v>0</v>
      </c>
      <c r="N26" s="18">
        <f t="shared" si="5"/>
        <v>26000</v>
      </c>
    </row>
    <row r="27" spans="1:14">
      <c r="A27" s="1" t="s">
        <v>3</v>
      </c>
      <c r="B27" s="14" t="s">
        <v>42</v>
      </c>
      <c r="C27" s="24">
        <v>0</v>
      </c>
      <c r="D27" s="9">
        <v>7600</v>
      </c>
      <c r="E27" s="9">
        <v>0</v>
      </c>
      <c r="F27" s="9">
        <v>0</v>
      </c>
      <c r="G27" s="9">
        <v>0</v>
      </c>
      <c r="H27" s="9">
        <v>0</v>
      </c>
      <c r="I27" s="10">
        <v>0</v>
      </c>
      <c r="J27" s="18">
        <f t="shared" si="3"/>
        <v>7600</v>
      </c>
      <c r="K27" s="9">
        <v>0</v>
      </c>
      <c r="L27" s="29">
        <v>0</v>
      </c>
      <c r="M27" s="33">
        <f t="shared" si="4"/>
        <v>0</v>
      </c>
      <c r="N27" s="18">
        <f t="shared" si="5"/>
        <v>7600</v>
      </c>
    </row>
    <row r="28" spans="1:14">
      <c r="A28" s="1" t="s">
        <v>3</v>
      </c>
      <c r="B28" s="14" t="s">
        <v>29</v>
      </c>
      <c r="C28" s="24">
        <v>55008</v>
      </c>
      <c r="D28" s="9">
        <v>12608</v>
      </c>
      <c r="E28" s="9">
        <v>27455</v>
      </c>
      <c r="F28" s="9">
        <v>37076</v>
      </c>
      <c r="G28" s="9">
        <v>59892</v>
      </c>
      <c r="H28" s="9">
        <v>56910</v>
      </c>
      <c r="I28" s="10">
        <v>26200</v>
      </c>
      <c r="J28" s="18">
        <f t="shared" si="3"/>
        <v>275149</v>
      </c>
      <c r="K28" s="9">
        <v>0</v>
      </c>
      <c r="L28" s="29">
        <v>1695</v>
      </c>
      <c r="M28" s="33">
        <f t="shared" si="4"/>
        <v>1695</v>
      </c>
      <c r="N28" s="18">
        <f t="shared" si="5"/>
        <v>276844</v>
      </c>
    </row>
    <row r="29" spans="1:14">
      <c r="A29" s="1" t="s">
        <v>3</v>
      </c>
      <c r="B29" s="14" t="s">
        <v>43</v>
      </c>
      <c r="C29" s="24">
        <v>64350</v>
      </c>
      <c r="D29" s="9">
        <v>42550</v>
      </c>
      <c r="E29" s="9">
        <v>28098</v>
      </c>
      <c r="F29" s="9">
        <v>29260</v>
      </c>
      <c r="G29" s="9">
        <v>77000</v>
      </c>
      <c r="H29" s="9">
        <v>55594</v>
      </c>
      <c r="I29" s="10">
        <v>14150</v>
      </c>
      <c r="J29" s="18">
        <f t="shared" si="3"/>
        <v>311002</v>
      </c>
      <c r="K29" s="9">
        <v>0</v>
      </c>
      <c r="L29" s="29">
        <v>53099</v>
      </c>
      <c r="M29" s="33">
        <f t="shared" si="4"/>
        <v>53099</v>
      </c>
      <c r="N29" s="18">
        <f t="shared" si="5"/>
        <v>364101</v>
      </c>
    </row>
    <row r="30" spans="1:14">
      <c r="A30" s="1" t="s">
        <v>3</v>
      </c>
      <c r="B30" s="14" t="s">
        <v>44</v>
      </c>
      <c r="C30" s="24">
        <v>29700</v>
      </c>
      <c r="D30" s="9">
        <v>27232</v>
      </c>
      <c r="E30" s="9">
        <v>28098</v>
      </c>
      <c r="F30" s="9">
        <v>33880</v>
      </c>
      <c r="G30" s="9">
        <v>27720</v>
      </c>
      <c r="H30" s="9">
        <v>11704</v>
      </c>
      <c r="I30" s="10">
        <v>14150</v>
      </c>
      <c r="J30" s="18">
        <f t="shared" si="3"/>
        <v>172484</v>
      </c>
      <c r="K30" s="9">
        <v>0</v>
      </c>
      <c r="L30" s="29">
        <v>12817</v>
      </c>
      <c r="M30" s="33">
        <f t="shared" si="4"/>
        <v>12817</v>
      </c>
      <c r="N30" s="18">
        <f t="shared" si="5"/>
        <v>185301</v>
      </c>
    </row>
    <row r="31" spans="1:14">
      <c r="A31" s="1" t="s">
        <v>3</v>
      </c>
      <c r="B31" s="14" t="s">
        <v>45</v>
      </c>
      <c r="C31" s="24">
        <v>0</v>
      </c>
      <c r="D31" s="9">
        <v>0</v>
      </c>
      <c r="E31" s="9">
        <v>3645</v>
      </c>
      <c r="F31" s="9">
        <v>3990</v>
      </c>
      <c r="G31" s="9">
        <v>0</v>
      </c>
      <c r="H31" s="9">
        <v>0</v>
      </c>
      <c r="I31" s="10">
        <v>0</v>
      </c>
      <c r="J31" s="18">
        <f t="shared" si="3"/>
        <v>7635</v>
      </c>
      <c r="K31" s="9">
        <v>0</v>
      </c>
      <c r="L31" s="29">
        <v>0</v>
      </c>
      <c r="M31" s="33">
        <f t="shared" si="4"/>
        <v>0</v>
      </c>
      <c r="N31" s="18">
        <f t="shared" si="5"/>
        <v>7635</v>
      </c>
    </row>
    <row r="32" spans="1:14">
      <c r="A32" s="1" t="s">
        <v>3</v>
      </c>
      <c r="B32" s="14" t="s">
        <v>46</v>
      </c>
      <c r="C32" s="24">
        <v>3424</v>
      </c>
      <c r="D32" s="9">
        <v>7497</v>
      </c>
      <c r="E32" s="9">
        <v>6885</v>
      </c>
      <c r="F32" s="9">
        <v>2793</v>
      </c>
      <c r="G32" s="9">
        <v>0</v>
      </c>
      <c r="H32" s="9">
        <v>0</v>
      </c>
      <c r="I32" s="10">
        <v>0</v>
      </c>
      <c r="J32" s="18">
        <f t="shared" si="3"/>
        <v>20599</v>
      </c>
      <c r="K32" s="9">
        <v>0</v>
      </c>
      <c r="L32" s="29">
        <v>0</v>
      </c>
      <c r="M32" s="33">
        <f t="shared" si="4"/>
        <v>0</v>
      </c>
      <c r="N32" s="18">
        <f t="shared" si="5"/>
        <v>20599</v>
      </c>
    </row>
    <row r="33" spans="1:14">
      <c r="A33" s="1" t="s">
        <v>3</v>
      </c>
      <c r="B33" s="14" t="s">
        <v>34</v>
      </c>
      <c r="C33" s="24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10">
        <v>0</v>
      </c>
      <c r="J33" s="18">
        <f t="shared" si="3"/>
        <v>0</v>
      </c>
      <c r="K33" s="9">
        <v>0</v>
      </c>
      <c r="L33" s="29">
        <v>14916</v>
      </c>
      <c r="M33" s="33">
        <f t="shared" si="4"/>
        <v>14916</v>
      </c>
      <c r="N33" s="18">
        <f t="shared" si="5"/>
        <v>14916</v>
      </c>
    </row>
    <row r="34" spans="1:14">
      <c r="A34" s="1" t="s">
        <v>3</v>
      </c>
      <c r="B34" s="49" t="s">
        <v>35</v>
      </c>
      <c r="C34" s="50">
        <v>8874</v>
      </c>
      <c r="D34" s="51">
        <v>21735</v>
      </c>
      <c r="E34" s="51">
        <v>19363</v>
      </c>
      <c r="F34" s="51">
        <v>3990</v>
      </c>
      <c r="G34" s="51">
        <v>6270</v>
      </c>
      <c r="H34" s="51">
        <v>3794</v>
      </c>
      <c r="I34" s="52">
        <v>2882</v>
      </c>
      <c r="J34" s="53">
        <f t="shared" si="3"/>
        <v>66908</v>
      </c>
      <c r="K34" s="51">
        <v>554</v>
      </c>
      <c r="L34" s="54">
        <v>0</v>
      </c>
      <c r="M34" s="55">
        <f t="shared" si="4"/>
        <v>554</v>
      </c>
      <c r="N34" s="53">
        <f t="shared" si="5"/>
        <v>67462</v>
      </c>
    </row>
    <row r="35" spans="1:14">
      <c r="A35" s="1" t="s">
        <v>3</v>
      </c>
      <c r="B35" s="56" t="s">
        <v>47</v>
      </c>
      <c r="C35" s="57">
        <v>370389</v>
      </c>
      <c r="D35" s="58">
        <v>326788</v>
      </c>
      <c r="E35" s="58">
        <v>311110</v>
      </c>
      <c r="F35" s="58">
        <v>306122</v>
      </c>
      <c r="G35" s="58">
        <v>366148</v>
      </c>
      <c r="H35" s="58">
        <v>309002</v>
      </c>
      <c r="I35" s="59">
        <v>232382</v>
      </c>
      <c r="J35" s="60">
        <f t="shared" si="3"/>
        <v>2221941</v>
      </c>
      <c r="K35" s="58">
        <v>370554</v>
      </c>
      <c r="L35" s="61">
        <v>280527</v>
      </c>
      <c r="M35" s="62">
        <f t="shared" si="4"/>
        <v>651081</v>
      </c>
      <c r="N35" s="60">
        <f t="shared" si="5"/>
        <v>2873022</v>
      </c>
    </row>
    <row r="36" spans="1:14">
      <c r="A36" s="1" t="s">
        <v>3</v>
      </c>
      <c r="B36" s="56" t="s">
        <v>48</v>
      </c>
      <c r="C36" s="57">
        <v>9410</v>
      </c>
      <c r="D36" s="58">
        <v>2405</v>
      </c>
      <c r="E36" s="58">
        <v>2301</v>
      </c>
      <c r="F36" s="58">
        <v>6901</v>
      </c>
      <c r="G36" s="58">
        <v>1255</v>
      </c>
      <c r="H36" s="58">
        <v>6012</v>
      </c>
      <c r="I36" s="59">
        <v>1046</v>
      </c>
      <c r="J36" s="60">
        <f t="shared" si="3"/>
        <v>29330</v>
      </c>
      <c r="K36" s="58">
        <v>6796</v>
      </c>
      <c r="L36" s="61">
        <v>602</v>
      </c>
      <c r="M36" s="62">
        <f t="shared" si="4"/>
        <v>7398</v>
      </c>
      <c r="N36" s="60">
        <f t="shared" si="5"/>
        <v>36728</v>
      </c>
    </row>
    <row r="37" spans="1:14">
      <c r="A37" s="1" t="s">
        <v>3</v>
      </c>
      <c r="B37" s="56" t="s">
        <v>49</v>
      </c>
      <c r="C37" s="57">
        <v>9410</v>
      </c>
      <c r="D37" s="58">
        <v>2405</v>
      </c>
      <c r="E37" s="58">
        <v>2301</v>
      </c>
      <c r="F37" s="58">
        <v>6901</v>
      </c>
      <c r="G37" s="58">
        <v>1255</v>
      </c>
      <c r="H37" s="58">
        <v>6012</v>
      </c>
      <c r="I37" s="59">
        <v>1046</v>
      </c>
      <c r="J37" s="60">
        <f t="shared" si="3"/>
        <v>29330</v>
      </c>
      <c r="K37" s="58">
        <v>6796</v>
      </c>
      <c r="L37" s="61">
        <v>602</v>
      </c>
      <c r="M37" s="62">
        <f t="shared" si="4"/>
        <v>7398</v>
      </c>
      <c r="N37" s="60">
        <f t="shared" si="5"/>
        <v>36728</v>
      </c>
    </row>
    <row r="38" spans="1:14">
      <c r="A38" s="1" t="s">
        <v>3</v>
      </c>
      <c r="B38" s="56" t="s">
        <v>50</v>
      </c>
      <c r="C38" s="57">
        <v>379799</v>
      </c>
      <c r="D38" s="58">
        <v>329193</v>
      </c>
      <c r="E38" s="58">
        <v>313411</v>
      </c>
      <c r="F38" s="58">
        <v>313023</v>
      </c>
      <c r="G38" s="58">
        <v>367403</v>
      </c>
      <c r="H38" s="58">
        <v>315014</v>
      </c>
      <c r="I38" s="59">
        <v>233428</v>
      </c>
      <c r="J38" s="60">
        <f t="shared" si="3"/>
        <v>2251271</v>
      </c>
      <c r="K38" s="58">
        <v>377350</v>
      </c>
      <c r="L38" s="61">
        <v>281129</v>
      </c>
      <c r="M38" s="62">
        <f t="shared" si="4"/>
        <v>658479</v>
      </c>
      <c r="N38" s="60">
        <f t="shared" si="5"/>
        <v>2909750</v>
      </c>
    </row>
    <row r="39" spans="1:14">
      <c r="A39" s="1" t="s">
        <v>3</v>
      </c>
      <c r="B39" s="35" t="s">
        <v>51</v>
      </c>
      <c r="C39" s="36">
        <v>18360</v>
      </c>
      <c r="D39" s="37">
        <v>16320</v>
      </c>
      <c r="E39" s="37">
        <v>16320</v>
      </c>
      <c r="F39" s="37">
        <v>15300</v>
      </c>
      <c r="G39" s="37">
        <v>16320</v>
      </c>
      <c r="H39" s="37">
        <v>13260</v>
      </c>
      <c r="I39" s="38">
        <v>13260</v>
      </c>
      <c r="J39" s="39">
        <f t="shared" si="3"/>
        <v>109140</v>
      </c>
      <c r="K39" s="37">
        <v>19380</v>
      </c>
      <c r="L39" s="40">
        <v>12240</v>
      </c>
      <c r="M39" s="41">
        <f t="shared" si="4"/>
        <v>31620</v>
      </c>
      <c r="N39" s="39">
        <f t="shared" si="5"/>
        <v>140760</v>
      </c>
    </row>
    <row r="40" spans="1:14">
      <c r="A40" s="1" t="s">
        <v>3</v>
      </c>
      <c r="B40" s="14" t="s">
        <v>52</v>
      </c>
      <c r="C40" s="24">
        <v>3240</v>
      </c>
      <c r="D40" s="9">
        <v>2880</v>
      </c>
      <c r="E40" s="9">
        <v>2880</v>
      </c>
      <c r="F40" s="9">
        <v>2700</v>
      </c>
      <c r="G40" s="9">
        <v>2880</v>
      </c>
      <c r="H40" s="9">
        <v>2340</v>
      </c>
      <c r="I40" s="10">
        <v>2340</v>
      </c>
      <c r="J40" s="18">
        <f t="shared" si="3"/>
        <v>19260</v>
      </c>
      <c r="K40" s="9">
        <v>3420</v>
      </c>
      <c r="L40" s="29">
        <v>0</v>
      </c>
      <c r="M40" s="33">
        <f t="shared" si="4"/>
        <v>3420</v>
      </c>
      <c r="N40" s="18">
        <f t="shared" si="5"/>
        <v>22680</v>
      </c>
    </row>
    <row r="41" spans="1:14">
      <c r="A41" s="1" t="s">
        <v>3</v>
      </c>
      <c r="B41" s="14" t="s">
        <v>53</v>
      </c>
      <c r="C41" s="24">
        <v>32940</v>
      </c>
      <c r="D41" s="9">
        <v>29280</v>
      </c>
      <c r="E41" s="9">
        <v>29280</v>
      </c>
      <c r="F41" s="9">
        <v>27450</v>
      </c>
      <c r="G41" s="9">
        <v>29280</v>
      </c>
      <c r="H41" s="9">
        <v>23790</v>
      </c>
      <c r="I41" s="10">
        <v>23790</v>
      </c>
      <c r="J41" s="18">
        <f t="shared" si="3"/>
        <v>195810</v>
      </c>
      <c r="K41" s="9">
        <v>34770</v>
      </c>
      <c r="L41" s="29">
        <v>21960</v>
      </c>
      <c r="M41" s="33">
        <f t="shared" si="4"/>
        <v>56730</v>
      </c>
      <c r="N41" s="18">
        <f t="shared" si="5"/>
        <v>252540</v>
      </c>
    </row>
    <row r="42" spans="1:14">
      <c r="A42" s="1" t="s">
        <v>3</v>
      </c>
      <c r="B42" s="49" t="s">
        <v>54</v>
      </c>
      <c r="C42" s="50">
        <v>2089</v>
      </c>
      <c r="D42" s="51">
        <v>1811</v>
      </c>
      <c r="E42" s="51">
        <v>1724</v>
      </c>
      <c r="F42" s="51">
        <v>1722</v>
      </c>
      <c r="G42" s="51">
        <v>2021</v>
      </c>
      <c r="H42" s="51">
        <v>1733</v>
      </c>
      <c r="I42" s="52">
        <v>1284</v>
      </c>
      <c r="J42" s="53">
        <f t="shared" si="3"/>
        <v>12384</v>
      </c>
      <c r="K42" s="51">
        <v>2075</v>
      </c>
      <c r="L42" s="54">
        <v>1546</v>
      </c>
      <c r="M42" s="55">
        <f t="shared" si="4"/>
        <v>3621</v>
      </c>
      <c r="N42" s="53">
        <f t="shared" si="5"/>
        <v>16005</v>
      </c>
    </row>
    <row r="43" spans="1:14">
      <c r="A43" s="1" t="s">
        <v>3</v>
      </c>
      <c r="B43" s="56" t="s">
        <v>55</v>
      </c>
      <c r="C43" s="57">
        <v>56629</v>
      </c>
      <c r="D43" s="58">
        <v>50291</v>
      </c>
      <c r="E43" s="58">
        <v>50204</v>
      </c>
      <c r="F43" s="58">
        <v>47172</v>
      </c>
      <c r="G43" s="58">
        <v>50501</v>
      </c>
      <c r="H43" s="58">
        <v>41123</v>
      </c>
      <c r="I43" s="59">
        <v>40674</v>
      </c>
      <c r="J43" s="60">
        <f t="shared" si="3"/>
        <v>336594</v>
      </c>
      <c r="K43" s="58">
        <v>59645</v>
      </c>
      <c r="L43" s="61">
        <v>35746</v>
      </c>
      <c r="M43" s="62">
        <f t="shared" si="4"/>
        <v>95391</v>
      </c>
      <c r="N43" s="60">
        <f t="shared" si="5"/>
        <v>431985</v>
      </c>
    </row>
    <row r="44" spans="1:14">
      <c r="A44" s="1" t="s">
        <v>3</v>
      </c>
      <c r="B44" s="35" t="s">
        <v>56</v>
      </c>
      <c r="C44" s="36">
        <v>4050</v>
      </c>
      <c r="D44" s="37">
        <v>4270</v>
      </c>
      <c r="E44" s="37">
        <v>6940</v>
      </c>
      <c r="F44" s="37">
        <v>6870</v>
      </c>
      <c r="G44" s="37">
        <v>7360</v>
      </c>
      <c r="H44" s="37">
        <v>5570</v>
      </c>
      <c r="I44" s="38">
        <v>2850</v>
      </c>
      <c r="J44" s="39">
        <f t="shared" si="3"/>
        <v>37910</v>
      </c>
      <c r="K44" s="37">
        <v>9270</v>
      </c>
      <c r="L44" s="40">
        <v>6360</v>
      </c>
      <c r="M44" s="41">
        <f t="shared" si="4"/>
        <v>15630</v>
      </c>
      <c r="N44" s="39">
        <f t="shared" si="5"/>
        <v>53540</v>
      </c>
    </row>
    <row r="45" spans="1:14">
      <c r="A45" s="1" t="s">
        <v>3</v>
      </c>
      <c r="B45" s="49" t="s">
        <v>57</v>
      </c>
      <c r="C45" s="50">
        <v>9400</v>
      </c>
      <c r="D45" s="51">
        <v>10700</v>
      </c>
      <c r="E45" s="51">
        <v>13300</v>
      </c>
      <c r="F45" s="51">
        <v>12500</v>
      </c>
      <c r="G45" s="51">
        <v>10400</v>
      </c>
      <c r="H45" s="51">
        <v>8800</v>
      </c>
      <c r="I45" s="52">
        <v>0</v>
      </c>
      <c r="J45" s="53">
        <f t="shared" si="3"/>
        <v>65100</v>
      </c>
      <c r="K45" s="51">
        <v>18900</v>
      </c>
      <c r="L45" s="54">
        <v>9100</v>
      </c>
      <c r="M45" s="55">
        <f t="shared" si="4"/>
        <v>28000</v>
      </c>
      <c r="N45" s="53">
        <f t="shared" si="5"/>
        <v>93100</v>
      </c>
    </row>
    <row r="46" spans="1:14">
      <c r="A46" s="1" t="s">
        <v>3</v>
      </c>
      <c r="B46" s="56" t="s">
        <v>58</v>
      </c>
      <c r="C46" s="57">
        <v>70079</v>
      </c>
      <c r="D46" s="58">
        <v>65261</v>
      </c>
      <c r="E46" s="58">
        <v>70444</v>
      </c>
      <c r="F46" s="58">
        <v>66542</v>
      </c>
      <c r="G46" s="58">
        <v>68261</v>
      </c>
      <c r="H46" s="58">
        <v>55493</v>
      </c>
      <c r="I46" s="59">
        <v>43524</v>
      </c>
      <c r="J46" s="60">
        <f t="shared" si="3"/>
        <v>439604</v>
      </c>
      <c r="K46" s="58">
        <v>87815</v>
      </c>
      <c r="L46" s="61">
        <v>51206</v>
      </c>
      <c r="M46" s="62">
        <f t="shared" si="4"/>
        <v>139021</v>
      </c>
      <c r="N46" s="60">
        <f t="shared" si="5"/>
        <v>578625</v>
      </c>
    </row>
    <row r="47" spans="1:14">
      <c r="A47" s="1" t="s">
        <v>3</v>
      </c>
      <c r="B47" s="56" t="s">
        <v>59</v>
      </c>
      <c r="C47" s="57">
        <v>313760</v>
      </c>
      <c r="D47" s="58">
        <v>276497</v>
      </c>
      <c r="E47" s="58">
        <v>260906</v>
      </c>
      <c r="F47" s="58">
        <v>258950</v>
      </c>
      <c r="G47" s="58">
        <v>315647</v>
      </c>
      <c r="H47" s="58">
        <v>267879</v>
      </c>
      <c r="I47" s="59">
        <v>191708</v>
      </c>
      <c r="J47" s="60">
        <f t="shared" si="3"/>
        <v>1885347</v>
      </c>
      <c r="K47" s="58">
        <v>310909</v>
      </c>
      <c r="L47" s="61">
        <v>244781</v>
      </c>
      <c r="M47" s="62">
        <f t="shared" si="4"/>
        <v>555690</v>
      </c>
      <c r="N47" s="60">
        <f t="shared" si="5"/>
        <v>2441037</v>
      </c>
    </row>
    <row r="48" spans="1:14">
      <c r="A48" s="1" t="s">
        <v>3</v>
      </c>
      <c r="B48" s="56" t="s">
        <v>60</v>
      </c>
      <c r="C48" s="57">
        <v>309720</v>
      </c>
      <c r="D48" s="58">
        <v>263932</v>
      </c>
      <c r="E48" s="58">
        <v>242967</v>
      </c>
      <c r="F48" s="58">
        <v>246481</v>
      </c>
      <c r="G48" s="58">
        <v>299142</v>
      </c>
      <c r="H48" s="58">
        <v>259521</v>
      </c>
      <c r="I48" s="59">
        <v>189904</v>
      </c>
      <c r="J48" s="60">
        <f t="shared" si="3"/>
        <v>1811667</v>
      </c>
      <c r="K48" s="58">
        <v>289535</v>
      </c>
      <c r="L48" s="61">
        <v>229923</v>
      </c>
      <c r="M48" s="62">
        <f t="shared" si="4"/>
        <v>519458</v>
      </c>
      <c r="N48" s="60">
        <f t="shared" si="5"/>
        <v>2331125</v>
      </c>
    </row>
    <row r="49" spans="1:14">
      <c r="A49" s="1" t="s">
        <v>3</v>
      </c>
      <c r="B49" s="56" t="s">
        <v>61</v>
      </c>
      <c r="C49" s="57">
        <v>309720</v>
      </c>
      <c r="D49" s="58">
        <v>263932</v>
      </c>
      <c r="E49" s="58">
        <v>242967</v>
      </c>
      <c r="F49" s="58">
        <v>246481</v>
      </c>
      <c r="G49" s="58">
        <v>299142</v>
      </c>
      <c r="H49" s="58">
        <v>259521</v>
      </c>
      <c r="I49" s="59">
        <v>189904</v>
      </c>
      <c r="J49" s="60">
        <f t="shared" si="3"/>
        <v>1811667</v>
      </c>
      <c r="K49" s="58">
        <v>289535</v>
      </c>
      <c r="L49" s="61">
        <v>229923</v>
      </c>
      <c r="M49" s="62">
        <f t="shared" si="4"/>
        <v>519458</v>
      </c>
      <c r="N49" s="60">
        <f t="shared" si="5"/>
        <v>2331125</v>
      </c>
    </row>
    <row r="50" spans="1:14">
      <c r="A50" s="1" t="s">
        <v>3</v>
      </c>
      <c r="B50" s="35" t="s">
        <v>62</v>
      </c>
      <c r="C50" s="36">
        <v>3</v>
      </c>
      <c r="D50" s="37">
        <v>2</v>
      </c>
      <c r="E50" s="37">
        <v>0</v>
      </c>
      <c r="F50" s="37">
        <v>0</v>
      </c>
      <c r="G50" s="37">
        <v>1</v>
      </c>
      <c r="H50" s="37">
        <v>1</v>
      </c>
      <c r="I50" s="38">
        <v>1</v>
      </c>
      <c r="J50" s="39"/>
      <c r="K50" s="37">
        <v>0</v>
      </c>
      <c r="L50" s="40">
        <v>0</v>
      </c>
      <c r="M50" s="41"/>
      <c r="N50" s="39"/>
    </row>
    <row r="51" spans="1:14" ht="19.5" thickBot="1">
      <c r="A51" s="1" t="s">
        <v>3</v>
      </c>
      <c r="B51" s="15" t="s">
        <v>63</v>
      </c>
      <c r="C51" s="25" t="s">
        <v>64</v>
      </c>
      <c r="D51" s="11" t="s">
        <v>64</v>
      </c>
      <c r="E51" s="11" t="s">
        <v>64</v>
      </c>
      <c r="F51" s="11" t="s">
        <v>64</v>
      </c>
      <c r="G51" s="11" t="s">
        <v>64</v>
      </c>
      <c r="H51" s="11" t="s">
        <v>64</v>
      </c>
      <c r="I51" s="12" t="s">
        <v>64</v>
      </c>
      <c r="J51" s="19"/>
      <c r="K51" s="11" t="s">
        <v>64</v>
      </c>
      <c r="L51" s="30" t="s">
        <v>64</v>
      </c>
      <c r="M51" s="34"/>
      <c r="N51" s="19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2025年11月度給与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道夫 深沢</dc:creator>
  <cp:lastModifiedBy>道夫 深沢</cp:lastModifiedBy>
  <dcterms:created xsi:type="dcterms:W3CDTF">2025-12-08T14:13:16Z</dcterms:created>
  <dcterms:modified xsi:type="dcterms:W3CDTF">2025-12-10T04:37:20Z</dcterms:modified>
</cp:coreProperties>
</file>