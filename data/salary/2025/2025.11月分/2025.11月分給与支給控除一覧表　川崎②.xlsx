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浅田恵美子\総務・経理\01給与\02給与集計内訳\2025\2025.11月分\"/>
    </mc:Choice>
  </mc:AlternateContent>
  <xr:revisionPtr revIDLastSave="0" documentId="13_ncr:1_{3343A171-8E91-41D5-826E-20DBD7B2FCF4}" xr6:coauthVersionLast="47" xr6:coauthVersionMax="47" xr10:uidLastSave="{00000000-0000-0000-0000-000000000000}"/>
  <bookViews>
    <workbookView xWindow="-120" yWindow="-120" windowWidth="20730" windowHeight="11040" xr2:uid="{05098009-8FE4-48BF-9F7B-8096FA27424C}"/>
  </bookViews>
  <sheets>
    <sheet name="2025年11月度給与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3" i="2" l="1"/>
  <c r="J43" i="2" s="1"/>
  <c r="J42" i="2"/>
  <c r="I42" i="2"/>
  <c r="J41" i="2"/>
  <c r="I41" i="2"/>
  <c r="I40" i="2"/>
  <c r="J40" i="2" s="1"/>
  <c r="I39" i="2"/>
  <c r="J39" i="2" s="1"/>
  <c r="I38" i="2"/>
  <c r="J38" i="2" s="1"/>
  <c r="J37" i="2"/>
  <c r="I37" i="2"/>
  <c r="J36" i="2"/>
  <c r="I36" i="2"/>
  <c r="J35" i="2"/>
  <c r="I35" i="2"/>
  <c r="I34" i="2"/>
  <c r="J34" i="2" s="1"/>
  <c r="I33" i="2"/>
  <c r="J33" i="2" s="1"/>
  <c r="I32" i="2"/>
  <c r="J32" i="2" s="1"/>
  <c r="J31" i="2"/>
  <c r="I31" i="2"/>
  <c r="J30" i="2"/>
  <c r="I30" i="2"/>
  <c r="J29" i="2"/>
  <c r="I29" i="2"/>
  <c r="I28" i="2"/>
  <c r="J28" i="2" s="1"/>
  <c r="I27" i="2"/>
  <c r="J27" i="2" s="1"/>
  <c r="I26" i="2"/>
  <c r="J26" i="2" s="1"/>
  <c r="J25" i="2"/>
  <c r="I25" i="2"/>
  <c r="J24" i="2"/>
  <c r="I24" i="2"/>
  <c r="J23" i="2"/>
  <c r="I23" i="2"/>
  <c r="J22" i="2"/>
  <c r="I22" i="2"/>
  <c r="I21" i="2"/>
  <c r="J21" i="2" s="1"/>
  <c r="I20" i="2"/>
  <c r="J20" i="2" s="1"/>
  <c r="J19" i="2"/>
  <c r="I19" i="2"/>
  <c r="J18" i="2"/>
  <c r="I18" i="2"/>
  <c r="J17" i="2"/>
  <c r="I17" i="2"/>
  <c r="I15" i="2"/>
  <c r="J15" i="2" s="1"/>
  <c r="I14" i="2"/>
  <c r="J14" i="2" s="1"/>
  <c r="I13" i="2"/>
  <c r="J13" i="2" s="1"/>
  <c r="J12" i="2"/>
  <c r="I12" i="2"/>
  <c r="J11" i="2"/>
  <c r="I11" i="2"/>
  <c r="J10" i="2"/>
  <c r="I10" i="2"/>
  <c r="J9" i="2"/>
  <c r="I9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5" i="2"/>
  <c r="G14" i="2"/>
  <c r="G13" i="2"/>
  <c r="G12" i="2"/>
  <c r="G11" i="2"/>
  <c r="G10" i="2"/>
  <c r="G9" i="2"/>
</calcChain>
</file>

<file path=xl/sharedStrings.xml><?xml version="1.0" encoding="utf-8"?>
<sst xmlns="http://schemas.openxmlformats.org/spreadsheetml/2006/main" count="101" uniqueCount="57">
  <si>
    <t>支給控除一覧表</t>
    <phoneticPr fontId="4"/>
  </si>
  <si>
    <t>若林運送株式会社</t>
    <phoneticPr fontId="4"/>
  </si>
  <si>
    <t>2025年12月 8日 作成</t>
    <phoneticPr fontId="4"/>
  </si>
  <si>
    <t/>
  </si>
  <si>
    <t>1049</t>
    <phoneticPr fontId="4"/>
  </si>
  <si>
    <t>1050</t>
    <phoneticPr fontId="4"/>
  </si>
  <si>
    <t>1078</t>
    <phoneticPr fontId="4"/>
  </si>
  <si>
    <t>1114</t>
    <phoneticPr fontId="4"/>
  </si>
  <si>
    <t>1211</t>
    <phoneticPr fontId="4"/>
  </si>
  <si>
    <t>項目名</t>
    <phoneticPr fontId="4"/>
  </si>
  <si>
    <t>菅原　幸志</t>
    <phoneticPr fontId="4"/>
  </si>
  <si>
    <t>伊藤　正典</t>
    <phoneticPr fontId="4"/>
  </si>
  <si>
    <t>伊藤　尚</t>
    <phoneticPr fontId="4"/>
  </si>
  <si>
    <t>吉田　亨</t>
    <phoneticPr fontId="4"/>
  </si>
  <si>
    <t>黒川　仁</t>
    <phoneticPr fontId="4"/>
  </si>
  <si>
    <t>合計</t>
    <phoneticPr fontId="4"/>
  </si>
  <si>
    <t>平日出勤日数</t>
    <phoneticPr fontId="4"/>
  </si>
  <si>
    <t>法定休日</t>
    <phoneticPr fontId="4"/>
  </si>
  <si>
    <t>有休日数</t>
    <phoneticPr fontId="4"/>
  </si>
  <si>
    <t>欠勤日数</t>
    <phoneticPr fontId="4"/>
  </si>
  <si>
    <t>平日残業</t>
    <phoneticPr fontId="4"/>
  </si>
  <si>
    <t>法定休日時間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</si>
  <si>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</si>
  <si>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</si>
  <si>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</si>
  <si>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</si>
  <si>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</si>
  <si>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</si>
  <si>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</si>
  <si>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無事故報奨金</t>
    <phoneticPr fontId="4"/>
  </si>
  <si>
    <t>無事故加算</t>
    <phoneticPr fontId="4"/>
  </si>
  <si>
    <t>調整加算</t>
    <phoneticPr fontId="4"/>
  </si>
  <si>
    <t>欠勤控除</t>
    <phoneticPr fontId="4"/>
  </si>
  <si>
    <t>法定休日残業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</si>
  <si>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</si>
  <si>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</si>
  <si>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</si>
  <si>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</si>
  <si>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</si>
  <si>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</si>
  <si>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</si>
  <si>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</si>
  <si>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</si>
  <si>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</si>
  <si>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</si>
  <si>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</si>
  <si>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</si>
  <si>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</si>
  <si>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</si>
  <si>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</si>
  <si>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</si>
  <si>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</si>
  <si>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2025年11月度給与</t>
    <phoneticPr fontId="4"/>
  </si>
  <si>
    <t>小計</t>
    <rPh sb="0" eb="2">
      <t>ショウケイ</t>
    </rPh>
    <phoneticPr fontId="3"/>
  </si>
  <si>
    <t>4名</t>
    <rPh sb="1" eb="2">
      <t>メイ</t>
    </rPh>
    <phoneticPr fontId="4"/>
  </si>
  <si>
    <t>1名</t>
    <rPh sb="1" eb="2">
      <t>メイ</t>
    </rPh>
    <phoneticPr fontId="4"/>
  </si>
  <si>
    <t>5名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</si>
</sst>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9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3" xfId="1" applyNumberFormat="1" applyFont="1" applyBorder="1" applyAlignment="1">
      <alignment horizontal="center"/>
    </xf>
    <xf numFmtId="2" fontId="2" fillId="0" borderId="6" xfId="1" applyNumberFormat="1" applyFont="1" applyBorder="1"/>
    <xf numFmtId="2" fontId="2" fillId="0" borderId="7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/>
    <xf numFmtId="0" fontId="2" fillId="0" borderId="11" xfId="1" applyFont="1" applyBorder="1" applyAlignment="1">
      <alignment horizontal="center"/>
    </xf>
    <xf numFmtId="49" fontId="2" fillId="0" borderId="12" xfId="1" applyNumberFormat="1" applyFont="1" applyBorder="1" applyAlignment="1">
      <alignment horizontal="left"/>
    </xf>
    <xf numFmtId="49" fontId="2" fillId="0" borderId="13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8" xfId="1" applyNumberFormat="1" applyFont="1" applyBorder="1"/>
    <xf numFmtId="2" fontId="2" fillId="0" borderId="15" xfId="1" applyNumberFormat="1" applyFont="1" applyBorder="1"/>
    <xf numFmtId="176" fontId="2" fillId="0" borderId="15" xfId="1" applyNumberFormat="1" applyFont="1" applyBorder="1"/>
    <xf numFmtId="3" fontId="2" fillId="0" borderId="1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176" fontId="2" fillId="0" borderId="18" xfId="1" applyNumberFormat="1" applyFont="1" applyBorder="1"/>
    <xf numFmtId="3" fontId="2" fillId="0" borderId="18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 applyAlignment="1">
      <alignment horizontal="left"/>
    </xf>
    <xf numFmtId="2" fontId="2" fillId="0" borderId="21" xfId="1" applyNumberFormat="1" applyFont="1" applyBorder="1"/>
    <xf numFmtId="2" fontId="2" fillId="0" borderId="22" xfId="1" applyNumberFormat="1" applyFont="1" applyBorder="1"/>
    <xf numFmtId="2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0" fontId="2" fillId="0" borderId="13" xfId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49" fontId="2" fillId="0" borderId="19" xfId="1" applyNumberFormat="1" applyFont="1" applyBorder="1" applyAlignment="1">
      <alignment horizontal="center"/>
    </xf>
    <xf numFmtId="0" fontId="2" fillId="0" borderId="19" xfId="1" applyFont="1" applyBorder="1" applyAlignment="1">
      <alignment horizontal="center"/>
    </xf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7" xfId="1" applyNumberFormat="1" applyFont="1" applyBorder="1" applyAlignment="1">
      <alignment horizontal="left"/>
    </xf>
    <xf numFmtId="2" fontId="2" fillId="0" borderId="28" xfId="1" applyNumberFormat="1" applyFont="1" applyBorder="1"/>
    <xf numFmtId="2" fontId="2" fillId="0" borderId="29" xfId="1" applyNumberFormat="1" applyFont="1" applyBorder="1"/>
    <xf numFmtId="2" fontId="2" fillId="0" borderId="30" xfId="1" applyNumberFormat="1" applyFont="1" applyBorder="1"/>
    <xf numFmtId="2" fontId="2" fillId="0" borderId="31" xfId="1" applyNumberFormat="1" applyFont="1" applyBorder="1"/>
    <xf numFmtId="2" fontId="2" fillId="0" borderId="26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32" xfId="1" applyNumberFormat="1" applyFont="1" applyBorder="1"/>
    <xf numFmtId="49" fontId="2" fillId="0" borderId="42" xfId="1" applyNumberFormat="1" applyFont="1" applyBorder="1" applyAlignment="1">
      <alignment horizontal="left"/>
    </xf>
    <xf numFmtId="49" fontId="2" fillId="0" borderId="43" xfId="1" applyNumberFormat="1" applyFont="1" applyBorder="1" applyAlignment="1">
      <alignment horizontal="left"/>
    </xf>
    <xf numFmtId="0" fontId="2" fillId="0" borderId="14" xfId="1" applyFont="1" applyBorder="1" applyAlignment="1">
      <alignment horizontal="center"/>
    </xf>
    <xf numFmtId="0" fontId="2" fillId="0" borderId="17" xfId="1" applyFont="1" applyBorder="1" applyAlignment="1">
      <alignment horizontal="center"/>
    </xf>
  </cellXfs>
  <cellStyles count="2">
    <cellStyle name="標準" xfId="0" builtinId="0"/>
    <cellStyle name="標準 2" xfId="1" xr:uid="{81BB716A-C9B4-4A96-A332-F8837057DF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F8424-E248-4413-AFAF-2F67D7357960}">
  <dimension ref="A1:J45"/>
  <sheetViews>
    <sheetView showZero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J43" sqref="J43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6" width="9" style="2" bestFit="1" customWidth="1"/>
    <col min="7" max="7" width="9.625" style="2" bestFit="1" customWidth="1"/>
    <col min="8" max="8" width="9" style="2" bestFit="1" customWidth="1"/>
    <col min="9" max="10" width="9.625" style="2" bestFit="1" customWidth="1"/>
    <col min="11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5" width="9" style="2" bestFit="1"/>
    <col min="266" max="266" width="9.625" style="2" bestFit="1" customWidth="1"/>
    <col min="267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21" width="9" style="2" bestFit="1"/>
    <col min="522" max="522" width="9.625" style="2" bestFit="1" customWidth="1"/>
    <col min="523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7" width="9" style="2" bestFit="1"/>
    <col min="778" max="778" width="9.625" style="2" bestFit="1" customWidth="1"/>
    <col min="779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3" width="9" style="2" bestFit="1"/>
    <col min="1034" max="1034" width="9.625" style="2" bestFit="1" customWidth="1"/>
    <col min="1035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9" width="9" style="2" bestFit="1"/>
    <col min="1290" max="1290" width="9.625" style="2" bestFit="1" customWidth="1"/>
    <col min="1291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5" width="9" style="2" bestFit="1"/>
    <col min="1546" max="1546" width="9.625" style="2" bestFit="1" customWidth="1"/>
    <col min="1547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801" width="9" style="2" bestFit="1"/>
    <col min="1802" max="1802" width="9.625" style="2" bestFit="1" customWidth="1"/>
    <col min="1803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7" width="9" style="2" bestFit="1"/>
    <col min="2058" max="2058" width="9.625" style="2" bestFit="1" customWidth="1"/>
    <col min="2059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3" width="9" style="2" bestFit="1"/>
    <col min="2314" max="2314" width="9.625" style="2" bestFit="1" customWidth="1"/>
    <col min="2315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9" width="9" style="2" bestFit="1"/>
    <col min="2570" max="2570" width="9.625" style="2" bestFit="1" customWidth="1"/>
    <col min="2571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5" width="9" style="2" bestFit="1"/>
    <col min="2826" max="2826" width="9.625" style="2" bestFit="1" customWidth="1"/>
    <col min="2827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81" width="9" style="2" bestFit="1"/>
    <col min="3082" max="3082" width="9.625" style="2" bestFit="1" customWidth="1"/>
    <col min="3083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7" width="9" style="2" bestFit="1"/>
    <col min="3338" max="3338" width="9.625" style="2" bestFit="1" customWidth="1"/>
    <col min="3339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3" width="9" style="2" bestFit="1"/>
    <col min="3594" max="3594" width="9.625" style="2" bestFit="1" customWidth="1"/>
    <col min="3595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9" width="9" style="2" bestFit="1"/>
    <col min="3850" max="3850" width="9.625" style="2" bestFit="1" customWidth="1"/>
    <col min="3851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5" width="9" style="2" bestFit="1"/>
    <col min="4106" max="4106" width="9.625" style="2" bestFit="1" customWidth="1"/>
    <col min="4107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61" width="9" style="2" bestFit="1"/>
    <col min="4362" max="4362" width="9.625" style="2" bestFit="1" customWidth="1"/>
    <col min="4363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7" width="9" style="2" bestFit="1"/>
    <col min="4618" max="4618" width="9.625" style="2" bestFit="1" customWidth="1"/>
    <col min="4619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3" width="9" style="2" bestFit="1"/>
    <col min="4874" max="4874" width="9.625" style="2" bestFit="1" customWidth="1"/>
    <col min="4875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9" width="9" style="2" bestFit="1"/>
    <col min="5130" max="5130" width="9.625" style="2" bestFit="1" customWidth="1"/>
    <col min="5131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5" width="9" style="2" bestFit="1"/>
    <col min="5386" max="5386" width="9.625" style="2" bestFit="1" customWidth="1"/>
    <col min="5387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41" width="9" style="2" bestFit="1"/>
    <col min="5642" max="5642" width="9.625" style="2" bestFit="1" customWidth="1"/>
    <col min="5643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7" width="9" style="2" bestFit="1"/>
    <col min="5898" max="5898" width="9.625" style="2" bestFit="1" customWidth="1"/>
    <col min="5899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3" width="9" style="2" bestFit="1"/>
    <col min="6154" max="6154" width="9.625" style="2" bestFit="1" customWidth="1"/>
    <col min="6155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9" width="9" style="2" bestFit="1"/>
    <col min="6410" max="6410" width="9.625" style="2" bestFit="1" customWidth="1"/>
    <col min="6411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5" width="9" style="2" bestFit="1"/>
    <col min="6666" max="6666" width="9.625" style="2" bestFit="1" customWidth="1"/>
    <col min="6667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21" width="9" style="2" bestFit="1"/>
    <col min="6922" max="6922" width="9.625" style="2" bestFit="1" customWidth="1"/>
    <col min="6923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7" width="9" style="2" bestFit="1"/>
    <col min="7178" max="7178" width="9.625" style="2" bestFit="1" customWidth="1"/>
    <col min="7179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3" width="9" style="2" bestFit="1"/>
    <col min="7434" max="7434" width="9.625" style="2" bestFit="1" customWidth="1"/>
    <col min="7435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9" width="9" style="2" bestFit="1"/>
    <col min="7690" max="7690" width="9.625" style="2" bestFit="1" customWidth="1"/>
    <col min="7691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5" width="9" style="2" bestFit="1"/>
    <col min="7946" max="7946" width="9.625" style="2" bestFit="1" customWidth="1"/>
    <col min="7947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201" width="9" style="2" bestFit="1"/>
    <col min="8202" max="8202" width="9.625" style="2" bestFit="1" customWidth="1"/>
    <col min="8203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7" width="9" style="2" bestFit="1"/>
    <col min="8458" max="8458" width="9.625" style="2" bestFit="1" customWidth="1"/>
    <col min="8459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3" width="9" style="2" bestFit="1"/>
    <col min="8714" max="8714" width="9.625" style="2" bestFit="1" customWidth="1"/>
    <col min="8715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9" width="9" style="2" bestFit="1"/>
    <col min="8970" max="8970" width="9.625" style="2" bestFit="1" customWidth="1"/>
    <col min="8971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5" width="9" style="2" bestFit="1"/>
    <col min="9226" max="9226" width="9.625" style="2" bestFit="1" customWidth="1"/>
    <col min="9227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81" width="9" style="2" bestFit="1"/>
    <col min="9482" max="9482" width="9.625" style="2" bestFit="1" customWidth="1"/>
    <col min="9483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7" width="9" style="2" bestFit="1"/>
    <col min="9738" max="9738" width="9.625" style="2" bestFit="1" customWidth="1"/>
    <col min="9739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3" width="9" style="2" bestFit="1"/>
    <col min="9994" max="9994" width="9.625" style="2" bestFit="1" customWidth="1"/>
    <col min="9995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9" width="9" style="2" bestFit="1"/>
    <col min="10250" max="10250" width="9.625" style="2" bestFit="1" customWidth="1"/>
    <col min="10251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5" width="9" style="2" bestFit="1"/>
    <col min="10506" max="10506" width="9.625" style="2" bestFit="1" customWidth="1"/>
    <col min="10507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61" width="9" style="2" bestFit="1"/>
    <col min="10762" max="10762" width="9.625" style="2" bestFit="1" customWidth="1"/>
    <col min="10763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7" width="9" style="2" bestFit="1"/>
    <col min="11018" max="11018" width="9.625" style="2" bestFit="1" customWidth="1"/>
    <col min="11019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3" width="9" style="2" bestFit="1"/>
    <col min="11274" max="11274" width="9.625" style="2" bestFit="1" customWidth="1"/>
    <col min="11275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9" width="9" style="2" bestFit="1"/>
    <col min="11530" max="11530" width="9.625" style="2" bestFit="1" customWidth="1"/>
    <col min="11531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5" width="9" style="2" bestFit="1"/>
    <col min="11786" max="11786" width="9.625" style="2" bestFit="1" customWidth="1"/>
    <col min="11787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41" width="9" style="2" bestFit="1"/>
    <col min="12042" max="12042" width="9.625" style="2" bestFit="1" customWidth="1"/>
    <col min="12043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7" width="9" style="2" bestFit="1"/>
    <col min="12298" max="12298" width="9.625" style="2" bestFit="1" customWidth="1"/>
    <col min="12299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3" width="9" style="2" bestFit="1"/>
    <col min="12554" max="12554" width="9.625" style="2" bestFit="1" customWidth="1"/>
    <col min="12555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9" width="9" style="2" bestFit="1"/>
    <col min="12810" max="12810" width="9.625" style="2" bestFit="1" customWidth="1"/>
    <col min="12811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5" width="9" style="2" bestFit="1"/>
    <col min="13066" max="13066" width="9.625" style="2" bestFit="1" customWidth="1"/>
    <col min="13067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21" width="9" style="2" bestFit="1"/>
    <col min="13322" max="13322" width="9.625" style="2" bestFit="1" customWidth="1"/>
    <col min="13323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7" width="9" style="2" bestFit="1"/>
    <col min="13578" max="13578" width="9.625" style="2" bestFit="1" customWidth="1"/>
    <col min="13579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3" width="9" style="2" bestFit="1"/>
    <col min="13834" max="13834" width="9.625" style="2" bestFit="1" customWidth="1"/>
    <col min="13835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9" width="9" style="2" bestFit="1"/>
    <col min="14090" max="14090" width="9.625" style="2" bestFit="1" customWidth="1"/>
    <col min="14091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5" width="9" style="2" bestFit="1"/>
    <col min="14346" max="14346" width="9.625" style="2" bestFit="1" customWidth="1"/>
    <col min="14347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601" width="9" style="2" bestFit="1"/>
    <col min="14602" max="14602" width="9.625" style="2" bestFit="1" customWidth="1"/>
    <col min="14603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7" width="9" style="2" bestFit="1"/>
    <col min="14858" max="14858" width="9.625" style="2" bestFit="1" customWidth="1"/>
    <col min="14859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3" width="9" style="2" bestFit="1"/>
    <col min="15114" max="15114" width="9.625" style="2" bestFit="1" customWidth="1"/>
    <col min="15115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9" width="9" style="2" bestFit="1"/>
    <col min="15370" max="15370" width="9.625" style="2" bestFit="1" customWidth="1"/>
    <col min="15371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5" width="9" style="2" bestFit="1"/>
    <col min="15626" max="15626" width="9.625" style="2" bestFit="1" customWidth="1"/>
    <col min="15627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81" width="9" style="2" bestFit="1"/>
    <col min="15882" max="15882" width="9.625" style="2" bestFit="1" customWidth="1"/>
    <col min="15883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7" width="9" style="2" bestFit="1"/>
    <col min="16138" max="16138" width="9.625" style="2" bestFit="1" customWidth="1"/>
    <col min="16139" max="16384" width="9" style="2"/>
  </cols>
  <sheetData>
    <row r="1" spans="1:10">
      <c r="A1" s="1" t="s">
        <v>0</v>
      </c>
    </row>
    <row r="2" spans="1:10">
      <c r="A2" s="1"/>
    </row>
    <row r="3" spans="1:10">
      <c r="A3" s="1" t="s">
        <v>1</v>
      </c>
    </row>
    <row r="4" spans="1:10">
      <c r="A4" s="1" t="s">
        <v>2</v>
      </c>
    </row>
    <row r="5" spans="1:10">
      <c r="A5" s="1" t="s">
        <v>3</v>
      </c>
    </row>
    <row r="6" spans="1:10" ht="19.5" thickBot="1">
      <c r="A6" s="1" t="s">
        <v>52</v>
      </c>
    </row>
    <row r="7" spans="1:10">
      <c r="B7" s="13"/>
      <c r="C7" s="16" t="s">
        <v>4</v>
      </c>
      <c r="D7" s="4" t="s">
        <v>5</v>
      </c>
      <c r="E7" s="4" t="s">
        <v>7</v>
      </c>
      <c r="F7" s="17" t="s">
        <v>8</v>
      </c>
      <c r="G7" s="67" t="s">
        <v>53</v>
      </c>
      <c r="H7" s="26" t="s">
        <v>6</v>
      </c>
      <c r="I7" s="67" t="s">
        <v>53</v>
      </c>
      <c r="J7" s="68" t="s">
        <v>15</v>
      </c>
    </row>
    <row r="8" spans="1:10" ht="19.5" thickBot="1">
      <c r="A8" s="3"/>
      <c r="B8" s="37" t="s">
        <v>9</v>
      </c>
      <c r="C8" s="38" t="s">
        <v>10</v>
      </c>
      <c r="D8" s="39" t="s">
        <v>11</v>
      </c>
      <c r="E8" s="39" t="s">
        <v>13</v>
      </c>
      <c r="F8" s="40" t="s">
        <v>14</v>
      </c>
      <c r="G8" s="41" t="s">
        <v>54</v>
      </c>
      <c r="H8" s="42" t="s">
        <v>12</v>
      </c>
      <c r="I8" s="41" t="s">
        <v>55</v>
      </c>
      <c r="J8" s="43" t="s">
        <v>56</v>
      </c>
    </row>
    <row r="9" spans="1:10">
      <c r="A9" s="1" t="s">
        <v>3</v>
      </c>
      <c r="B9" s="31" t="s">
        <v>16</v>
      </c>
      <c r="C9" s="32">
        <v>18</v>
      </c>
      <c r="D9" s="33">
        <v>18</v>
      </c>
      <c r="E9" s="33">
        <v>18</v>
      </c>
      <c r="F9" s="34">
        <v>14</v>
      </c>
      <c r="G9" s="35">
        <f>SUM(C9:F9)</f>
        <v>68</v>
      </c>
      <c r="H9" s="36">
        <v>17</v>
      </c>
      <c r="I9" s="35">
        <f>H9</f>
        <v>17</v>
      </c>
      <c r="J9" s="36">
        <f>G9+I9</f>
        <v>85</v>
      </c>
    </row>
    <row r="10" spans="1:10">
      <c r="A10" s="1" t="s">
        <v>3</v>
      </c>
      <c r="B10" s="14" t="s">
        <v>17</v>
      </c>
      <c r="C10" s="18">
        <v>1</v>
      </c>
      <c r="D10" s="5">
        <v>1</v>
      </c>
      <c r="E10" s="5">
        <v>0</v>
      </c>
      <c r="F10" s="6">
        <v>1</v>
      </c>
      <c r="G10" s="22">
        <f t="shared" ref="G10:G15" si="0">SUM(C10:F10)</f>
        <v>3</v>
      </c>
      <c r="H10" s="27">
        <v>0</v>
      </c>
      <c r="I10" s="22">
        <f t="shared" ref="I10:I15" si="1">H10</f>
        <v>0</v>
      </c>
      <c r="J10" s="27">
        <f t="shared" ref="J10:J15" si="2">G10+I10</f>
        <v>3</v>
      </c>
    </row>
    <row r="11" spans="1:10">
      <c r="A11" s="1" t="s">
        <v>3</v>
      </c>
      <c r="B11" s="14" t="s">
        <v>18</v>
      </c>
      <c r="C11" s="18">
        <v>0</v>
      </c>
      <c r="D11" s="5">
        <v>0</v>
      </c>
      <c r="E11" s="5">
        <v>0</v>
      </c>
      <c r="F11" s="6">
        <v>0</v>
      </c>
      <c r="G11" s="22">
        <f t="shared" si="0"/>
        <v>0</v>
      </c>
      <c r="H11" s="27">
        <v>1</v>
      </c>
      <c r="I11" s="22">
        <f t="shared" si="1"/>
        <v>1</v>
      </c>
      <c r="J11" s="27">
        <f t="shared" si="2"/>
        <v>1</v>
      </c>
    </row>
    <row r="12" spans="1:10">
      <c r="A12" s="1" t="s">
        <v>3</v>
      </c>
      <c r="B12" s="14" t="s">
        <v>19</v>
      </c>
      <c r="C12" s="18">
        <v>0</v>
      </c>
      <c r="D12" s="5">
        <v>0</v>
      </c>
      <c r="E12" s="5">
        <v>0</v>
      </c>
      <c r="F12" s="6">
        <v>4</v>
      </c>
      <c r="G12" s="22">
        <f t="shared" si="0"/>
        <v>4</v>
      </c>
      <c r="H12" s="27">
        <v>0</v>
      </c>
      <c r="I12" s="22">
        <f t="shared" si="1"/>
        <v>0</v>
      </c>
      <c r="J12" s="27">
        <f t="shared" si="2"/>
        <v>4</v>
      </c>
    </row>
    <row r="13" spans="1:10">
      <c r="A13" s="1" t="s">
        <v>3</v>
      </c>
      <c r="B13" s="14" t="s">
        <v>20</v>
      </c>
      <c r="C13" s="19">
        <v>1.4166666666666667</v>
      </c>
      <c r="D13" s="7">
        <v>2.1666666666666665</v>
      </c>
      <c r="E13" s="7">
        <v>1.2083333333333333</v>
      </c>
      <c r="F13" s="8">
        <v>0.95833333333333337</v>
      </c>
      <c r="G13" s="23">
        <f t="shared" si="0"/>
        <v>5.7499999999999991</v>
      </c>
      <c r="H13" s="28">
        <v>0</v>
      </c>
      <c r="I13" s="23">
        <f t="shared" si="1"/>
        <v>0</v>
      </c>
      <c r="J13" s="28">
        <f t="shared" si="2"/>
        <v>5.7499999999999991</v>
      </c>
    </row>
    <row r="14" spans="1:10">
      <c r="A14" s="1" t="s">
        <v>3</v>
      </c>
      <c r="B14" s="14" t="s">
        <v>21</v>
      </c>
      <c r="C14" s="19">
        <v>0.125</v>
      </c>
      <c r="D14" s="7">
        <v>0.125</v>
      </c>
      <c r="E14" s="7">
        <v>0</v>
      </c>
      <c r="F14" s="8">
        <v>0.125</v>
      </c>
      <c r="G14" s="23">
        <f t="shared" si="0"/>
        <v>0.375</v>
      </c>
      <c r="H14" s="28">
        <v>0</v>
      </c>
      <c r="I14" s="23">
        <f t="shared" si="1"/>
        <v>0</v>
      </c>
      <c r="J14" s="28">
        <f t="shared" si="2"/>
        <v>0.375</v>
      </c>
    </row>
    <row r="15" spans="1:10">
      <c r="A15" s="1" t="s">
        <v>3</v>
      </c>
      <c r="B15" s="14" t="s">
        <v>22</v>
      </c>
      <c r="C15" s="19">
        <v>0</v>
      </c>
      <c r="D15" s="7">
        <v>4.1666666666666664E-2</v>
      </c>
      <c r="E15" s="7">
        <v>8.3333333333333329E-2</v>
      </c>
      <c r="F15" s="8">
        <v>0</v>
      </c>
      <c r="G15" s="23">
        <f t="shared" si="0"/>
        <v>0.125</v>
      </c>
      <c r="H15" s="28">
        <v>4.1666666666666664E-2</v>
      </c>
      <c r="I15" s="23">
        <f t="shared" si="1"/>
        <v>4.1666666666666664E-2</v>
      </c>
      <c r="J15" s="28">
        <f t="shared" si="2"/>
        <v>0.16666666666666666</v>
      </c>
    </row>
    <row r="16" spans="1:10">
      <c r="A16" s="1" t="s">
        <v>3</v>
      </c>
      <c r="B16" s="49" t="s">
        <v>23</v>
      </c>
      <c r="C16" s="50">
        <v>30</v>
      </c>
      <c r="D16" s="51">
        <v>33</v>
      </c>
      <c r="E16" s="51">
        <v>9</v>
      </c>
      <c r="F16" s="52">
        <v>0</v>
      </c>
      <c r="G16" s="53"/>
      <c r="H16" s="54">
        <v>32.5</v>
      </c>
      <c r="I16" s="53"/>
      <c r="J16" s="54"/>
    </row>
    <row r="17" spans="1:10">
      <c r="A17" s="1" t="s">
        <v>3</v>
      </c>
      <c r="B17" s="31" t="s">
        <v>24</v>
      </c>
      <c r="C17" s="44">
        <v>187000</v>
      </c>
      <c r="D17" s="45">
        <v>192000</v>
      </c>
      <c r="E17" s="45">
        <v>192000</v>
      </c>
      <c r="F17" s="46">
        <v>175000</v>
      </c>
      <c r="G17" s="47">
        <f t="shared" ref="G17:G43" si="3">SUM(C17:F17)</f>
        <v>746000</v>
      </c>
      <c r="H17" s="48">
        <v>370000</v>
      </c>
      <c r="I17" s="47">
        <f t="shared" ref="I17:I43" si="4">H17</f>
        <v>370000</v>
      </c>
      <c r="J17" s="48">
        <f t="shared" ref="J17:J43" si="5">G17+I17</f>
        <v>1116000</v>
      </c>
    </row>
    <row r="18" spans="1:10">
      <c r="A18" s="1" t="s">
        <v>3</v>
      </c>
      <c r="B18" s="14" t="s">
        <v>25</v>
      </c>
      <c r="C18" s="20">
        <v>5000</v>
      </c>
      <c r="D18" s="9">
        <v>0</v>
      </c>
      <c r="E18" s="9">
        <v>0</v>
      </c>
      <c r="F18" s="10">
        <v>0</v>
      </c>
      <c r="G18" s="24">
        <f t="shared" si="3"/>
        <v>5000</v>
      </c>
      <c r="H18" s="29">
        <v>0</v>
      </c>
      <c r="I18" s="24">
        <f t="shared" si="4"/>
        <v>0</v>
      </c>
      <c r="J18" s="29">
        <f t="shared" si="5"/>
        <v>5000</v>
      </c>
    </row>
    <row r="19" spans="1:10">
      <c r="A19" s="1" t="s">
        <v>3</v>
      </c>
      <c r="B19" s="14" t="s">
        <v>26</v>
      </c>
      <c r="C19" s="20">
        <v>0</v>
      </c>
      <c r="D19" s="9">
        <v>3000</v>
      </c>
      <c r="E19" s="9">
        <v>15000</v>
      </c>
      <c r="F19" s="10">
        <v>0</v>
      </c>
      <c r="G19" s="24">
        <f t="shared" si="3"/>
        <v>18000</v>
      </c>
      <c r="H19" s="29">
        <v>0</v>
      </c>
      <c r="I19" s="24">
        <f t="shared" si="4"/>
        <v>0</v>
      </c>
      <c r="J19" s="29">
        <f t="shared" si="5"/>
        <v>18000</v>
      </c>
    </row>
    <row r="20" spans="1:10">
      <c r="A20" s="1" t="s">
        <v>3</v>
      </c>
      <c r="B20" s="14" t="s">
        <v>27</v>
      </c>
      <c r="C20" s="20">
        <v>50000</v>
      </c>
      <c r="D20" s="9">
        <v>50000</v>
      </c>
      <c r="E20" s="9">
        <v>50000</v>
      </c>
      <c r="F20" s="10">
        <v>50000</v>
      </c>
      <c r="G20" s="24">
        <f t="shared" si="3"/>
        <v>200000</v>
      </c>
      <c r="H20" s="29">
        <v>50000</v>
      </c>
      <c r="I20" s="24">
        <f t="shared" si="4"/>
        <v>50000</v>
      </c>
      <c r="J20" s="29">
        <f t="shared" si="5"/>
        <v>250000</v>
      </c>
    </row>
    <row r="21" spans="1:10">
      <c r="A21" s="1" t="s">
        <v>3</v>
      </c>
      <c r="B21" s="14" t="s">
        <v>28</v>
      </c>
      <c r="C21" s="20">
        <v>0</v>
      </c>
      <c r="D21" s="9">
        <v>0</v>
      </c>
      <c r="E21" s="9">
        <v>82379</v>
      </c>
      <c r="F21" s="10">
        <v>0</v>
      </c>
      <c r="G21" s="24">
        <f t="shared" si="3"/>
        <v>82379</v>
      </c>
      <c r="H21" s="29">
        <v>0</v>
      </c>
      <c r="I21" s="24">
        <f t="shared" si="4"/>
        <v>0</v>
      </c>
      <c r="J21" s="29">
        <f t="shared" si="5"/>
        <v>82379</v>
      </c>
    </row>
    <row r="22" spans="1:10">
      <c r="A22" s="1" t="s">
        <v>3</v>
      </c>
      <c r="B22" s="14" t="s">
        <v>29</v>
      </c>
      <c r="C22" s="20">
        <v>3866</v>
      </c>
      <c r="D22" s="9">
        <v>1716</v>
      </c>
      <c r="E22" s="9">
        <v>1300</v>
      </c>
      <c r="F22" s="10">
        <v>0</v>
      </c>
      <c r="G22" s="24">
        <f t="shared" si="3"/>
        <v>6882</v>
      </c>
      <c r="H22" s="29">
        <v>0</v>
      </c>
      <c r="I22" s="24">
        <f t="shared" si="4"/>
        <v>0</v>
      </c>
      <c r="J22" s="29">
        <f t="shared" si="5"/>
        <v>6882</v>
      </c>
    </row>
    <row r="23" spans="1:10">
      <c r="A23" s="1" t="s">
        <v>3</v>
      </c>
      <c r="B23" s="14" t="s">
        <v>30</v>
      </c>
      <c r="C23" s="20">
        <v>6000</v>
      </c>
      <c r="D23" s="9">
        <v>6000</v>
      </c>
      <c r="E23" s="9">
        <v>1000</v>
      </c>
      <c r="F23" s="10">
        <v>0</v>
      </c>
      <c r="G23" s="24">
        <f t="shared" si="3"/>
        <v>13000</v>
      </c>
      <c r="H23" s="29">
        <v>0</v>
      </c>
      <c r="I23" s="24">
        <f t="shared" si="4"/>
        <v>0</v>
      </c>
      <c r="J23" s="29">
        <f t="shared" si="5"/>
        <v>13000</v>
      </c>
    </row>
    <row r="24" spans="1:10">
      <c r="A24" s="1" t="s">
        <v>3</v>
      </c>
      <c r="B24" s="14" t="s">
        <v>31</v>
      </c>
      <c r="C24" s="20">
        <v>0</v>
      </c>
      <c r="D24" s="9">
        <v>13000</v>
      </c>
      <c r="E24" s="9">
        <v>13000</v>
      </c>
      <c r="F24" s="10">
        <v>0</v>
      </c>
      <c r="G24" s="24">
        <f t="shared" si="3"/>
        <v>26000</v>
      </c>
      <c r="H24" s="29">
        <v>0</v>
      </c>
      <c r="I24" s="24">
        <f t="shared" si="4"/>
        <v>0</v>
      </c>
      <c r="J24" s="29">
        <f t="shared" si="5"/>
        <v>26000</v>
      </c>
    </row>
    <row r="25" spans="1:10">
      <c r="A25" s="1" t="s">
        <v>3</v>
      </c>
      <c r="B25" s="14" t="s">
        <v>32</v>
      </c>
      <c r="C25" s="20">
        <v>0</v>
      </c>
      <c r="D25" s="9">
        <v>0</v>
      </c>
      <c r="E25" s="9">
        <v>0</v>
      </c>
      <c r="F25" s="10">
        <v>43060</v>
      </c>
      <c r="G25" s="24">
        <f t="shared" si="3"/>
        <v>43060</v>
      </c>
      <c r="H25" s="29">
        <v>0</v>
      </c>
      <c r="I25" s="24">
        <f t="shared" si="4"/>
        <v>0</v>
      </c>
      <c r="J25" s="29">
        <f t="shared" si="5"/>
        <v>43060</v>
      </c>
    </row>
    <row r="26" spans="1:10">
      <c r="A26" s="1" t="s">
        <v>3</v>
      </c>
      <c r="B26" s="14" t="s">
        <v>20</v>
      </c>
      <c r="C26" s="20">
        <v>63104</v>
      </c>
      <c r="D26" s="9">
        <v>102752</v>
      </c>
      <c r="E26" s="9">
        <v>58841</v>
      </c>
      <c r="F26" s="10">
        <v>38732</v>
      </c>
      <c r="G26" s="24">
        <f t="shared" si="3"/>
        <v>263429</v>
      </c>
      <c r="H26" s="29">
        <v>0</v>
      </c>
      <c r="I26" s="24">
        <f t="shared" si="4"/>
        <v>0</v>
      </c>
      <c r="J26" s="29">
        <f t="shared" si="5"/>
        <v>263429</v>
      </c>
    </row>
    <row r="27" spans="1:10">
      <c r="A27" s="1" t="s">
        <v>3</v>
      </c>
      <c r="B27" s="14" t="s">
        <v>33</v>
      </c>
      <c r="C27" s="20">
        <v>6015</v>
      </c>
      <c r="D27" s="9">
        <v>6402</v>
      </c>
      <c r="E27" s="9">
        <v>0</v>
      </c>
      <c r="F27" s="10">
        <v>5454</v>
      </c>
      <c r="G27" s="24">
        <f t="shared" si="3"/>
        <v>17871</v>
      </c>
      <c r="H27" s="29">
        <v>0</v>
      </c>
      <c r="I27" s="24">
        <f t="shared" si="4"/>
        <v>0</v>
      </c>
      <c r="J27" s="29">
        <f t="shared" si="5"/>
        <v>17871</v>
      </c>
    </row>
    <row r="28" spans="1:10">
      <c r="A28" s="1" t="s">
        <v>3</v>
      </c>
      <c r="B28" s="14" t="s">
        <v>22</v>
      </c>
      <c r="C28" s="55">
        <v>0</v>
      </c>
      <c r="D28" s="56">
        <v>395</v>
      </c>
      <c r="E28" s="56">
        <v>812</v>
      </c>
      <c r="F28" s="57">
        <v>0</v>
      </c>
      <c r="G28" s="58">
        <f t="shared" si="3"/>
        <v>1207</v>
      </c>
      <c r="H28" s="59">
        <v>629</v>
      </c>
      <c r="I28" s="58">
        <f t="shared" si="4"/>
        <v>629</v>
      </c>
      <c r="J28" s="59">
        <f t="shared" si="5"/>
        <v>1836</v>
      </c>
    </row>
    <row r="29" spans="1:10">
      <c r="A29" s="1" t="s">
        <v>3</v>
      </c>
      <c r="B29" s="14" t="s">
        <v>34</v>
      </c>
      <c r="C29" s="60">
        <v>320985</v>
      </c>
      <c r="D29" s="61">
        <v>375265</v>
      </c>
      <c r="E29" s="61">
        <v>414332</v>
      </c>
      <c r="F29" s="62">
        <v>226126</v>
      </c>
      <c r="G29" s="63">
        <f t="shared" si="3"/>
        <v>1336708</v>
      </c>
      <c r="H29" s="64">
        <v>420629</v>
      </c>
      <c r="I29" s="63">
        <f t="shared" si="4"/>
        <v>420629</v>
      </c>
      <c r="J29" s="64">
        <f t="shared" si="5"/>
        <v>1757337</v>
      </c>
    </row>
    <row r="30" spans="1:10">
      <c r="A30" s="1" t="s">
        <v>3</v>
      </c>
      <c r="B30" s="14" t="s">
        <v>35</v>
      </c>
      <c r="C30" s="60">
        <v>0</v>
      </c>
      <c r="D30" s="61">
        <v>1414</v>
      </c>
      <c r="E30" s="61">
        <v>7119</v>
      </c>
      <c r="F30" s="62">
        <v>0</v>
      </c>
      <c r="G30" s="63">
        <f t="shared" si="3"/>
        <v>8533</v>
      </c>
      <c r="H30" s="64">
        <v>9448</v>
      </c>
      <c r="I30" s="63">
        <f t="shared" si="4"/>
        <v>9448</v>
      </c>
      <c r="J30" s="64">
        <f t="shared" si="5"/>
        <v>17981</v>
      </c>
    </row>
    <row r="31" spans="1:10">
      <c r="A31" s="1" t="s">
        <v>3</v>
      </c>
      <c r="B31" s="14" t="s">
        <v>36</v>
      </c>
      <c r="C31" s="60">
        <v>0</v>
      </c>
      <c r="D31" s="61">
        <v>1414</v>
      </c>
      <c r="E31" s="61">
        <v>7119</v>
      </c>
      <c r="F31" s="62">
        <v>0</v>
      </c>
      <c r="G31" s="63">
        <f t="shared" si="3"/>
        <v>8533</v>
      </c>
      <c r="H31" s="64">
        <v>9448</v>
      </c>
      <c r="I31" s="63">
        <f t="shared" si="4"/>
        <v>9448</v>
      </c>
      <c r="J31" s="64">
        <f t="shared" si="5"/>
        <v>17981</v>
      </c>
    </row>
    <row r="32" spans="1:10">
      <c r="A32" s="1" t="s">
        <v>3</v>
      </c>
      <c r="B32" s="14" t="s">
        <v>37</v>
      </c>
      <c r="C32" s="60">
        <v>320985</v>
      </c>
      <c r="D32" s="61">
        <v>376679</v>
      </c>
      <c r="E32" s="61">
        <v>421451</v>
      </c>
      <c r="F32" s="62">
        <v>226126</v>
      </c>
      <c r="G32" s="63">
        <f t="shared" si="3"/>
        <v>1345241</v>
      </c>
      <c r="H32" s="64">
        <v>430077</v>
      </c>
      <c r="I32" s="63">
        <f t="shared" si="4"/>
        <v>430077</v>
      </c>
      <c r="J32" s="64">
        <f t="shared" si="5"/>
        <v>1775318</v>
      </c>
    </row>
    <row r="33" spans="1:10">
      <c r="A33" s="1" t="s">
        <v>3</v>
      </c>
      <c r="B33" s="14" t="s">
        <v>38</v>
      </c>
      <c r="C33" s="44">
        <v>15300</v>
      </c>
      <c r="D33" s="45">
        <v>19380</v>
      </c>
      <c r="E33" s="45">
        <v>22440</v>
      </c>
      <c r="F33" s="46">
        <v>15300</v>
      </c>
      <c r="G33" s="47">
        <f t="shared" si="3"/>
        <v>72420</v>
      </c>
      <c r="H33" s="48">
        <v>22440</v>
      </c>
      <c r="I33" s="47">
        <f t="shared" si="4"/>
        <v>22440</v>
      </c>
      <c r="J33" s="48">
        <f t="shared" si="5"/>
        <v>94860</v>
      </c>
    </row>
    <row r="34" spans="1:10">
      <c r="A34" s="1" t="s">
        <v>3</v>
      </c>
      <c r="B34" s="14" t="s">
        <v>39</v>
      </c>
      <c r="C34" s="20">
        <v>0</v>
      </c>
      <c r="D34" s="9">
        <v>3420</v>
      </c>
      <c r="E34" s="9">
        <v>3960</v>
      </c>
      <c r="F34" s="10">
        <v>2700</v>
      </c>
      <c r="G34" s="24">
        <f t="shared" si="3"/>
        <v>10080</v>
      </c>
      <c r="H34" s="29">
        <v>3960</v>
      </c>
      <c r="I34" s="24">
        <f t="shared" si="4"/>
        <v>3960</v>
      </c>
      <c r="J34" s="29">
        <f t="shared" si="5"/>
        <v>14040</v>
      </c>
    </row>
    <row r="35" spans="1:10">
      <c r="A35" s="1" t="s">
        <v>3</v>
      </c>
      <c r="B35" s="14" t="s">
        <v>40</v>
      </c>
      <c r="C35" s="20">
        <v>27450</v>
      </c>
      <c r="D35" s="9">
        <v>34770</v>
      </c>
      <c r="E35" s="9">
        <v>40260</v>
      </c>
      <c r="F35" s="10">
        <v>27450</v>
      </c>
      <c r="G35" s="24">
        <f t="shared" si="3"/>
        <v>129930</v>
      </c>
      <c r="H35" s="29">
        <v>40260</v>
      </c>
      <c r="I35" s="24">
        <f t="shared" si="4"/>
        <v>40260</v>
      </c>
      <c r="J35" s="29">
        <f t="shared" si="5"/>
        <v>170190</v>
      </c>
    </row>
    <row r="36" spans="1:10">
      <c r="A36" s="1" t="s">
        <v>3</v>
      </c>
      <c r="B36" s="65" t="s">
        <v>41</v>
      </c>
      <c r="C36" s="55">
        <v>1765</v>
      </c>
      <c r="D36" s="56">
        <v>2072</v>
      </c>
      <c r="E36" s="56">
        <v>2318</v>
      </c>
      <c r="F36" s="57">
        <v>1244</v>
      </c>
      <c r="G36" s="58">
        <f t="shared" si="3"/>
        <v>7399</v>
      </c>
      <c r="H36" s="59">
        <v>2365</v>
      </c>
      <c r="I36" s="58">
        <f t="shared" si="4"/>
        <v>2365</v>
      </c>
      <c r="J36" s="59">
        <f t="shared" si="5"/>
        <v>9764</v>
      </c>
    </row>
    <row r="37" spans="1:10">
      <c r="A37" s="1" t="s">
        <v>3</v>
      </c>
      <c r="B37" s="66" t="s">
        <v>42</v>
      </c>
      <c r="C37" s="60">
        <v>44515</v>
      </c>
      <c r="D37" s="61">
        <v>59642</v>
      </c>
      <c r="E37" s="61">
        <v>68978</v>
      </c>
      <c r="F37" s="62">
        <v>46694</v>
      </c>
      <c r="G37" s="63">
        <f t="shared" si="3"/>
        <v>219829</v>
      </c>
      <c r="H37" s="64">
        <v>69025</v>
      </c>
      <c r="I37" s="63">
        <f t="shared" si="4"/>
        <v>69025</v>
      </c>
      <c r="J37" s="64">
        <f t="shared" si="5"/>
        <v>288854</v>
      </c>
    </row>
    <row r="38" spans="1:10">
      <c r="A38" s="1" t="s">
        <v>3</v>
      </c>
      <c r="B38" s="31" t="s">
        <v>43</v>
      </c>
      <c r="C38" s="44">
        <v>5880</v>
      </c>
      <c r="D38" s="45">
        <v>9660</v>
      </c>
      <c r="E38" s="45">
        <v>12080</v>
      </c>
      <c r="F38" s="46">
        <v>2410</v>
      </c>
      <c r="G38" s="47">
        <f t="shared" si="3"/>
        <v>30030</v>
      </c>
      <c r="H38" s="48">
        <v>12600</v>
      </c>
      <c r="I38" s="47">
        <f t="shared" si="4"/>
        <v>12600</v>
      </c>
      <c r="J38" s="48">
        <f t="shared" si="5"/>
        <v>42630</v>
      </c>
    </row>
    <row r="39" spans="1:10">
      <c r="A39" s="1" t="s">
        <v>3</v>
      </c>
      <c r="B39" s="65" t="s">
        <v>44</v>
      </c>
      <c r="C39" s="55">
        <v>16100</v>
      </c>
      <c r="D39" s="56">
        <v>17200</v>
      </c>
      <c r="E39" s="56">
        <v>16600</v>
      </c>
      <c r="F39" s="57">
        <v>0</v>
      </c>
      <c r="G39" s="58">
        <f t="shared" si="3"/>
        <v>49900</v>
      </c>
      <c r="H39" s="59">
        <v>20700</v>
      </c>
      <c r="I39" s="58">
        <f t="shared" si="4"/>
        <v>20700</v>
      </c>
      <c r="J39" s="59">
        <f t="shared" si="5"/>
        <v>70600</v>
      </c>
    </row>
    <row r="40" spans="1:10">
      <c r="A40" s="1" t="s">
        <v>3</v>
      </c>
      <c r="B40" s="66" t="s">
        <v>45</v>
      </c>
      <c r="C40" s="60">
        <v>66495</v>
      </c>
      <c r="D40" s="61">
        <v>86502</v>
      </c>
      <c r="E40" s="61">
        <v>97658</v>
      </c>
      <c r="F40" s="62">
        <v>49104</v>
      </c>
      <c r="G40" s="63">
        <f t="shared" si="3"/>
        <v>299759</v>
      </c>
      <c r="H40" s="64">
        <v>102325</v>
      </c>
      <c r="I40" s="63">
        <f t="shared" si="4"/>
        <v>102325</v>
      </c>
      <c r="J40" s="64">
        <f t="shared" si="5"/>
        <v>402084</v>
      </c>
    </row>
    <row r="41" spans="1:10">
      <c r="A41" s="1" t="s">
        <v>3</v>
      </c>
      <c r="B41" s="66" t="s">
        <v>46</v>
      </c>
      <c r="C41" s="60">
        <v>276470</v>
      </c>
      <c r="D41" s="61">
        <v>315623</v>
      </c>
      <c r="E41" s="61">
        <v>345354</v>
      </c>
      <c r="F41" s="62">
        <v>179432</v>
      </c>
      <c r="G41" s="63">
        <f t="shared" si="3"/>
        <v>1116879</v>
      </c>
      <c r="H41" s="64">
        <v>351604</v>
      </c>
      <c r="I41" s="63">
        <f t="shared" si="4"/>
        <v>351604</v>
      </c>
      <c r="J41" s="64">
        <f t="shared" si="5"/>
        <v>1468483</v>
      </c>
    </row>
    <row r="42" spans="1:10">
      <c r="A42" s="1" t="s">
        <v>3</v>
      </c>
      <c r="B42" s="66" t="s">
        <v>47</v>
      </c>
      <c r="C42" s="60">
        <v>254490</v>
      </c>
      <c r="D42" s="61">
        <v>290177</v>
      </c>
      <c r="E42" s="61">
        <v>323793</v>
      </c>
      <c r="F42" s="62">
        <v>177022</v>
      </c>
      <c r="G42" s="63">
        <f t="shared" si="3"/>
        <v>1045482</v>
      </c>
      <c r="H42" s="64">
        <v>327752</v>
      </c>
      <c r="I42" s="63">
        <f t="shared" si="4"/>
        <v>327752</v>
      </c>
      <c r="J42" s="64">
        <f t="shared" si="5"/>
        <v>1373234</v>
      </c>
    </row>
    <row r="43" spans="1:10">
      <c r="A43" s="1" t="s">
        <v>3</v>
      </c>
      <c r="B43" s="66" t="s">
        <v>48</v>
      </c>
      <c r="C43" s="60">
        <v>254490</v>
      </c>
      <c r="D43" s="61">
        <v>290177</v>
      </c>
      <c r="E43" s="61">
        <v>323793</v>
      </c>
      <c r="F43" s="62">
        <v>177022</v>
      </c>
      <c r="G43" s="63">
        <f t="shared" si="3"/>
        <v>1045482</v>
      </c>
      <c r="H43" s="64">
        <v>327752</v>
      </c>
      <c r="I43" s="63">
        <f t="shared" si="4"/>
        <v>327752</v>
      </c>
      <c r="J43" s="64">
        <f t="shared" si="5"/>
        <v>1373234</v>
      </c>
    </row>
    <row r="44" spans="1:10">
      <c r="A44" s="1" t="s">
        <v>3</v>
      </c>
      <c r="B44" s="31" t="s">
        <v>49</v>
      </c>
      <c r="C44" s="44">
        <v>1</v>
      </c>
      <c r="D44" s="45">
        <v>0</v>
      </c>
      <c r="E44" s="45">
        <v>0</v>
      </c>
      <c r="F44" s="46">
        <v>1</v>
      </c>
      <c r="G44" s="47"/>
      <c r="H44" s="48">
        <v>0</v>
      </c>
      <c r="I44" s="47"/>
      <c r="J44" s="48"/>
    </row>
    <row r="45" spans="1:10" ht="19.5" thickBot="1">
      <c r="A45" s="1" t="s">
        <v>3</v>
      </c>
      <c r="B45" s="15" t="s">
        <v>50</v>
      </c>
      <c r="C45" s="21" t="s">
        <v>51</v>
      </c>
      <c r="D45" s="11" t="s">
        <v>51</v>
      </c>
      <c r="E45" s="11" t="s">
        <v>51</v>
      </c>
      <c r="F45" s="12" t="s">
        <v>51</v>
      </c>
      <c r="G45" s="25"/>
      <c r="H45" s="30" t="s">
        <v>51</v>
      </c>
      <c r="I45" s="25"/>
      <c r="J45" s="30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2025年11月度給与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dcterms:created xsi:type="dcterms:W3CDTF">2025-12-08T14:16:53Z</dcterms:created>
  <dcterms:modified xsi:type="dcterms:W3CDTF">2025-12-10T04:30:19Z</dcterms:modified>
</cp:coreProperties>
</file>