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4.12月分\"/>
    </mc:Choice>
  </mc:AlternateContent>
  <xr:revisionPtr revIDLastSave="0" documentId="13_ncr:1_{ADAEABB5-B109-40C0-A7DC-F572E7E33CE4}" xr6:coauthVersionLast="47" xr6:coauthVersionMax="47" xr10:uidLastSave="{00000000-0000-0000-0000-000000000000}"/>
  <bookViews>
    <workbookView xWindow="-120" yWindow="-120" windowWidth="20730" windowHeight="11040" xr2:uid="{89177A93-E4C1-456A-A41B-BC14F408A242}"/>
  </bookViews>
  <sheets>
    <sheet name="2024年 12月度給与 (2)" sheetId="4" r:id="rId1"/>
  </sheets>
  <definedNames>
    <definedName name="_xlnm.Print_Area" localSheetId="0">'2024年 12月度給与 (2)'!$A$1:$I$38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4" l="1"/>
  <c r="I27" i="4"/>
  <c r="I38" i="4"/>
  <c r="I5" i="4"/>
  <c r="H6" i="4"/>
  <c r="I6" i="4" s="1"/>
  <c r="H7" i="4"/>
  <c r="I7" i="4" s="1"/>
  <c r="H8" i="4"/>
  <c r="I8" i="4" s="1"/>
  <c r="H9" i="4"/>
  <c r="I9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H25" i="4"/>
  <c r="H26" i="4"/>
  <c r="H27" i="4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8" i="4"/>
  <c r="H5" i="4"/>
  <c r="D6" i="4"/>
  <c r="D7" i="4"/>
  <c r="D8" i="4"/>
  <c r="D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I24" i="4" s="1"/>
  <c r="D25" i="4"/>
  <c r="I25" i="4" s="1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5" i="4"/>
</calcChain>
</file>

<file path=xl/sharedStrings.xml><?xml version="1.0" encoding="utf-8"?>
<sst xmlns="http://schemas.openxmlformats.org/spreadsheetml/2006/main" count="89" uniqueCount="50">
  <si>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</si>
  <si>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</si>
  <si>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</si>
  <si>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</si>
  <si>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</si>
  <si>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1114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</si>
  <si>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</si>
  <si>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</si>
  <si>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</si>
  <si>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</si>
  <si>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</si>
  <si>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合計</t>
    <phoneticPr fontId="4"/>
  </si>
  <si>
    <t>平日出勤日数</t>
    <phoneticPr fontId="4"/>
  </si>
  <si>
    <t>法定休日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</si>
  <si>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</si>
  <si>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</si>
  <si>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</si>
  <si>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</si>
  <si>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</si>
  <si>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</si>
  <si>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</si>
  <si>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</si>
  <si>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</si>
  <si>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</si>
  <si>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</si>
  <si>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</si>
  <si>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</si>
  <si>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</si>
  <si>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</si>
  <si>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</si>
  <si>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</si>
  <si>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</si>
  <si>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</si>
  <si>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</si>
  <si>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</si>
  <si>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</si>
  <si>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</si>
  <si>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</si>
  <si>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</si>
  <si>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</si>
  <si>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</si>
  <si>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</si>
  <si>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</si>
  <si>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</si>
  <si>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</si>
  <si>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2024年 12月度給与</t>
    <phoneticPr fontId="4"/>
  </si>
  <si>
    <t>小計</t>
    <rPh sb="0" eb="2">
      <t>ショウケイ</t>
    </rPh>
    <phoneticPr fontId="3"/>
  </si>
  <si>
    <t>1名</t>
    <rPh sb="1" eb="2">
      <t>メイ</t>
    </rPh>
    <phoneticPr fontId="3"/>
  </si>
  <si>
    <t>3名</t>
    <rPh sb="1" eb="2">
      <t>メイ</t>
    </rPh>
    <phoneticPr fontId="3"/>
  </si>
  <si>
    <t>4名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</si>
</sst>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auto="1"/>
      </right>
      <top/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176" fontId="2" fillId="0" borderId="12" xfId="1" applyNumberFormat="1" applyFont="1" applyBorder="1"/>
    <xf numFmtId="176" fontId="2" fillId="0" borderId="13" xfId="1" applyNumberFormat="1" applyFont="1" applyBorder="1"/>
    <xf numFmtId="176" fontId="2" fillId="0" borderId="14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5" xfId="1" applyNumberFormat="1" applyFont="1" applyBorder="1" applyAlignment="1">
      <alignment horizontal="left"/>
    </xf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27" xfId="1" applyNumberFormat="1" applyFont="1" applyBorder="1" applyAlignment="1">
      <alignment horizontal="left"/>
    </xf>
    <xf numFmtId="49" fontId="2" fillId="0" borderId="31" xfId="1" applyNumberFormat="1" applyFont="1" applyBorder="1" applyAlignment="1">
      <alignment horizontal="left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</cellXfs>
  <cellStyles count="2">
    <cellStyle name="標準" xfId="0" builtinId="0"/>
    <cellStyle name="標準 2" xfId="1" xr:uid="{91D783EE-C172-4B60-B43C-3ECDB0E7C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53C8-8D1D-4BFA-AA31-14A6D6C762F3}">
  <sheetPr>
    <pageSetUpPr fitToPage="1"/>
  </sheetPr>
  <dimension ref="A1:I38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9" width="14.75" style="2" customWidth="1"/>
    <col min="10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4" width="9.625" style="2" bestFit="1" customWidth="1"/>
    <col min="265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0" width="9.625" style="2" bestFit="1" customWidth="1"/>
    <col min="521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6" width="9.625" style="2" bestFit="1" customWidth="1"/>
    <col min="777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2" width="9.625" style="2" bestFit="1" customWidth="1"/>
    <col min="1033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88" width="9.625" style="2" bestFit="1" customWidth="1"/>
    <col min="1289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4" width="9.625" style="2" bestFit="1" customWidth="1"/>
    <col min="1545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0" width="9.625" style="2" bestFit="1" customWidth="1"/>
    <col min="1801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6" width="9.625" style="2" bestFit="1" customWidth="1"/>
    <col min="2057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2" width="9.625" style="2" bestFit="1" customWidth="1"/>
    <col min="2313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68" width="9.625" style="2" bestFit="1" customWidth="1"/>
    <col min="2569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4" width="9.625" style="2" bestFit="1" customWidth="1"/>
    <col min="2825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0" width="9.625" style="2" bestFit="1" customWidth="1"/>
    <col min="3081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6" width="9.625" style="2" bestFit="1" customWidth="1"/>
    <col min="3337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2" width="9.625" style="2" bestFit="1" customWidth="1"/>
    <col min="3593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48" width="9.625" style="2" bestFit="1" customWidth="1"/>
    <col min="3849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4" width="9.625" style="2" bestFit="1" customWidth="1"/>
    <col min="4105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0" width="9.625" style="2" bestFit="1" customWidth="1"/>
    <col min="4361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6" width="9.625" style="2" bestFit="1" customWidth="1"/>
    <col min="4617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2" width="9.625" style="2" bestFit="1" customWidth="1"/>
    <col min="4873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28" width="9.625" style="2" bestFit="1" customWidth="1"/>
    <col min="5129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4" width="9.625" style="2" bestFit="1" customWidth="1"/>
    <col min="5385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0" width="9.625" style="2" bestFit="1" customWidth="1"/>
    <col min="5641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6" width="9.625" style="2" bestFit="1" customWidth="1"/>
    <col min="5897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2" width="9.625" style="2" bestFit="1" customWidth="1"/>
    <col min="6153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08" width="9.625" style="2" bestFit="1" customWidth="1"/>
    <col min="6409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4" width="9.625" style="2" bestFit="1" customWidth="1"/>
    <col min="6665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0" width="9.625" style="2" bestFit="1" customWidth="1"/>
    <col min="6921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6" width="9.625" style="2" bestFit="1" customWidth="1"/>
    <col min="7177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2" width="9.625" style="2" bestFit="1" customWidth="1"/>
    <col min="7433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88" width="9.625" style="2" bestFit="1" customWidth="1"/>
    <col min="7689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4" width="9.625" style="2" bestFit="1" customWidth="1"/>
    <col min="7945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0" width="9.625" style="2" bestFit="1" customWidth="1"/>
    <col min="8201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6" width="9.625" style="2" bestFit="1" customWidth="1"/>
    <col min="8457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2" width="9.625" style="2" bestFit="1" customWidth="1"/>
    <col min="8713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68" width="9.625" style="2" bestFit="1" customWidth="1"/>
    <col min="8969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4" width="9.625" style="2" bestFit="1" customWidth="1"/>
    <col min="9225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0" width="9.625" style="2" bestFit="1" customWidth="1"/>
    <col min="9481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6" width="9.625" style="2" bestFit="1" customWidth="1"/>
    <col min="9737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2" width="9.625" style="2" bestFit="1" customWidth="1"/>
    <col min="9993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48" width="9.625" style="2" bestFit="1" customWidth="1"/>
    <col min="10249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4" width="9.625" style="2" bestFit="1" customWidth="1"/>
    <col min="10505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0" width="9.625" style="2" bestFit="1" customWidth="1"/>
    <col min="10761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6" width="9.625" style="2" bestFit="1" customWidth="1"/>
    <col min="11017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2" width="9.625" style="2" bestFit="1" customWidth="1"/>
    <col min="11273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28" width="9.625" style="2" bestFit="1" customWidth="1"/>
    <col min="11529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4" width="9.625" style="2" bestFit="1" customWidth="1"/>
    <col min="11785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0" width="9.625" style="2" bestFit="1" customWidth="1"/>
    <col min="12041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6" width="9.625" style="2" bestFit="1" customWidth="1"/>
    <col min="12297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2" width="9.625" style="2" bestFit="1" customWidth="1"/>
    <col min="12553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08" width="9.625" style="2" bestFit="1" customWidth="1"/>
    <col min="12809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4" width="9.625" style="2" bestFit="1" customWidth="1"/>
    <col min="13065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0" width="9.625" style="2" bestFit="1" customWidth="1"/>
    <col min="13321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6" width="9.625" style="2" bestFit="1" customWidth="1"/>
    <col min="13577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2" width="9.625" style="2" bestFit="1" customWidth="1"/>
    <col min="13833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88" width="9.625" style="2" bestFit="1" customWidth="1"/>
    <col min="14089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4" width="9.625" style="2" bestFit="1" customWidth="1"/>
    <col min="14345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0" width="9.625" style="2" bestFit="1" customWidth="1"/>
    <col min="14601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6" width="9.625" style="2" bestFit="1" customWidth="1"/>
    <col min="14857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2" width="9.625" style="2" bestFit="1" customWidth="1"/>
    <col min="15113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68" width="9.625" style="2" bestFit="1" customWidth="1"/>
    <col min="15369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4" width="9.625" style="2" bestFit="1" customWidth="1"/>
    <col min="15625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0" width="9.625" style="2" bestFit="1" customWidth="1"/>
    <col min="15881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6" width="9.625" style="2" bestFit="1" customWidth="1"/>
    <col min="16137" max="16384" width="9" style="2"/>
  </cols>
  <sheetData>
    <row r="1" spans="1:9">
      <c r="A1" s="1" t="s">
        <v>0</v>
      </c>
    </row>
    <row r="2" spans="1:9" ht="19.5" thickBot="1">
      <c r="A2" s="1" t="s">
        <v>45</v>
      </c>
    </row>
    <row r="3" spans="1:9">
      <c r="B3" s="5"/>
      <c r="C3" s="10" t="s">
        <v>4</v>
      </c>
      <c r="D3" s="56" t="s">
        <v>46</v>
      </c>
      <c r="E3" s="9" t="s">
        <v>2</v>
      </c>
      <c r="F3" s="10" t="s">
        <v>3</v>
      </c>
      <c r="G3" s="11" t="s">
        <v>5</v>
      </c>
      <c r="H3" s="58" t="s">
        <v>46</v>
      </c>
      <c r="I3" s="6" t="s">
        <v>11</v>
      </c>
    </row>
    <row r="4" spans="1:9" ht="19.5" thickBot="1">
      <c r="B4" s="4" t="s">
        <v>6</v>
      </c>
      <c r="C4" s="13" t="s">
        <v>9</v>
      </c>
      <c r="D4" s="57" t="s">
        <v>47</v>
      </c>
      <c r="E4" s="12" t="s">
        <v>7</v>
      </c>
      <c r="F4" s="13" t="s">
        <v>8</v>
      </c>
      <c r="G4" s="14" t="s">
        <v>10</v>
      </c>
      <c r="H4" s="59" t="s">
        <v>48</v>
      </c>
      <c r="I4" s="3" t="s">
        <v>49</v>
      </c>
    </row>
    <row r="5" spans="1:9">
      <c r="A5" s="1" t="s">
        <v>1</v>
      </c>
      <c r="B5" s="42" t="s">
        <v>12</v>
      </c>
      <c r="C5" s="48">
        <v>20</v>
      </c>
      <c r="D5" s="48">
        <f>SUM(C5)</f>
        <v>20</v>
      </c>
      <c r="E5" s="47">
        <v>20</v>
      </c>
      <c r="F5" s="48">
        <v>20</v>
      </c>
      <c r="G5" s="49">
        <v>20</v>
      </c>
      <c r="H5" s="49">
        <f>SUM(E5:G5)</f>
        <v>60</v>
      </c>
      <c r="I5" s="49">
        <f>SUM(H5,D5)</f>
        <v>80</v>
      </c>
    </row>
    <row r="6" spans="1:9">
      <c r="A6" s="1" t="s">
        <v>1</v>
      </c>
      <c r="B6" s="35" t="s">
        <v>13</v>
      </c>
      <c r="C6" s="51">
        <v>0</v>
      </c>
      <c r="D6" s="51">
        <f t="shared" ref="D6:D38" si="0">SUM(C6)</f>
        <v>0</v>
      </c>
      <c r="E6" s="50">
        <v>1</v>
      </c>
      <c r="F6" s="51">
        <v>2</v>
      </c>
      <c r="G6" s="52">
        <v>1</v>
      </c>
      <c r="H6" s="52">
        <f t="shared" ref="H6:H38" si="1">SUM(E6:G6)</f>
        <v>4</v>
      </c>
      <c r="I6" s="52">
        <f t="shared" ref="I6:I38" si="2">SUM(H6,D6)</f>
        <v>4</v>
      </c>
    </row>
    <row r="7" spans="1:9">
      <c r="A7" s="1" t="s">
        <v>1</v>
      </c>
      <c r="B7" s="35" t="s">
        <v>14</v>
      </c>
      <c r="C7" s="54">
        <v>0</v>
      </c>
      <c r="D7" s="54">
        <f t="shared" si="0"/>
        <v>0</v>
      </c>
      <c r="E7" s="53">
        <v>1.4166666666666667</v>
      </c>
      <c r="F7" s="54">
        <v>2.4166666666666665</v>
      </c>
      <c r="G7" s="55">
        <v>1.75</v>
      </c>
      <c r="H7" s="55">
        <f t="shared" si="1"/>
        <v>5.583333333333333</v>
      </c>
      <c r="I7" s="55">
        <f t="shared" si="2"/>
        <v>5.583333333333333</v>
      </c>
    </row>
    <row r="8" spans="1:9">
      <c r="A8" s="1" t="s">
        <v>1</v>
      </c>
      <c r="B8" s="35" t="s">
        <v>15</v>
      </c>
      <c r="C8" s="54">
        <v>0</v>
      </c>
      <c r="D8" s="54">
        <f t="shared" si="0"/>
        <v>0</v>
      </c>
      <c r="E8" s="53">
        <v>8.3333333333333329E-2</v>
      </c>
      <c r="F8" s="54">
        <v>0.45833333333333331</v>
      </c>
      <c r="G8" s="55">
        <v>8.3333333333333329E-2</v>
      </c>
      <c r="H8" s="55">
        <f t="shared" si="1"/>
        <v>0.625</v>
      </c>
      <c r="I8" s="55">
        <f t="shared" si="2"/>
        <v>0.625</v>
      </c>
    </row>
    <row r="9" spans="1:9">
      <c r="A9" s="1" t="s">
        <v>1</v>
      </c>
      <c r="B9" s="7" t="s">
        <v>16</v>
      </c>
      <c r="C9" s="16">
        <v>4.1666666666666664E-2</v>
      </c>
      <c r="D9" s="16">
        <f t="shared" si="0"/>
        <v>4.1666666666666664E-2</v>
      </c>
      <c r="E9" s="15">
        <v>0.29166666666666669</v>
      </c>
      <c r="F9" s="16">
        <v>0.16666666666666666</v>
      </c>
      <c r="G9" s="17">
        <v>0.125</v>
      </c>
      <c r="H9" s="17">
        <f t="shared" si="1"/>
        <v>0.58333333333333337</v>
      </c>
      <c r="I9" s="17">
        <f t="shared" si="2"/>
        <v>0.625</v>
      </c>
    </row>
    <row r="10" spans="1:9">
      <c r="A10" s="1" t="s">
        <v>1</v>
      </c>
      <c r="B10" s="24" t="s">
        <v>17</v>
      </c>
      <c r="C10" s="26">
        <v>29.5</v>
      </c>
      <c r="D10" s="26"/>
      <c r="E10" s="25">
        <v>22</v>
      </c>
      <c r="F10" s="26">
        <v>30</v>
      </c>
      <c r="G10" s="27">
        <v>2</v>
      </c>
      <c r="H10" s="27"/>
      <c r="I10" s="27"/>
    </row>
    <row r="11" spans="1:9">
      <c r="A11" s="1" t="s">
        <v>1</v>
      </c>
      <c r="B11" s="31" t="s">
        <v>18</v>
      </c>
      <c r="C11" s="33">
        <v>370000</v>
      </c>
      <c r="D11" s="33">
        <f t="shared" si="0"/>
        <v>370000</v>
      </c>
      <c r="E11" s="32">
        <v>187000</v>
      </c>
      <c r="F11" s="33">
        <v>192000</v>
      </c>
      <c r="G11" s="34">
        <v>192000</v>
      </c>
      <c r="H11" s="34">
        <f t="shared" si="1"/>
        <v>571000</v>
      </c>
      <c r="I11" s="34">
        <f t="shared" si="2"/>
        <v>941000</v>
      </c>
    </row>
    <row r="12" spans="1:9">
      <c r="A12" s="1" t="s">
        <v>1</v>
      </c>
      <c r="B12" s="35" t="s">
        <v>19</v>
      </c>
      <c r="C12" s="37">
        <v>0</v>
      </c>
      <c r="D12" s="37">
        <f t="shared" si="0"/>
        <v>0</v>
      </c>
      <c r="E12" s="36">
        <v>5000</v>
      </c>
      <c r="F12" s="37">
        <v>0</v>
      </c>
      <c r="G12" s="38">
        <v>0</v>
      </c>
      <c r="H12" s="38">
        <f t="shared" si="1"/>
        <v>5000</v>
      </c>
      <c r="I12" s="38">
        <f t="shared" si="2"/>
        <v>5000</v>
      </c>
    </row>
    <row r="13" spans="1:9">
      <c r="A13" s="1" t="s">
        <v>1</v>
      </c>
      <c r="B13" s="35" t="s">
        <v>20</v>
      </c>
      <c r="C13" s="37">
        <v>0</v>
      </c>
      <c r="D13" s="37">
        <f t="shared" si="0"/>
        <v>0</v>
      </c>
      <c r="E13" s="36">
        <v>3000</v>
      </c>
      <c r="F13" s="37">
        <v>3000</v>
      </c>
      <c r="G13" s="38">
        <v>15000</v>
      </c>
      <c r="H13" s="38">
        <f t="shared" si="1"/>
        <v>21000</v>
      </c>
      <c r="I13" s="38">
        <f t="shared" si="2"/>
        <v>21000</v>
      </c>
    </row>
    <row r="14" spans="1:9">
      <c r="A14" s="1" t="s">
        <v>1</v>
      </c>
      <c r="B14" s="35" t="s">
        <v>21</v>
      </c>
      <c r="C14" s="37">
        <v>50000</v>
      </c>
      <c r="D14" s="37">
        <f t="shared" si="0"/>
        <v>50000</v>
      </c>
      <c r="E14" s="36">
        <v>50000</v>
      </c>
      <c r="F14" s="37">
        <v>50000</v>
      </c>
      <c r="G14" s="38">
        <v>50000</v>
      </c>
      <c r="H14" s="38">
        <f t="shared" si="1"/>
        <v>150000</v>
      </c>
      <c r="I14" s="38">
        <f t="shared" si="2"/>
        <v>200000</v>
      </c>
    </row>
    <row r="15" spans="1:9">
      <c r="A15" s="1" t="s">
        <v>1</v>
      </c>
      <c r="B15" s="35" t="s">
        <v>22</v>
      </c>
      <c r="C15" s="37">
        <v>0</v>
      </c>
      <c r="D15" s="37">
        <f t="shared" si="0"/>
        <v>0</v>
      </c>
      <c r="E15" s="36">
        <v>0</v>
      </c>
      <c r="F15" s="37">
        <v>0</v>
      </c>
      <c r="G15" s="38">
        <v>55786</v>
      </c>
      <c r="H15" s="38">
        <f t="shared" si="1"/>
        <v>55786</v>
      </c>
      <c r="I15" s="38">
        <f t="shared" si="2"/>
        <v>55786</v>
      </c>
    </row>
    <row r="16" spans="1:9">
      <c r="A16" s="1" t="s">
        <v>1</v>
      </c>
      <c r="B16" s="35" t="s">
        <v>23</v>
      </c>
      <c r="C16" s="37">
        <v>0</v>
      </c>
      <c r="D16" s="37">
        <f t="shared" si="0"/>
        <v>0</v>
      </c>
      <c r="E16" s="36">
        <v>3500</v>
      </c>
      <c r="F16" s="37">
        <v>3500</v>
      </c>
      <c r="G16" s="38">
        <v>0</v>
      </c>
      <c r="H16" s="38">
        <f t="shared" si="1"/>
        <v>7000</v>
      </c>
      <c r="I16" s="38">
        <f t="shared" si="2"/>
        <v>7000</v>
      </c>
    </row>
    <row r="17" spans="1:9">
      <c r="A17" s="1" t="s">
        <v>1</v>
      </c>
      <c r="B17" s="35" t="s">
        <v>24</v>
      </c>
      <c r="C17" s="37">
        <v>0</v>
      </c>
      <c r="D17" s="37">
        <f t="shared" si="0"/>
        <v>0</v>
      </c>
      <c r="E17" s="36">
        <v>0</v>
      </c>
      <c r="F17" s="37">
        <v>13000</v>
      </c>
      <c r="G17" s="38">
        <v>13000</v>
      </c>
      <c r="H17" s="38">
        <f t="shared" si="1"/>
        <v>26000</v>
      </c>
      <c r="I17" s="38">
        <f t="shared" si="2"/>
        <v>26000</v>
      </c>
    </row>
    <row r="18" spans="1:9">
      <c r="A18" s="1" t="s">
        <v>1</v>
      </c>
      <c r="B18" s="35" t="s">
        <v>14</v>
      </c>
      <c r="C18" s="37">
        <v>0</v>
      </c>
      <c r="D18" s="37">
        <f t="shared" si="0"/>
        <v>0</v>
      </c>
      <c r="E18" s="36">
        <v>63240</v>
      </c>
      <c r="F18" s="37">
        <v>113564</v>
      </c>
      <c r="G18" s="38">
        <v>84882</v>
      </c>
      <c r="H18" s="38">
        <f t="shared" si="1"/>
        <v>261686</v>
      </c>
      <c r="I18" s="38">
        <f t="shared" si="2"/>
        <v>261686</v>
      </c>
    </row>
    <row r="19" spans="1:9">
      <c r="A19" s="1" t="s">
        <v>1</v>
      </c>
      <c r="B19" s="35" t="s">
        <v>25</v>
      </c>
      <c r="C19" s="37">
        <v>0</v>
      </c>
      <c r="D19" s="37">
        <f t="shared" si="0"/>
        <v>0</v>
      </c>
      <c r="E19" s="36">
        <v>4018</v>
      </c>
      <c r="F19" s="37">
        <v>23254</v>
      </c>
      <c r="G19" s="38">
        <v>4366</v>
      </c>
      <c r="H19" s="38">
        <f t="shared" si="1"/>
        <v>31638</v>
      </c>
      <c r="I19" s="38">
        <f t="shared" si="2"/>
        <v>31638</v>
      </c>
    </row>
    <row r="20" spans="1:9">
      <c r="A20" s="1" t="s">
        <v>1</v>
      </c>
      <c r="B20" s="7" t="s">
        <v>16</v>
      </c>
      <c r="C20" s="19">
        <v>629</v>
      </c>
      <c r="D20" s="19">
        <f t="shared" si="0"/>
        <v>629</v>
      </c>
      <c r="E20" s="18">
        <v>2604</v>
      </c>
      <c r="F20" s="19">
        <v>1568</v>
      </c>
      <c r="G20" s="20">
        <v>1212</v>
      </c>
      <c r="H20" s="20">
        <f t="shared" si="1"/>
        <v>5384</v>
      </c>
      <c r="I20" s="20">
        <f t="shared" si="2"/>
        <v>6013</v>
      </c>
    </row>
    <row r="21" spans="1:9">
      <c r="A21" s="1" t="s">
        <v>1</v>
      </c>
      <c r="B21" s="24" t="s">
        <v>26</v>
      </c>
      <c r="C21" s="29">
        <v>420629</v>
      </c>
      <c r="D21" s="29">
        <f t="shared" si="0"/>
        <v>420629</v>
      </c>
      <c r="E21" s="28">
        <v>318362</v>
      </c>
      <c r="F21" s="29">
        <v>399886</v>
      </c>
      <c r="G21" s="30">
        <v>416246</v>
      </c>
      <c r="H21" s="30">
        <f t="shared" si="1"/>
        <v>1134494</v>
      </c>
      <c r="I21" s="30">
        <f t="shared" si="2"/>
        <v>1555123</v>
      </c>
    </row>
    <row r="22" spans="1:9">
      <c r="A22" s="1" t="s">
        <v>1</v>
      </c>
      <c r="B22" s="31" t="s">
        <v>27</v>
      </c>
      <c r="C22" s="33">
        <v>9904</v>
      </c>
      <c r="D22" s="33">
        <f t="shared" si="0"/>
        <v>9904</v>
      </c>
      <c r="E22" s="32">
        <v>0</v>
      </c>
      <c r="F22" s="33">
        <v>1642</v>
      </c>
      <c r="G22" s="34">
        <v>8340</v>
      </c>
      <c r="H22" s="34">
        <f t="shared" si="1"/>
        <v>9982</v>
      </c>
      <c r="I22" s="34">
        <f t="shared" si="2"/>
        <v>19886</v>
      </c>
    </row>
    <row r="23" spans="1:9">
      <c r="A23" s="1" t="s">
        <v>1</v>
      </c>
      <c r="B23" s="7" t="s">
        <v>28</v>
      </c>
      <c r="C23" s="19">
        <v>9904</v>
      </c>
      <c r="D23" s="19">
        <f t="shared" si="0"/>
        <v>9904</v>
      </c>
      <c r="E23" s="18">
        <v>0</v>
      </c>
      <c r="F23" s="19">
        <v>1642</v>
      </c>
      <c r="G23" s="20">
        <v>8340</v>
      </c>
      <c r="H23" s="20">
        <f t="shared" si="1"/>
        <v>9982</v>
      </c>
      <c r="I23" s="20">
        <f t="shared" si="2"/>
        <v>19886</v>
      </c>
    </row>
    <row r="24" spans="1:9">
      <c r="A24" s="1" t="s">
        <v>1</v>
      </c>
      <c r="B24" s="24" t="s">
        <v>29</v>
      </c>
      <c r="C24" s="29">
        <v>430533</v>
      </c>
      <c r="D24" s="29">
        <f t="shared" si="0"/>
        <v>430533</v>
      </c>
      <c r="E24" s="28">
        <v>318362</v>
      </c>
      <c r="F24" s="29">
        <v>401528</v>
      </c>
      <c r="G24" s="30">
        <v>424586</v>
      </c>
      <c r="H24" s="30">
        <f t="shared" si="1"/>
        <v>1144476</v>
      </c>
      <c r="I24" s="30">
        <f t="shared" si="2"/>
        <v>1575009</v>
      </c>
    </row>
    <row r="25" spans="1:9">
      <c r="A25" s="1" t="s">
        <v>1</v>
      </c>
      <c r="B25" s="31" t="s">
        <v>30</v>
      </c>
      <c r="C25" s="33">
        <v>22440</v>
      </c>
      <c r="D25" s="33">
        <f t="shared" si="0"/>
        <v>22440</v>
      </c>
      <c r="E25" s="32">
        <v>16320</v>
      </c>
      <c r="F25" s="33">
        <v>18360</v>
      </c>
      <c r="G25" s="34">
        <v>20910</v>
      </c>
      <c r="H25" s="34">
        <f t="shared" si="1"/>
        <v>55590</v>
      </c>
      <c r="I25" s="34">
        <f t="shared" si="2"/>
        <v>78030</v>
      </c>
    </row>
    <row r="26" spans="1:9">
      <c r="A26" s="1" t="s">
        <v>1</v>
      </c>
      <c r="B26" s="35" t="s">
        <v>31</v>
      </c>
      <c r="C26" s="37">
        <v>3960</v>
      </c>
      <c r="D26" s="37">
        <f t="shared" si="0"/>
        <v>3960</v>
      </c>
      <c r="E26" s="36">
        <v>0</v>
      </c>
      <c r="F26" s="37">
        <v>3240</v>
      </c>
      <c r="G26" s="38">
        <v>3690</v>
      </c>
      <c r="H26" s="38">
        <f t="shared" si="1"/>
        <v>6930</v>
      </c>
      <c r="I26" s="38">
        <f t="shared" si="2"/>
        <v>10890</v>
      </c>
    </row>
    <row r="27" spans="1:9">
      <c r="A27" s="1" t="s">
        <v>1</v>
      </c>
      <c r="B27" s="35" t="s">
        <v>32</v>
      </c>
      <c r="C27" s="37">
        <v>40260</v>
      </c>
      <c r="D27" s="37">
        <f t="shared" si="0"/>
        <v>40260</v>
      </c>
      <c r="E27" s="36">
        <v>29280</v>
      </c>
      <c r="F27" s="37">
        <v>32940</v>
      </c>
      <c r="G27" s="38">
        <v>37515</v>
      </c>
      <c r="H27" s="38">
        <f t="shared" si="1"/>
        <v>99735</v>
      </c>
      <c r="I27" s="38">
        <f t="shared" si="2"/>
        <v>139995</v>
      </c>
    </row>
    <row r="28" spans="1:9">
      <c r="A28" s="1" t="s">
        <v>1</v>
      </c>
      <c r="B28" s="7" t="s">
        <v>33</v>
      </c>
      <c r="C28" s="19">
        <v>2583</v>
      </c>
      <c r="D28" s="19">
        <f t="shared" si="0"/>
        <v>2583</v>
      </c>
      <c r="E28" s="18">
        <v>1910</v>
      </c>
      <c r="F28" s="19">
        <v>2409</v>
      </c>
      <c r="G28" s="20">
        <v>2548</v>
      </c>
      <c r="H28" s="20">
        <f t="shared" si="1"/>
        <v>6867</v>
      </c>
      <c r="I28" s="20">
        <f t="shared" si="2"/>
        <v>9450</v>
      </c>
    </row>
    <row r="29" spans="1:9">
      <c r="A29" s="1" t="s">
        <v>1</v>
      </c>
      <c r="B29" s="24" t="s">
        <v>34</v>
      </c>
      <c r="C29" s="29">
        <v>69243</v>
      </c>
      <c r="D29" s="29">
        <f t="shared" si="0"/>
        <v>69243</v>
      </c>
      <c r="E29" s="28">
        <v>47510</v>
      </c>
      <c r="F29" s="29">
        <v>56949</v>
      </c>
      <c r="G29" s="30">
        <v>64663</v>
      </c>
      <c r="H29" s="30">
        <f t="shared" si="1"/>
        <v>169122</v>
      </c>
      <c r="I29" s="30">
        <f t="shared" si="2"/>
        <v>238365</v>
      </c>
    </row>
    <row r="30" spans="1:9">
      <c r="A30" s="1" t="s">
        <v>1</v>
      </c>
      <c r="B30" s="43" t="s">
        <v>35</v>
      </c>
      <c r="C30" s="45">
        <v>9340</v>
      </c>
      <c r="D30" s="45">
        <f t="shared" si="0"/>
        <v>9340</v>
      </c>
      <c r="E30" s="44">
        <v>5680</v>
      </c>
      <c r="F30" s="45">
        <v>11890</v>
      </c>
      <c r="G30" s="46">
        <v>12590</v>
      </c>
      <c r="H30" s="46">
        <f t="shared" si="1"/>
        <v>30160</v>
      </c>
      <c r="I30" s="46">
        <f t="shared" si="2"/>
        <v>39500</v>
      </c>
    </row>
    <row r="31" spans="1:9">
      <c r="A31" s="1" t="s">
        <v>1</v>
      </c>
      <c r="B31" s="7" t="s">
        <v>36</v>
      </c>
      <c r="C31" s="19">
        <v>20300</v>
      </c>
      <c r="D31" s="19">
        <f t="shared" si="0"/>
        <v>20300</v>
      </c>
      <c r="E31" s="18">
        <v>15900</v>
      </c>
      <c r="F31" s="19">
        <v>20500</v>
      </c>
      <c r="G31" s="20">
        <v>16600</v>
      </c>
      <c r="H31" s="20">
        <f t="shared" si="1"/>
        <v>53000</v>
      </c>
      <c r="I31" s="20">
        <f t="shared" si="2"/>
        <v>73300</v>
      </c>
    </row>
    <row r="32" spans="1:9">
      <c r="A32" s="1" t="s">
        <v>1</v>
      </c>
      <c r="B32" s="24" t="s">
        <v>37</v>
      </c>
      <c r="C32" s="29">
        <v>98883</v>
      </c>
      <c r="D32" s="29">
        <f t="shared" si="0"/>
        <v>98883</v>
      </c>
      <c r="E32" s="28">
        <v>69090</v>
      </c>
      <c r="F32" s="29">
        <v>89339</v>
      </c>
      <c r="G32" s="30">
        <v>93853</v>
      </c>
      <c r="H32" s="30">
        <f t="shared" si="1"/>
        <v>252282</v>
      </c>
      <c r="I32" s="30">
        <f t="shared" si="2"/>
        <v>351165</v>
      </c>
    </row>
    <row r="33" spans="1:9">
      <c r="A33" s="1" t="s">
        <v>1</v>
      </c>
      <c r="B33" s="24" t="s">
        <v>38</v>
      </c>
      <c r="C33" s="29">
        <v>351386</v>
      </c>
      <c r="D33" s="29">
        <f t="shared" si="0"/>
        <v>351386</v>
      </c>
      <c r="E33" s="28">
        <v>270852</v>
      </c>
      <c r="F33" s="29">
        <v>342937</v>
      </c>
      <c r="G33" s="30">
        <v>351583</v>
      </c>
      <c r="H33" s="30">
        <f t="shared" si="1"/>
        <v>965372</v>
      </c>
      <c r="I33" s="30">
        <f t="shared" si="2"/>
        <v>1316758</v>
      </c>
    </row>
    <row r="34" spans="1:9">
      <c r="A34" s="1" t="s">
        <v>1</v>
      </c>
      <c r="B34" s="24" t="s">
        <v>39</v>
      </c>
      <c r="C34" s="29">
        <v>331650</v>
      </c>
      <c r="D34" s="29">
        <f t="shared" si="0"/>
        <v>331650</v>
      </c>
      <c r="E34" s="28">
        <v>249272</v>
      </c>
      <c r="F34" s="29">
        <v>312189</v>
      </c>
      <c r="G34" s="30">
        <v>330733</v>
      </c>
      <c r="H34" s="30">
        <f t="shared" si="1"/>
        <v>892194</v>
      </c>
      <c r="I34" s="30">
        <f t="shared" si="2"/>
        <v>1223844</v>
      </c>
    </row>
    <row r="35" spans="1:9">
      <c r="A35" s="1" t="s">
        <v>1</v>
      </c>
      <c r="B35" s="24" t="s">
        <v>40</v>
      </c>
      <c r="C35" s="29">
        <v>331650</v>
      </c>
      <c r="D35" s="29">
        <f t="shared" si="0"/>
        <v>331650</v>
      </c>
      <c r="E35" s="28">
        <v>249272</v>
      </c>
      <c r="F35" s="29">
        <v>312189</v>
      </c>
      <c r="G35" s="30">
        <v>330733</v>
      </c>
      <c r="H35" s="30">
        <f t="shared" si="1"/>
        <v>892194</v>
      </c>
      <c r="I35" s="30">
        <f t="shared" si="2"/>
        <v>1223844</v>
      </c>
    </row>
    <row r="36" spans="1:9">
      <c r="A36" s="1" t="s">
        <v>1</v>
      </c>
      <c r="B36" s="24" t="s">
        <v>41</v>
      </c>
      <c r="C36" s="29">
        <v>1</v>
      </c>
      <c r="D36" s="29">
        <f t="shared" si="0"/>
        <v>1</v>
      </c>
      <c r="E36" s="28">
        <v>1</v>
      </c>
      <c r="F36" s="29">
        <v>0</v>
      </c>
      <c r="G36" s="30">
        <v>0</v>
      </c>
      <c r="H36" s="30"/>
      <c r="I36" s="30"/>
    </row>
    <row r="37" spans="1:9">
      <c r="A37" s="1" t="s">
        <v>1</v>
      </c>
      <c r="B37" s="24" t="s">
        <v>42</v>
      </c>
      <c r="C37" s="40" t="s">
        <v>43</v>
      </c>
      <c r="D37" s="40">
        <f t="shared" si="0"/>
        <v>0</v>
      </c>
      <c r="E37" s="39" t="s">
        <v>43</v>
      </c>
      <c r="F37" s="40" t="s">
        <v>43</v>
      </c>
      <c r="G37" s="41" t="s">
        <v>43</v>
      </c>
      <c r="H37" s="41"/>
      <c r="I37" s="41"/>
    </row>
    <row r="38" spans="1:9" ht="19.5" thickBot="1">
      <c r="A38" s="1" t="s">
        <v>1</v>
      </c>
      <c r="B38" s="8" t="s">
        <v>44</v>
      </c>
      <c r="C38" s="22">
        <v>9340</v>
      </c>
      <c r="D38" s="22">
        <f t="shared" si="0"/>
        <v>9340</v>
      </c>
      <c r="E38" s="21">
        <v>5680</v>
      </c>
      <c r="F38" s="22">
        <v>11890</v>
      </c>
      <c r="G38" s="23">
        <v>12590</v>
      </c>
      <c r="H38" s="23">
        <f t="shared" si="1"/>
        <v>30160</v>
      </c>
      <c r="I38" s="23">
        <f t="shared" si="2"/>
        <v>39500</v>
      </c>
    </row>
  </sheetData>
  <phoneticPr fontId="4"/>
  <pageMargins left="0.31496062992125984" right="0.31496062992125984" top="0.35433070866141736" bottom="0.35433070866141736" header="0.11811023622047245" footer="0.11811023622047245"/>
  <pageSetup paperSize="12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12月度給与 (2)</vt:lpstr>
      <vt:lpstr>'2024年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2025-01-08T06:52:27Z</cp:lastPrinted>
  <dcterms:created xsi:type="dcterms:W3CDTF">2025-01-08T06:38:13Z</dcterms:created>
  <dcterms:modified xsi:type="dcterms:W3CDTF">2025-01-09T06:38:02Z</dcterms:modified>
</cp:coreProperties>
</file>