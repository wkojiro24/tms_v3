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4.12月分\"/>
    </mc:Choice>
  </mc:AlternateContent>
  <xr:revisionPtr revIDLastSave="0" documentId="13_ncr:1_{B6A10EB2-9B50-4CFB-9DCD-08B57515E434}" xr6:coauthVersionLast="47" xr6:coauthVersionMax="47" xr10:uidLastSave="{00000000-0000-0000-0000-000000000000}"/>
  <bookViews>
    <workbookView xWindow="-120" yWindow="-120" windowWidth="20730" windowHeight="11040" xr2:uid="{A13AA9EC-3A28-4A2A-A49C-5EEEBE90B191}"/>
  </bookViews>
  <sheets>
    <sheet name="2024年 12月度給与 (2)" sheetId="3" r:id="rId1"/>
    <sheet name="2024年 12月度給与 (4)" sheetId="5" r:id="rId2"/>
    <sheet name="2024年 12月度給与 (3)" sheetId="4" r:id="rId3"/>
  </sheets>
  <definedNames>
    <definedName name="_xlnm.Print_Area" localSheetId="2">'2024年 12月度給与 (3)'!$A$1:$S$54</definedName>
    <definedName name="_xlnm.Print_Area" localSheetId="1">'2024年 12月度給与 (4)'!$A$1:$N$54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5" l="1"/>
  <c r="K54" i="5"/>
  <c r="M51" i="5"/>
  <c r="K51" i="5"/>
  <c r="M50" i="5"/>
  <c r="K50" i="5"/>
  <c r="M49" i="5"/>
  <c r="K49" i="5"/>
  <c r="M48" i="5"/>
  <c r="K48" i="5"/>
  <c r="M47" i="5"/>
  <c r="K47" i="5"/>
  <c r="M46" i="5"/>
  <c r="K46" i="5"/>
  <c r="M45" i="5"/>
  <c r="K45" i="5"/>
  <c r="M44" i="5"/>
  <c r="K44" i="5"/>
  <c r="M43" i="5"/>
  <c r="K43" i="5"/>
  <c r="M42" i="5"/>
  <c r="K42" i="5"/>
  <c r="M41" i="5"/>
  <c r="K41" i="5"/>
  <c r="M40" i="5"/>
  <c r="K40" i="5"/>
  <c r="M39" i="5"/>
  <c r="K39" i="5"/>
  <c r="M38" i="5"/>
  <c r="K38" i="5"/>
  <c r="M37" i="5"/>
  <c r="K37" i="5"/>
  <c r="M36" i="5"/>
  <c r="K36" i="5"/>
  <c r="M35" i="5"/>
  <c r="K35" i="5"/>
  <c r="M34" i="5"/>
  <c r="K34" i="5"/>
  <c r="M33" i="5"/>
  <c r="K33" i="5"/>
  <c r="M32" i="5"/>
  <c r="K32" i="5"/>
  <c r="M31" i="5"/>
  <c r="K31" i="5"/>
  <c r="M30" i="5"/>
  <c r="K30" i="5"/>
  <c r="M29" i="5"/>
  <c r="K29" i="5"/>
  <c r="M28" i="5"/>
  <c r="K28" i="5"/>
  <c r="M27" i="5"/>
  <c r="K27" i="5"/>
  <c r="M26" i="5"/>
  <c r="K26" i="5"/>
  <c r="M25" i="5"/>
  <c r="K25" i="5"/>
  <c r="M24" i="5"/>
  <c r="K24" i="5"/>
  <c r="M23" i="5"/>
  <c r="K23" i="5"/>
  <c r="M22" i="5"/>
  <c r="K22" i="5"/>
  <c r="M21" i="5"/>
  <c r="K21" i="5"/>
  <c r="M20" i="5"/>
  <c r="M19" i="5"/>
  <c r="K19" i="5"/>
  <c r="M18" i="5"/>
  <c r="K18" i="5"/>
  <c r="M17" i="5"/>
  <c r="K17" i="5"/>
  <c r="M16" i="5"/>
  <c r="K16" i="5"/>
  <c r="M15" i="5"/>
  <c r="K15" i="5"/>
  <c r="M14" i="5"/>
  <c r="K14" i="5"/>
  <c r="M13" i="5"/>
  <c r="K13" i="5"/>
  <c r="M12" i="5"/>
  <c r="K12" i="5"/>
  <c r="M11" i="5"/>
  <c r="K11" i="5"/>
  <c r="M10" i="5"/>
  <c r="K10" i="5"/>
  <c r="M9" i="5"/>
  <c r="K9" i="5"/>
  <c r="M8" i="5"/>
  <c r="K8" i="5"/>
  <c r="M7" i="5"/>
  <c r="K7" i="5"/>
  <c r="M6" i="5"/>
  <c r="K6" i="5"/>
  <c r="M5" i="5"/>
  <c r="K5" i="5"/>
  <c r="S54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AE18" i="3"/>
  <c r="AE19" i="3"/>
  <c r="AE40" i="3"/>
  <c r="AE47" i="3"/>
  <c r="AD6" i="3"/>
  <c r="AE6" i="3" s="1"/>
  <c r="AD7" i="3"/>
  <c r="AE7" i="3" s="1"/>
  <c r="AD8" i="3"/>
  <c r="AE8" i="3" s="1"/>
  <c r="AD9" i="3"/>
  <c r="AE9" i="3" s="1"/>
  <c r="AD10" i="3"/>
  <c r="AE10" i="3" s="1"/>
  <c r="AD11" i="3"/>
  <c r="AE11" i="3" s="1"/>
  <c r="AD12" i="3"/>
  <c r="AE12" i="3" s="1"/>
  <c r="AD13" i="3"/>
  <c r="AE13" i="3" s="1"/>
  <c r="AD14" i="3"/>
  <c r="AE14" i="3" s="1"/>
  <c r="AD15" i="3"/>
  <c r="AE15" i="3" s="1"/>
  <c r="AD16" i="3"/>
  <c r="AE16" i="3" s="1"/>
  <c r="AD17" i="3"/>
  <c r="AE17" i="3" s="1"/>
  <c r="AD18" i="3"/>
  <c r="AD19" i="3"/>
  <c r="AD20" i="3"/>
  <c r="AD21" i="3"/>
  <c r="AE21" i="3" s="1"/>
  <c r="AD22" i="3"/>
  <c r="AE22" i="3" s="1"/>
  <c r="AD23" i="3"/>
  <c r="AE23" i="3" s="1"/>
  <c r="AD24" i="3"/>
  <c r="AE24" i="3" s="1"/>
  <c r="AD25" i="3"/>
  <c r="AE25" i="3" s="1"/>
  <c r="AD26" i="3"/>
  <c r="AE26" i="3" s="1"/>
  <c r="AD27" i="3"/>
  <c r="AE27" i="3" s="1"/>
  <c r="AD28" i="3"/>
  <c r="AE28" i="3" s="1"/>
  <c r="AD29" i="3"/>
  <c r="AE29" i="3" s="1"/>
  <c r="AD30" i="3"/>
  <c r="AE30" i="3" s="1"/>
  <c r="AD31" i="3"/>
  <c r="AE31" i="3" s="1"/>
  <c r="AD32" i="3"/>
  <c r="AE32" i="3" s="1"/>
  <c r="AD33" i="3"/>
  <c r="AE33" i="3" s="1"/>
  <c r="AD34" i="3"/>
  <c r="AE34" i="3" s="1"/>
  <c r="AD35" i="3"/>
  <c r="AE35" i="3" s="1"/>
  <c r="AD36" i="3"/>
  <c r="AE36" i="3" s="1"/>
  <c r="AD37" i="3"/>
  <c r="AE37" i="3" s="1"/>
  <c r="AD38" i="3"/>
  <c r="AE38" i="3" s="1"/>
  <c r="AD39" i="3"/>
  <c r="AE39" i="3" s="1"/>
  <c r="AD40" i="3"/>
  <c r="AD41" i="3"/>
  <c r="AE41" i="3" s="1"/>
  <c r="AD42" i="3"/>
  <c r="AE42" i="3" s="1"/>
  <c r="AD43" i="3"/>
  <c r="AE43" i="3" s="1"/>
  <c r="AD44" i="3"/>
  <c r="AE44" i="3" s="1"/>
  <c r="AD45" i="3"/>
  <c r="AE45" i="3" s="1"/>
  <c r="AD46" i="3"/>
  <c r="AE46" i="3" s="1"/>
  <c r="AD47" i="3"/>
  <c r="AD48" i="3"/>
  <c r="AE48" i="3" s="1"/>
  <c r="AD49" i="3"/>
  <c r="AE49" i="3" s="1"/>
  <c r="AD50" i="3"/>
  <c r="AE50" i="3" s="1"/>
  <c r="AD51" i="3"/>
  <c r="AE51" i="3" s="1"/>
  <c r="AD54" i="3"/>
  <c r="AE54" i="3" s="1"/>
  <c r="AD5" i="3"/>
  <c r="AE5" i="3" s="1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4" i="3"/>
  <c r="AB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4" i="3"/>
  <c r="S5" i="3"/>
</calcChain>
</file>

<file path=xl/sharedStrings.xml><?xml version="1.0" encoding="utf-8"?>
<sst xmlns="http://schemas.openxmlformats.org/spreadsheetml/2006/main" count="475" uniqueCount="108">
  <si>
    <t>支給控除一覧表</t>
    <phoneticPr fontId="4"/>
  </si>
  <si>
    <t>2024年 12月度給与</t>
    <phoneticPr fontId="4"/>
  </si>
  <si>
    <t>1006</t>
    <phoneticPr fontId="4"/>
  </si>
  <si>
    <t>1007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</si>
  <si>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</si>
  <si>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</si>
  <si>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</si>
  <si>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</si>
  <si>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</si>
  <si>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</si>
  <si>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</si>
  <si>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</si>
  <si>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</si>
  <si>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</si>
  <si>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</si>
  <si>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</si>
  <si>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</si>
  <si>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1119</t>
    <phoneticPr fontId="4"/>
  </si>
  <si>
    <t>小計</t>
    <rPh sb="0" eb="2">
      <t>ショウケイ</t>
    </rPh>
    <phoneticPr fontId="3"/>
  </si>
  <si>
    <t>1080</t>
    <phoneticPr fontId="4"/>
  </si>
  <si>
    <t>1013</t>
    <phoneticPr fontId="4"/>
  </si>
  <si>
    <t>1026</t>
    <phoneticPr fontId="4"/>
  </si>
  <si>
    <t>1027</t>
    <phoneticPr fontId="4"/>
  </si>
  <si>
    <t>1005</t>
    <phoneticPr fontId="4"/>
  </si>
  <si>
    <t>1085</t>
    <phoneticPr fontId="4"/>
  </si>
  <si>
    <t>1100</t>
    <phoneticPr fontId="4"/>
  </si>
  <si>
    <t>1118</t>
    <phoneticPr fontId="4"/>
  </si>
  <si>
    <t>1014</t>
    <phoneticPr fontId="4"/>
  </si>
  <si>
    <t>合計</t>
    <phoneticPr fontId="4"/>
  </si>
  <si>
    <t>項目名</t>
    <phoneticPr fontId="4"/>
  </si>
  <si>
    <t>小林　啓一</t>
    <phoneticPr fontId="4"/>
  </si>
  <si>
    <t>鈴木　富雄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</si>
  <si>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</si>
  <si>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</si>
  <si>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</si>
  <si>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</si>
  <si>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</si>
  <si>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</si>
  <si>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</si>
  <si>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</si>
  <si>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</si>
  <si>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</si>
  <si>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</si>
  <si>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</si>
  <si>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</si>
  <si>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水町　賢土</t>
    <phoneticPr fontId="4"/>
  </si>
  <si>
    <t>16名</t>
    <rPh sb="2" eb="3">
      <t>メイ</t>
    </rPh>
    <phoneticPr fontId="3"/>
  </si>
  <si>
    <t>若松　美宏</t>
    <phoneticPr fontId="4"/>
  </si>
  <si>
    <t>下山田英治</t>
    <phoneticPr fontId="4"/>
  </si>
  <si>
    <t>蛭田　孝子</t>
    <phoneticPr fontId="4"/>
  </si>
  <si>
    <t>鈴木　紀子</t>
    <phoneticPr fontId="4"/>
  </si>
  <si>
    <t>渡辺　敏男</t>
    <phoneticPr fontId="4"/>
  </si>
  <si>
    <t>佐原　三夫</t>
    <phoneticPr fontId="4"/>
  </si>
  <si>
    <t>松本　正己</t>
    <phoneticPr fontId="4"/>
  </si>
  <si>
    <t>小沼　康</t>
    <phoneticPr fontId="4"/>
  </si>
  <si>
    <t>8名</t>
    <rPh sb="1" eb="2">
      <t>メイ</t>
    </rPh>
    <phoneticPr fontId="3"/>
  </si>
  <si>
    <t>金山　岳夫</t>
    <phoneticPr fontId="4"/>
  </si>
  <si>
    <t>1名</t>
    <rPh sb="1" eb="2">
      <t>メイ</t>
    </rPh>
    <phoneticPr fontId="3"/>
  </si>
  <si>
    <t>25名</t>
    <rPh sb="2" eb="3">
      <t>メイ</t>
    </rPh>
    <phoneticPr fontId="4"/>
  </si>
  <si>
    <t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</si>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</sst>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176" fontId="2" fillId="0" borderId="5" xfId="1" applyNumberFormat="1" applyFont="1" applyBorder="1"/>
    <xf numFmtId="3" fontId="2" fillId="0" borderId="5" xfId="1" applyNumberFormat="1" applyFont="1" applyBorder="1"/>
    <xf numFmtId="3" fontId="2" fillId="0" borderId="4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176" fontId="2" fillId="0" borderId="14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177" fontId="2" fillId="0" borderId="13" xfId="1" applyNumberFormat="1" applyFont="1" applyBorder="1"/>
    <xf numFmtId="177" fontId="2" fillId="0" borderId="18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29" xfId="1" applyNumberFormat="1" applyFont="1" applyBorder="1" applyAlignment="1">
      <alignment horizontal="left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34" xfId="1" applyNumberFormat="1" applyFont="1" applyBorder="1" applyAlignment="1">
      <alignment horizontal="left"/>
    </xf>
    <xf numFmtId="2" fontId="2" fillId="0" borderId="35" xfId="1" applyNumberFormat="1" applyFont="1" applyBorder="1"/>
    <xf numFmtId="2" fontId="2" fillId="0" borderId="36" xfId="1" applyNumberFormat="1" applyFont="1" applyBorder="1"/>
    <xf numFmtId="2" fontId="2" fillId="0" borderId="37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6" xfId="1" applyNumberFormat="1" applyFont="1" applyBorder="1"/>
    <xf numFmtId="176" fontId="2" fillId="0" borderId="27" xfId="1" applyNumberFormat="1" applyFont="1" applyBorder="1"/>
    <xf numFmtId="176" fontId="2" fillId="0" borderId="28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176" fontId="2" fillId="0" borderId="42" xfId="1" applyNumberFormat="1" applyFont="1" applyBorder="1"/>
    <xf numFmtId="2" fontId="2" fillId="0" borderId="43" xfId="1" applyNumberFormat="1" applyFont="1" applyBorder="1"/>
    <xf numFmtId="3" fontId="2" fillId="0" borderId="44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5" xfId="1" applyNumberFormat="1" applyFont="1" applyBorder="1"/>
    <xf numFmtId="49" fontId="2" fillId="0" borderId="43" xfId="1" applyNumberFormat="1" applyFont="1" applyBorder="1"/>
    <xf numFmtId="3" fontId="2" fillId="0" borderId="39" xfId="1" applyNumberFormat="1" applyFont="1" applyBorder="1"/>
    <xf numFmtId="49" fontId="2" fillId="0" borderId="46" xfId="1" applyNumberFormat="1" applyFont="1" applyBorder="1" applyAlignment="1">
      <alignment horizontal="center"/>
    </xf>
    <xf numFmtId="49" fontId="2" fillId="0" borderId="47" xfId="1" applyNumberFormat="1" applyFont="1" applyBorder="1" applyAlignment="1">
      <alignment horizontal="center"/>
    </xf>
    <xf numFmtId="2" fontId="2" fillId="0" borderId="48" xfId="1" applyNumberFormat="1" applyFont="1" applyBorder="1"/>
    <xf numFmtId="2" fontId="2" fillId="0" borderId="49" xfId="1" applyNumberFormat="1" applyFont="1" applyBorder="1"/>
    <xf numFmtId="176" fontId="2" fillId="0" borderId="49" xfId="1" applyNumberFormat="1" applyFont="1" applyBorder="1"/>
    <xf numFmtId="176" fontId="2" fillId="0" borderId="50" xfId="1" applyNumberFormat="1" applyFont="1" applyBorder="1"/>
    <xf numFmtId="2" fontId="2" fillId="0" borderId="51" xfId="1" applyNumberFormat="1" applyFont="1" applyBorder="1"/>
    <xf numFmtId="3" fontId="2" fillId="0" borderId="52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3" fontId="2" fillId="0" borderId="51" xfId="1" applyNumberFormat="1" applyFont="1" applyBorder="1"/>
    <xf numFmtId="3" fontId="2" fillId="0" borderId="53" xfId="1" applyNumberFormat="1" applyFont="1" applyBorder="1"/>
    <xf numFmtId="49" fontId="2" fillId="0" borderId="51" xfId="1" applyNumberFormat="1" applyFont="1" applyBorder="1"/>
    <xf numFmtId="3" fontId="2" fillId="0" borderId="47" xfId="1" applyNumberFormat="1" applyFont="1" applyBorder="1"/>
    <xf numFmtId="49" fontId="2" fillId="0" borderId="54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55" xfId="1" applyNumberFormat="1" applyFont="1" applyBorder="1"/>
    <xf numFmtId="176" fontId="2" fillId="0" borderId="55" xfId="1" applyNumberFormat="1" applyFont="1" applyBorder="1"/>
    <xf numFmtId="2" fontId="2" fillId="0" borderId="15" xfId="1" applyNumberFormat="1" applyFont="1" applyBorder="1"/>
    <xf numFmtId="3" fontId="2" fillId="0" borderId="20" xfId="1" applyNumberFormat="1" applyFont="1" applyBorder="1"/>
    <xf numFmtId="3" fontId="2" fillId="0" borderId="55" xfId="1" applyNumberFormat="1" applyFont="1" applyBorder="1"/>
    <xf numFmtId="3" fontId="2" fillId="0" borderId="15" xfId="1" applyNumberFormat="1" applyFont="1" applyBorder="1"/>
    <xf numFmtId="3" fontId="2" fillId="0" borderId="56" xfId="1" applyNumberFormat="1" applyFont="1" applyBorder="1"/>
    <xf numFmtId="177" fontId="2" fillId="0" borderId="5" xfId="1" applyNumberFormat="1" applyFont="1" applyBorder="1"/>
    <xf numFmtId="49" fontId="2" fillId="0" borderId="15" xfId="1" applyNumberFormat="1" applyFont="1" applyBorder="1"/>
    <xf numFmtId="0" fontId="2" fillId="0" borderId="54" xfId="1" applyFont="1" applyBorder="1"/>
    <xf numFmtId="0" fontId="2" fillId="0" borderId="57" xfId="1" applyFont="1" applyBorder="1" applyAlignment="1">
      <alignment horizontal="center"/>
    </xf>
    <xf numFmtId="0" fontId="2" fillId="0" borderId="58" xfId="1" applyFont="1" applyBorder="1" applyAlignment="1">
      <alignment horizontal="center"/>
    </xf>
    <xf numFmtId="49" fontId="2" fillId="0" borderId="59" xfId="1" applyNumberFormat="1" applyFont="1" applyBorder="1" applyAlignment="1">
      <alignment horizontal="left"/>
    </xf>
    <xf numFmtId="49" fontId="2" fillId="0" borderId="60" xfId="1" applyNumberFormat="1" applyFont="1" applyBorder="1" applyAlignment="1">
      <alignment horizontal="left"/>
    </xf>
    <xf numFmtId="49" fontId="2" fillId="0" borderId="61" xfId="1" applyNumberFormat="1" applyFont="1" applyBorder="1" applyAlignment="1">
      <alignment horizontal="left"/>
    </xf>
    <xf numFmtId="49" fontId="2" fillId="0" borderId="62" xfId="1" applyNumberFormat="1" applyFont="1" applyBorder="1" applyAlignment="1">
      <alignment horizontal="left"/>
    </xf>
    <xf numFmtId="49" fontId="2" fillId="0" borderId="63" xfId="1" applyNumberFormat="1" applyFont="1" applyBorder="1" applyAlignment="1">
      <alignment horizontal="left"/>
    </xf>
    <xf numFmtId="49" fontId="2" fillId="0" borderId="64" xfId="1" applyNumberFormat="1" applyFont="1" applyBorder="1" applyAlignment="1">
      <alignment horizontal="left"/>
    </xf>
    <xf numFmtId="49" fontId="2" fillId="0" borderId="58" xfId="1" applyNumberFormat="1" applyFont="1" applyBorder="1" applyAlignment="1">
      <alignment horizontal="left"/>
    </xf>
  </cellXfs>
  <cellStyles count="2">
    <cellStyle name="標準" xfId="0" builtinId="0"/>
    <cellStyle name="標準 2" xfId="1" xr:uid="{2B6488BD-4D24-42BB-9BE9-211B06A45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CE53-BADD-4099-91DA-CDCCD0303B10}">
  <dimension ref="A1:AE54"/>
  <sheetViews>
    <sheetView tabSelected="1" workbookViewId="0">
      <pane xSplit="2" ySplit="4" topLeftCell="C5" activePane="bottomRight" state="frozen"/>
      <selection pane="bottomRight" activeCell="B2" sqref="B2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1" width="11.25" style="2" customWidth="1"/>
    <col min="32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76" width="11.125" style="2" bestFit="1" customWidth="1"/>
    <col min="277" max="277" width="9" style="2"/>
    <col min="278" max="284" width="11.125" style="2" bestFit="1" customWidth="1"/>
    <col min="285" max="285" width="9" style="2"/>
    <col min="286" max="286" width="9.625" style="2" bestFit="1" customWidth="1"/>
    <col min="28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32" width="11.125" style="2" bestFit="1" customWidth="1"/>
    <col min="533" max="533" width="9" style="2"/>
    <col min="534" max="540" width="11.125" style="2" bestFit="1" customWidth="1"/>
    <col min="541" max="541" width="9" style="2"/>
    <col min="542" max="542" width="9.625" style="2" bestFit="1" customWidth="1"/>
    <col min="54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88" width="11.125" style="2" bestFit="1" customWidth="1"/>
    <col min="789" max="789" width="9" style="2"/>
    <col min="790" max="796" width="11.125" style="2" bestFit="1" customWidth="1"/>
    <col min="797" max="797" width="9" style="2"/>
    <col min="798" max="798" width="9.625" style="2" bestFit="1" customWidth="1"/>
    <col min="79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44" width="11.125" style="2" bestFit="1" customWidth="1"/>
    <col min="1045" max="1045" width="9" style="2"/>
    <col min="1046" max="1052" width="11.125" style="2" bestFit="1" customWidth="1"/>
    <col min="1053" max="1053" width="9" style="2"/>
    <col min="1054" max="1054" width="9.625" style="2" bestFit="1" customWidth="1"/>
    <col min="105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300" width="11.125" style="2" bestFit="1" customWidth="1"/>
    <col min="1301" max="1301" width="9" style="2"/>
    <col min="1302" max="1308" width="11.125" style="2" bestFit="1" customWidth="1"/>
    <col min="1309" max="1309" width="9" style="2"/>
    <col min="1310" max="1310" width="9.625" style="2" bestFit="1" customWidth="1"/>
    <col min="131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56" width="11.125" style="2" bestFit="1" customWidth="1"/>
    <col min="1557" max="1557" width="9" style="2"/>
    <col min="1558" max="1564" width="11.125" style="2" bestFit="1" customWidth="1"/>
    <col min="1565" max="1565" width="9" style="2"/>
    <col min="1566" max="1566" width="9.625" style="2" bestFit="1" customWidth="1"/>
    <col min="156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12" width="11.125" style="2" bestFit="1" customWidth="1"/>
    <col min="1813" max="1813" width="9" style="2"/>
    <col min="1814" max="1820" width="11.125" style="2" bestFit="1" customWidth="1"/>
    <col min="1821" max="1821" width="9" style="2"/>
    <col min="1822" max="1822" width="9.625" style="2" bestFit="1" customWidth="1"/>
    <col min="182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68" width="11.125" style="2" bestFit="1" customWidth="1"/>
    <col min="2069" max="2069" width="9" style="2"/>
    <col min="2070" max="2076" width="11.125" style="2" bestFit="1" customWidth="1"/>
    <col min="2077" max="2077" width="9" style="2"/>
    <col min="2078" max="2078" width="9.625" style="2" bestFit="1" customWidth="1"/>
    <col min="207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24" width="11.125" style="2" bestFit="1" customWidth="1"/>
    <col min="2325" max="2325" width="9" style="2"/>
    <col min="2326" max="2332" width="11.125" style="2" bestFit="1" customWidth="1"/>
    <col min="2333" max="2333" width="9" style="2"/>
    <col min="2334" max="2334" width="9.625" style="2" bestFit="1" customWidth="1"/>
    <col min="233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80" width="11.125" style="2" bestFit="1" customWidth="1"/>
    <col min="2581" max="2581" width="9" style="2"/>
    <col min="2582" max="2588" width="11.125" style="2" bestFit="1" customWidth="1"/>
    <col min="2589" max="2589" width="9" style="2"/>
    <col min="2590" max="2590" width="9.625" style="2" bestFit="1" customWidth="1"/>
    <col min="259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36" width="11.125" style="2" bestFit="1" customWidth="1"/>
    <col min="2837" max="2837" width="9" style="2"/>
    <col min="2838" max="2844" width="11.125" style="2" bestFit="1" customWidth="1"/>
    <col min="2845" max="2845" width="9" style="2"/>
    <col min="2846" max="2846" width="9.625" style="2" bestFit="1" customWidth="1"/>
    <col min="284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92" width="11.125" style="2" bestFit="1" customWidth="1"/>
    <col min="3093" max="3093" width="9" style="2"/>
    <col min="3094" max="3100" width="11.125" style="2" bestFit="1" customWidth="1"/>
    <col min="3101" max="3101" width="9" style="2"/>
    <col min="3102" max="3102" width="9.625" style="2" bestFit="1" customWidth="1"/>
    <col min="310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48" width="11.125" style="2" bestFit="1" customWidth="1"/>
    <col min="3349" max="3349" width="9" style="2"/>
    <col min="3350" max="3356" width="11.125" style="2" bestFit="1" customWidth="1"/>
    <col min="3357" max="3357" width="9" style="2"/>
    <col min="3358" max="3358" width="9.625" style="2" bestFit="1" customWidth="1"/>
    <col min="335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604" width="11.125" style="2" bestFit="1" customWidth="1"/>
    <col min="3605" max="3605" width="9" style="2"/>
    <col min="3606" max="3612" width="11.125" style="2" bestFit="1" customWidth="1"/>
    <col min="3613" max="3613" width="9" style="2"/>
    <col min="3614" max="3614" width="9.625" style="2" bestFit="1" customWidth="1"/>
    <col min="361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60" width="11.125" style="2" bestFit="1" customWidth="1"/>
    <col min="3861" max="3861" width="9" style="2"/>
    <col min="3862" max="3868" width="11.125" style="2" bestFit="1" customWidth="1"/>
    <col min="3869" max="3869" width="9" style="2"/>
    <col min="3870" max="3870" width="9.625" style="2" bestFit="1" customWidth="1"/>
    <col min="387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16" width="11.125" style="2" bestFit="1" customWidth="1"/>
    <col min="4117" max="4117" width="9" style="2"/>
    <col min="4118" max="4124" width="11.125" style="2" bestFit="1" customWidth="1"/>
    <col min="4125" max="4125" width="9" style="2"/>
    <col min="4126" max="4126" width="9.625" style="2" bestFit="1" customWidth="1"/>
    <col min="412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72" width="11.125" style="2" bestFit="1" customWidth="1"/>
    <col min="4373" max="4373" width="9" style="2"/>
    <col min="4374" max="4380" width="11.125" style="2" bestFit="1" customWidth="1"/>
    <col min="4381" max="4381" width="9" style="2"/>
    <col min="4382" max="4382" width="9.625" style="2" bestFit="1" customWidth="1"/>
    <col min="438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28" width="11.125" style="2" bestFit="1" customWidth="1"/>
    <col min="4629" max="4629" width="9" style="2"/>
    <col min="4630" max="4636" width="11.125" style="2" bestFit="1" customWidth="1"/>
    <col min="4637" max="4637" width="9" style="2"/>
    <col min="4638" max="4638" width="9.625" style="2" bestFit="1" customWidth="1"/>
    <col min="463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84" width="11.125" style="2" bestFit="1" customWidth="1"/>
    <col min="4885" max="4885" width="9" style="2"/>
    <col min="4886" max="4892" width="11.125" style="2" bestFit="1" customWidth="1"/>
    <col min="4893" max="4893" width="9" style="2"/>
    <col min="4894" max="4894" width="9.625" style="2" bestFit="1" customWidth="1"/>
    <col min="489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40" width="11.125" style="2" bestFit="1" customWidth="1"/>
    <col min="5141" max="5141" width="9" style="2"/>
    <col min="5142" max="5148" width="11.125" style="2" bestFit="1" customWidth="1"/>
    <col min="5149" max="5149" width="9" style="2"/>
    <col min="5150" max="5150" width="9.625" style="2" bestFit="1" customWidth="1"/>
    <col min="515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96" width="11.125" style="2" bestFit="1" customWidth="1"/>
    <col min="5397" max="5397" width="9" style="2"/>
    <col min="5398" max="5404" width="11.125" style="2" bestFit="1" customWidth="1"/>
    <col min="5405" max="5405" width="9" style="2"/>
    <col min="5406" max="5406" width="9.625" style="2" bestFit="1" customWidth="1"/>
    <col min="540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52" width="11.125" style="2" bestFit="1" customWidth="1"/>
    <col min="5653" max="5653" width="9" style="2"/>
    <col min="5654" max="5660" width="11.125" style="2" bestFit="1" customWidth="1"/>
    <col min="5661" max="5661" width="9" style="2"/>
    <col min="5662" max="5662" width="9.625" style="2" bestFit="1" customWidth="1"/>
    <col min="566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908" width="11.125" style="2" bestFit="1" customWidth="1"/>
    <col min="5909" max="5909" width="9" style="2"/>
    <col min="5910" max="5916" width="11.125" style="2" bestFit="1" customWidth="1"/>
    <col min="5917" max="5917" width="9" style="2"/>
    <col min="5918" max="5918" width="9.625" style="2" bestFit="1" customWidth="1"/>
    <col min="591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64" width="11.125" style="2" bestFit="1" customWidth="1"/>
    <col min="6165" max="6165" width="9" style="2"/>
    <col min="6166" max="6172" width="11.125" style="2" bestFit="1" customWidth="1"/>
    <col min="6173" max="6173" width="9" style="2"/>
    <col min="6174" max="6174" width="9.625" style="2" bestFit="1" customWidth="1"/>
    <col min="617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20" width="11.125" style="2" bestFit="1" customWidth="1"/>
    <col min="6421" max="6421" width="9" style="2"/>
    <col min="6422" max="6428" width="11.125" style="2" bestFit="1" customWidth="1"/>
    <col min="6429" max="6429" width="9" style="2"/>
    <col min="6430" max="6430" width="9.625" style="2" bestFit="1" customWidth="1"/>
    <col min="643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76" width="11.125" style="2" bestFit="1" customWidth="1"/>
    <col min="6677" max="6677" width="9" style="2"/>
    <col min="6678" max="6684" width="11.125" style="2" bestFit="1" customWidth="1"/>
    <col min="6685" max="6685" width="9" style="2"/>
    <col min="6686" max="6686" width="9.625" style="2" bestFit="1" customWidth="1"/>
    <col min="668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32" width="11.125" style="2" bestFit="1" customWidth="1"/>
    <col min="6933" max="6933" width="9" style="2"/>
    <col min="6934" max="6940" width="11.125" style="2" bestFit="1" customWidth="1"/>
    <col min="6941" max="6941" width="9" style="2"/>
    <col min="6942" max="6942" width="9.625" style="2" bestFit="1" customWidth="1"/>
    <col min="694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88" width="11.125" style="2" bestFit="1" customWidth="1"/>
    <col min="7189" max="7189" width="9" style="2"/>
    <col min="7190" max="7196" width="11.125" style="2" bestFit="1" customWidth="1"/>
    <col min="7197" max="7197" width="9" style="2"/>
    <col min="7198" max="7198" width="9.625" style="2" bestFit="1" customWidth="1"/>
    <col min="719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44" width="11.125" style="2" bestFit="1" customWidth="1"/>
    <col min="7445" max="7445" width="9" style="2"/>
    <col min="7446" max="7452" width="11.125" style="2" bestFit="1" customWidth="1"/>
    <col min="7453" max="7453" width="9" style="2"/>
    <col min="7454" max="7454" width="9.625" style="2" bestFit="1" customWidth="1"/>
    <col min="745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700" width="11.125" style="2" bestFit="1" customWidth="1"/>
    <col min="7701" max="7701" width="9" style="2"/>
    <col min="7702" max="7708" width="11.125" style="2" bestFit="1" customWidth="1"/>
    <col min="7709" max="7709" width="9" style="2"/>
    <col min="7710" max="7710" width="9.625" style="2" bestFit="1" customWidth="1"/>
    <col min="771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56" width="11.125" style="2" bestFit="1" customWidth="1"/>
    <col min="7957" max="7957" width="9" style="2"/>
    <col min="7958" max="7964" width="11.125" style="2" bestFit="1" customWidth="1"/>
    <col min="7965" max="7965" width="9" style="2"/>
    <col min="7966" max="7966" width="9.625" style="2" bestFit="1" customWidth="1"/>
    <col min="796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12" width="11.125" style="2" bestFit="1" customWidth="1"/>
    <col min="8213" max="8213" width="9" style="2"/>
    <col min="8214" max="8220" width="11.125" style="2" bestFit="1" customWidth="1"/>
    <col min="8221" max="8221" width="9" style="2"/>
    <col min="8222" max="8222" width="9.625" style="2" bestFit="1" customWidth="1"/>
    <col min="822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68" width="11.125" style="2" bestFit="1" customWidth="1"/>
    <col min="8469" max="8469" width="9" style="2"/>
    <col min="8470" max="8476" width="11.125" style="2" bestFit="1" customWidth="1"/>
    <col min="8477" max="8477" width="9" style="2"/>
    <col min="8478" max="8478" width="9.625" style="2" bestFit="1" customWidth="1"/>
    <col min="847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24" width="11.125" style="2" bestFit="1" customWidth="1"/>
    <col min="8725" max="8725" width="9" style="2"/>
    <col min="8726" max="8732" width="11.125" style="2" bestFit="1" customWidth="1"/>
    <col min="8733" max="8733" width="9" style="2"/>
    <col min="8734" max="8734" width="9.625" style="2" bestFit="1" customWidth="1"/>
    <col min="873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80" width="11.125" style="2" bestFit="1" customWidth="1"/>
    <col min="8981" max="8981" width="9" style="2"/>
    <col min="8982" max="8988" width="11.125" style="2" bestFit="1" customWidth="1"/>
    <col min="8989" max="8989" width="9" style="2"/>
    <col min="8990" max="8990" width="9.625" style="2" bestFit="1" customWidth="1"/>
    <col min="899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36" width="11.125" style="2" bestFit="1" customWidth="1"/>
    <col min="9237" max="9237" width="9" style="2"/>
    <col min="9238" max="9244" width="11.125" style="2" bestFit="1" customWidth="1"/>
    <col min="9245" max="9245" width="9" style="2"/>
    <col min="9246" max="9246" width="9.625" style="2" bestFit="1" customWidth="1"/>
    <col min="924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92" width="11.125" style="2" bestFit="1" customWidth="1"/>
    <col min="9493" max="9493" width="9" style="2"/>
    <col min="9494" max="9500" width="11.125" style="2" bestFit="1" customWidth="1"/>
    <col min="9501" max="9501" width="9" style="2"/>
    <col min="9502" max="9502" width="9.625" style="2" bestFit="1" customWidth="1"/>
    <col min="950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48" width="11.125" style="2" bestFit="1" customWidth="1"/>
    <col min="9749" max="9749" width="9" style="2"/>
    <col min="9750" max="9756" width="11.125" style="2" bestFit="1" customWidth="1"/>
    <col min="9757" max="9757" width="9" style="2"/>
    <col min="9758" max="9758" width="9.625" style="2" bestFit="1" customWidth="1"/>
    <col min="975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10004" width="11.125" style="2" bestFit="1" customWidth="1"/>
    <col min="10005" max="10005" width="9" style="2"/>
    <col min="10006" max="10012" width="11.125" style="2" bestFit="1" customWidth="1"/>
    <col min="10013" max="10013" width="9" style="2"/>
    <col min="10014" max="10014" width="9.625" style="2" bestFit="1" customWidth="1"/>
    <col min="1001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60" width="11.125" style="2" bestFit="1" customWidth="1"/>
    <col min="10261" max="10261" width="9" style="2"/>
    <col min="10262" max="10268" width="11.125" style="2" bestFit="1" customWidth="1"/>
    <col min="10269" max="10269" width="9" style="2"/>
    <col min="10270" max="10270" width="9.625" style="2" bestFit="1" customWidth="1"/>
    <col min="1027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16" width="11.125" style="2" bestFit="1" customWidth="1"/>
    <col min="10517" max="10517" width="9" style="2"/>
    <col min="10518" max="10524" width="11.125" style="2" bestFit="1" customWidth="1"/>
    <col min="10525" max="10525" width="9" style="2"/>
    <col min="10526" max="10526" width="9.625" style="2" bestFit="1" customWidth="1"/>
    <col min="1052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72" width="11.125" style="2" bestFit="1" customWidth="1"/>
    <col min="10773" max="10773" width="9" style="2"/>
    <col min="10774" max="10780" width="11.125" style="2" bestFit="1" customWidth="1"/>
    <col min="10781" max="10781" width="9" style="2"/>
    <col min="10782" max="10782" width="9.625" style="2" bestFit="1" customWidth="1"/>
    <col min="1078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28" width="11.125" style="2" bestFit="1" customWidth="1"/>
    <col min="11029" max="11029" width="9" style="2"/>
    <col min="11030" max="11036" width="11.125" style="2" bestFit="1" customWidth="1"/>
    <col min="11037" max="11037" width="9" style="2"/>
    <col min="11038" max="11038" width="9.625" style="2" bestFit="1" customWidth="1"/>
    <col min="1103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84" width="11.125" style="2" bestFit="1" customWidth="1"/>
    <col min="11285" max="11285" width="9" style="2"/>
    <col min="11286" max="11292" width="11.125" style="2" bestFit="1" customWidth="1"/>
    <col min="11293" max="11293" width="9" style="2"/>
    <col min="11294" max="11294" width="9.625" style="2" bestFit="1" customWidth="1"/>
    <col min="1129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40" width="11.125" style="2" bestFit="1" customWidth="1"/>
    <col min="11541" max="11541" width="9" style="2"/>
    <col min="11542" max="11548" width="11.125" style="2" bestFit="1" customWidth="1"/>
    <col min="11549" max="11549" width="9" style="2"/>
    <col min="11550" max="11550" width="9.625" style="2" bestFit="1" customWidth="1"/>
    <col min="1155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96" width="11.125" style="2" bestFit="1" customWidth="1"/>
    <col min="11797" max="11797" width="9" style="2"/>
    <col min="11798" max="11804" width="11.125" style="2" bestFit="1" customWidth="1"/>
    <col min="11805" max="11805" width="9" style="2"/>
    <col min="11806" max="11806" width="9.625" style="2" bestFit="1" customWidth="1"/>
    <col min="1180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52" width="11.125" style="2" bestFit="1" customWidth="1"/>
    <col min="12053" max="12053" width="9" style="2"/>
    <col min="12054" max="12060" width="11.125" style="2" bestFit="1" customWidth="1"/>
    <col min="12061" max="12061" width="9" style="2"/>
    <col min="12062" max="12062" width="9.625" style="2" bestFit="1" customWidth="1"/>
    <col min="1206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308" width="11.125" style="2" bestFit="1" customWidth="1"/>
    <col min="12309" max="12309" width="9" style="2"/>
    <col min="12310" max="12316" width="11.125" style="2" bestFit="1" customWidth="1"/>
    <col min="12317" max="12317" width="9" style="2"/>
    <col min="12318" max="12318" width="9.625" style="2" bestFit="1" customWidth="1"/>
    <col min="1231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64" width="11.125" style="2" bestFit="1" customWidth="1"/>
    <col min="12565" max="12565" width="9" style="2"/>
    <col min="12566" max="12572" width="11.125" style="2" bestFit="1" customWidth="1"/>
    <col min="12573" max="12573" width="9" style="2"/>
    <col min="12574" max="12574" width="9.625" style="2" bestFit="1" customWidth="1"/>
    <col min="1257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20" width="11.125" style="2" bestFit="1" customWidth="1"/>
    <col min="12821" max="12821" width="9" style="2"/>
    <col min="12822" max="12828" width="11.125" style="2" bestFit="1" customWidth="1"/>
    <col min="12829" max="12829" width="9" style="2"/>
    <col min="12830" max="12830" width="9.625" style="2" bestFit="1" customWidth="1"/>
    <col min="1283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76" width="11.125" style="2" bestFit="1" customWidth="1"/>
    <col min="13077" max="13077" width="9" style="2"/>
    <col min="13078" max="13084" width="11.125" style="2" bestFit="1" customWidth="1"/>
    <col min="13085" max="13085" width="9" style="2"/>
    <col min="13086" max="13086" width="9.625" style="2" bestFit="1" customWidth="1"/>
    <col min="1308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32" width="11.125" style="2" bestFit="1" customWidth="1"/>
    <col min="13333" max="13333" width="9" style="2"/>
    <col min="13334" max="13340" width="11.125" style="2" bestFit="1" customWidth="1"/>
    <col min="13341" max="13341" width="9" style="2"/>
    <col min="13342" max="13342" width="9.625" style="2" bestFit="1" customWidth="1"/>
    <col min="1334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88" width="11.125" style="2" bestFit="1" customWidth="1"/>
    <col min="13589" max="13589" width="9" style="2"/>
    <col min="13590" max="13596" width="11.125" style="2" bestFit="1" customWidth="1"/>
    <col min="13597" max="13597" width="9" style="2"/>
    <col min="13598" max="13598" width="9.625" style="2" bestFit="1" customWidth="1"/>
    <col min="1359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44" width="11.125" style="2" bestFit="1" customWidth="1"/>
    <col min="13845" max="13845" width="9" style="2"/>
    <col min="13846" max="13852" width="11.125" style="2" bestFit="1" customWidth="1"/>
    <col min="13853" max="13853" width="9" style="2"/>
    <col min="13854" max="13854" width="9.625" style="2" bestFit="1" customWidth="1"/>
    <col min="1385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100" width="11.125" style="2" bestFit="1" customWidth="1"/>
    <col min="14101" max="14101" width="9" style="2"/>
    <col min="14102" max="14108" width="11.125" style="2" bestFit="1" customWidth="1"/>
    <col min="14109" max="14109" width="9" style="2"/>
    <col min="14110" max="14110" width="9.625" style="2" bestFit="1" customWidth="1"/>
    <col min="1411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56" width="11.125" style="2" bestFit="1" customWidth="1"/>
    <col min="14357" max="14357" width="9" style="2"/>
    <col min="14358" max="14364" width="11.125" style="2" bestFit="1" customWidth="1"/>
    <col min="14365" max="14365" width="9" style="2"/>
    <col min="14366" max="14366" width="9.625" style="2" bestFit="1" customWidth="1"/>
    <col min="1436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12" width="11.125" style="2" bestFit="1" customWidth="1"/>
    <col min="14613" max="14613" width="9" style="2"/>
    <col min="14614" max="14620" width="11.125" style="2" bestFit="1" customWidth="1"/>
    <col min="14621" max="14621" width="9" style="2"/>
    <col min="14622" max="14622" width="9.625" style="2" bestFit="1" customWidth="1"/>
    <col min="1462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68" width="11.125" style="2" bestFit="1" customWidth="1"/>
    <col min="14869" max="14869" width="9" style="2"/>
    <col min="14870" max="14876" width="11.125" style="2" bestFit="1" customWidth="1"/>
    <col min="14877" max="14877" width="9" style="2"/>
    <col min="14878" max="14878" width="9.625" style="2" bestFit="1" customWidth="1"/>
    <col min="1487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24" width="11.125" style="2" bestFit="1" customWidth="1"/>
    <col min="15125" max="15125" width="9" style="2"/>
    <col min="15126" max="15132" width="11.125" style="2" bestFit="1" customWidth="1"/>
    <col min="15133" max="15133" width="9" style="2"/>
    <col min="15134" max="15134" width="9.625" style="2" bestFit="1" customWidth="1"/>
    <col min="1513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80" width="11.125" style="2" bestFit="1" customWidth="1"/>
    <col min="15381" max="15381" width="9" style="2"/>
    <col min="15382" max="15388" width="11.125" style="2" bestFit="1" customWidth="1"/>
    <col min="15389" max="15389" width="9" style="2"/>
    <col min="15390" max="15390" width="9.625" style="2" bestFit="1" customWidth="1"/>
    <col min="1539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36" width="11.125" style="2" bestFit="1" customWidth="1"/>
    <col min="15637" max="15637" width="9" style="2"/>
    <col min="15638" max="15644" width="11.125" style="2" bestFit="1" customWidth="1"/>
    <col min="15645" max="15645" width="9" style="2"/>
    <col min="15646" max="15646" width="9.625" style="2" bestFit="1" customWidth="1"/>
    <col min="1564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92" width="11.125" style="2" bestFit="1" customWidth="1"/>
    <col min="15893" max="15893" width="9" style="2"/>
    <col min="15894" max="15900" width="11.125" style="2" bestFit="1" customWidth="1"/>
    <col min="15901" max="15901" width="9" style="2"/>
    <col min="15902" max="15902" width="9.625" style="2" bestFit="1" customWidth="1"/>
    <col min="1590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48" width="11.125" style="2" bestFit="1" customWidth="1"/>
    <col min="16149" max="16149" width="9" style="2"/>
    <col min="16150" max="16156" width="11.125" style="2" bestFit="1" customWidth="1"/>
    <col min="16157" max="16157" width="9" style="2"/>
    <col min="16158" max="16158" width="9.625" style="2" bestFit="1" customWidth="1"/>
    <col min="16159" max="16384" width="9" style="2"/>
  </cols>
  <sheetData>
    <row r="1" spans="1:31">
      <c r="A1" s="1" t="s">
        <v>0</v>
      </c>
    </row>
    <row r="2" spans="1:31" ht="19.5" thickBot="1">
      <c r="A2" s="1" t="s">
        <v>1</v>
      </c>
    </row>
    <row r="3" spans="1:31">
      <c r="B3" s="4"/>
      <c r="C3" s="11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60" t="s">
        <v>17</v>
      </c>
      <c r="S3" s="88" t="s">
        <v>18</v>
      </c>
      <c r="T3" s="74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3" t="s">
        <v>26</v>
      </c>
      <c r="AB3" s="88" t="s">
        <v>18</v>
      </c>
      <c r="AC3" s="88" t="s">
        <v>27</v>
      </c>
      <c r="AD3" s="88" t="s">
        <v>18</v>
      </c>
      <c r="AE3" s="100" t="s">
        <v>28</v>
      </c>
    </row>
    <row r="4" spans="1:31" ht="19.5" thickBot="1">
      <c r="B4" s="3" t="s">
        <v>29</v>
      </c>
      <c r="C4" s="14" t="s">
        <v>30</v>
      </c>
      <c r="D4" s="15" t="s">
        <v>31</v>
      </c>
      <c r="E4" s="15" t="s">
        <v>32</v>
      </c>
      <c r="F4" s="15" t="s">
        <v>33</v>
      </c>
      <c r="G4" s="15" t="s">
        <v>34</v>
      </c>
      <c r="H4" s="15" t="s">
        <v>35</v>
      </c>
      <c r="I4" s="15" t="s">
        <v>36</v>
      </c>
      <c r="J4" s="15" t="s">
        <v>37</v>
      </c>
      <c r="K4" s="15" t="s">
        <v>38</v>
      </c>
      <c r="L4" s="15" t="s">
        <v>39</v>
      </c>
      <c r="M4" s="15" t="s">
        <v>40</v>
      </c>
      <c r="N4" s="15" t="s">
        <v>41</v>
      </c>
      <c r="O4" s="15" t="s">
        <v>42</v>
      </c>
      <c r="P4" s="15" t="s">
        <v>43</v>
      </c>
      <c r="Q4" s="15" t="s">
        <v>44</v>
      </c>
      <c r="R4" s="61" t="s">
        <v>45</v>
      </c>
      <c r="S4" s="89" t="s">
        <v>46</v>
      </c>
      <c r="T4" s="7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6" t="s">
        <v>54</v>
      </c>
      <c r="AB4" s="89" t="s">
        <v>55</v>
      </c>
      <c r="AC4" s="89" t="s">
        <v>56</v>
      </c>
      <c r="AD4" s="89" t="s">
        <v>57</v>
      </c>
      <c r="AE4" s="5" t="s">
        <v>58</v>
      </c>
    </row>
    <row r="5" spans="1:31">
      <c r="A5" s="1" t="s">
        <v>59</v>
      </c>
      <c r="B5" s="50" t="s">
        <v>60</v>
      </c>
      <c r="C5" s="51">
        <v>20</v>
      </c>
      <c r="D5" s="52">
        <v>20</v>
      </c>
      <c r="E5" s="52">
        <v>19</v>
      </c>
      <c r="F5" s="52">
        <v>20</v>
      </c>
      <c r="G5" s="52">
        <v>0</v>
      </c>
      <c r="H5" s="52">
        <v>20</v>
      </c>
      <c r="I5" s="52">
        <v>20</v>
      </c>
      <c r="J5" s="52">
        <v>19</v>
      </c>
      <c r="K5" s="52">
        <v>18</v>
      </c>
      <c r="L5" s="52">
        <v>18</v>
      </c>
      <c r="M5" s="52">
        <v>20</v>
      </c>
      <c r="N5" s="52">
        <v>19</v>
      </c>
      <c r="O5" s="52">
        <v>20</v>
      </c>
      <c r="P5" s="52">
        <v>20</v>
      </c>
      <c r="Q5" s="52">
        <v>20</v>
      </c>
      <c r="R5" s="62">
        <v>20</v>
      </c>
      <c r="S5" s="90">
        <f>SUM(C5:R5)</f>
        <v>293</v>
      </c>
      <c r="T5" s="76">
        <v>19</v>
      </c>
      <c r="U5" s="52">
        <v>20</v>
      </c>
      <c r="V5" s="52">
        <v>13</v>
      </c>
      <c r="W5" s="52">
        <v>16</v>
      </c>
      <c r="X5" s="52">
        <v>11</v>
      </c>
      <c r="Y5" s="52">
        <v>8</v>
      </c>
      <c r="Z5" s="52">
        <v>12</v>
      </c>
      <c r="AA5" s="53">
        <v>20</v>
      </c>
      <c r="AB5" s="90">
        <f>SUM(T5:AA5)</f>
        <v>119</v>
      </c>
      <c r="AC5" s="90">
        <v>19</v>
      </c>
      <c r="AD5" s="90">
        <f>SUM(AC5)</f>
        <v>19</v>
      </c>
      <c r="AE5" s="90">
        <f>SUM(AD5,AB5,S5)</f>
        <v>431</v>
      </c>
    </row>
    <row r="6" spans="1:31">
      <c r="A6" s="1" t="s">
        <v>59</v>
      </c>
      <c r="B6" s="42" t="s">
        <v>61</v>
      </c>
      <c r="C6" s="54">
        <v>0</v>
      </c>
      <c r="D6" s="55">
        <v>2</v>
      </c>
      <c r="E6" s="55">
        <v>1</v>
      </c>
      <c r="F6" s="55">
        <v>1</v>
      </c>
      <c r="G6" s="55">
        <v>0</v>
      </c>
      <c r="H6" s="55">
        <v>2</v>
      </c>
      <c r="I6" s="55">
        <v>4</v>
      </c>
      <c r="J6" s="55">
        <v>1</v>
      </c>
      <c r="K6" s="55">
        <v>4</v>
      </c>
      <c r="L6" s="55">
        <v>2</v>
      </c>
      <c r="M6" s="55">
        <v>1</v>
      </c>
      <c r="N6" s="55">
        <v>4</v>
      </c>
      <c r="O6" s="55">
        <v>1</v>
      </c>
      <c r="P6" s="55">
        <v>2</v>
      </c>
      <c r="Q6" s="55">
        <v>4</v>
      </c>
      <c r="R6" s="63">
        <v>4</v>
      </c>
      <c r="S6" s="91">
        <f t="shared" ref="S6:S54" si="0">SUM(C6:R6)</f>
        <v>33</v>
      </c>
      <c r="T6" s="77">
        <v>0</v>
      </c>
      <c r="U6" s="55">
        <v>2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6">
        <v>0</v>
      </c>
      <c r="AB6" s="91">
        <f t="shared" ref="AB6:AB54" si="1">SUM(T6:AA6)</f>
        <v>2</v>
      </c>
      <c r="AC6" s="91">
        <v>0</v>
      </c>
      <c r="AD6" s="91">
        <f t="shared" ref="AD6:AD54" si="2">SUM(AC6)</f>
        <v>0</v>
      </c>
      <c r="AE6" s="91">
        <f t="shared" ref="AE6:AE54" si="3">SUM(AD6,AB6,S6)</f>
        <v>35</v>
      </c>
    </row>
    <row r="7" spans="1:31">
      <c r="A7" s="1" t="s">
        <v>59</v>
      </c>
      <c r="B7" s="42" t="s">
        <v>62</v>
      </c>
      <c r="C7" s="54">
        <v>5</v>
      </c>
      <c r="D7" s="55">
        <v>3</v>
      </c>
      <c r="E7" s="55">
        <v>1</v>
      </c>
      <c r="F7" s="55">
        <v>1</v>
      </c>
      <c r="G7" s="55">
        <v>0</v>
      </c>
      <c r="H7" s="55">
        <v>1</v>
      </c>
      <c r="I7" s="55">
        <v>0</v>
      </c>
      <c r="J7" s="55">
        <v>2</v>
      </c>
      <c r="K7" s="55">
        <v>3</v>
      </c>
      <c r="L7" s="55">
        <v>3</v>
      </c>
      <c r="M7" s="55">
        <v>0</v>
      </c>
      <c r="N7" s="55">
        <v>3</v>
      </c>
      <c r="O7" s="55">
        <v>4</v>
      </c>
      <c r="P7" s="55">
        <v>2</v>
      </c>
      <c r="Q7" s="55">
        <v>2</v>
      </c>
      <c r="R7" s="63">
        <v>0</v>
      </c>
      <c r="S7" s="91">
        <f t="shared" si="0"/>
        <v>30</v>
      </c>
      <c r="T7" s="77">
        <v>0</v>
      </c>
      <c r="U7" s="55">
        <v>0</v>
      </c>
      <c r="V7" s="55">
        <v>0</v>
      </c>
      <c r="W7" s="55">
        <v>1</v>
      </c>
      <c r="X7" s="55">
        <v>0</v>
      </c>
      <c r="Y7" s="55">
        <v>0</v>
      </c>
      <c r="Z7" s="55">
        <v>0</v>
      </c>
      <c r="AA7" s="56">
        <v>0</v>
      </c>
      <c r="AB7" s="91">
        <f t="shared" si="1"/>
        <v>1</v>
      </c>
      <c r="AC7" s="91">
        <v>0</v>
      </c>
      <c r="AD7" s="91">
        <f t="shared" si="2"/>
        <v>0</v>
      </c>
      <c r="AE7" s="91">
        <f t="shared" si="3"/>
        <v>31</v>
      </c>
    </row>
    <row r="8" spans="1:31">
      <c r="A8" s="1" t="s">
        <v>59</v>
      </c>
      <c r="B8" s="42" t="s">
        <v>63</v>
      </c>
      <c r="C8" s="54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1</v>
      </c>
      <c r="L8" s="55">
        <v>1</v>
      </c>
      <c r="M8" s="55">
        <v>0</v>
      </c>
      <c r="N8" s="55">
        <v>1</v>
      </c>
      <c r="O8" s="55">
        <v>0</v>
      </c>
      <c r="P8" s="55">
        <v>0</v>
      </c>
      <c r="Q8" s="55">
        <v>0</v>
      </c>
      <c r="R8" s="63">
        <v>0</v>
      </c>
      <c r="S8" s="91">
        <f t="shared" si="0"/>
        <v>3</v>
      </c>
      <c r="T8" s="77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6">
        <v>0</v>
      </c>
      <c r="AB8" s="91">
        <f t="shared" si="1"/>
        <v>0</v>
      </c>
      <c r="AC8" s="91">
        <v>0</v>
      </c>
      <c r="AD8" s="91">
        <f t="shared" si="2"/>
        <v>0</v>
      </c>
      <c r="AE8" s="91">
        <f t="shared" si="3"/>
        <v>3</v>
      </c>
    </row>
    <row r="9" spans="1:31">
      <c r="A9" s="1" t="s">
        <v>59</v>
      </c>
      <c r="B9" s="42" t="s">
        <v>64</v>
      </c>
      <c r="C9" s="54">
        <v>0</v>
      </c>
      <c r="D9" s="55">
        <v>0</v>
      </c>
      <c r="E9" s="55">
        <v>1</v>
      </c>
      <c r="F9" s="55">
        <v>0</v>
      </c>
      <c r="G9" s="55">
        <v>0</v>
      </c>
      <c r="H9" s="55">
        <v>0</v>
      </c>
      <c r="I9" s="55">
        <v>0</v>
      </c>
      <c r="J9" s="55">
        <v>1</v>
      </c>
      <c r="K9" s="55">
        <v>1</v>
      </c>
      <c r="L9" s="55">
        <v>1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63">
        <v>0</v>
      </c>
      <c r="S9" s="91">
        <f t="shared" si="0"/>
        <v>4</v>
      </c>
      <c r="T9" s="77">
        <v>1</v>
      </c>
      <c r="U9" s="55">
        <v>0</v>
      </c>
      <c r="V9" s="55">
        <v>1</v>
      </c>
      <c r="W9" s="55">
        <v>1</v>
      </c>
      <c r="X9" s="55">
        <v>0</v>
      </c>
      <c r="Y9" s="55">
        <v>0</v>
      </c>
      <c r="Z9" s="55">
        <v>0</v>
      </c>
      <c r="AA9" s="56">
        <v>0</v>
      </c>
      <c r="AB9" s="91">
        <f t="shared" si="1"/>
        <v>3</v>
      </c>
      <c r="AC9" s="91">
        <v>1</v>
      </c>
      <c r="AD9" s="91">
        <f t="shared" si="2"/>
        <v>1</v>
      </c>
      <c r="AE9" s="91">
        <f t="shared" si="3"/>
        <v>8</v>
      </c>
    </row>
    <row r="10" spans="1:31">
      <c r="A10" s="1" t="s">
        <v>59</v>
      </c>
      <c r="B10" s="42" t="s">
        <v>65</v>
      </c>
      <c r="C10" s="54">
        <v>0</v>
      </c>
      <c r="D10" s="55">
        <v>0</v>
      </c>
      <c r="E10" s="55">
        <v>0</v>
      </c>
      <c r="F10" s="55">
        <v>0</v>
      </c>
      <c r="G10" s="55">
        <v>20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63">
        <v>0</v>
      </c>
      <c r="S10" s="91">
        <f t="shared" si="0"/>
        <v>20</v>
      </c>
      <c r="T10" s="77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6">
        <v>0</v>
      </c>
      <c r="AB10" s="91">
        <f t="shared" si="1"/>
        <v>0</v>
      </c>
      <c r="AC10" s="91">
        <v>0</v>
      </c>
      <c r="AD10" s="91">
        <f t="shared" si="2"/>
        <v>0</v>
      </c>
      <c r="AE10" s="91">
        <f t="shared" si="3"/>
        <v>20</v>
      </c>
    </row>
    <row r="11" spans="1:31">
      <c r="A11" s="1" t="s">
        <v>59</v>
      </c>
      <c r="B11" s="42" t="s">
        <v>66</v>
      </c>
      <c r="C11" s="57">
        <v>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64">
        <v>0</v>
      </c>
      <c r="S11" s="92">
        <f t="shared" si="0"/>
        <v>0</v>
      </c>
      <c r="T11" s="78">
        <v>0</v>
      </c>
      <c r="U11" s="58">
        <v>0</v>
      </c>
      <c r="V11" s="58">
        <v>3.125</v>
      </c>
      <c r="W11" s="58">
        <v>4.166666666666667</v>
      </c>
      <c r="X11" s="58">
        <v>3.0833333333333335</v>
      </c>
      <c r="Y11" s="58">
        <v>2.5416666666666665</v>
      </c>
      <c r="Z11" s="58">
        <v>3.1666666666666665</v>
      </c>
      <c r="AA11" s="59">
        <v>4.916666666666667</v>
      </c>
      <c r="AB11" s="92">
        <f t="shared" si="1"/>
        <v>21</v>
      </c>
      <c r="AC11" s="92">
        <v>0</v>
      </c>
      <c r="AD11" s="92">
        <f t="shared" si="2"/>
        <v>0</v>
      </c>
      <c r="AE11" s="92">
        <f t="shared" si="3"/>
        <v>21</v>
      </c>
    </row>
    <row r="12" spans="1:31">
      <c r="A12" s="1" t="s">
        <v>59</v>
      </c>
      <c r="B12" s="42" t="s">
        <v>67</v>
      </c>
      <c r="C12" s="57">
        <v>0.58333333333333337</v>
      </c>
      <c r="D12" s="58">
        <v>2</v>
      </c>
      <c r="E12" s="58">
        <v>1.6666666666666665</v>
      </c>
      <c r="F12" s="58">
        <v>1.7083333333333335</v>
      </c>
      <c r="G12" s="58">
        <v>0</v>
      </c>
      <c r="H12" s="58">
        <v>1.875</v>
      </c>
      <c r="I12" s="58">
        <v>1.6666666666666665</v>
      </c>
      <c r="J12" s="58">
        <v>1.4583333333333333</v>
      </c>
      <c r="K12" s="58">
        <v>1.5416666666666665</v>
      </c>
      <c r="L12" s="58">
        <v>1.5416666666666665</v>
      </c>
      <c r="M12" s="58">
        <v>2.4583333333333335</v>
      </c>
      <c r="N12" s="58">
        <v>1.4166666666666667</v>
      </c>
      <c r="O12" s="58">
        <v>2.6666666666666665</v>
      </c>
      <c r="P12" s="58">
        <v>1.8333333333333335</v>
      </c>
      <c r="Q12" s="58">
        <v>1.7916666666666665</v>
      </c>
      <c r="R12" s="64">
        <v>1.5416666666666665</v>
      </c>
      <c r="S12" s="92">
        <f t="shared" si="0"/>
        <v>25.750000000000004</v>
      </c>
      <c r="T12" s="78">
        <v>0</v>
      </c>
      <c r="U12" s="58">
        <v>0.91666666666666663</v>
      </c>
      <c r="V12" s="58">
        <v>0</v>
      </c>
      <c r="W12" s="58">
        <v>0</v>
      </c>
      <c r="X12" s="58">
        <v>0</v>
      </c>
      <c r="Y12" s="58">
        <v>4.1666666666666664E-2</v>
      </c>
      <c r="Z12" s="58">
        <v>0</v>
      </c>
      <c r="AA12" s="59">
        <v>0.125</v>
      </c>
      <c r="AB12" s="92">
        <f t="shared" si="1"/>
        <v>1.0833333333333333</v>
      </c>
      <c r="AC12" s="92">
        <v>0</v>
      </c>
      <c r="AD12" s="92">
        <f t="shared" si="2"/>
        <v>0</v>
      </c>
      <c r="AE12" s="92">
        <f t="shared" si="3"/>
        <v>26.833333333333336</v>
      </c>
    </row>
    <row r="13" spans="1:31">
      <c r="A13" s="1" t="s">
        <v>59</v>
      </c>
      <c r="B13" s="42" t="s">
        <v>68</v>
      </c>
      <c r="C13" s="57">
        <v>0</v>
      </c>
      <c r="D13" s="58">
        <v>0.33333333333333331</v>
      </c>
      <c r="E13" s="58">
        <v>0.5</v>
      </c>
      <c r="F13" s="58">
        <v>0.45833333333333331</v>
      </c>
      <c r="G13" s="58">
        <v>0</v>
      </c>
      <c r="H13" s="58">
        <v>0.5</v>
      </c>
      <c r="I13" s="58">
        <v>1.125</v>
      </c>
      <c r="J13" s="58">
        <v>0.5</v>
      </c>
      <c r="K13" s="58">
        <v>1.25</v>
      </c>
      <c r="L13" s="58">
        <v>0.25</v>
      </c>
      <c r="M13" s="58">
        <v>0.41666666666666669</v>
      </c>
      <c r="N13" s="58">
        <v>1.0416666666666667</v>
      </c>
      <c r="O13" s="58">
        <v>0.375</v>
      </c>
      <c r="P13" s="58">
        <v>0.33333333333333331</v>
      </c>
      <c r="Q13" s="58">
        <v>1.4583333333333333</v>
      </c>
      <c r="R13" s="64">
        <v>1.0833333333333333</v>
      </c>
      <c r="S13" s="92">
        <f t="shared" si="0"/>
        <v>9.625</v>
      </c>
      <c r="T13" s="78">
        <v>0</v>
      </c>
      <c r="U13" s="58">
        <v>0.54166666666666663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9">
        <v>0</v>
      </c>
      <c r="AB13" s="92">
        <f t="shared" si="1"/>
        <v>0.54166666666666663</v>
      </c>
      <c r="AC13" s="92">
        <v>0</v>
      </c>
      <c r="AD13" s="92">
        <f t="shared" si="2"/>
        <v>0</v>
      </c>
      <c r="AE13" s="92">
        <f t="shared" si="3"/>
        <v>10.166666666666666</v>
      </c>
    </row>
    <row r="14" spans="1:31">
      <c r="A14" s="1" t="s">
        <v>59</v>
      </c>
      <c r="B14" s="42" t="s">
        <v>69</v>
      </c>
      <c r="C14" s="57">
        <v>1.6666666666666665</v>
      </c>
      <c r="D14" s="58">
        <v>0.875</v>
      </c>
      <c r="E14" s="58">
        <v>0.45833333333333331</v>
      </c>
      <c r="F14" s="58">
        <v>0.16666666666666666</v>
      </c>
      <c r="G14" s="58">
        <v>0</v>
      </c>
      <c r="H14" s="58">
        <v>0.45833333333333331</v>
      </c>
      <c r="I14" s="58">
        <v>0</v>
      </c>
      <c r="J14" s="58">
        <v>0.83333333333333337</v>
      </c>
      <c r="K14" s="58">
        <v>0.70833333333333337</v>
      </c>
      <c r="L14" s="58">
        <v>0.58333333333333337</v>
      </c>
      <c r="M14" s="58">
        <v>0</v>
      </c>
      <c r="N14" s="58">
        <v>0.95833333333333337</v>
      </c>
      <c r="O14" s="58">
        <v>1.4166666666666667</v>
      </c>
      <c r="P14" s="58">
        <v>0.75</v>
      </c>
      <c r="Q14" s="58">
        <v>0.79166666666666663</v>
      </c>
      <c r="R14" s="64">
        <v>0</v>
      </c>
      <c r="S14" s="92">
        <f t="shared" si="0"/>
        <v>9.6666666666666643</v>
      </c>
      <c r="T14" s="78">
        <v>0</v>
      </c>
      <c r="U14" s="58">
        <v>0</v>
      </c>
      <c r="V14" s="58">
        <v>0</v>
      </c>
      <c r="W14" s="58">
        <v>0.125</v>
      </c>
      <c r="X14" s="58">
        <v>0</v>
      </c>
      <c r="Y14" s="58">
        <v>0</v>
      </c>
      <c r="Z14" s="58">
        <v>0</v>
      </c>
      <c r="AA14" s="59">
        <v>0</v>
      </c>
      <c r="AB14" s="92">
        <f t="shared" si="1"/>
        <v>0.125</v>
      </c>
      <c r="AC14" s="92">
        <v>0</v>
      </c>
      <c r="AD14" s="92">
        <f t="shared" si="2"/>
        <v>0</v>
      </c>
      <c r="AE14" s="92">
        <f t="shared" si="3"/>
        <v>9.7916666666666643</v>
      </c>
    </row>
    <row r="15" spans="1:31">
      <c r="A15" s="1" t="s">
        <v>59</v>
      </c>
      <c r="B15" s="42" t="s">
        <v>70</v>
      </c>
      <c r="C15" s="57">
        <v>0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0.16666666666666666</v>
      </c>
      <c r="O15" s="58">
        <v>0</v>
      </c>
      <c r="P15" s="58">
        <v>0</v>
      </c>
      <c r="Q15" s="58">
        <v>0</v>
      </c>
      <c r="R15" s="64">
        <v>0</v>
      </c>
      <c r="S15" s="92">
        <f t="shared" si="0"/>
        <v>0.16666666666666666</v>
      </c>
      <c r="T15" s="7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9">
        <v>0</v>
      </c>
      <c r="AB15" s="92">
        <f t="shared" si="1"/>
        <v>0</v>
      </c>
      <c r="AC15" s="92">
        <v>0</v>
      </c>
      <c r="AD15" s="92">
        <f t="shared" si="2"/>
        <v>0</v>
      </c>
      <c r="AE15" s="92">
        <f t="shared" si="3"/>
        <v>0.16666666666666666</v>
      </c>
    </row>
    <row r="16" spans="1:31">
      <c r="A16" s="1" t="s">
        <v>59</v>
      </c>
      <c r="B16" s="42" t="s">
        <v>71</v>
      </c>
      <c r="C16" s="57">
        <v>0</v>
      </c>
      <c r="D16" s="58">
        <v>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8">
        <v>0</v>
      </c>
      <c r="K16" s="58">
        <v>0.125</v>
      </c>
      <c r="L16" s="58">
        <v>0.16666666666666666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64">
        <v>0</v>
      </c>
      <c r="S16" s="92">
        <f t="shared" si="0"/>
        <v>0.29166666666666663</v>
      </c>
      <c r="T16" s="78">
        <v>0</v>
      </c>
      <c r="U16" s="58">
        <v>0</v>
      </c>
      <c r="V16" s="58">
        <v>0</v>
      </c>
      <c r="W16" s="58">
        <v>0</v>
      </c>
      <c r="X16" s="58">
        <v>0</v>
      </c>
      <c r="Y16" s="58">
        <v>0</v>
      </c>
      <c r="Z16" s="58">
        <v>0</v>
      </c>
      <c r="AA16" s="59">
        <v>0</v>
      </c>
      <c r="AB16" s="92">
        <f t="shared" si="1"/>
        <v>0</v>
      </c>
      <c r="AC16" s="92">
        <v>0</v>
      </c>
      <c r="AD16" s="92">
        <f t="shared" si="2"/>
        <v>0</v>
      </c>
      <c r="AE16" s="92">
        <f t="shared" si="3"/>
        <v>0.29166666666666663</v>
      </c>
    </row>
    <row r="17" spans="1:31">
      <c r="A17" s="1" t="s">
        <v>59</v>
      </c>
      <c r="B17" s="42" t="s">
        <v>72</v>
      </c>
      <c r="C17" s="57">
        <v>0</v>
      </c>
      <c r="D17" s="58">
        <v>0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0.375</v>
      </c>
      <c r="P17" s="58">
        <v>0</v>
      </c>
      <c r="Q17" s="58">
        <v>0</v>
      </c>
      <c r="R17" s="64">
        <v>0</v>
      </c>
      <c r="S17" s="92">
        <f t="shared" si="0"/>
        <v>0.375</v>
      </c>
      <c r="T17" s="78">
        <v>0</v>
      </c>
      <c r="U17" s="58">
        <v>0</v>
      </c>
      <c r="V17" s="58">
        <v>0</v>
      </c>
      <c r="W17" s="58">
        <v>0</v>
      </c>
      <c r="X17" s="58">
        <v>0</v>
      </c>
      <c r="Y17" s="58">
        <v>0</v>
      </c>
      <c r="Z17" s="58">
        <v>0</v>
      </c>
      <c r="AA17" s="59">
        <v>0</v>
      </c>
      <c r="AB17" s="92">
        <f t="shared" si="1"/>
        <v>0</v>
      </c>
      <c r="AC17" s="92">
        <v>0</v>
      </c>
      <c r="AD17" s="92">
        <f t="shared" si="2"/>
        <v>0</v>
      </c>
      <c r="AE17" s="92">
        <f t="shared" si="3"/>
        <v>0.375</v>
      </c>
    </row>
    <row r="18" spans="1:31">
      <c r="A18" s="1" t="s">
        <v>59</v>
      </c>
      <c r="B18" s="42" t="s">
        <v>73</v>
      </c>
      <c r="C18" s="57">
        <v>0</v>
      </c>
      <c r="D18" s="58">
        <v>0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64">
        <v>0</v>
      </c>
      <c r="S18" s="92">
        <f t="shared" si="0"/>
        <v>0</v>
      </c>
      <c r="T18" s="78">
        <v>0</v>
      </c>
      <c r="U18" s="58">
        <v>0</v>
      </c>
      <c r="V18" s="58">
        <v>0.25</v>
      </c>
      <c r="W18" s="58">
        <v>0.29166666666666669</v>
      </c>
      <c r="X18" s="58">
        <v>0</v>
      </c>
      <c r="Y18" s="58">
        <v>0</v>
      </c>
      <c r="Z18" s="58">
        <v>0</v>
      </c>
      <c r="AA18" s="59">
        <v>0</v>
      </c>
      <c r="AB18" s="92">
        <f t="shared" si="1"/>
        <v>0.54166666666666674</v>
      </c>
      <c r="AC18" s="92">
        <v>0</v>
      </c>
      <c r="AD18" s="92">
        <f t="shared" si="2"/>
        <v>0</v>
      </c>
      <c r="AE18" s="92">
        <f t="shared" si="3"/>
        <v>0.54166666666666674</v>
      </c>
    </row>
    <row r="19" spans="1:31">
      <c r="A19" s="1" t="s">
        <v>59</v>
      </c>
      <c r="B19" s="9" t="s">
        <v>74</v>
      </c>
      <c r="C19" s="17">
        <v>0.25</v>
      </c>
      <c r="D19" s="18">
        <v>0.25</v>
      </c>
      <c r="E19" s="18">
        <v>0.375</v>
      </c>
      <c r="F19" s="18">
        <v>0.58333333333333337</v>
      </c>
      <c r="G19" s="18">
        <v>0</v>
      </c>
      <c r="H19" s="18">
        <v>0.41666666666666669</v>
      </c>
      <c r="I19" s="18">
        <v>0.125</v>
      </c>
      <c r="J19" s="18">
        <v>0.375</v>
      </c>
      <c r="K19" s="18">
        <v>1.4583333333333333</v>
      </c>
      <c r="L19" s="18">
        <v>0.58333333333333337</v>
      </c>
      <c r="M19" s="18">
        <v>1.4166666666666667</v>
      </c>
      <c r="N19" s="18">
        <v>0.58333333333333337</v>
      </c>
      <c r="O19" s="18">
        <v>0.75</v>
      </c>
      <c r="P19" s="18">
        <v>0.375</v>
      </c>
      <c r="Q19" s="18">
        <v>0.16666666666666666</v>
      </c>
      <c r="R19" s="65">
        <v>0.16666666666666666</v>
      </c>
      <c r="S19" s="6">
        <f t="shared" si="0"/>
        <v>7.875</v>
      </c>
      <c r="T19" s="79">
        <v>0</v>
      </c>
      <c r="U19" s="18">
        <v>0</v>
      </c>
      <c r="V19" s="18">
        <v>0</v>
      </c>
      <c r="W19" s="18">
        <v>0</v>
      </c>
      <c r="X19" s="18">
        <v>2.0833333333333335</v>
      </c>
      <c r="Y19" s="18">
        <v>0.625</v>
      </c>
      <c r="Z19" s="18">
        <v>1.875</v>
      </c>
      <c r="AA19" s="19">
        <v>1.625</v>
      </c>
      <c r="AB19" s="6">
        <f t="shared" si="1"/>
        <v>6.2083333333333339</v>
      </c>
      <c r="AC19" s="6">
        <v>0</v>
      </c>
      <c r="AD19" s="6">
        <f t="shared" si="2"/>
        <v>0</v>
      </c>
      <c r="AE19" s="6">
        <f t="shared" si="3"/>
        <v>14.083333333333334</v>
      </c>
    </row>
    <row r="20" spans="1:31">
      <c r="A20" s="1" t="s">
        <v>59</v>
      </c>
      <c r="B20" s="26" t="s">
        <v>75</v>
      </c>
      <c r="C20" s="27">
        <v>6</v>
      </c>
      <c r="D20" s="28">
        <v>5</v>
      </c>
      <c r="E20" s="28">
        <v>18.5</v>
      </c>
      <c r="F20" s="28">
        <v>24</v>
      </c>
      <c r="G20" s="28">
        <v>19</v>
      </c>
      <c r="H20" s="28">
        <v>11</v>
      </c>
      <c r="I20" s="28">
        <v>21</v>
      </c>
      <c r="J20" s="28">
        <v>16.5</v>
      </c>
      <c r="K20" s="28">
        <v>19.5</v>
      </c>
      <c r="L20" s="28">
        <v>27</v>
      </c>
      <c r="M20" s="28">
        <v>14</v>
      </c>
      <c r="N20" s="28">
        <v>21.5</v>
      </c>
      <c r="O20" s="28">
        <v>3</v>
      </c>
      <c r="P20" s="28">
        <v>6</v>
      </c>
      <c r="Q20" s="28">
        <v>14</v>
      </c>
      <c r="R20" s="66">
        <v>0</v>
      </c>
      <c r="S20" s="93"/>
      <c r="T20" s="80">
        <v>13</v>
      </c>
      <c r="U20" s="28">
        <v>33.5</v>
      </c>
      <c r="V20" s="28">
        <v>11</v>
      </c>
      <c r="W20" s="28">
        <v>16</v>
      </c>
      <c r="X20" s="28">
        <v>0</v>
      </c>
      <c r="Y20" s="28">
        <v>4</v>
      </c>
      <c r="Z20" s="28">
        <v>26</v>
      </c>
      <c r="AA20" s="29">
        <v>5</v>
      </c>
      <c r="AB20" s="93"/>
      <c r="AC20" s="93">
        <v>31</v>
      </c>
      <c r="AD20" s="93">
        <f t="shared" si="2"/>
        <v>31</v>
      </c>
      <c r="AE20" s="93"/>
    </row>
    <row r="21" spans="1:31">
      <c r="A21" s="1" t="s">
        <v>59</v>
      </c>
      <c r="B21" s="33" t="s">
        <v>76</v>
      </c>
      <c r="C21" s="34">
        <v>182000</v>
      </c>
      <c r="D21" s="35">
        <v>192000</v>
      </c>
      <c r="E21" s="35">
        <v>197000</v>
      </c>
      <c r="F21" s="35">
        <v>197000</v>
      </c>
      <c r="G21" s="35">
        <v>0</v>
      </c>
      <c r="H21" s="35">
        <v>182000</v>
      </c>
      <c r="I21" s="35">
        <v>187000</v>
      </c>
      <c r="J21" s="35">
        <v>182000</v>
      </c>
      <c r="K21" s="35">
        <v>197000</v>
      </c>
      <c r="L21" s="35">
        <v>192000</v>
      </c>
      <c r="M21" s="35">
        <v>192000</v>
      </c>
      <c r="N21" s="35">
        <v>182000</v>
      </c>
      <c r="O21" s="35">
        <v>175000</v>
      </c>
      <c r="P21" s="35">
        <v>175000</v>
      </c>
      <c r="Q21" s="35">
        <v>180000</v>
      </c>
      <c r="R21" s="67">
        <v>175000</v>
      </c>
      <c r="S21" s="94">
        <f t="shared" si="0"/>
        <v>2787000</v>
      </c>
      <c r="T21" s="81">
        <v>370000</v>
      </c>
      <c r="U21" s="35">
        <v>285000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6">
        <v>0</v>
      </c>
      <c r="AB21" s="94">
        <f t="shared" si="1"/>
        <v>655000</v>
      </c>
      <c r="AC21" s="94">
        <v>390000</v>
      </c>
      <c r="AD21" s="94">
        <f t="shared" si="2"/>
        <v>390000</v>
      </c>
      <c r="AE21" s="94">
        <f t="shared" si="3"/>
        <v>3832000</v>
      </c>
    </row>
    <row r="22" spans="1:31">
      <c r="A22" s="1" t="s">
        <v>59</v>
      </c>
      <c r="B22" s="42" t="s">
        <v>77</v>
      </c>
      <c r="C22" s="43">
        <v>0</v>
      </c>
      <c r="D22" s="44">
        <v>0</v>
      </c>
      <c r="E22" s="44">
        <v>20000</v>
      </c>
      <c r="F22" s="44">
        <v>20000</v>
      </c>
      <c r="G22" s="44">
        <v>0</v>
      </c>
      <c r="H22" s="44">
        <v>0</v>
      </c>
      <c r="I22" s="44">
        <v>5000</v>
      </c>
      <c r="J22" s="44">
        <v>0</v>
      </c>
      <c r="K22" s="44">
        <v>0</v>
      </c>
      <c r="L22" s="44">
        <v>0</v>
      </c>
      <c r="M22" s="44">
        <v>5000</v>
      </c>
      <c r="N22" s="44">
        <v>0</v>
      </c>
      <c r="O22" s="44">
        <v>0</v>
      </c>
      <c r="P22" s="44">
        <v>0</v>
      </c>
      <c r="Q22" s="44">
        <v>0</v>
      </c>
      <c r="R22" s="68">
        <v>0</v>
      </c>
      <c r="S22" s="95">
        <f t="shared" si="0"/>
        <v>50000</v>
      </c>
      <c r="T22" s="82">
        <v>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4">
        <v>0</v>
      </c>
      <c r="AA22" s="45">
        <v>0</v>
      </c>
      <c r="AB22" s="95">
        <f t="shared" si="1"/>
        <v>0</v>
      </c>
      <c r="AC22" s="95">
        <v>0</v>
      </c>
      <c r="AD22" s="95">
        <f t="shared" si="2"/>
        <v>0</v>
      </c>
      <c r="AE22" s="95">
        <f t="shared" si="3"/>
        <v>50000</v>
      </c>
    </row>
    <row r="23" spans="1:31">
      <c r="A23" s="1" t="s">
        <v>59</v>
      </c>
      <c r="B23" s="42" t="s">
        <v>78</v>
      </c>
      <c r="C23" s="43">
        <v>0</v>
      </c>
      <c r="D23" s="44">
        <v>0</v>
      </c>
      <c r="E23" s="44">
        <v>3000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68">
        <v>0</v>
      </c>
      <c r="S23" s="95">
        <f t="shared" si="0"/>
        <v>3000</v>
      </c>
      <c r="T23" s="82">
        <v>0</v>
      </c>
      <c r="U23" s="44">
        <v>3000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5">
        <v>0</v>
      </c>
      <c r="AB23" s="95">
        <f t="shared" si="1"/>
        <v>3000</v>
      </c>
      <c r="AC23" s="95">
        <v>0</v>
      </c>
      <c r="AD23" s="95">
        <f t="shared" si="2"/>
        <v>0</v>
      </c>
      <c r="AE23" s="95">
        <f t="shared" si="3"/>
        <v>6000</v>
      </c>
    </row>
    <row r="24" spans="1:31">
      <c r="A24" s="1" t="s">
        <v>59</v>
      </c>
      <c r="B24" s="42" t="s">
        <v>79</v>
      </c>
      <c r="C24" s="43">
        <v>0</v>
      </c>
      <c r="D24" s="44">
        <v>0</v>
      </c>
      <c r="E24" s="44">
        <v>0</v>
      </c>
      <c r="F24" s="44">
        <v>11091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51392</v>
      </c>
      <c r="N24" s="44">
        <v>5282</v>
      </c>
      <c r="O24" s="44">
        <v>0</v>
      </c>
      <c r="P24" s="44">
        <v>0</v>
      </c>
      <c r="Q24" s="44">
        <v>819</v>
      </c>
      <c r="R24" s="68">
        <v>0</v>
      </c>
      <c r="S24" s="95">
        <f t="shared" si="0"/>
        <v>68584</v>
      </c>
      <c r="T24" s="82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5">
        <v>0</v>
      </c>
      <c r="AB24" s="95">
        <f t="shared" si="1"/>
        <v>0</v>
      </c>
      <c r="AC24" s="95">
        <v>0</v>
      </c>
      <c r="AD24" s="95">
        <f t="shared" si="2"/>
        <v>0</v>
      </c>
      <c r="AE24" s="95">
        <f t="shared" si="3"/>
        <v>68584</v>
      </c>
    </row>
    <row r="25" spans="1:31">
      <c r="A25" s="1" t="s">
        <v>59</v>
      </c>
      <c r="B25" s="42" t="s">
        <v>80</v>
      </c>
      <c r="C25" s="43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68">
        <v>0</v>
      </c>
      <c r="S25" s="95">
        <f t="shared" si="0"/>
        <v>0</v>
      </c>
      <c r="T25" s="82">
        <v>0</v>
      </c>
      <c r="U25" s="44">
        <v>0</v>
      </c>
      <c r="V25" s="44">
        <v>77625</v>
      </c>
      <c r="W25" s="44">
        <v>107000</v>
      </c>
      <c r="X25" s="44">
        <v>72150</v>
      </c>
      <c r="Y25" s="44">
        <v>59475</v>
      </c>
      <c r="Z25" s="44">
        <v>74100</v>
      </c>
      <c r="AA25" s="45">
        <v>115050</v>
      </c>
      <c r="AB25" s="95">
        <f t="shared" si="1"/>
        <v>505400</v>
      </c>
      <c r="AC25" s="95">
        <v>0</v>
      </c>
      <c r="AD25" s="95">
        <f t="shared" si="2"/>
        <v>0</v>
      </c>
      <c r="AE25" s="95">
        <f t="shared" si="3"/>
        <v>505400</v>
      </c>
    </row>
    <row r="26" spans="1:31">
      <c r="A26" s="1" t="s">
        <v>59</v>
      </c>
      <c r="B26" s="42" t="s">
        <v>81</v>
      </c>
      <c r="C26" s="43">
        <v>3500</v>
      </c>
      <c r="D26" s="44">
        <v>1000</v>
      </c>
      <c r="E26" s="44">
        <v>3500</v>
      </c>
      <c r="F26" s="44">
        <v>3500</v>
      </c>
      <c r="G26" s="44">
        <v>0</v>
      </c>
      <c r="H26" s="44">
        <v>3500</v>
      </c>
      <c r="I26" s="44">
        <v>3500</v>
      </c>
      <c r="J26" s="44">
        <v>3500</v>
      </c>
      <c r="K26" s="44">
        <v>3500</v>
      </c>
      <c r="L26" s="44">
        <v>3500</v>
      </c>
      <c r="M26" s="44">
        <v>3500</v>
      </c>
      <c r="N26" s="44">
        <v>3500</v>
      </c>
      <c r="O26" s="44">
        <v>0</v>
      </c>
      <c r="P26" s="44">
        <v>2000</v>
      </c>
      <c r="Q26" s="44">
        <v>2000</v>
      </c>
      <c r="R26" s="68">
        <v>0</v>
      </c>
      <c r="S26" s="95">
        <f t="shared" si="0"/>
        <v>40000</v>
      </c>
      <c r="T26" s="82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4">
        <v>0</v>
      </c>
      <c r="AA26" s="45">
        <v>0</v>
      </c>
      <c r="AB26" s="95">
        <f t="shared" si="1"/>
        <v>0</v>
      </c>
      <c r="AC26" s="95">
        <v>0</v>
      </c>
      <c r="AD26" s="95">
        <f t="shared" si="2"/>
        <v>0</v>
      </c>
      <c r="AE26" s="95">
        <f t="shared" si="3"/>
        <v>40000</v>
      </c>
    </row>
    <row r="27" spans="1:31">
      <c r="A27" s="1" t="s">
        <v>59</v>
      </c>
      <c r="B27" s="42" t="s">
        <v>82</v>
      </c>
      <c r="C27" s="43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68">
        <v>0</v>
      </c>
      <c r="S27" s="95">
        <f t="shared" si="0"/>
        <v>0</v>
      </c>
      <c r="T27" s="82">
        <v>0</v>
      </c>
      <c r="U27" s="44">
        <v>0</v>
      </c>
      <c r="V27" s="44">
        <v>6210</v>
      </c>
      <c r="W27" s="44">
        <v>7490</v>
      </c>
      <c r="X27" s="44">
        <v>0</v>
      </c>
      <c r="Y27" s="44">
        <v>0</v>
      </c>
      <c r="Z27" s="44">
        <v>0</v>
      </c>
      <c r="AA27" s="45">
        <v>0</v>
      </c>
      <c r="AB27" s="95">
        <f t="shared" si="1"/>
        <v>13700</v>
      </c>
      <c r="AC27" s="95">
        <v>0</v>
      </c>
      <c r="AD27" s="95">
        <f t="shared" si="2"/>
        <v>0</v>
      </c>
      <c r="AE27" s="95">
        <f t="shared" si="3"/>
        <v>13700</v>
      </c>
    </row>
    <row r="28" spans="1:31">
      <c r="A28" s="1" t="s">
        <v>59</v>
      </c>
      <c r="B28" s="42" t="s">
        <v>67</v>
      </c>
      <c r="C28" s="43">
        <v>19446</v>
      </c>
      <c r="D28" s="44">
        <v>69360</v>
      </c>
      <c r="E28" s="44">
        <v>66920</v>
      </c>
      <c r="F28" s="44">
        <v>67650</v>
      </c>
      <c r="G28" s="44">
        <v>0</v>
      </c>
      <c r="H28" s="44">
        <v>62505</v>
      </c>
      <c r="I28" s="44">
        <v>58560</v>
      </c>
      <c r="J28" s="44">
        <v>48615</v>
      </c>
      <c r="K28" s="44">
        <v>55537</v>
      </c>
      <c r="L28" s="44">
        <v>54168</v>
      </c>
      <c r="M28" s="44">
        <v>88559</v>
      </c>
      <c r="N28" s="44">
        <v>47226</v>
      </c>
      <c r="O28" s="44">
        <v>83840</v>
      </c>
      <c r="P28" s="44">
        <v>58300</v>
      </c>
      <c r="Q28" s="44">
        <v>58609</v>
      </c>
      <c r="R28" s="68">
        <v>48470</v>
      </c>
      <c r="S28" s="95">
        <f t="shared" si="0"/>
        <v>887765</v>
      </c>
      <c r="T28" s="82">
        <v>0</v>
      </c>
      <c r="U28" s="44">
        <v>47432</v>
      </c>
      <c r="V28" s="44">
        <v>0</v>
      </c>
      <c r="W28" s="44">
        <v>0</v>
      </c>
      <c r="X28" s="44">
        <v>0</v>
      </c>
      <c r="Y28" s="44">
        <v>1219</v>
      </c>
      <c r="Z28" s="44">
        <v>0</v>
      </c>
      <c r="AA28" s="45">
        <v>3657</v>
      </c>
      <c r="AB28" s="95">
        <f t="shared" si="1"/>
        <v>52308</v>
      </c>
      <c r="AC28" s="95">
        <v>0</v>
      </c>
      <c r="AD28" s="95">
        <f t="shared" si="2"/>
        <v>0</v>
      </c>
      <c r="AE28" s="95">
        <f t="shared" si="3"/>
        <v>940073</v>
      </c>
    </row>
    <row r="29" spans="1:31">
      <c r="A29" s="1" t="s">
        <v>59</v>
      </c>
      <c r="B29" s="42" t="s">
        <v>83</v>
      </c>
      <c r="C29" s="43">
        <v>0</v>
      </c>
      <c r="D29" s="44">
        <v>12488</v>
      </c>
      <c r="E29" s="44">
        <v>21672</v>
      </c>
      <c r="F29" s="44">
        <v>19602</v>
      </c>
      <c r="G29" s="44">
        <v>0</v>
      </c>
      <c r="H29" s="44">
        <v>18000</v>
      </c>
      <c r="I29" s="44">
        <v>42687</v>
      </c>
      <c r="J29" s="44">
        <v>18000</v>
      </c>
      <c r="K29" s="44">
        <v>48630</v>
      </c>
      <c r="L29" s="44">
        <v>9486</v>
      </c>
      <c r="M29" s="44">
        <v>16210</v>
      </c>
      <c r="N29" s="44">
        <v>37500</v>
      </c>
      <c r="O29" s="44">
        <v>12735</v>
      </c>
      <c r="P29" s="44">
        <v>11448</v>
      </c>
      <c r="Q29" s="44">
        <v>51520</v>
      </c>
      <c r="R29" s="68">
        <v>36790</v>
      </c>
      <c r="S29" s="95">
        <f t="shared" si="0"/>
        <v>356768</v>
      </c>
      <c r="T29" s="82">
        <v>0</v>
      </c>
      <c r="U29" s="44">
        <v>30277</v>
      </c>
      <c r="V29" s="44">
        <v>0</v>
      </c>
      <c r="W29" s="44">
        <v>0</v>
      </c>
      <c r="X29" s="44">
        <v>0</v>
      </c>
      <c r="Y29" s="44">
        <v>0</v>
      </c>
      <c r="Z29" s="44">
        <v>0</v>
      </c>
      <c r="AA29" s="45">
        <v>0</v>
      </c>
      <c r="AB29" s="95">
        <f t="shared" si="1"/>
        <v>30277</v>
      </c>
      <c r="AC29" s="95">
        <v>0</v>
      </c>
      <c r="AD29" s="95">
        <f t="shared" si="2"/>
        <v>0</v>
      </c>
      <c r="AE29" s="95">
        <f t="shared" si="3"/>
        <v>387045</v>
      </c>
    </row>
    <row r="30" spans="1:31">
      <c r="A30" s="1" t="s">
        <v>59</v>
      </c>
      <c r="B30" s="42" t="s">
        <v>84</v>
      </c>
      <c r="C30" s="43">
        <v>60000</v>
      </c>
      <c r="D30" s="44">
        <v>32781</v>
      </c>
      <c r="E30" s="44">
        <v>19866</v>
      </c>
      <c r="F30" s="44">
        <v>7128</v>
      </c>
      <c r="G30" s="44">
        <v>0</v>
      </c>
      <c r="H30" s="44">
        <v>16500</v>
      </c>
      <c r="I30" s="44">
        <v>0</v>
      </c>
      <c r="J30" s="44">
        <v>30000</v>
      </c>
      <c r="K30" s="44">
        <v>27557</v>
      </c>
      <c r="L30" s="44">
        <v>22134</v>
      </c>
      <c r="M30" s="44">
        <v>0</v>
      </c>
      <c r="N30" s="44">
        <v>34500</v>
      </c>
      <c r="O30" s="44">
        <v>48110</v>
      </c>
      <c r="P30" s="44">
        <v>25758</v>
      </c>
      <c r="Q30" s="44">
        <v>27968</v>
      </c>
      <c r="R30" s="68">
        <v>0</v>
      </c>
      <c r="S30" s="95">
        <f t="shared" si="0"/>
        <v>352302</v>
      </c>
      <c r="T30" s="82">
        <v>0</v>
      </c>
      <c r="U30" s="44">
        <v>0</v>
      </c>
      <c r="V30" s="44">
        <v>0</v>
      </c>
      <c r="W30" s="44">
        <v>4335</v>
      </c>
      <c r="X30" s="44">
        <v>0</v>
      </c>
      <c r="Y30" s="44">
        <v>0</v>
      </c>
      <c r="Z30" s="44">
        <v>0</v>
      </c>
      <c r="AA30" s="45">
        <v>0</v>
      </c>
      <c r="AB30" s="95">
        <f t="shared" si="1"/>
        <v>4335</v>
      </c>
      <c r="AC30" s="95">
        <v>0</v>
      </c>
      <c r="AD30" s="95">
        <f t="shared" si="2"/>
        <v>0</v>
      </c>
      <c r="AE30" s="95">
        <f t="shared" si="3"/>
        <v>356637</v>
      </c>
    </row>
    <row r="31" spans="1:31">
      <c r="A31" s="1" t="s">
        <v>59</v>
      </c>
      <c r="B31" s="42" t="s">
        <v>85</v>
      </c>
      <c r="C31" s="43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1556</v>
      </c>
      <c r="O31" s="44">
        <v>0</v>
      </c>
      <c r="P31" s="44">
        <v>0</v>
      </c>
      <c r="Q31" s="44">
        <v>0</v>
      </c>
      <c r="R31" s="68">
        <v>0</v>
      </c>
      <c r="S31" s="95">
        <f t="shared" si="0"/>
        <v>1556</v>
      </c>
      <c r="T31" s="82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5">
        <v>0</v>
      </c>
      <c r="AB31" s="95">
        <f t="shared" si="1"/>
        <v>0</v>
      </c>
      <c r="AC31" s="95">
        <v>0</v>
      </c>
      <c r="AD31" s="95">
        <f t="shared" si="2"/>
        <v>0</v>
      </c>
      <c r="AE31" s="95">
        <f t="shared" si="3"/>
        <v>1556</v>
      </c>
    </row>
    <row r="32" spans="1:31">
      <c r="A32" s="1" t="s">
        <v>59</v>
      </c>
      <c r="B32" s="42" t="s">
        <v>86</v>
      </c>
      <c r="C32" s="43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1260</v>
      </c>
      <c r="L32" s="44">
        <v>1640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68">
        <v>0</v>
      </c>
      <c r="S32" s="95">
        <f t="shared" si="0"/>
        <v>2900</v>
      </c>
      <c r="T32" s="82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5">
        <v>0</v>
      </c>
      <c r="AB32" s="95">
        <f t="shared" si="1"/>
        <v>0</v>
      </c>
      <c r="AC32" s="95">
        <v>0</v>
      </c>
      <c r="AD32" s="95">
        <f t="shared" si="2"/>
        <v>0</v>
      </c>
      <c r="AE32" s="95">
        <f t="shared" si="3"/>
        <v>2900</v>
      </c>
    </row>
    <row r="33" spans="1:31">
      <c r="A33" s="1" t="s">
        <v>59</v>
      </c>
      <c r="B33" s="42" t="s">
        <v>72</v>
      </c>
      <c r="C33" s="43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44">
        <v>2358</v>
      </c>
      <c r="P33" s="44">
        <v>0</v>
      </c>
      <c r="Q33" s="44">
        <v>0</v>
      </c>
      <c r="R33" s="68">
        <v>0</v>
      </c>
      <c r="S33" s="95">
        <f t="shared" si="0"/>
        <v>2358</v>
      </c>
      <c r="T33" s="82">
        <v>0</v>
      </c>
      <c r="U33" s="44">
        <v>0</v>
      </c>
      <c r="V33" s="44">
        <v>0</v>
      </c>
      <c r="W33" s="44">
        <v>0</v>
      </c>
      <c r="X33" s="44">
        <v>0</v>
      </c>
      <c r="Y33" s="44">
        <v>0</v>
      </c>
      <c r="Z33" s="44">
        <v>0</v>
      </c>
      <c r="AA33" s="45">
        <v>0</v>
      </c>
      <c r="AB33" s="95">
        <f t="shared" si="1"/>
        <v>0</v>
      </c>
      <c r="AC33" s="95">
        <v>0</v>
      </c>
      <c r="AD33" s="95">
        <f t="shared" si="2"/>
        <v>0</v>
      </c>
      <c r="AE33" s="95">
        <f t="shared" si="3"/>
        <v>2358</v>
      </c>
    </row>
    <row r="34" spans="1:31">
      <c r="A34" s="1" t="s">
        <v>59</v>
      </c>
      <c r="B34" s="9" t="s">
        <v>74</v>
      </c>
      <c r="C34" s="20">
        <v>1668</v>
      </c>
      <c r="D34" s="21">
        <v>1734</v>
      </c>
      <c r="E34" s="21">
        <v>3015</v>
      </c>
      <c r="F34" s="21">
        <v>4620</v>
      </c>
      <c r="G34" s="21">
        <v>0</v>
      </c>
      <c r="H34" s="21">
        <v>2780</v>
      </c>
      <c r="I34" s="21">
        <v>879</v>
      </c>
      <c r="J34" s="21">
        <v>2502</v>
      </c>
      <c r="K34" s="21">
        <v>10500</v>
      </c>
      <c r="L34" s="21">
        <v>4102</v>
      </c>
      <c r="M34" s="21">
        <v>10200</v>
      </c>
      <c r="N34" s="21">
        <v>3892</v>
      </c>
      <c r="O34" s="21">
        <v>4716</v>
      </c>
      <c r="P34" s="21">
        <v>2385</v>
      </c>
      <c r="Q34" s="21">
        <v>1092</v>
      </c>
      <c r="R34" s="69">
        <v>1048</v>
      </c>
      <c r="S34" s="7">
        <f t="shared" si="0"/>
        <v>55133</v>
      </c>
      <c r="T34" s="83">
        <v>0</v>
      </c>
      <c r="U34" s="21">
        <v>0</v>
      </c>
      <c r="V34" s="21">
        <v>0</v>
      </c>
      <c r="W34" s="21">
        <v>0</v>
      </c>
      <c r="X34" s="21">
        <v>12200</v>
      </c>
      <c r="Y34" s="21">
        <v>3660</v>
      </c>
      <c r="Z34" s="21">
        <v>10980</v>
      </c>
      <c r="AA34" s="22">
        <v>9516</v>
      </c>
      <c r="AB34" s="7">
        <f t="shared" si="1"/>
        <v>36356</v>
      </c>
      <c r="AC34" s="7">
        <v>0</v>
      </c>
      <c r="AD34" s="7">
        <f t="shared" si="2"/>
        <v>0</v>
      </c>
      <c r="AE34" s="7">
        <f t="shared" si="3"/>
        <v>91489</v>
      </c>
    </row>
    <row r="35" spans="1:31">
      <c r="A35" s="1" t="s">
        <v>59</v>
      </c>
      <c r="B35" s="26" t="s">
        <v>87</v>
      </c>
      <c r="C35" s="30">
        <v>266614</v>
      </c>
      <c r="D35" s="31">
        <v>309363</v>
      </c>
      <c r="E35" s="31">
        <v>334973</v>
      </c>
      <c r="F35" s="31">
        <v>330591</v>
      </c>
      <c r="G35" s="31">
        <v>0</v>
      </c>
      <c r="H35" s="31">
        <v>285285</v>
      </c>
      <c r="I35" s="31">
        <v>297626</v>
      </c>
      <c r="J35" s="31">
        <v>284617</v>
      </c>
      <c r="K35" s="31">
        <v>343984</v>
      </c>
      <c r="L35" s="31">
        <v>287030</v>
      </c>
      <c r="M35" s="31">
        <v>366861</v>
      </c>
      <c r="N35" s="31">
        <v>315456</v>
      </c>
      <c r="O35" s="31">
        <v>326759</v>
      </c>
      <c r="P35" s="31">
        <v>274891</v>
      </c>
      <c r="Q35" s="31">
        <v>322008</v>
      </c>
      <c r="R35" s="70">
        <v>261308</v>
      </c>
      <c r="S35" s="96">
        <f t="shared" si="0"/>
        <v>4607366</v>
      </c>
      <c r="T35" s="84">
        <v>370000</v>
      </c>
      <c r="U35" s="31">
        <v>365709</v>
      </c>
      <c r="V35" s="31">
        <v>83835</v>
      </c>
      <c r="W35" s="31">
        <v>118825</v>
      </c>
      <c r="X35" s="31">
        <v>84350</v>
      </c>
      <c r="Y35" s="31">
        <v>64354</v>
      </c>
      <c r="Z35" s="31">
        <v>85080</v>
      </c>
      <c r="AA35" s="32">
        <v>128223</v>
      </c>
      <c r="AB35" s="96">
        <f t="shared" si="1"/>
        <v>1300376</v>
      </c>
      <c r="AC35" s="96">
        <v>390000</v>
      </c>
      <c r="AD35" s="96">
        <f t="shared" si="2"/>
        <v>390000</v>
      </c>
      <c r="AE35" s="96">
        <f t="shared" si="3"/>
        <v>6297742</v>
      </c>
    </row>
    <row r="36" spans="1:31">
      <c r="A36" s="1" t="s">
        <v>59</v>
      </c>
      <c r="B36" s="33" t="s">
        <v>88</v>
      </c>
      <c r="C36" s="34">
        <v>13508</v>
      </c>
      <c r="D36" s="35">
        <v>3377</v>
      </c>
      <c r="E36" s="35">
        <v>5106</v>
      </c>
      <c r="F36" s="35">
        <v>2972</v>
      </c>
      <c r="G36" s="35">
        <v>0</v>
      </c>
      <c r="H36" s="35">
        <v>2486</v>
      </c>
      <c r="I36" s="35">
        <v>1297</v>
      </c>
      <c r="J36" s="35">
        <v>2972</v>
      </c>
      <c r="K36" s="35">
        <v>5404</v>
      </c>
      <c r="L36" s="35">
        <v>7457</v>
      </c>
      <c r="M36" s="35">
        <v>5674</v>
      </c>
      <c r="N36" s="35">
        <v>11941</v>
      </c>
      <c r="O36" s="35">
        <v>8780</v>
      </c>
      <c r="P36" s="35">
        <v>8429</v>
      </c>
      <c r="Q36" s="35">
        <v>2810</v>
      </c>
      <c r="R36" s="67">
        <v>7781</v>
      </c>
      <c r="S36" s="94">
        <f t="shared" si="0"/>
        <v>89994</v>
      </c>
      <c r="T36" s="81">
        <v>3242</v>
      </c>
      <c r="U36" s="35">
        <v>5350</v>
      </c>
      <c r="V36" s="35">
        <v>2810</v>
      </c>
      <c r="W36" s="35">
        <v>2297</v>
      </c>
      <c r="X36" s="35">
        <v>4755</v>
      </c>
      <c r="Y36" s="35">
        <v>2810</v>
      </c>
      <c r="Z36" s="35">
        <v>4539</v>
      </c>
      <c r="AA36" s="36">
        <v>12428</v>
      </c>
      <c r="AB36" s="94">
        <f t="shared" si="1"/>
        <v>38231</v>
      </c>
      <c r="AC36" s="94">
        <v>6322</v>
      </c>
      <c r="AD36" s="94">
        <f t="shared" si="2"/>
        <v>6322</v>
      </c>
      <c r="AE36" s="94">
        <f t="shared" si="3"/>
        <v>134547</v>
      </c>
    </row>
    <row r="37" spans="1:31">
      <c r="A37" s="1" t="s">
        <v>59</v>
      </c>
      <c r="B37" s="9" t="s">
        <v>89</v>
      </c>
      <c r="C37" s="20">
        <v>13508</v>
      </c>
      <c r="D37" s="21">
        <v>3377</v>
      </c>
      <c r="E37" s="21">
        <v>5106</v>
      </c>
      <c r="F37" s="21">
        <v>2972</v>
      </c>
      <c r="G37" s="21">
        <v>0</v>
      </c>
      <c r="H37" s="21">
        <v>2486</v>
      </c>
      <c r="I37" s="21">
        <v>1297</v>
      </c>
      <c r="J37" s="21">
        <v>2972</v>
      </c>
      <c r="K37" s="21">
        <v>5404</v>
      </c>
      <c r="L37" s="21">
        <v>7457</v>
      </c>
      <c r="M37" s="21">
        <v>5674</v>
      </c>
      <c r="N37" s="21">
        <v>11941</v>
      </c>
      <c r="O37" s="21">
        <v>8780</v>
      </c>
      <c r="P37" s="21">
        <v>8429</v>
      </c>
      <c r="Q37" s="21">
        <v>2810</v>
      </c>
      <c r="R37" s="69">
        <v>7781</v>
      </c>
      <c r="S37" s="7">
        <f t="shared" si="0"/>
        <v>89994</v>
      </c>
      <c r="T37" s="83">
        <v>3242</v>
      </c>
      <c r="U37" s="21">
        <v>5350</v>
      </c>
      <c r="V37" s="21">
        <v>2810</v>
      </c>
      <c r="W37" s="21">
        <v>2297</v>
      </c>
      <c r="X37" s="21">
        <v>4755</v>
      </c>
      <c r="Y37" s="21">
        <v>2810</v>
      </c>
      <c r="Z37" s="21">
        <v>4539</v>
      </c>
      <c r="AA37" s="22">
        <v>12428</v>
      </c>
      <c r="AB37" s="7">
        <f t="shared" si="1"/>
        <v>38231</v>
      </c>
      <c r="AC37" s="7">
        <v>6322</v>
      </c>
      <c r="AD37" s="7">
        <f t="shared" si="2"/>
        <v>6322</v>
      </c>
      <c r="AE37" s="7">
        <f t="shared" si="3"/>
        <v>134547</v>
      </c>
    </row>
    <row r="38" spans="1:31">
      <c r="A38" s="1" t="s">
        <v>59</v>
      </c>
      <c r="B38" s="26" t="s">
        <v>90</v>
      </c>
      <c r="C38" s="30">
        <v>280122</v>
      </c>
      <c r="D38" s="31">
        <v>312740</v>
      </c>
      <c r="E38" s="31">
        <v>340079</v>
      </c>
      <c r="F38" s="31">
        <v>333563</v>
      </c>
      <c r="G38" s="31">
        <v>0</v>
      </c>
      <c r="H38" s="31">
        <v>287771</v>
      </c>
      <c r="I38" s="31">
        <v>298923</v>
      </c>
      <c r="J38" s="31">
        <v>287589</v>
      </c>
      <c r="K38" s="31">
        <v>349388</v>
      </c>
      <c r="L38" s="31">
        <v>294487</v>
      </c>
      <c r="M38" s="31">
        <v>372535</v>
      </c>
      <c r="N38" s="31">
        <v>327397</v>
      </c>
      <c r="O38" s="31">
        <v>335539</v>
      </c>
      <c r="P38" s="31">
        <v>283320</v>
      </c>
      <c r="Q38" s="31">
        <v>324818</v>
      </c>
      <c r="R38" s="70">
        <v>269089</v>
      </c>
      <c r="S38" s="96">
        <f t="shared" si="0"/>
        <v>4697360</v>
      </c>
      <c r="T38" s="84">
        <v>373242</v>
      </c>
      <c r="U38" s="31">
        <v>371059</v>
      </c>
      <c r="V38" s="31">
        <v>86645</v>
      </c>
      <c r="W38" s="31">
        <v>121122</v>
      </c>
      <c r="X38" s="31">
        <v>89105</v>
      </c>
      <c r="Y38" s="31">
        <v>67164</v>
      </c>
      <c r="Z38" s="31">
        <v>89619</v>
      </c>
      <c r="AA38" s="32">
        <v>140651</v>
      </c>
      <c r="AB38" s="96">
        <f t="shared" si="1"/>
        <v>1338607</v>
      </c>
      <c r="AC38" s="96">
        <v>396322</v>
      </c>
      <c r="AD38" s="96">
        <f t="shared" si="2"/>
        <v>396322</v>
      </c>
      <c r="AE38" s="96">
        <f t="shared" si="3"/>
        <v>6432289</v>
      </c>
    </row>
    <row r="39" spans="1:31">
      <c r="A39" s="1" t="s">
        <v>59</v>
      </c>
      <c r="B39" s="33" t="s">
        <v>91</v>
      </c>
      <c r="C39" s="34">
        <v>15300</v>
      </c>
      <c r="D39" s="35">
        <v>16320</v>
      </c>
      <c r="E39" s="35">
        <v>19380</v>
      </c>
      <c r="F39" s="35">
        <v>19380</v>
      </c>
      <c r="G39" s="35">
        <v>19380</v>
      </c>
      <c r="H39" s="35">
        <v>16320</v>
      </c>
      <c r="I39" s="35">
        <v>15300</v>
      </c>
      <c r="J39" s="35">
        <v>15300</v>
      </c>
      <c r="K39" s="35">
        <v>19380</v>
      </c>
      <c r="L39" s="35">
        <v>18360</v>
      </c>
      <c r="M39" s="35">
        <v>17340</v>
      </c>
      <c r="N39" s="35">
        <v>15300</v>
      </c>
      <c r="O39" s="35">
        <v>16320</v>
      </c>
      <c r="P39" s="35">
        <v>14280</v>
      </c>
      <c r="Q39" s="35">
        <v>14280</v>
      </c>
      <c r="R39" s="67">
        <v>13260</v>
      </c>
      <c r="S39" s="94">
        <f t="shared" si="0"/>
        <v>265200</v>
      </c>
      <c r="T39" s="81">
        <v>18360</v>
      </c>
      <c r="U39" s="35">
        <v>18360</v>
      </c>
      <c r="V39" s="35">
        <v>0</v>
      </c>
      <c r="W39" s="35">
        <v>0</v>
      </c>
      <c r="X39" s="35">
        <v>0</v>
      </c>
      <c r="Y39" s="35">
        <v>0</v>
      </c>
      <c r="Z39" s="35">
        <v>0</v>
      </c>
      <c r="AA39" s="36">
        <v>6834</v>
      </c>
      <c r="AB39" s="94">
        <f t="shared" si="1"/>
        <v>43554</v>
      </c>
      <c r="AC39" s="94">
        <v>19380</v>
      </c>
      <c r="AD39" s="94">
        <f t="shared" si="2"/>
        <v>19380</v>
      </c>
      <c r="AE39" s="94">
        <f t="shared" si="3"/>
        <v>328134</v>
      </c>
    </row>
    <row r="40" spans="1:31">
      <c r="A40" s="1" t="s">
        <v>59</v>
      </c>
      <c r="B40" s="42" t="s">
        <v>92</v>
      </c>
      <c r="C40" s="43">
        <v>2700</v>
      </c>
      <c r="D40" s="44">
        <v>2880</v>
      </c>
      <c r="E40" s="44">
        <v>3420</v>
      </c>
      <c r="F40" s="44">
        <v>3420</v>
      </c>
      <c r="G40" s="44">
        <v>3420</v>
      </c>
      <c r="H40" s="44">
        <v>2880</v>
      </c>
      <c r="I40" s="44">
        <v>2700</v>
      </c>
      <c r="J40" s="44">
        <v>2700</v>
      </c>
      <c r="K40" s="44">
        <v>3420</v>
      </c>
      <c r="L40" s="44">
        <v>3240</v>
      </c>
      <c r="M40" s="44">
        <v>3060</v>
      </c>
      <c r="N40" s="44">
        <v>2700</v>
      </c>
      <c r="O40" s="44">
        <v>2880</v>
      </c>
      <c r="P40" s="44">
        <v>2520</v>
      </c>
      <c r="Q40" s="44">
        <v>2520</v>
      </c>
      <c r="R40" s="68">
        <v>0</v>
      </c>
      <c r="S40" s="95">
        <f t="shared" si="0"/>
        <v>44460</v>
      </c>
      <c r="T40" s="82">
        <v>3240</v>
      </c>
      <c r="U40" s="44">
        <v>3240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5">
        <v>0</v>
      </c>
      <c r="AB40" s="95">
        <f t="shared" si="1"/>
        <v>6480</v>
      </c>
      <c r="AC40" s="95">
        <v>3420</v>
      </c>
      <c r="AD40" s="95">
        <f t="shared" si="2"/>
        <v>3420</v>
      </c>
      <c r="AE40" s="95">
        <f t="shared" si="3"/>
        <v>54360</v>
      </c>
    </row>
    <row r="41" spans="1:31">
      <c r="A41" s="1" t="s">
        <v>59</v>
      </c>
      <c r="B41" s="42" t="s">
        <v>93</v>
      </c>
      <c r="C41" s="43">
        <v>27450</v>
      </c>
      <c r="D41" s="44">
        <v>29280</v>
      </c>
      <c r="E41" s="44">
        <v>34770</v>
      </c>
      <c r="F41" s="44">
        <v>34770</v>
      </c>
      <c r="G41" s="44">
        <v>34770</v>
      </c>
      <c r="H41" s="44">
        <v>29280</v>
      </c>
      <c r="I41" s="44">
        <v>27450</v>
      </c>
      <c r="J41" s="44">
        <v>27450</v>
      </c>
      <c r="K41" s="44">
        <v>34770</v>
      </c>
      <c r="L41" s="44">
        <v>32940</v>
      </c>
      <c r="M41" s="44">
        <v>31110</v>
      </c>
      <c r="N41" s="44">
        <v>27450</v>
      </c>
      <c r="O41" s="44">
        <v>29280</v>
      </c>
      <c r="P41" s="44">
        <v>25620</v>
      </c>
      <c r="Q41" s="44">
        <v>25620</v>
      </c>
      <c r="R41" s="68">
        <v>23790</v>
      </c>
      <c r="S41" s="95">
        <f t="shared" si="0"/>
        <v>475800</v>
      </c>
      <c r="T41" s="82">
        <v>32940</v>
      </c>
      <c r="U41" s="44">
        <v>32940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5">
        <v>12261</v>
      </c>
      <c r="AB41" s="95">
        <f t="shared" si="1"/>
        <v>78141</v>
      </c>
      <c r="AC41" s="95">
        <v>34770</v>
      </c>
      <c r="AD41" s="95">
        <f t="shared" si="2"/>
        <v>34770</v>
      </c>
      <c r="AE41" s="95">
        <f t="shared" si="3"/>
        <v>588711</v>
      </c>
    </row>
    <row r="42" spans="1:31">
      <c r="A42" s="1" t="s">
        <v>59</v>
      </c>
      <c r="B42" s="46" t="s">
        <v>94</v>
      </c>
      <c r="C42" s="47">
        <v>1681</v>
      </c>
      <c r="D42" s="48">
        <v>1876</v>
      </c>
      <c r="E42" s="48">
        <v>2040</v>
      </c>
      <c r="F42" s="48">
        <v>2001</v>
      </c>
      <c r="G42" s="48">
        <v>0</v>
      </c>
      <c r="H42" s="48">
        <v>1727</v>
      </c>
      <c r="I42" s="48">
        <v>1794</v>
      </c>
      <c r="J42" s="48">
        <v>1726</v>
      </c>
      <c r="K42" s="48">
        <v>2096</v>
      </c>
      <c r="L42" s="48">
        <v>1767</v>
      </c>
      <c r="M42" s="48">
        <v>2235</v>
      </c>
      <c r="N42" s="48">
        <v>1964</v>
      </c>
      <c r="O42" s="48">
        <v>2013</v>
      </c>
      <c r="P42" s="48">
        <v>1700</v>
      </c>
      <c r="Q42" s="48">
        <v>1949</v>
      </c>
      <c r="R42" s="71">
        <v>1615</v>
      </c>
      <c r="S42" s="97">
        <f t="shared" si="0"/>
        <v>28184</v>
      </c>
      <c r="T42" s="85">
        <v>2239</v>
      </c>
      <c r="U42" s="48">
        <v>2226</v>
      </c>
      <c r="V42" s="48">
        <v>520</v>
      </c>
      <c r="W42" s="48">
        <v>727</v>
      </c>
      <c r="X42" s="48">
        <v>0</v>
      </c>
      <c r="Y42" s="48">
        <v>0</v>
      </c>
      <c r="Z42" s="48">
        <v>538</v>
      </c>
      <c r="AA42" s="49">
        <v>844</v>
      </c>
      <c r="AB42" s="97">
        <f t="shared" si="1"/>
        <v>7094</v>
      </c>
      <c r="AC42" s="97">
        <v>2378</v>
      </c>
      <c r="AD42" s="97">
        <f t="shared" si="2"/>
        <v>2378</v>
      </c>
      <c r="AE42" s="97">
        <f t="shared" si="3"/>
        <v>37656</v>
      </c>
    </row>
    <row r="43" spans="1:31">
      <c r="A43" s="1" t="s">
        <v>59</v>
      </c>
      <c r="B43" s="26" t="s">
        <v>95</v>
      </c>
      <c r="C43" s="30">
        <v>47131</v>
      </c>
      <c r="D43" s="31">
        <v>50356</v>
      </c>
      <c r="E43" s="31">
        <v>59610</v>
      </c>
      <c r="F43" s="31">
        <v>59571</v>
      </c>
      <c r="G43" s="31">
        <v>57570</v>
      </c>
      <c r="H43" s="31">
        <v>50207</v>
      </c>
      <c r="I43" s="31">
        <v>47244</v>
      </c>
      <c r="J43" s="31">
        <v>47176</v>
      </c>
      <c r="K43" s="31">
        <v>59666</v>
      </c>
      <c r="L43" s="31">
        <v>56307</v>
      </c>
      <c r="M43" s="31">
        <v>53745</v>
      </c>
      <c r="N43" s="31">
        <v>47414</v>
      </c>
      <c r="O43" s="31">
        <v>50493</v>
      </c>
      <c r="P43" s="31">
        <v>44120</v>
      </c>
      <c r="Q43" s="31">
        <v>44369</v>
      </c>
      <c r="R43" s="70">
        <v>38665</v>
      </c>
      <c r="S43" s="96">
        <f t="shared" si="0"/>
        <v>813644</v>
      </c>
      <c r="T43" s="84">
        <v>56779</v>
      </c>
      <c r="U43" s="31">
        <v>56766</v>
      </c>
      <c r="V43" s="31">
        <v>520</v>
      </c>
      <c r="W43" s="31">
        <v>727</v>
      </c>
      <c r="X43" s="31">
        <v>0</v>
      </c>
      <c r="Y43" s="31">
        <v>0</v>
      </c>
      <c r="Z43" s="31">
        <v>538</v>
      </c>
      <c r="AA43" s="32">
        <v>19939</v>
      </c>
      <c r="AB43" s="96">
        <f t="shared" si="1"/>
        <v>135269</v>
      </c>
      <c r="AC43" s="96">
        <v>59948</v>
      </c>
      <c r="AD43" s="96">
        <f t="shared" si="2"/>
        <v>59948</v>
      </c>
      <c r="AE43" s="96">
        <f t="shared" si="3"/>
        <v>1008861</v>
      </c>
    </row>
    <row r="44" spans="1:31">
      <c r="A44" s="1" t="s">
        <v>59</v>
      </c>
      <c r="B44" s="33" t="s">
        <v>96</v>
      </c>
      <c r="C44" s="34">
        <v>3840</v>
      </c>
      <c r="D44" s="35">
        <v>6870</v>
      </c>
      <c r="E44" s="35">
        <v>5840</v>
      </c>
      <c r="F44" s="35">
        <v>7300</v>
      </c>
      <c r="G44" s="35">
        <v>0</v>
      </c>
      <c r="H44" s="35">
        <v>6020</v>
      </c>
      <c r="I44" s="35">
        <v>4950</v>
      </c>
      <c r="J44" s="35">
        <v>6100</v>
      </c>
      <c r="K44" s="35">
        <v>7780</v>
      </c>
      <c r="L44" s="35">
        <v>5860</v>
      </c>
      <c r="M44" s="35">
        <v>2410</v>
      </c>
      <c r="N44" s="35">
        <v>7200</v>
      </c>
      <c r="O44" s="35">
        <v>5870</v>
      </c>
      <c r="P44" s="35">
        <v>5860</v>
      </c>
      <c r="Q44" s="35">
        <v>7540</v>
      </c>
      <c r="R44" s="67">
        <v>5570</v>
      </c>
      <c r="S44" s="94">
        <f t="shared" si="0"/>
        <v>89010</v>
      </c>
      <c r="T44" s="81">
        <v>7260</v>
      </c>
      <c r="U44" s="35">
        <v>7090</v>
      </c>
      <c r="V44" s="35">
        <v>0</v>
      </c>
      <c r="W44" s="35">
        <v>1650</v>
      </c>
      <c r="X44" s="35">
        <v>0</v>
      </c>
      <c r="Y44" s="35">
        <v>0</v>
      </c>
      <c r="Z44" s="35">
        <v>0</v>
      </c>
      <c r="AA44" s="36">
        <v>0</v>
      </c>
      <c r="AB44" s="94">
        <f t="shared" si="1"/>
        <v>16000</v>
      </c>
      <c r="AC44" s="94">
        <v>10830</v>
      </c>
      <c r="AD44" s="94">
        <f t="shared" si="2"/>
        <v>10830</v>
      </c>
      <c r="AE44" s="94">
        <f t="shared" si="3"/>
        <v>115840</v>
      </c>
    </row>
    <row r="45" spans="1:31">
      <c r="A45" s="1" t="s">
        <v>59</v>
      </c>
      <c r="B45" s="42" t="s">
        <v>97</v>
      </c>
      <c r="C45" s="43">
        <v>1300</v>
      </c>
      <c r="D45" s="44">
        <v>1300</v>
      </c>
      <c r="E45" s="44">
        <v>1300</v>
      </c>
      <c r="F45" s="44">
        <v>0</v>
      </c>
      <c r="G45" s="44">
        <v>1300</v>
      </c>
      <c r="H45" s="44">
        <v>1300</v>
      </c>
      <c r="I45" s="44">
        <v>1300</v>
      </c>
      <c r="J45" s="44">
        <v>1300</v>
      </c>
      <c r="K45" s="44">
        <v>1300</v>
      </c>
      <c r="L45" s="44">
        <v>1300</v>
      </c>
      <c r="M45" s="44">
        <v>1300</v>
      </c>
      <c r="N45" s="44">
        <v>1300</v>
      </c>
      <c r="O45" s="44">
        <v>1300</v>
      </c>
      <c r="P45" s="44">
        <v>1300</v>
      </c>
      <c r="Q45" s="44">
        <v>0</v>
      </c>
      <c r="R45" s="68">
        <v>0</v>
      </c>
      <c r="S45" s="95">
        <f t="shared" si="0"/>
        <v>16900</v>
      </c>
      <c r="T45" s="82">
        <v>0</v>
      </c>
      <c r="U45" s="44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5">
        <v>0</v>
      </c>
      <c r="AB45" s="95">
        <f t="shared" si="1"/>
        <v>0</v>
      </c>
      <c r="AC45" s="95">
        <v>0</v>
      </c>
      <c r="AD45" s="95">
        <f t="shared" si="2"/>
        <v>0</v>
      </c>
      <c r="AE45" s="95">
        <f t="shared" si="3"/>
        <v>16900</v>
      </c>
    </row>
    <row r="46" spans="1:31">
      <c r="A46" s="1" t="s">
        <v>59</v>
      </c>
      <c r="B46" s="42" t="s">
        <v>98</v>
      </c>
      <c r="C46" s="43">
        <v>6700</v>
      </c>
      <c r="D46" s="44">
        <v>15100</v>
      </c>
      <c r="E46" s="44">
        <v>18200</v>
      </c>
      <c r="F46" s="44">
        <v>20200</v>
      </c>
      <c r="G46" s="44">
        <v>19000</v>
      </c>
      <c r="H46" s="44">
        <v>13900</v>
      </c>
      <c r="I46" s="44">
        <v>9200</v>
      </c>
      <c r="J46" s="44">
        <v>13900</v>
      </c>
      <c r="K46" s="44">
        <v>16500</v>
      </c>
      <c r="L46" s="44">
        <v>14300</v>
      </c>
      <c r="M46" s="44">
        <v>1900</v>
      </c>
      <c r="N46" s="44">
        <v>0</v>
      </c>
      <c r="O46" s="44">
        <v>12900</v>
      </c>
      <c r="P46" s="44">
        <v>10500</v>
      </c>
      <c r="Q46" s="44">
        <v>5300</v>
      </c>
      <c r="R46" s="68">
        <v>0</v>
      </c>
      <c r="S46" s="95">
        <f t="shared" si="0"/>
        <v>177600</v>
      </c>
      <c r="T46" s="82">
        <v>18600</v>
      </c>
      <c r="U46" s="44">
        <v>17000</v>
      </c>
      <c r="V46" s="44">
        <v>0</v>
      </c>
      <c r="W46" s="44">
        <v>0</v>
      </c>
      <c r="X46" s="44">
        <v>0</v>
      </c>
      <c r="Y46" s="44">
        <v>0</v>
      </c>
      <c r="Z46" s="44">
        <v>2700</v>
      </c>
      <c r="AA46" s="45">
        <v>10700</v>
      </c>
      <c r="AB46" s="95">
        <f t="shared" si="1"/>
        <v>49000</v>
      </c>
      <c r="AC46" s="95">
        <v>21700</v>
      </c>
      <c r="AD46" s="95">
        <f t="shared" si="2"/>
        <v>21700</v>
      </c>
      <c r="AE46" s="95">
        <f t="shared" si="3"/>
        <v>248300</v>
      </c>
    </row>
    <row r="47" spans="1:31">
      <c r="A47" s="1" t="s">
        <v>59</v>
      </c>
      <c r="B47" s="9" t="s">
        <v>99</v>
      </c>
      <c r="C47" s="20">
        <v>0</v>
      </c>
      <c r="D47" s="21">
        <v>0</v>
      </c>
      <c r="E47" s="21">
        <v>0</v>
      </c>
      <c r="F47" s="21">
        <v>0</v>
      </c>
      <c r="G47" s="37">
        <v>-77870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69">
        <v>0</v>
      </c>
      <c r="S47" s="98">
        <f t="shared" si="0"/>
        <v>-77870</v>
      </c>
      <c r="T47" s="83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2">
        <v>0</v>
      </c>
      <c r="AB47" s="7">
        <f t="shared" si="1"/>
        <v>0</v>
      </c>
      <c r="AC47" s="7">
        <v>0</v>
      </c>
      <c r="AD47" s="7">
        <f t="shared" si="2"/>
        <v>0</v>
      </c>
      <c r="AE47" s="98">
        <f t="shared" si="3"/>
        <v>-77870</v>
      </c>
    </row>
    <row r="48" spans="1:31">
      <c r="A48" s="1" t="s">
        <v>59</v>
      </c>
      <c r="B48" s="26" t="s">
        <v>100</v>
      </c>
      <c r="C48" s="30">
        <v>58971</v>
      </c>
      <c r="D48" s="31">
        <v>73626</v>
      </c>
      <c r="E48" s="31">
        <v>84950</v>
      </c>
      <c r="F48" s="31">
        <v>87071</v>
      </c>
      <c r="G48" s="31">
        <v>0</v>
      </c>
      <c r="H48" s="31">
        <v>71427</v>
      </c>
      <c r="I48" s="31">
        <v>62694</v>
      </c>
      <c r="J48" s="31">
        <v>68476</v>
      </c>
      <c r="K48" s="31">
        <v>85246</v>
      </c>
      <c r="L48" s="31">
        <v>77767</v>
      </c>
      <c r="M48" s="31">
        <v>59355</v>
      </c>
      <c r="N48" s="31">
        <v>55914</v>
      </c>
      <c r="O48" s="31">
        <v>70563</v>
      </c>
      <c r="P48" s="31">
        <v>61780</v>
      </c>
      <c r="Q48" s="31">
        <v>57209</v>
      </c>
      <c r="R48" s="70">
        <v>44235</v>
      </c>
      <c r="S48" s="96">
        <f t="shared" si="0"/>
        <v>1019284</v>
      </c>
      <c r="T48" s="84">
        <v>82639</v>
      </c>
      <c r="U48" s="31">
        <v>80856</v>
      </c>
      <c r="V48" s="31">
        <v>520</v>
      </c>
      <c r="W48" s="31">
        <v>2377</v>
      </c>
      <c r="X48" s="31">
        <v>0</v>
      </c>
      <c r="Y48" s="31">
        <v>0</v>
      </c>
      <c r="Z48" s="31">
        <v>3238</v>
      </c>
      <c r="AA48" s="32">
        <v>30639</v>
      </c>
      <c r="AB48" s="96">
        <f t="shared" si="1"/>
        <v>200269</v>
      </c>
      <c r="AC48" s="96">
        <v>92478</v>
      </c>
      <c r="AD48" s="96">
        <f t="shared" si="2"/>
        <v>92478</v>
      </c>
      <c r="AE48" s="96">
        <f t="shared" si="3"/>
        <v>1312031</v>
      </c>
    </row>
    <row r="49" spans="1:31">
      <c r="A49" s="1" t="s">
        <v>59</v>
      </c>
      <c r="B49" s="26" t="s">
        <v>101</v>
      </c>
      <c r="C49" s="30">
        <v>219483</v>
      </c>
      <c r="D49" s="31">
        <v>259007</v>
      </c>
      <c r="E49" s="31">
        <v>275363</v>
      </c>
      <c r="F49" s="31">
        <v>271020</v>
      </c>
      <c r="G49" s="38">
        <v>-57570</v>
      </c>
      <c r="H49" s="31">
        <v>235078</v>
      </c>
      <c r="I49" s="31">
        <v>250382</v>
      </c>
      <c r="J49" s="31">
        <v>237441</v>
      </c>
      <c r="K49" s="31">
        <v>284318</v>
      </c>
      <c r="L49" s="31">
        <v>230723</v>
      </c>
      <c r="M49" s="31">
        <v>313116</v>
      </c>
      <c r="N49" s="31">
        <v>268042</v>
      </c>
      <c r="O49" s="31">
        <v>276266</v>
      </c>
      <c r="P49" s="31">
        <v>230771</v>
      </c>
      <c r="Q49" s="31">
        <v>277639</v>
      </c>
      <c r="R49" s="70">
        <v>222643</v>
      </c>
      <c r="S49" s="96">
        <f t="shared" si="0"/>
        <v>3793722</v>
      </c>
      <c r="T49" s="84">
        <v>313221</v>
      </c>
      <c r="U49" s="31">
        <v>308943</v>
      </c>
      <c r="V49" s="31">
        <v>83315</v>
      </c>
      <c r="W49" s="31">
        <v>118098</v>
      </c>
      <c r="X49" s="31">
        <v>84350</v>
      </c>
      <c r="Y49" s="31">
        <v>64354</v>
      </c>
      <c r="Z49" s="31">
        <v>84542</v>
      </c>
      <c r="AA49" s="32">
        <v>108284</v>
      </c>
      <c r="AB49" s="96">
        <f t="shared" si="1"/>
        <v>1165107</v>
      </c>
      <c r="AC49" s="96">
        <v>330052</v>
      </c>
      <c r="AD49" s="96">
        <f t="shared" si="2"/>
        <v>330052</v>
      </c>
      <c r="AE49" s="96">
        <f t="shared" si="3"/>
        <v>5288881</v>
      </c>
    </row>
    <row r="50" spans="1:31">
      <c r="A50" s="1" t="s">
        <v>59</v>
      </c>
      <c r="B50" s="26" t="s">
        <v>102</v>
      </c>
      <c r="C50" s="30">
        <v>221151</v>
      </c>
      <c r="D50" s="31">
        <v>239114</v>
      </c>
      <c r="E50" s="31">
        <v>255129</v>
      </c>
      <c r="F50" s="31">
        <v>246492</v>
      </c>
      <c r="G50" s="31">
        <v>0</v>
      </c>
      <c r="H50" s="31">
        <v>216344</v>
      </c>
      <c r="I50" s="31">
        <v>236229</v>
      </c>
      <c r="J50" s="31">
        <v>219113</v>
      </c>
      <c r="K50" s="31">
        <v>264142</v>
      </c>
      <c r="L50" s="31">
        <v>216720</v>
      </c>
      <c r="M50" s="31">
        <v>313180</v>
      </c>
      <c r="N50" s="31">
        <v>271483</v>
      </c>
      <c r="O50" s="31">
        <v>264976</v>
      </c>
      <c r="P50" s="31">
        <v>221540</v>
      </c>
      <c r="Q50" s="31">
        <v>267609</v>
      </c>
      <c r="R50" s="70">
        <v>224854</v>
      </c>
      <c r="S50" s="96">
        <f t="shared" si="0"/>
        <v>3678076</v>
      </c>
      <c r="T50" s="84">
        <v>290603</v>
      </c>
      <c r="U50" s="31">
        <v>290203</v>
      </c>
      <c r="V50" s="31">
        <v>86125</v>
      </c>
      <c r="W50" s="31">
        <v>118745</v>
      </c>
      <c r="X50" s="31">
        <v>89105</v>
      </c>
      <c r="Y50" s="31">
        <v>67164</v>
      </c>
      <c r="Z50" s="31">
        <v>86381</v>
      </c>
      <c r="AA50" s="32">
        <v>110012</v>
      </c>
      <c r="AB50" s="96">
        <f t="shared" si="1"/>
        <v>1138338</v>
      </c>
      <c r="AC50" s="96">
        <v>303844</v>
      </c>
      <c r="AD50" s="96">
        <f t="shared" si="2"/>
        <v>303844</v>
      </c>
      <c r="AE50" s="96">
        <f t="shared" si="3"/>
        <v>5120258</v>
      </c>
    </row>
    <row r="51" spans="1:31">
      <c r="A51" s="1" t="s">
        <v>59</v>
      </c>
      <c r="B51" s="26" t="s">
        <v>103</v>
      </c>
      <c r="C51" s="30">
        <v>221151</v>
      </c>
      <c r="D51" s="31">
        <v>239114</v>
      </c>
      <c r="E51" s="31">
        <v>255129</v>
      </c>
      <c r="F51" s="31">
        <v>246492</v>
      </c>
      <c r="G51" s="31">
        <v>0</v>
      </c>
      <c r="H51" s="31">
        <v>216344</v>
      </c>
      <c r="I51" s="31">
        <v>236229</v>
      </c>
      <c r="J51" s="31">
        <v>219113</v>
      </c>
      <c r="K51" s="31">
        <v>264142</v>
      </c>
      <c r="L51" s="31">
        <v>216720</v>
      </c>
      <c r="M51" s="31">
        <v>313180</v>
      </c>
      <c r="N51" s="31">
        <v>271483</v>
      </c>
      <c r="O51" s="31">
        <v>264976</v>
      </c>
      <c r="P51" s="31">
        <v>221540</v>
      </c>
      <c r="Q51" s="31">
        <v>267609</v>
      </c>
      <c r="R51" s="70">
        <v>224854</v>
      </c>
      <c r="S51" s="96">
        <f t="shared" si="0"/>
        <v>3678076</v>
      </c>
      <c r="T51" s="84">
        <v>290603</v>
      </c>
      <c r="U51" s="31">
        <v>290203</v>
      </c>
      <c r="V51" s="31">
        <v>86125</v>
      </c>
      <c r="W51" s="31">
        <v>118745</v>
      </c>
      <c r="X51" s="31">
        <v>89105</v>
      </c>
      <c r="Y51" s="31">
        <v>67164</v>
      </c>
      <c r="Z51" s="31">
        <v>86381</v>
      </c>
      <c r="AA51" s="32">
        <v>110012</v>
      </c>
      <c r="AB51" s="96">
        <f t="shared" si="1"/>
        <v>1138338</v>
      </c>
      <c r="AC51" s="96">
        <v>303844</v>
      </c>
      <c r="AD51" s="96">
        <f t="shared" si="2"/>
        <v>303844</v>
      </c>
      <c r="AE51" s="96">
        <f t="shared" si="3"/>
        <v>5120258</v>
      </c>
    </row>
    <row r="52" spans="1:31">
      <c r="A52" s="1" t="s">
        <v>59</v>
      </c>
      <c r="B52" s="26" t="s">
        <v>104</v>
      </c>
      <c r="C52" s="30">
        <v>1</v>
      </c>
      <c r="D52" s="31">
        <v>0</v>
      </c>
      <c r="E52" s="31">
        <v>1</v>
      </c>
      <c r="F52" s="31">
        <v>0</v>
      </c>
      <c r="G52" s="31">
        <v>0</v>
      </c>
      <c r="H52" s="31">
        <v>0</v>
      </c>
      <c r="I52" s="31">
        <v>1</v>
      </c>
      <c r="J52" s="31">
        <v>0</v>
      </c>
      <c r="K52" s="31">
        <v>0</v>
      </c>
      <c r="L52" s="31">
        <v>0</v>
      </c>
      <c r="M52" s="31">
        <v>4</v>
      </c>
      <c r="N52" s="31">
        <v>0</v>
      </c>
      <c r="O52" s="31">
        <v>1</v>
      </c>
      <c r="P52" s="31">
        <v>0</v>
      </c>
      <c r="Q52" s="31">
        <v>0</v>
      </c>
      <c r="R52" s="70">
        <v>0</v>
      </c>
      <c r="S52" s="96"/>
      <c r="T52" s="84">
        <v>1</v>
      </c>
      <c r="U52" s="31">
        <v>1</v>
      </c>
      <c r="V52" s="31">
        <v>0</v>
      </c>
      <c r="W52" s="31">
        <v>0</v>
      </c>
      <c r="X52" s="31">
        <v>1</v>
      </c>
      <c r="Y52" s="31">
        <v>1</v>
      </c>
      <c r="Z52" s="31">
        <v>1</v>
      </c>
      <c r="AA52" s="32">
        <v>1</v>
      </c>
      <c r="AB52" s="96"/>
      <c r="AC52" s="96">
        <v>0</v>
      </c>
      <c r="AD52" s="96"/>
      <c r="AE52" s="96"/>
    </row>
    <row r="53" spans="1:31">
      <c r="A53" s="1" t="s">
        <v>59</v>
      </c>
      <c r="B53" s="26" t="s">
        <v>105</v>
      </c>
      <c r="C53" s="39" t="s">
        <v>106</v>
      </c>
      <c r="D53" s="40" t="s">
        <v>106</v>
      </c>
      <c r="E53" s="40" t="s">
        <v>106</v>
      </c>
      <c r="F53" s="40" t="s">
        <v>106</v>
      </c>
      <c r="G53" s="40" t="s">
        <v>106</v>
      </c>
      <c r="H53" s="40" t="s">
        <v>106</v>
      </c>
      <c r="I53" s="40" t="s">
        <v>106</v>
      </c>
      <c r="J53" s="40" t="s">
        <v>106</v>
      </c>
      <c r="K53" s="40" t="s">
        <v>106</v>
      </c>
      <c r="L53" s="40" t="s">
        <v>106</v>
      </c>
      <c r="M53" s="40" t="s">
        <v>106</v>
      </c>
      <c r="N53" s="40" t="s">
        <v>106</v>
      </c>
      <c r="O53" s="40" t="s">
        <v>106</v>
      </c>
      <c r="P53" s="40" t="s">
        <v>106</v>
      </c>
      <c r="Q53" s="40" t="s">
        <v>106</v>
      </c>
      <c r="R53" s="72" t="s">
        <v>106</v>
      </c>
      <c r="S53" s="99"/>
      <c r="T53" s="86" t="s">
        <v>106</v>
      </c>
      <c r="U53" s="40" t="s">
        <v>106</v>
      </c>
      <c r="V53" s="40" t="s">
        <v>106</v>
      </c>
      <c r="W53" s="40" t="s">
        <v>106</v>
      </c>
      <c r="X53" s="40" t="s">
        <v>106</v>
      </c>
      <c r="Y53" s="40" t="s">
        <v>106</v>
      </c>
      <c r="Z53" s="40" t="s">
        <v>106</v>
      </c>
      <c r="AA53" s="41" t="s">
        <v>106</v>
      </c>
      <c r="AB53" s="99"/>
      <c r="AC53" s="99" t="s">
        <v>106</v>
      </c>
      <c r="AD53" s="99"/>
      <c r="AE53" s="99"/>
    </row>
    <row r="54" spans="1:31" ht="19.5" thickBot="1">
      <c r="A54" s="1" t="s">
        <v>59</v>
      </c>
      <c r="B54" s="10" t="s">
        <v>107</v>
      </c>
      <c r="C54" s="23">
        <v>3840</v>
      </c>
      <c r="D54" s="24">
        <v>6870</v>
      </c>
      <c r="E54" s="24">
        <v>5840</v>
      </c>
      <c r="F54" s="24">
        <v>7300</v>
      </c>
      <c r="G54" s="24">
        <v>0</v>
      </c>
      <c r="H54" s="24">
        <v>6020</v>
      </c>
      <c r="I54" s="24">
        <v>4950</v>
      </c>
      <c r="J54" s="24">
        <v>6100</v>
      </c>
      <c r="K54" s="24">
        <v>7780</v>
      </c>
      <c r="L54" s="24">
        <v>5860</v>
      </c>
      <c r="M54" s="24">
        <v>2410</v>
      </c>
      <c r="N54" s="24">
        <v>7200</v>
      </c>
      <c r="O54" s="24">
        <v>5870</v>
      </c>
      <c r="P54" s="24">
        <v>5860</v>
      </c>
      <c r="Q54" s="24">
        <v>7540</v>
      </c>
      <c r="R54" s="73">
        <v>5570</v>
      </c>
      <c r="S54" s="8">
        <f t="shared" si="0"/>
        <v>89010</v>
      </c>
      <c r="T54" s="87">
        <v>7260</v>
      </c>
      <c r="U54" s="24">
        <v>7090</v>
      </c>
      <c r="V54" s="24">
        <v>0</v>
      </c>
      <c r="W54" s="24">
        <v>1650</v>
      </c>
      <c r="X54" s="24">
        <v>0</v>
      </c>
      <c r="Y54" s="24">
        <v>0</v>
      </c>
      <c r="Z54" s="24">
        <v>0</v>
      </c>
      <c r="AA54" s="25">
        <v>0</v>
      </c>
      <c r="AB54" s="8">
        <f t="shared" si="1"/>
        <v>16000</v>
      </c>
      <c r="AC54" s="8">
        <v>10830</v>
      </c>
      <c r="AD54" s="8">
        <f t="shared" si="2"/>
        <v>10830</v>
      </c>
      <c r="AE54" s="8">
        <f t="shared" si="3"/>
        <v>115840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3DC9-DD20-4106-A9E6-F91E98A4E9E8}">
  <sheetPr>
    <pageSetUpPr fitToPage="1"/>
  </sheetPr>
  <dimension ref="A1:N54"/>
  <sheetViews>
    <sheetView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4" width="11.25" style="2" customWidth="1"/>
    <col min="15" max="240" width="9" style="2"/>
    <col min="241" max="241" width="2.375" style="2" customWidth="1"/>
    <col min="242" max="242" width="13.25" style="2" bestFit="1" customWidth="1"/>
    <col min="243" max="244" width="11.125" style="2" bestFit="1" customWidth="1"/>
    <col min="245" max="245" width="13.25" style="2" bestFit="1" customWidth="1"/>
    <col min="246" max="246" width="11.125" style="2" bestFit="1" customWidth="1"/>
    <col min="247" max="247" width="9" style="2"/>
    <col min="248" max="258" width="11.125" style="2" bestFit="1" customWidth="1"/>
    <col min="259" max="259" width="9" style="2"/>
    <col min="260" max="266" width="11.125" style="2" bestFit="1" customWidth="1"/>
    <col min="267" max="267" width="9" style="2"/>
    <col min="268" max="268" width="9.625" style="2" bestFit="1" customWidth="1"/>
    <col min="269" max="496" width="9" style="2"/>
    <col min="497" max="497" width="2.375" style="2" customWidth="1"/>
    <col min="498" max="498" width="13.25" style="2" bestFit="1" customWidth="1"/>
    <col min="499" max="500" width="11.125" style="2" bestFit="1" customWidth="1"/>
    <col min="501" max="501" width="13.25" style="2" bestFit="1" customWidth="1"/>
    <col min="502" max="502" width="11.125" style="2" bestFit="1" customWidth="1"/>
    <col min="503" max="503" width="9" style="2"/>
    <col min="504" max="514" width="11.125" style="2" bestFit="1" customWidth="1"/>
    <col min="515" max="515" width="9" style="2"/>
    <col min="516" max="522" width="11.125" style="2" bestFit="1" customWidth="1"/>
    <col min="523" max="523" width="9" style="2"/>
    <col min="524" max="524" width="9.625" style="2" bestFit="1" customWidth="1"/>
    <col min="525" max="752" width="9" style="2"/>
    <col min="753" max="753" width="2.375" style="2" customWidth="1"/>
    <col min="754" max="754" width="13.25" style="2" bestFit="1" customWidth="1"/>
    <col min="755" max="756" width="11.125" style="2" bestFit="1" customWidth="1"/>
    <col min="757" max="757" width="13.25" style="2" bestFit="1" customWidth="1"/>
    <col min="758" max="758" width="11.125" style="2" bestFit="1" customWidth="1"/>
    <col min="759" max="759" width="9" style="2"/>
    <col min="760" max="770" width="11.125" style="2" bestFit="1" customWidth="1"/>
    <col min="771" max="771" width="9" style="2"/>
    <col min="772" max="778" width="11.125" style="2" bestFit="1" customWidth="1"/>
    <col min="779" max="779" width="9" style="2"/>
    <col min="780" max="780" width="9.625" style="2" bestFit="1" customWidth="1"/>
    <col min="781" max="1008" width="9" style="2"/>
    <col min="1009" max="1009" width="2.375" style="2" customWidth="1"/>
    <col min="1010" max="1010" width="13.25" style="2" bestFit="1" customWidth="1"/>
    <col min="1011" max="1012" width="11.125" style="2" bestFit="1" customWidth="1"/>
    <col min="1013" max="1013" width="13.25" style="2" bestFit="1" customWidth="1"/>
    <col min="1014" max="1014" width="11.125" style="2" bestFit="1" customWidth="1"/>
    <col min="1015" max="1015" width="9" style="2"/>
    <col min="1016" max="1026" width="11.125" style="2" bestFit="1" customWidth="1"/>
    <col min="1027" max="1027" width="9" style="2"/>
    <col min="1028" max="1034" width="11.125" style="2" bestFit="1" customWidth="1"/>
    <col min="1035" max="1035" width="9" style="2"/>
    <col min="1036" max="1036" width="9.625" style="2" bestFit="1" customWidth="1"/>
    <col min="1037" max="1264" width="9" style="2"/>
    <col min="1265" max="1265" width="2.375" style="2" customWidth="1"/>
    <col min="1266" max="1266" width="13.25" style="2" bestFit="1" customWidth="1"/>
    <col min="1267" max="1268" width="11.125" style="2" bestFit="1" customWidth="1"/>
    <col min="1269" max="1269" width="13.25" style="2" bestFit="1" customWidth="1"/>
    <col min="1270" max="1270" width="11.125" style="2" bestFit="1" customWidth="1"/>
    <col min="1271" max="1271" width="9" style="2"/>
    <col min="1272" max="1282" width="11.125" style="2" bestFit="1" customWidth="1"/>
    <col min="1283" max="1283" width="9" style="2"/>
    <col min="1284" max="1290" width="11.125" style="2" bestFit="1" customWidth="1"/>
    <col min="1291" max="1291" width="9" style="2"/>
    <col min="1292" max="1292" width="9.625" style="2" bestFit="1" customWidth="1"/>
    <col min="1293" max="1520" width="9" style="2"/>
    <col min="1521" max="1521" width="2.375" style="2" customWidth="1"/>
    <col min="1522" max="1522" width="13.25" style="2" bestFit="1" customWidth="1"/>
    <col min="1523" max="1524" width="11.125" style="2" bestFit="1" customWidth="1"/>
    <col min="1525" max="1525" width="13.25" style="2" bestFit="1" customWidth="1"/>
    <col min="1526" max="1526" width="11.125" style="2" bestFit="1" customWidth="1"/>
    <col min="1527" max="1527" width="9" style="2"/>
    <col min="1528" max="1538" width="11.125" style="2" bestFit="1" customWidth="1"/>
    <col min="1539" max="1539" width="9" style="2"/>
    <col min="1540" max="1546" width="11.125" style="2" bestFit="1" customWidth="1"/>
    <col min="1547" max="1547" width="9" style="2"/>
    <col min="1548" max="1548" width="9.625" style="2" bestFit="1" customWidth="1"/>
    <col min="1549" max="1776" width="9" style="2"/>
    <col min="1777" max="1777" width="2.375" style="2" customWidth="1"/>
    <col min="1778" max="1778" width="13.25" style="2" bestFit="1" customWidth="1"/>
    <col min="1779" max="1780" width="11.125" style="2" bestFit="1" customWidth="1"/>
    <col min="1781" max="1781" width="13.25" style="2" bestFit="1" customWidth="1"/>
    <col min="1782" max="1782" width="11.125" style="2" bestFit="1" customWidth="1"/>
    <col min="1783" max="1783" width="9" style="2"/>
    <col min="1784" max="1794" width="11.125" style="2" bestFit="1" customWidth="1"/>
    <col min="1795" max="1795" width="9" style="2"/>
    <col min="1796" max="1802" width="11.125" style="2" bestFit="1" customWidth="1"/>
    <col min="1803" max="1803" width="9" style="2"/>
    <col min="1804" max="1804" width="9.625" style="2" bestFit="1" customWidth="1"/>
    <col min="1805" max="2032" width="9" style="2"/>
    <col min="2033" max="2033" width="2.375" style="2" customWidth="1"/>
    <col min="2034" max="2034" width="13.25" style="2" bestFit="1" customWidth="1"/>
    <col min="2035" max="2036" width="11.125" style="2" bestFit="1" customWidth="1"/>
    <col min="2037" max="2037" width="13.25" style="2" bestFit="1" customWidth="1"/>
    <col min="2038" max="2038" width="11.125" style="2" bestFit="1" customWidth="1"/>
    <col min="2039" max="2039" width="9" style="2"/>
    <col min="2040" max="2050" width="11.125" style="2" bestFit="1" customWidth="1"/>
    <col min="2051" max="2051" width="9" style="2"/>
    <col min="2052" max="2058" width="11.125" style="2" bestFit="1" customWidth="1"/>
    <col min="2059" max="2059" width="9" style="2"/>
    <col min="2060" max="2060" width="9.625" style="2" bestFit="1" customWidth="1"/>
    <col min="2061" max="2288" width="9" style="2"/>
    <col min="2289" max="2289" width="2.375" style="2" customWidth="1"/>
    <col min="2290" max="2290" width="13.25" style="2" bestFit="1" customWidth="1"/>
    <col min="2291" max="2292" width="11.125" style="2" bestFit="1" customWidth="1"/>
    <col min="2293" max="2293" width="13.25" style="2" bestFit="1" customWidth="1"/>
    <col min="2294" max="2294" width="11.125" style="2" bestFit="1" customWidth="1"/>
    <col min="2295" max="2295" width="9" style="2"/>
    <col min="2296" max="2306" width="11.125" style="2" bestFit="1" customWidth="1"/>
    <col min="2307" max="2307" width="9" style="2"/>
    <col min="2308" max="2314" width="11.125" style="2" bestFit="1" customWidth="1"/>
    <col min="2315" max="2315" width="9" style="2"/>
    <col min="2316" max="2316" width="9.625" style="2" bestFit="1" customWidth="1"/>
    <col min="2317" max="2544" width="9" style="2"/>
    <col min="2545" max="2545" width="2.375" style="2" customWidth="1"/>
    <col min="2546" max="2546" width="13.25" style="2" bestFit="1" customWidth="1"/>
    <col min="2547" max="2548" width="11.125" style="2" bestFit="1" customWidth="1"/>
    <col min="2549" max="2549" width="13.25" style="2" bestFit="1" customWidth="1"/>
    <col min="2550" max="2550" width="11.125" style="2" bestFit="1" customWidth="1"/>
    <col min="2551" max="2551" width="9" style="2"/>
    <col min="2552" max="2562" width="11.125" style="2" bestFit="1" customWidth="1"/>
    <col min="2563" max="2563" width="9" style="2"/>
    <col min="2564" max="2570" width="11.125" style="2" bestFit="1" customWidth="1"/>
    <col min="2571" max="2571" width="9" style="2"/>
    <col min="2572" max="2572" width="9.625" style="2" bestFit="1" customWidth="1"/>
    <col min="2573" max="2800" width="9" style="2"/>
    <col min="2801" max="2801" width="2.375" style="2" customWidth="1"/>
    <col min="2802" max="2802" width="13.25" style="2" bestFit="1" customWidth="1"/>
    <col min="2803" max="2804" width="11.125" style="2" bestFit="1" customWidth="1"/>
    <col min="2805" max="2805" width="13.25" style="2" bestFit="1" customWidth="1"/>
    <col min="2806" max="2806" width="11.125" style="2" bestFit="1" customWidth="1"/>
    <col min="2807" max="2807" width="9" style="2"/>
    <col min="2808" max="2818" width="11.125" style="2" bestFit="1" customWidth="1"/>
    <col min="2819" max="2819" width="9" style="2"/>
    <col min="2820" max="2826" width="11.125" style="2" bestFit="1" customWidth="1"/>
    <col min="2827" max="2827" width="9" style="2"/>
    <col min="2828" max="2828" width="9.625" style="2" bestFit="1" customWidth="1"/>
    <col min="2829" max="3056" width="9" style="2"/>
    <col min="3057" max="3057" width="2.375" style="2" customWidth="1"/>
    <col min="3058" max="3058" width="13.25" style="2" bestFit="1" customWidth="1"/>
    <col min="3059" max="3060" width="11.125" style="2" bestFit="1" customWidth="1"/>
    <col min="3061" max="3061" width="13.25" style="2" bestFit="1" customWidth="1"/>
    <col min="3062" max="3062" width="11.125" style="2" bestFit="1" customWidth="1"/>
    <col min="3063" max="3063" width="9" style="2"/>
    <col min="3064" max="3074" width="11.125" style="2" bestFit="1" customWidth="1"/>
    <col min="3075" max="3075" width="9" style="2"/>
    <col min="3076" max="3082" width="11.125" style="2" bestFit="1" customWidth="1"/>
    <col min="3083" max="3083" width="9" style="2"/>
    <col min="3084" max="3084" width="9.625" style="2" bestFit="1" customWidth="1"/>
    <col min="3085" max="3312" width="9" style="2"/>
    <col min="3313" max="3313" width="2.375" style="2" customWidth="1"/>
    <col min="3314" max="3314" width="13.25" style="2" bestFit="1" customWidth="1"/>
    <col min="3315" max="3316" width="11.125" style="2" bestFit="1" customWidth="1"/>
    <col min="3317" max="3317" width="13.25" style="2" bestFit="1" customWidth="1"/>
    <col min="3318" max="3318" width="11.125" style="2" bestFit="1" customWidth="1"/>
    <col min="3319" max="3319" width="9" style="2"/>
    <col min="3320" max="3330" width="11.125" style="2" bestFit="1" customWidth="1"/>
    <col min="3331" max="3331" width="9" style="2"/>
    <col min="3332" max="3338" width="11.125" style="2" bestFit="1" customWidth="1"/>
    <col min="3339" max="3339" width="9" style="2"/>
    <col min="3340" max="3340" width="9.625" style="2" bestFit="1" customWidth="1"/>
    <col min="3341" max="3568" width="9" style="2"/>
    <col min="3569" max="3569" width="2.375" style="2" customWidth="1"/>
    <col min="3570" max="3570" width="13.25" style="2" bestFit="1" customWidth="1"/>
    <col min="3571" max="3572" width="11.125" style="2" bestFit="1" customWidth="1"/>
    <col min="3573" max="3573" width="13.25" style="2" bestFit="1" customWidth="1"/>
    <col min="3574" max="3574" width="11.125" style="2" bestFit="1" customWidth="1"/>
    <col min="3575" max="3575" width="9" style="2"/>
    <col min="3576" max="3586" width="11.125" style="2" bestFit="1" customWidth="1"/>
    <col min="3587" max="3587" width="9" style="2"/>
    <col min="3588" max="3594" width="11.125" style="2" bestFit="1" customWidth="1"/>
    <col min="3595" max="3595" width="9" style="2"/>
    <col min="3596" max="3596" width="9.625" style="2" bestFit="1" customWidth="1"/>
    <col min="3597" max="3824" width="9" style="2"/>
    <col min="3825" max="3825" width="2.375" style="2" customWidth="1"/>
    <col min="3826" max="3826" width="13.25" style="2" bestFit="1" customWidth="1"/>
    <col min="3827" max="3828" width="11.125" style="2" bestFit="1" customWidth="1"/>
    <col min="3829" max="3829" width="13.25" style="2" bestFit="1" customWidth="1"/>
    <col min="3830" max="3830" width="11.125" style="2" bestFit="1" customWidth="1"/>
    <col min="3831" max="3831" width="9" style="2"/>
    <col min="3832" max="3842" width="11.125" style="2" bestFit="1" customWidth="1"/>
    <col min="3843" max="3843" width="9" style="2"/>
    <col min="3844" max="3850" width="11.125" style="2" bestFit="1" customWidth="1"/>
    <col min="3851" max="3851" width="9" style="2"/>
    <col min="3852" max="3852" width="9.625" style="2" bestFit="1" customWidth="1"/>
    <col min="3853" max="4080" width="9" style="2"/>
    <col min="4081" max="4081" width="2.375" style="2" customWidth="1"/>
    <col min="4082" max="4082" width="13.25" style="2" bestFit="1" customWidth="1"/>
    <col min="4083" max="4084" width="11.125" style="2" bestFit="1" customWidth="1"/>
    <col min="4085" max="4085" width="13.25" style="2" bestFit="1" customWidth="1"/>
    <col min="4086" max="4086" width="11.125" style="2" bestFit="1" customWidth="1"/>
    <col min="4087" max="4087" width="9" style="2"/>
    <col min="4088" max="4098" width="11.125" style="2" bestFit="1" customWidth="1"/>
    <col min="4099" max="4099" width="9" style="2"/>
    <col min="4100" max="4106" width="11.125" style="2" bestFit="1" customWidth="1"/>
    <col min="4107" max="4107" width="9" style="2"/>
    <col min="4108" max="4108" width="9.625" style="2" bestFit="1" customWidth="1"/>
    <col min="4109" max="4336" width="9" style="2"/>
    <col min="4337" max="4337" width="2.375" style="2" customWidth="1"/>
    <col min="4338" max="4338" width="13.25" style="2" bestFit="1" customWidth="1"/>
    <col min="4339" max="4340" width="11.125" style="2" bestFit="1" customWidth="1"/>
    <col min="4341" max="4341" width="13.25" style="2" bestFit="1" customWidth="1"/>
    <col min="4342" max="4342" width="11.125" style="2" bestFit="1" customWidth="1"/>
    <col min="4343" max="4343" width="9" style="2"/>
    <col min="4344" max="4354" width="11.125" style="2" bestFit="1" customWidth="1"/>
    <col min="4355" max="4355" width="9" style="2"/>
    <col min="4356" max="4362" width="11.125" style="2" bestFit="1" customWidth="1"/>
    <col min="4363" max="4363" width="9" style="2"/>
    <col min="4364" max="4364" width="9.625" style="2" bestFit="1" customWidth="1"/>
    <col min="4365" max="4592" width="9" style="2"/>
    <col min="4593" max="4593" width="2.375" style="2" customWidth="1"/>
    <col min="4594" max="4594" width="13.25" style="2" bestFit="1" customWidth="1"/>
    <col min="4595" max="4596" width="11.125" style="2" bestFit="1" customWidth="1"/>
    <col min="4597" max="4597" width="13.25" style="2" bestFit="1" customWidth="1"/>
    <col min="4598" max="4598" width="11.125" style="2" bestFit="1" customWidth="1"/>
    <col min="4599" max="4599" width="9" style="2"/>
    <col min="4600" max="4610" width="11.125" style="2" bestFit="1" customWidth="1"/>
    <col min="4611" max="4611" width="9" style="2"/>
    <col min="4612" max="4618" width="11.125" style="2" bestFit="1" customWidth="1"/>
    <col min="4619" max="4619" width="9" style="2"/>
    <col min="4620" max="4620" width="9.625" style="2" bestFit="1" customWidth="1"/>
    <col min="4621" max="4848" width="9" style="2"/>
    <col min="4849" max="4849" width="2.375" style="2" customWidth="1"/>
    <col min="4850" max="4850" width="13.25" style="2" bestFit="1" customWidth="1"/>
    <col min="4851" max="4852" width="11.125" style="2" bestFit="1" customWidth="1"/>
    <col min="4853" max="4853" width="13.25" style="2" bestFit="1" customWidth="1"/>
    <col min="4854" max="4854" width="11.125" style="2" bestFit="1" customWidth="1"/>
    <col min="4855" max="4855" width="9" style="2"/>
    <col min="4856" max="4866" width="11.125" style="2" bestFit="1" customWidth="1"/>
    <col min="4867" max="4867" width="9" style="2"/>
    <col min="4868" max="4874" width="11.125" style="2" bestFit="1" customWidth="1"/>
    <col min="4875" max="4875" width="9" style="2"/>
    <col min="4876" max="4876" width="9.625" style="2" bestFit="1" customWidth="1"/>
    <col min="4877" max="5104" width="9" style="2"/>
    <col min="5105" max="5105" width="2.375" style="2" customWidth="1"/>
    <col min="5106" max="5106" width="13.25" style="2" bestFit="1" customWidth="1"/>
    <col min="5107" max="5108" width="11.125" style="2" bestFit="1" customWidth="1"/>
    <col min="5109" max="5109" width="13.25" style="2" bestFit="1" customWidth="1"/>
    <col min="5110" max="5110" width="11.125" style="2" bestFit="1" customWidth="1"/>
    <col min="5111" max="5111" width="9" style="2"/>
    <col min="5112" max="5122" width="11.125" style="2" bestFit="1" customWidth="1"/>
    <col min="5123" max="5123" width="9" style="2"/>
    <col min="5124" max="5130" width="11.125" style="2" bestFit="1" customWidth="1"/>
    <col min="5131" max="5131" width="9" style="2"/>
    <col min="5132" max="5132" width="9.625" style="2" bestFit="1" customWidth="1"/>
    <col min="5133" max="5360" width="9" style="2"/>
    <col min="5361" max="5361" width="2.375" style="2" customWidth="1"/>
    <col min="5362" max="5362" width="13.25" style="2" bestFit="1" customWidth="1"/>
    <col min="5363" max="5364" width="11.125" style="2" bestFit="1" customWidth="1"/>
    <col min="5365" max="5365" width="13.25" style="2" bestFit="1" customWidth="1"/>
    <col min="5366" max="5366" width="11.125" style="2" bestFit="1" customWidth="1"/>
    <col min="5367" max="5367" width="9" style="2"/>
    <col min="5368" max="5378" width="11.125" style="2" bestFit="1" customWidth="1"/>
    <col min="5379" max="5379" width="9" style="2"/>
    <col min="5380" max="5386" width="11.125" style="2" bestFit="1" customWidth="1"/>
    <col min="5387" max="5387" width="9" style="2"/>
    <col min="5388" max="5388" width="9.625" style="2" bestFit="1" customWidth="1"/>
    <col min="5389" max="5616" width="9" style="2"/>
    <col min="5617" max="5617" width="2.375" style="2" customWidth="1"/>
    <col min="5618" max="5618" width="13.25" style="2" bestFit="1" customWidth="1"/>
    <col min="5619" max="5620" width="11.125" style="2" bestFit="1" customWidth="1"/>
    <col min="5621" max="5621" width="13.25" style="2" bestFit="1" customWidth="1"/>
    <col min="5622" max="5622" width="11.125" style="2" bestFit="1" customWidth="1"/>
    <col min="5623" max="5623" width="9" style="2"/>
    <col min="5624" max="5634" width="11.125" style="2" bestFit="1" customWidth="1"/>
    <col min="5635" max="5635" width="9" style="2"/>
    <col min="5636" max="5642" width="11.125" style="2" bestFit="1" customWidth="1"/>
    <col min="5643" max="5643" width="9" style="2"/>
    <col min="5644" max="5644" width="9.625" style="2" bestFit="1" customWidth="1"/>
    <col min="5645" max="5872" width="9" style="2"/>
    <col min="5873" max="5873" width="2.375" style="2" customWidth="1"/>
    <col min="5874" max="5874" width="13.25" style="2" bestFit="1" customWidth="1"/>
    <col min="5875" max="5876" width="11.125" style="2" bestFit="1" customWidth="1"/>
    <col min="5877" max="5877" width="13.25" style="2" bestFit="1" customWidth="1"/>
    <col min="5878" max="5878" width="11.125" style="2" bestFit="1" customWidth="1"/>
    <col min="5879" max="5879" width="9" style="2"/>
    <col min="5880" max="5890" width="11.125" style="2" bestFit="1" customWidth="1"/>
    <col min="5891" max="5891" width="9" style="2"/>
    <col min="5892" max="5898" width="11.125" style="2" bestFit="1" customWidth="1"/>
    <col min="5899" max="5899" width="9" style="2"/>
    <col min="5900" max="5900" width="9.625" style="2" bestFit="1" customWidth="1"/>
    <col min="5901" max="6128" width="9" style="2"/>
    <col min="6129" max="6129" width="2.375" style="2" customWidth="1"/>
    <col min="6130" max="6130" width="13.25" style="2" bestFit="1" customWidth="1"/>
    <col min="6131" max="6132" width="11.125" style="2" bestFit="1" customWidth="1"/>
    <col min="6133" max="6133" width="13.25" style="2" bestFit="1" customWidth="1"/>
    <col min="6134" max="6134" width="11.125" style="2" bestFit="1" customWidth="1"/>
    <col min="6135" max="6135" width="9" style="2"/>
    <col min="6136" max="6146" width="11.125" style="2" bestFit="1" customWidth="1"/>
    <col min="6147" max="6147" width="9" style="2"/>
    <col min="6148" max="6154" width="11.125" style="2" bestFit="1" customWidth="1"/>
    <col min="6155" max="6155" width="9" style="2"/>
    <col min="6156" max="6156" width="9.625" style="2" bestFit="1" customWidth="1"/>
    <col min="6157" max="6384" width="9" style="2"/>
    <col min="6385" max="6385" width="2.375" style="2" customWidth="1"/>
    <col min="6386" max="6386" width="13.25" style="2" bestFit="1" customWidth="1"/>
    <col min="6387" max="6388" width="11.125" style="2" bestFit="1" customWidth="1"/>
    <col min="6389" max="6389" width="13.25" style="2" bestFit="1" customWidth="1"/>
    <col min="6390" max="6390" width="11.125" style="2" bestFit="1" customWidth="1"/>
    <col min="6391" max="6391" width="9" style="2"/>
    <col min="6392" max="6402" width="11.125" style="2" bestFit="1" customWidth="1"/>
    <col min="6403" max="6403" width="9" style="2"/>
    <col min="6404" max="6410" width="11.125" style="2" bestFit="1" customWidth="1"/>
    <col min="6411" max="6411" width="9" style="2"/>
    <col min="6412" max="6412" width="9.625" style="2" bestFit="1" customWidth="1"/>
    <col min="6413" max="6640" width="9" style="2"/>
    <col min="6641" max="6641" width="2.375" style="2" customWidth="1"/>
    <col min="6642" max="6642" width="13.25" style="2" bestFit="1" customWidth="1"/>
    <col min="6643" max="6644" width="11.125" style="2" bestFit="1" customWidth="1"/>
    <col min="6645" max="6645" width="13.25" style="2" bestFit="1" customWidth="1"/>
    <col min="6646" max="6646" width="11.125" style="2" bestFit="1" customWidth="1"/>
    <col min="6647" max="6647" width="9" style="2"/>
    <col min="6648" max="6658" width="11.125" style="2" bestFit="1" customWidth="1"/>
    <col min="6659" max="6659" width="9" style="2"/>
    <col min="6660" max="6666" width="11.125" style="2" bestFit="1" customWidth="1"/>
    <col min="6667" max="6667" width="9" style="2"/>
    <col min="6668" max="6668" width="9.625" style="2" bestFit="1" customWidth="1"/>
    <col min="6669" max="6896" width="9" style="2"/>
    <col min="6897" max="6897" width="2.375" style="2" customWidth="1"/>
    <col min="6898" max="6898" width="13.25" style="2" bestFit="1" customWidth="1"/>
    <col min="6899" max="6900" width="11.125" style="2" bestFit="1" customWidth="1"/>
    <col min="6901" max="6901" width="13.25" style="2" bestFit="1" customWidth="1"/>
    <col min="6902" max="6902" width="11.125" style="2" bestFit="1" customWidth="1"/>
    <col min="6903" max="6903" width="9" style="2"/>
    <col min="6904" max="6914" width="11.125" style="2" bestFit="1" customWidth="1"/>
    <col min="6915" max="6915" width="9" style="2"/>
    <col min="6916" max="6922" width="11.125" style="2" bestFit="1" customWidth="1"/>
    <col min="6923" max="6923" width="9" style="2"/>
    <col min="6924" max="6924" width="9.625" style="2" bestFit="1" customWidth="1"/>
    <col min="6925" max="7152" width="9" style="2"/>
    <col min="7153" max="7153" width="2.375" style="2" customWidth="1"/>
    <col min="7154" max="7154" width="13.25" style="2" bestFit="1" customWidth="1"/>
    <col min="7155" max="7156" width="11.125" style="2" bestFit="1" customWidth="1"/>
    <col min="7157" max="7157" width="13.25" style="2" bestFit="1" customWidth="1"/>
    <col min="7158" max="7158" width="11.125" style="2" bestFit="1" customWidth="1"/>
    <col min="7159" max="7159" width="9" style="2"/>
    <col min="7160" max="7170" width="11.125" style="2" bestFit="1" customWidth="1"/>
    <col min="7171" max="7171" width="9" style="2"/>
    <col min="7172" max="7178" width="11.125" style="2" bestFit="1" customWidth="1"/>
    <col min="7179" max="7179" width="9" style="2"/>
    <col min="7180" max="7180" width="9.625" style="2" bestFit="1" customWidth="1"/>
    <col min="7181" max="7408" width="9" style="2"/>
    <col min="7409" max="7409" width="2.375" style="2" customWidth="1"/>
    <col min="7410" max="7410" width="13.25" style="2" bestFit="1" customWidth="1"/>
    <col min="7411" max="7412" width="11.125" style="2" bestFit="1" customWidth="1"/>
    <col min="7413" max="7413" width="13.25" style="2" bestFit="1" customWidth="1"/>
    <col min="7414" max="7414" width="11.125" style="2" bestFit="1" customWidth="1"/>
    <col min="7415" max="7415" width="9" style="2"/>
    <col min="7416" max="7426" width="11.125" style="2" bestFit="1" customWidth="1"/>
    <col min="7427" max="7427" width="9" style="2"/>
    <col min="7428" max="7434" width="11.125" style="2" bestFit="1" customWidth="1"/>
    <col min="7435" max="7435" width="9" style="2"/>
    <col min="7436" max="7436" width="9.625" style="2" bestFit="1" customWidth="1"/>
    <col min="7437" max="7664" width="9" style="2"/>
    <col min="7665" max="7665" width="2.375" style="2" customWidth="1"/>
    <col min="7666" max="7666" width="13.25" style="2" bestFit="1" customWidth="1"/>
    <col min="7667" max="7668" width="11.125" style="2" bestFit="1" customWidth="1"/>
    <col min="7669" max="7669" width="13.25" style="2" bestFit="1" customWidth="1"/>
    <col min="7670" max="7670" width="11.125" style="2" bestFit="1" customWidth="1"/>
    <col min="7671" max="7671" width="9" style="2"/>
    <col min="7672" max="7682" width="11.125" style="2" bestFit="1" customWidth="1"/>
    <col min="7683" max="7683" width="9" style="2"/>
    <col min="7684" max="7690" width="11.125" style="2" bestFit="1" customWidth="1"/>
    <col min="7691" max="7691" width="9" style="2"/>
    <col min="7692" max="7692" width="9.625" style="2" bestFit="1" customWidth="1"/>
    <col min="7693" max="7920" width="9" style="2"/>
    <col min="7921" max="7921" width="2.375" style="2" customWidth="1"/>
    <col min="7922" max="7922" width="13.25" style="2" bestFit="1" customWidth="1"/>
    <col min="7923" max="7924" width="11.125" style="2" bestFit="1" customWidth="1"/>
    <col min="7925" max="7925" width="13.25" style="2" bestFit="1" customWidth="1"/>
    <col min="7926" max="7926" width="11.125" style="2" bestFit="1" customWidth="1"/>
    <col min="7927" max="7927" width="9" style="2"/>
    <col min="7928" max="7938" width="11.125" style="2" bestFit="1" customWidth="1"/>
    <col min="7939" max="7939" width="9" style="2"/>
    <col min="7940" max="7946" width="11.125" style="2" bestFit="1" customWidth="1"/>
    <col min="7947" max="7947" width="9" style="2"/>
    <col min="7948" max="7948" width="9.625" style="2" bestFit="1" customWidth="1"/>
    <col min="7949" max="8176" width="9" style="2"/>
    <col min="8177" max="8177" width="2.375" style="2" customWidth="1"/>
    <col min="8178" max="8178" width="13.25" style="2" bestFit="1" customWidth="1"/>
    <col min="8179" max="8180" width="11.125" style="2" bestFit="1" customWidth="1"/>
    <col min="8181" max="8181" width="13.25" style="2" bestFit="1" customWidth="1"/>
    <col min="8182" max="8182" width="11.125" style="2" bestFit="1" customWidth="1"/>
    <col min="8183" max="8183" width="9" style="2"/>
    <col min="8184" max="8194" width="11.125" style="2" bestFit="1" customWidth="1"/>
    <col min="8195" max="8195" width="9" style="2"/>
    <col min="8196" max="8202" width="11.125" style="2" bestFit="1" customWidth="1"/>
    <col min="8203" max="8203" width="9" style="2"/>
    <col min="8204" max="8204" width="9.625" style="2" bestFit="1" customWidth="1"/>
    <col min="8205" max="8432" width="9" style="2"/>
    <col min="8433" max="8433" width="2.375" style="2" customWidth="1"/>
    <col min="8434" max="8434" width="13.25" style="2" bestFit="1" customWidth="1"/>
    <col min="8435" max="8436" width="11.125" style="2" bestFit="1" customWidth="1"/>
    <col min="8437" max="8437" width="13.25" style="2" bestFit="1" customWidth="1"/>
    <col min="8438" max="8438" width="11.125" style="2" bestFit="1" customWidth="1"/>
    <col min="8439" max="8439" width="9" style="2"/>
    <col min="8440" max="8450" width="11.125" style="2" bestFit="1" customWidth="1"/>
    <col min="8451" max="8451" width="9" style="2"/>
    <col min="8452" max="8458" width="11.125" style="2" bestFit="1" customWidth="1"/>
    <col min="8459" max="8459" width="9" style="2"/>
    <col min="8460" max="8460" width="9.625" style="2" bestFit="1" customWidth="1"/>
    <col min="8461" max="8688" width="9" style="2"/>
    <col min="8689" max="8689" width="2.375" style="2" customWidth="1"/>
    <col min="8690" max="8690" width="13.25" style="2" bestFit="1" customWidth="1"/>
    <col min="8691" max="8692" width="11.125" style="2" bestFit="1" customWidth="1"/>
    <col min="8693" max="8693" width="13.25" style="2" bestFit="1" customWidth="1"/>
    <col min="8694" max="8694" width="11.125" style="2" bestFit="1" customWidth="1"/>
    <col min="8695" max="8695" width="9" style="2"/>
    <col min="8696" max="8706" width="11.125" style="2" bestFit="1" customWidth="1"/>
    <col min="8707" max="8707" width="9" style="2"/>
    <col min="8708" max="8714" width="11.125" style="2" bestFit="1" customWidth="1"/>
    <col min="8715" max="8715" width="9" style="2"/>
    <col min="8716" max="8716" width="9.625" style="2" bestFit="1" customWidth="1"/>
    <col min="8717" max="8944" width="9" style="2"/>
    <col min="8945" max="8945" width="2.375" style="2" customWidth="1"/>
    <col min="8946" max="8946" width="13.25" style="2" bestFit="1" customWidth="1"/>
    <col min="8947" max="8948" width="11.125" style="2" bestFit="1" customWidth="1"/>
    <col min="8949" max="8949" width="13.25" style="2" bestFit="1" customWidth="1"/>
    <col min="8950" max="8950" width="11.125" style="2" bestFit="1" customWidth="1"/>
    <col min="8951" max="8951" width="9" style="2"/>
    <col min="8952" max="8962" width="11.125" style="2" bestFit="1" customWidth="1"/>
    <col min="8963" max="8963" width="9" style="2"/>
    <col min="8964" max="8970" width="11.125" style="2" bestFit="1" customWidth="1"/>
    <col min="8971" max="8971" width="9" style="2"/>
    <col min="8972" max="8972" width="9.625" style="2" bestFit="1" customWidth="1"/>
    <col min="8973" max="9200" width="9" style="2"/>
    <col min="9201" max="9201" width="2.375" style="2" customWidth="1"/>
    <col min="9202" max="9202" width="13.25" style="2" bestFit="1" customWidth="1"/>
    <col min="9203" max="9204" width="11.125" style="2" bestFit="1" customWidth="1"/>
    <col min="9205" max="9205" width="13.25" style="2" bestFit="1" customWidth="1"/>
    <col min="9206" max="9206" width="11.125" style="2" bestFit="1" customWidth="1"/>
    <col min="9207" max="9207" width="9" style="2"/>
    <col min="9208" max="9218" width="11.125" style="2" bestFit="1" customWidth="1"/>
    <col min="9219" max="9219" width="9" style="2"/>
    <col min="9220" max="9226" width="11.125" style="2" bestFit="1" customWidth="1"/>
    <col min="9227" max="9227" width="9" style="2"/>
    <col min="9228" max="9228" width="9.625" style="2" bestFit="1" customWidth="1"/>
    <col min="9229" max="9456" width="9" style="2"/>
    <col min="9457" max="9457" width="2.375" style="2" customWidth="1"/>
    <col min="9458" max="9458" width="13.25" style="2" bestFit="1" customWidth="1"/>
    <col min="9459" max="9460" width="11.125" style="2" bestFit="1" customWidth="1"/>
    <col min="9461" max="9461" width="13.25" style="2" bestFit="1" customWidth="1"/>
    <col min="9462" max="9462" width="11.125" style="2" bestFit="1" customWidth="1"/>
    <col min="9463" max="9463" width="9" style="2"/>
    <col min="9464" max="9474" width="11.125" style="2" bestFit="1" customWidth="1"/>
    <col min="9475" max="9475" width="9" style="2"/>
    <col min="9476" max="9482" width="11.125" style="2" bestFit="1" customWidth="1"/>
    <col min="9483" max="9483" width="9" style="2"/>
    <col min="9484" max="9484" width="9.625" style="2" bestFit="1" customWidth="1"/>
    <col min="9485" max="9712" width="9" style="2"/>
    <col min="9713" max="9713" width="2.375" style="2" customWidth="1"/>
    <col min="9714" max="9714" width="13.25" style="2" bestFit="1" customWidth="1"/>
    <col min="9715" max="9716" width="11.125" style="2" bestFit="1" customWidth="1"/>
    <col min="9717" max="9717" width="13.25" style="2" bestFit="1" customWidth="1"/>
    <col min="9718" max="9718" width="11.125" style="2" bestFit="1" customWidth="1"/>
    <col min="9719" max="9719" width="9" style="2"/>
    <col min="9720" max="9730" width="11.125" style="2" bestFit="1" customWidth="1"/>
    <col min="9731" max="9731" width="9" style="2"/>
    <col min="9732" max="9738" width="11.125" style="2" bestFit="1" customWidth="1"/>
    <col min="9739" max="9739" width="9" style="2"/>
    <col min="9740" max="9740" width="9.625" style="2" bestFit="1" customWidth="1"/>
    <col min="9741" max="9968" width="9" style="2"/>
    <col min="9969" max="9969" width="2.375" style="2" customWidth="1"/>
    <col min="9970" max="9970" width="13.25" style="2" bestFit="1" customWidth="1"/>
    <col min="9971" max="9972" width="11.125" style="2" bestFit="1" customWidth="1"/>
    <col min="9973" max="9973" width="13.25" style="2" bestFit="1" customWidth="1"/>
    <col min="9974" max="9974" width="11.125" style="2" bestFit="1" customWidth="1"/>
    <col min="9975" max="9975" width="9" style="2"/>
    <col min="9976" max="9986" width="11.125" style="2" bestFit="1" customWidth="1"/>
    <col min="9987" max="9987" width="9" style="2"/>
    <col min="9988" max="9994" width="11.125" style="2" bestFit="1" customWidth="1"/>
    <col min="9995" max="9995" width="9" style="2"/>
    <col min="9996" max="9996" width="9.625" style="2" bestFit="1" customWidth="1"/>
    <col min="9997" max="10224" width="9" style="2"/>
    <col min="10225" max="10225" width="2.375" style="2" customWidth="1"/>
    <col min="10226" max="10226" width="13.25" style="2" bestFit="1" customWidth="1"/>
    <col min="10227" max="10228" width="11.125" style="2" bestFit="1" customWidth="1"/>
    <col min="10229" max="10229" width="13.25" style="2" bestFit="1" customWidth="1"/>
    <col min="10230" max="10230" width="11.125" style="2" bestFit="1" customWidth="1"/>
    <col min="10231" max="10231" width="9" style="2"/>
    <col min="10232" max="10242" width="11.125" style="2" bestFit="1" customWidth="1"/>
    <col min="10243" max="10243" width="9" style="2"/>
    <col min="10244" max="10250" width="11.125" style="2" bestFit="1" customWidth="1"/>
    <col min="10251" max="10251" width="9" style="2"/>
    <col min="10252" max="10252" width="9.625" style="2" bestFit="1" customWidth="1"/>
    <col min="10253" max="10480" width="9" style="2"/>
    <col min="10481" max="10481" width="2.375" style="2" customWidth="1"/>
    <col min="10482" max="10482" width="13.25" style="2" bestFit="1" customWidth="1"/>
    <col min="10483" max="10484" width="11.125" style="2" bestFit="1" customWidth="1"/>
    <col min="10485" max="10485" width="13.25" style="2" bestFit="1" customWidth="1"/>
    <col min="10486" max="10486" width="11.125" style="2" bestFit="1" customWidth="1"/>
    <col min="10487" max="10487" width="9" style="2"/>
    <col min="10488" max="10498" width="11.125" style="2" bestFit="1" customWidth="1"/>
    <col min="10499" max="10499" width="9" style="2"/>
    <col min="10500" max="10506" width="11.125" style="2" bestFit="1" customWidth="1"/>
    <col min="10507" max="10507" width="9" style="2"/>
    <col min="10508" max="10508" width="9.625" style="2" bestFit="1" customWidth="1"/>
    <col min="10509" max="10736" width="9" style="2"/>
    <col min="10737" max="10737" width="2.375" style="2" customWidth="1"/>
    <col min="10738" max="10738" width="13.25" style="2" bestFit="1" customWidth="1"/>
    <col min="10739" max="10740" width="11.125" style="2" bestFit="1" customWidth="1"/>
    <col min="10741" max="10741" width="13.25" style="2" bestFit="1" customWidth="1"/>
    <col min="10742" max="10742" width="11.125" style="2" bestFit="1" customWidth="1"/>
    <col min="10743" max="10743" width="9" style="2"/>
    <col min="10744" max="10754" width="11.125" style="2" bestFit="1" customWidth="1"/>
    <col min="10755" max="10755" width="9" style="2"/>
    <col min="10756" max="10762" width="11.125" style="2" bestFit="1" customWidth="1"/>
    <col min="10763" max="10763" width="9" style="2"/>
    <col min="10764" max="10764" width="9.625" style="2" bestFit="1" customWidth="1"/>
    <col min="10765" max="10992" width="9" style="2"/>
    <col min="10993" max="10993" width="2.375" style="2" customWidth="1"/>
    <col min="10994" max="10994" width="13.25" style="2" bestFit="1" customWidth="1"/>
    <col min="10995" max="10996" width="11.125" style="2" bestFit="1" customWidth="1"/>
    <col min="10997" max="10997" width="13.25" style="2" bestFit="1" customWidth="1"/>
    <col min="10998" max="10998" width="11.125" style="2" bestFit="1" customWidth="1"/>
    <col min="10999" max="10999" width="9" style="2"/>
    <col min="11000" max="11010" width="11.125" style="2" bestFit="1" customWidth="1"/>
    <col min="11011" max="11011" width="9" style="2"/>
    <col min="11012" max="11018" width="11.125" style="2" bestFit="1" customWidth="1"/>
    <col min="11019" max="11019" width="9" style="2"/>
    <col min="11020" max="11020" width="9.625" style="2" bestFit="1" customWidth="1"/>
    <col min="11021" max="11248" width="9" style="2"/>
    <col min="11249" max="11249" width="2.375" style="2" customWidth="1"/>
    <col min="11250" max="11250" width="13.25" style="2" bestFit="1" customWidth="1"/>
    <col min="11251" max="11252" width="11.125" style="2" bestFit="1" customWidth="1"/>
    <col min="11253" max="11253" width="13.25" style="2" bestFit="1" customWidth="1"/>
    <col min="11254" max="11254" width="11.125" style="2" bestFit="1" customWidth="1"/>
    <col min="11255" max="11255" width="9" style="2"/>
    <col min="11256" max="11266" width="11.125" style="2" bestFit="1" customWidth="1"/>
    <col min="11267" max="11267" width="9" style="2"/>
    <col min="11268" max="11274" width="11.125" style="2" bestFit="1" customWidth="1"/>
    <col min="11275" max="11275" width="9" style="2"/>
    <col min="11276" max="11276" width="9.625" style="2" bestFit="1" customWidth="1"/>
    <col min="11277" max="11504" width="9" style="2"/>
    <col min="11505" max="11505" width="2.375" style="2" customWidth="1"/>
    <col min="11506" max="11506" width="13.25" style="2" bestFit="1" customWidth="1"/>
    <col min="11507" max="11508" width="11.125" style="2" bestFit="1" customWidth="1"/>
    <col min="11509" max="11509" width="13.25" style="2" bestFit="1" customWidth="1"/>
    <col min="11510" max="11510" width="11.125" style="2" bestFit="1" customWidth="1"/>
    <col min="11511" max="11511" width="9" style="2"/>
    <col min="11512" max="11522" width="11.125" style="2" bestFit="1" customWidth="1"/>
    <col min="11523" max="11523" width="9" style="2"/>
    <col min="11524" max="11530" width="11.125" style="2" bestFit="1" customWidth="1"/>
    <col min="11531" max="11531" width="9" style="2"/>
    <col min="11532" max="11532" width="9.625" style="2" bestFit="1" customWidth="1"/>
    <col min="11533" max="11760" width="9" style="2"/>
    <col min="11761" max="11761" width="2.375" style="2" customWidth="1"/>
    <col min="11762" max="11762" width="13.25" style="2" bestFit="1" customWidth="1"/>
    <col min="11763" max="11764" width="11.125" style="2" bestFit="1" customWidth="1"/>
    <col min="11765" max="11765" width="13.25" style="2" bestFit="1" customWidth="1"/>
    <col min="11766" max="11766" width="11.125" style="2" bestFit="1" customWidth="1"/>
    <col min="11767" max="11767" width="9" style="2"/>
    <col min="11768" max="11778" width="11.125" style="2" bestFit="1" customWidth="1"/>
    <col min="11779" max="11779" width="9" style="2"/>
    <col min="11780" max="11786" width="11.125" style="2" bestFit="1" customWidth="1"/>
    <col min="11787" max="11787" width="9" style="2"/>
    <col min="11788" max="11788" width="9.625" style="2" bestFit="1" customWidth="1"/>
    <col min="11789" max="12016" width="9" style="2"/>
    <col min="12017" max="12017" width="2.375" style="2" customWidth="1"/>
    <col min="12018" max="12018" width="13.25" style="2" bestFit="1" customWidth="1"/>
    <col min="12019" max="12020" width="11.125" style="2" bestFit="1" customWidth="1"/>
    <col min="12021" max="12021" width="13.25" style="2" bestFit="1" customWidth="1"/>
    <col min="12022" max="12022" width="11.125" style="2" bestFit="1" customWidth="1"/>
    <col min="12023" max="12023" width="9" style="2"/>
    <col min="12024" max="12034" width="11.125" style="2" bestFit="1" customWidth="1"/>
    <col min="12035" max="12035" width="9" style="2"/>
    <col min="12036" max="12042" width="11.125" style="2" bestFit="1" customWidth="1"/>
    <col min="12043" max="12043" width="9" style="2"/>
    <col min="12044" max="12044" width="9.625" style="2" bestFit="1" customWidth="1"/>
    <col min="12045" max="12272" width="9" style="2"/>
    <col min="12273" max="12273" width="2.375" style="2" customWidth="1"/>
    <col min="12274" max="12274" width="13.25" style="2" bestFit="1" customWidth="1"/>
    <col min="12275" max="12276" width="11.125" style="2" bestFit="1" customWidth="1"/>
    <col min="12277" max="12277" width="13.25" style="2" bestFit="1" customWidth="1"/>
    <col min="12278" max="12278" width="11.125" style="2" bestFit="1" customWidth="1"/>
    <col min="12279" max="12279" width="9" style="2"/>
    <col min="12280" max="12290" width="11.125" style="2" bestFit="1" customWidth="1"/>
    <col min="12291" max="12291" width="9" style="2"/>
    <col min="12292" max="12298" width="11.125" style="2" bestFit="1" customWidth="1"/>
    <col min="12299" max="12299" width="9" style="2"/>
    <col min="12300" max="12300" width="9.625" style="2" bestFit="1" customWidth="1"/>
    <col min="12301" max="12528" width="9" style="2"/>
    <col min="12529" max="12529" width="2.375" style="2" customWidth="1"/>
    <col min="12530" max="12530" width="13.25" style="2" bestFit="1" customWidth="1"/>
    <col min="12531" max="12532" width="11.125" style="2" bestFit="1" customWidth="1"/>
    <col min="12533" max="12533" width="13.25" style="2" bestFit="1" customWidth="1"/>
    <col min="12534" max="12534" width="11.125" style="2" bestFit="1" customWidth="1"/>
    <col min="12535" max="12535" width="9" style="2"/>
    <col min="12536" max="12546" width="11.125" style="2" bestFit="1" customWidth="1"/>
    <col min="12547" max="12547" width="9" style="2"/>
    <col min="12548" max="12554" width="11.125" style="2" bestFit="1" customWidth="1"/>
    <col min="12555" max="12555" width="9" style="2"/>
    <col min="12556" max="12556" width="9.625" style="2" bestFit="1" customWidth="1"/>
    <col min="12557" max="12784" width="9" style="2"/>
    <col min="12785" max="12785" width="2.375" style="2" customWidth="1"/>
    <col min="12786" max="12786" width="13.25" style="2" bestFit="1" customWidth="1"/>
    <col min="12787" max="12788" width="11.125" style="2" bestFit="1" customWidth="1"/>
    <col min="12789" max="12789" width="13.25" style="2" bestFit="1" customWidth="1"/>
    <col min="12790" max="12790" width="11.125" style="2" bestFit="1" customWidth="1"/>
    <col min="12791" max="12791" width="9" style="2"/>
    <col min="12792" max="12802" width="11.125" style="2" bestFit="1" customWidth="1"/>
    <col min="12803" max="12803" width="9" style="2"/>
    <col min="12804" max="12810" width="11.125" style="2" bestFit="1" customWidth="1"/>
    <col min="12811" max="12811" width="9" style="2"/>
    <col min="12812" max="12812" width="9.625" style="2" bestFit="1" customWidth="1"/>
    <col min="12813" max="13040" width="9" style="2"/>
    <col min="13041" max="13041" width="2.375" style="2" customWidth="1"/>
    <col min="13042" max="13042" width="13.25" style="2" bestFit="1" customWidth="1"/>
    <col min="13043" max="13044" width="11.125" style="2" bestFit="1" customWidth="1"/>
    <col min="13045" max="13045" width="13.25" style="2" bestFit="1" customWidth="1"/>
    <col min="13046" max="13046" width="11.125" style="2" bestFit="1" customWidth="1"/>
    <col min="13047" max="13047" width="9" style="2"/>
    <col min="13048" max="13058" width="11.125" style="2" bestFit="1" customWidth="1"/>
    <col min="13059" max="13059" width="9" style="2"/>
    <col min="13060" max="13066" width="11.125" style="2" bestFit="1" customWidth="1"/>
    <col min="13067" max="13067" width="9" style="2"/>
    <col min="13068" max="13068" width="9.625" style="2" bestFit="1" customWidth="1"/>
    <col min="13069" max="13296" width="9" style="2"/>
    <col min="13297" max="13297" width="2.375" style="2" customWidth="1"/>
    <col min="13298" max="13298" width="13.25" style="2" bestFit="1" customWidth="1"/>
    <col min="13299" max="13300" width="11.125" style="2" bestFit="1" customWidth="1"/>
    <col min="13301" max="13301" width="13.25" style="2" bestFit="1" customWidth="1"/>
    <col min="13302" max="13302" width="11.125" style="2" bestFit="1" customWidth="1"/>
    <col min="13303" max="13303" width="9" style="2"/>
    <col min="13304" max="13314" width="11.125" style="2" bestFit="1" customWidth="1"/>
    <col min="13315" max="13315" width="9" style="2"/>
    <col min="13316" max="13322" width="11.125" style="2" bestFit="1" customWidth="1"/>
    <col min="13323" max="13323" width="9" style="2"/>
    <col min="13324" max="13324" width="9.625" style="2" bestFit="1" customWidth="1"/>
    <col min="13325" max="13552" width="9" style="2"/>
    <col min="13553" max="13553" width="2.375" style="2" customWidth="1"/>
    <col min="13554" max="13554" width="13.25" style="2" bestFit="1" customWidth="1"/>
    <col min="13555" max="13556" width="11.125" style="2" bestFit="1" customWidth="1"/>
    <col min="13557" max="13557" width="13.25" style="2" bestFit="1" customWidth="1"/>
    <col min="13558" max="13558" width="11.125" style="2" bestFit="1" customWidth="1"/>
    <col min="13559" max="13559" width="9" style="2"/>
    <col min="13560" max="13570" width="11.125" style="2" bestFit="1" customWidth="1"/>
    <col min="13571" max="13571" width="9" style="2"/>
    <col min="13572" max="13578" width="11.125" style="2" bestFit="1" customWidth="1"/>
    <col min="13579" max="13579" width="9" style="2"/>
    <col min="13580" max="13580" width="9.625" style="2" bestFit="1" customWidth="1"/>
    <col min="13581" max="13808" width="9" style="2"/>
    <col min="13809" max="13809" width="2.375" style="2" customWidth="1"/>
    <col min="13810" max="13810" width="13.25" style="2" bestFit="1" customWidth="1"/>
    <col min="13811" max="13812" width="11.125" style="2" bestFit="1" customWidth="1"/>
    <col min="13813" max="13813" width="13.25" style="2" bestFit="1" customWidth="1"/>
    <col min="13814" max="13814" width="11.125" style="2" bestFit="1" customWidth="1"/>
    <col min="13815" max="13815" width="9" style="2"/>
    <col min="13816" max="13826" width="11.125" style="2" bestFit="1" customWidth="1"/>
    <col min="13827" max="13827" width="9" style="2"/>
    <col min="13828" max="13834" width="11.125" style="2" bestFit="1" customWidth="1"/>
    <col min="13835" max="13835" width="9" style="2"/>
    <col min="13836" max="13836" width="9.625" style="2" bestFit="1" customWidth="1"/>
    <col min="13837" max="14064" width="9" style="2"/>
    <col min="14065" max="14065" width="2.375" style="2" customWidth="1"/>
    <col min="14066" max="14066" width="13.25" style="2" bestFit="1" customWidth="1"/>
    <col min="14067" max="14068" width="11.125" style="2" bestFit="1" customWidth="1"/>
    <col min="14069" max="14069" width="13.25" style="2" bestFit="1" customWidth="1"/>
    <col min="14070" max="14070" width="11.125" style="2" bestFit="1" customWidth="1"/>
    <col min="14071" max="14071" width="9" style="2"/>
    <col min="14072" max="14082" width="11.125" style="2" bestFit="1" customWidth="1"/>
    <col min="14083" max="14083" width="9" style="2"/>
    <col min="14084" max="14090" width="11.125" style="2" bestFit="1" customWidth="1"/>
    <col min="14091" max="14091" width="9" style="2"/>
    <col min="14092" max="14092" width="9.625" style="2" bestFit="1" customWidth="1"/>
    <col min="14093" max="14320" width="9" style="2"/>
    <col min="14321" max="14321" width="2.375" style="2" customWidth="1"/>
    <col min="14322" max="14322" width="13.25" style="2" bestFit="1" customWidth="1"/>
    <col min="14323" max="14324" width="11.125" style="2" bestFit="1" customWidth="1"/>
    <col min="14325" max="14325" width="13.25" style="2" bestFit="1" customWidth="1"/>
    <col min="14326" max="14326" width="11.125" style="2" bestFit="1" customWidth="1"/>
    <col min="14327" max="14327" width="9" style="2"/>
    <col min="14328" max="14338" width="11.125" style="2" bestFit="1" customWidth="1"/>
    <col min="14339" max="14339" width="9" style="2"/>
    <col min="14340" max="14346" width="11.125" style="2" bestFit="1" customWidth="1"/>
    <col min="14347" max="14347" width="9" style="2"/>
    <col min="14348" max="14348" width="9.625" style="2" bestFit="1" customWidth="1"/>
    <col min="14349" max="14576" width="9" style="2"/>
    <col min="14577" max="14577" width="2.375" style="2" customWidth="1"/>
    <col min="14578" max="14578" width="13.25" style="2" bestFit="1" customWidth="1"/>
    <col min="14579" max="14580" width="11.125" style="2" bestFit="1" customWidth="1"/>
    <col min="14581" max="14581" width="13.25" style="2" bestFit="1" customWidth="1"/>
    <col min="14582" max="14582" width="11.125" style="2" bestFit="1" customWidth="1"/>
    <col min="14583" max="14583" width="9" style="2"/>
    <col min="14584" max="14594" width="11.125" style="2" bestFit="1" customWidth="1"/>
    <col min="14595" max="14595" width="9" style="2"/>
    <col min="14596" max="14602" width="11.125" style="2" bestFit="1" customWidth="1"/>
    <col min="14603" max="14603" width="9" style="2"/>
    <col min="14604" max="14604" width="9.625" style="2" bestFit="1" customWidth="1"/>
    <col min="14605" max="14832" width="9" style="2"/>
    <col min="14833" max="14833" width="2.375" style="2" customWidth="1"/>
    <col min="14834" max="14834" width="13.25" style="2" bestFit="1" customWidth="1"/>
    <col min="14835" max="14836" width="11.125" style="2" bestFit="1" customWidth="1"/>
    <col min="14837" max="14837" width="13.25" style="2" bestFit="1" customWidth="1"/>
    <col min="14838" max="14838" width="11.125" style="2" bestFit="1" customWidth="1"/>
    <col min="14839" max="14839" width="9" style="2"/>
    <col min="14840" max="14850" width="11.125" style="2" bestFit="1" customWidth="1"/>
    <col min="14851" max="14851" width="9" style="2"/>
    <col min="14852" max="14858" width="11.125" style="2" bestFit="1" customWidth="1"/>
    <col min="14859" max="14859" width="9" style="2"/>
    <col min="14860" max="14860" width="9.625" style="2" bestFit="1" customWidth="1"/>
    <col min="14861" max="15088" width="9" style="2"/>
    <col min="15089" max="15089" width="2.375" style="2" customWidth="1"/>
    <col min="15090" max="15090" width="13.25" style="2" bestFit="1" customWidth="1"/>
    <col min="15091" max="15092" width="11.125" style="2" bestFit="1" customWidth="1"/>
    <col min="15093" max="15093" width="13.25" style="2" bestFit="1" customWidth="1"/>
    <col min="15094" max="15094" width="11.125" style="2" bestFit="1" customWidth="1"/>
    <col min="15095" max="15095" width="9" style="2"/>
    <col min="15096" max="15106" width="11.125" style="2" bestFit="1" customWidth="1"/>
    <col min="15107" max="15107" width="9" style="2"/>
    <col min="15108" max="15114" width="11.125" style="2" bestFit="1" customWidth="1"/>
    <col min="15115" max="15115" width="9" style="2"/>
    <col min="15116" max="15116" width="9.625" style="2" bestFit="1" customWidth="1"/>
    <col min="15117" max="15344" width="9" style="2"/>
    <col min="15345" max="15345" width="2.375" style="2" customWidth="1"/>
    <col min="15346" max="15346" width="13.25" style="2" bestFit="1" customWidth="1"/>
    <col min="15347" max="15348" width="11.125" style="2" bestFit="1" customWidth="1"/>
    <col min="15349" max="15349" width="13.25" style="2" bestFit="1" customWidth="1"/>
    <col min="15350" max="15350" width="11.125" style="2" bestFit="1" customWidth="1"/>
    <col min="15351" max="15351" width="9" style="2"/>
    <col min="15352" max="15362" width="11.125" style="2" bestFit="1" customWidth="1"/>
    <col min="15363" max="15363" width="9" style="2"/>
    <col min="15364" max="15370" width="11.125" style="2" bestFit="1" customWidth="1"/>
    <col min="15371" max="15371" width="9" style="2"/>
    <col min="15372" max="15372" width="9.625" style="2" bestFit="1" customWidth="1"/>
    <col min="15373" max="15600" width="9" style="2"/>
    <col min="15601" max="15601" width="2.375" style="2" customWidth="1"/>
    <col min="15602" max="15602" width="13.25" style="2" bestFit="1" customWidth="1"/>
    <col min="15603" max="15604" width="11.125" style="2" bestFit="1" customWidth="1"/>
    <col min="15605" max="15605" width="13.25" style="2" bestFit="1" customWidth="1"/>
    <col min="15606" max="15606" width="11.125" style="2" bestFit="1" customWidth="1"/>
    <col min="15607" max="15607" width="9" style="2"/>
    <col min="15608" max="15618" width="11.125" style="2" bestFit="1" customWidth="1"/>
    <col min="15619" max="15619" width="9" style="2"/>
    <col min="15620" max="15626" width="11.125" style="2" bestFit="1" customWidth="1"/>
    <col min="15627" max="15627" width="9" style="2"/>
    <col min="15628" max="15628" width="9.625" style="2" bestFit="1" customWidth="1"/>
    <col min="15629" max="15856" width="9" style="2"/>
    <col min="15857" max="15857" width="2.375" style="2" customWidth="1"/>
    <col min="15858" max="15858" width="13.25" style="2" bestFit="1" customWidth="1"/>
    <col min="15859" max="15860" width="11.125" style="2" bestFit="1" customWidth="1"/>
    <col min="15861" max="15861" width="13.25" style="2" bestFit="1" customWidth="1"/>
    <col min="15862" max="15862" width="11.125" style="2" bestFit="1" customWidth="1"/>
    <col min="15863" max="15863" width="9" style="2"/>
    <col min="15864" max="15874" width="11.125" style="2" bestFit="1" customWidth="1"/>
    <col min="15875" max="15875" width="9" style="2"/>
    <col min="15876" max="15882" width="11.125" style="2" bestFit="1" customWidth="1"/>
    <col min="15883" max="15883" width="9" style="2"/>
    <col min="15884" max="15884" width="9.625" style="2" bestFit="1" customWidth="1"/>
    <col min="15885" max="16112" width="9" style="2"/>
    <col min="16113" max="16113" width="2.375" style="2" customWidth="1"/>
    <col min="16114" max="16114" width="13.25" style="2" bestFit="1" customWidth="1"/>
    <col min="16115" max="16116" width="11.125" style="2" bestFit="1" customWidth="1"/>
    <col min="16117" max="16117" width="13.25" style="2" bestFit="1" customWidth="1"/>
    <col min="16118" max="16118" width="11.125" style="2" bestFit="1" customWidth="1"/>
    <col min="16119" max="16119" width="9" style="2"/>
    <col min="16120" max="16130" width="11.125" style="2" bestFit="1" customWidth="1"/>
    <col min="16131" max="16131" width="9" style="2"/>
    <col min="16132" max="16138" width="11.125" style="2" bestFit="1" customWidth="1"/>
    <col min="16139" max="16139" width="9" style="2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</v>
      </c>
    </row>
    <row r="3" spans="1:14">
      <c r="B3" s="101"/>
      <c r="C3" s="74" t="s">
        <v>19</v>
      </c>
      <c r="D3" s="12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3" t="s">
        <v>26</v>
      </c>
      <c r="K3" s="88" t="s">
        <v>18</v>
      </c>
      <c r="L3" s="88" t="s">
        <v>27</v>
      </c>
      <c r="M3" s="88" t="s">
        <v>18</v>
      </c>
      <c r="N3" s="100" t="s">
        <v>28</v>
      </c>
    </row>
    <row r="4" spans="1:14" ht="19.5" thickBot="1">
      <c r="B4" s="102" t="s">
        <v>29</v>
      </c>
      <c r="C4" s="75" t="s">
        <v>47</v>
      </c>
      <c r="D4" s="15" t="s">
        <v>48</v>
      </c>
      <c r="E4" s="15" t="s">
        <v>49</v>
      </c>
      <c r="F4" s="15" t="s">
        <v>50</v>
      </c>
      <c r="G4" s="15" t="s">
        <v>51</v>
      </c>
      <c r="H4" s="15" t="s">
        <v>52</v>
      </c>
      <c r="I4" s="15" t="s">
        <v>53</v>
      </c>
      <c r="J4" s="16" t="s">
        <v>54</v>
      </c>
      <c r="K4" s="89" t="s">
        <v>55</v>
      </c>
      <c r="L4" s="89" t="s">
        <v>56</v>
      </c>
      <c r="M4" s="89" t="s">
        <v>57</v>
      </c>
      <c r="N4" s="5" t="s">
        <v>58</v>
      </c>
    </row>
    <row r="5" spans="1:14">
      <c r="A5" s="1" t="s">
        <v>59</v>
      </c>
      <c r="B5" s="103" t="s">
        <v>60</v>
      </c>
      <c r="C5" s="76">
        <v>19</v>
      </c>
      <c r="D5" s="52">
        <v>20</v>
      </c>
      <c r="E5" s="52">
        <v>13</v>
      </c>
      <c r="F5" s="52">
        <v>16</v>
      </c>
      <c r="G5" s="52">
        <v>11</v>
      </c>
      <c r="H5" s="52">
        <v>8</v>
      </c>
      <c r="I5" s="52">
        <v>12</v>
      </c>
      <c r="J5" s="53">
        <v>20</v>
      </c>
      <c r="K5" s="90">
        <f>SUM(C5:J5)</f>
        <v>119</v>
      </c>
      <c r="L5" s="90">
        <v>19</v>
      </c>
      <c r="M5" s="90">
        <f>SUM(L5)</f>
        <v>19</v>
      </c>
      <c r="N5" s="90">
        <v>431</v>
      </c>
    </row>
    <row r="6" spans="1:14">
      <c r="A6" s="1" t="s">
        <v>59</v>
      </c>
      <c r="B6" s="104" t="s">
        <v>61</v>
      </c>
      <c r="C6" s="77">
        <v>0</v>
      </c>
      <c r="D6" s="55">
        <v>2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6">
        <v>0</v>
      </c>
      <c r="K6" s="91">
        <f t="shared" ref="K6:K54" si="0">SUM(C6:J6)</f>
        <v>2</v>
      </c>
      <c r="L6" s="91">
        <v>0</v>
      </c>
      <c r="M6" s="91">
        <f t="shared" ref="M6:M54" si="1">SUM(L6)</f>
        <v>0</v>
      </c>
      <c r="N6" s="91">
        <v>35</v>
      </c>
    </row>
    <row r="7" spans="1:14">
      <c r="A7" s="1" t="s">
        <v>59</v>
      </c>
      <c r="B7" s="104" t="s">
        <v>62</v>
      </c>
      <c r="C7" s="77">
        <v>0</v>
      </c>
      <c r="D7" s="55">
        <v>0</v>
      </c>
      <c r="E7" s="55">
        <v>0</v>
      </c>
      <c r="F7" s="55">
        <v>1</v>
      </c>
      <c r="G7" s="55">
        <v>0</v>
      </c>
      <c r="H7" s="55">
        <v>0</v>
      </c>
      <c r="I7" s="55">
        <v>0</v>
      </c>
      <c r="J7" s="56">
        <v>0</v>
      </c>
      <c r="K7" s="91">
        <f t="shared" si="0"/>
        <v>1</v>
      </c>
      <c r="L7" s="91">
        <v>0</v>
      </c>
      <c r="M7" s="91">
        <f t="shared" si="1"/>
        <v>0</v>
      </c>
      <c r="N7" s="91">
        <v>31</v>
      </c>
    </row>
    <row r="8" spans="1:14">
      <c r="A8" s="1" t="s">
        <v>59</v>
      </c>
      <c r="B8" s="104" t="s">
        <v>63</v>
      </c>
      <c r="C8" s="77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6">
        <v>0</v>
      </c>
      <c r="K8" s="91">
        <f t="shared" si="0"/>
        <v>0</v>
      </c>
      <c r="L8" s="91">
        <v>0</v>
      </c>
      <c r="M8" s="91">
        <f t="shared" si="1"/>
        <v>0</v>
      </c>
      <c r="N8" s="91">
        <v>3</v>
      </c>
    </row>
    <row r="9" spans="1:14">
      <c r="A9" s="1" t="s">
        <v>59</v>
      </c>
      <c r="B9" s="104" t="s">
        <v>64</v>
      </c>
      <c r="C9" s="77">
        <v>1</v>
      </c>
      <c r="D9" s="55">
        <v>0</v>
      </c>
      <c r="E9" s="55">
        <v>1</v>
      </c>
      <c r="F9" s="55">
        <v>1</v>
      </c>
      <c r="G9" s="55">
        <v>0</v>
      </c>
      <c r="H9" s="55">
        <v>0</v>
      </c>
      <c r="I9" s="55">
        <v>0</v>
      </c>
      <c r="J9" s="56">
        <v>0</v>
      </c>
      <c r="K9" s="91">
        <f t="shared" si="0"/>
        <v>3</v>
      </c>
      <c r="L9" s="91">
        <v>1</v>
      </c>
      <c r="M9" s="91">
        <f t="shared" si="1"/>
        <v>1</v>
      </c>
      <c r="N9" s="91">
        <v>8</v>
      </c>
    </row>
    <row r="10" spans="1:14">
      <c r="A10" s="1" t="s">
        <v>59</v>
      </c>
      <c r="B10" s="104" t="s">
        <v>65</v>
      </c>
      <c r="C10" s="77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6">
        <v>0</v>
      </c>
      <c r="K10" s="91">
        <f t="shared" si="0"/>
        <v>0</v>
      </c>
      <c r="L10" s="91">
        <v>0</v>
      </c>
      <c r="M10" s="91">
        <f t="shared" si="1"/>
        <v>0</v>
      </c>
      <c r="N10" s="91">
        <v>20</v>
      </c>
    </row>
    <row r="11" spans="1:14">
      <c r="A11" s="1" t="s">
        <v>59</v>
      </c>
      <c r="B11" s="104" t="s">
        <v>66</v>
      </c>
      <c r="C11" s="78">
        <v>0</v>
      </c>
      <c r="D11" s="58">
        <v>0</v>
      </c>
      <c r="E11" s="58">
        <v>3.125</v>
      </c>
      <c r="F11" s="58">
        <v>4.166666666666667</v>
      </c>
      <c r="G11" s="58">
        <v>3.0833333333333335</v>
      </c>
      <c r="H11" s="58">
        <v>2.5416666666666665</v>
      </c>
      <c r="I11" s="58">
        <v>3.1666666666666665</v>
      </c>
      <c r="J11" s="59">
        <v>4.916666666666667</v>
      </c>
      <c r="K11" s="92">
        <f t="shared" si="0"/>
        <v>21</v>
      </c>
      <c r="L11" s="92">
        <v>0</v>
      </c>
      <c r="M11" s="92">
        <f t="shared" si="1"/>
        <v>0</v>
      </c>
      <c r="N11" s="92">
        <v>21</v>
      </c>
    </row>
    <row r="12" spans="1:14">
      <c r="A12" s="1" t="s">
        <v>59</v>
      </c>
      <c r="B12" s="104" t="s">
        <v>67</v>
      </c>
      <c r="C12" s="78">
        <v>0</v>
      </c>
      <c r="D12" s="58">
        <v>0.91666666666666663</v>
      </c>
      <c r="E12" s="58">
        <v>0</v>
      </c>
      <c r="F12" s="58">
        <v>0</v>
      </c>
      <c r="G12" s="58">
        <v>0</v>
      </c>
      <c r="H12" s="58">
        <v>4.1666666666666664E-2</v>
      </c>
      <c r="I12" s="58">
        <v>0</v>
      </c>
      <c r="J12" s="59">
        <v>0.125</v>
      </c>
      <c r="K12" s="92">
        <f t="shared" si="0"/>
        <v>1.0833333333333333</v>
      </c>
      <c r="L12" s="92">
        <v>0</v>
      </c>
      <c r="M12" s="92">
        <f t="shared" si="1"/>
        <v>0</v>
      </c>
      <c r="N12" s="92">
        <v>26.833333333333336</v>
      </c>
    </row>
    <row r="13" spans="1:14">
      <c r="A13" s="1" t="s">
        <v>59</v>
      </c>
      <c r="B13" s="104" t="s">
        <v>68</v>
      </c>
      <c r="C13" s="78">
        <v>0</v>
      </c>
      <c r="D13" s="58">
        <v>0.54166666666666663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9">
        <v>0</v>
      </c>
      <c r="K13" s="92">
        <f t="shared" si="0"/>
        <v>0.54166666666666663</v>
      </c>
      <c r="L13" s="92">
        <v>0</v>
      </c>
      <c r="M13" s="92">
        <f t="shared" si="1"/>
        <v>0</v>
      </c>
      <c r="N13" s="92">
        <v>10.166666666666666</v>
      </c>
    </row>
    <row r="14" spans="1:14">
      <c r="A14" s="1" t="s">
        <v>59</v>
      </c>
      <c r="B14" s="104" t="s">
        <v>69</v>
      </c>
      <c r="C14" s="78">
        <v>0</v>
      </c>
      <c r="D14" s="58">
        <v>0</v>
      </c>
      <c r="E14" s="58">
        <v>0</v>
      </c>
      <c r="F14" s="58">
        <v>0.125</v>
      </c>
      <c r="G14" s="58">
        <v>0</v>
      </c>
      <c r="H14" s="58">
        <v>0</v>
      </c>
      <c r="I14" s="58">
        <v>0</v>
      </c>
      <c r="J14" s="59">
        <v>0</v>
      </c>
      <c r="K14" s="92">
        <f t="shared" si="0"/>
        <v>0.125</v>
      </c>
      <c r="L14" s="92">
        <v>0</v>
      </c>
      <c r="M14" s="92">
        <f t="shared" si="1"/>
        <v>0</v>
      </c>
      <c r="N14" s="92">
        <v>9.7916666666666643</v>
      </c>
    </row>
    <row r="15" spans="1:14">
      <c r="A15" s="1" t="s">
        <v>59</v>
      </c>
      <c r="B15" s="104" t="s">
        <v>70</v>
      </c>
      <c r="C15" s="78">
        <v>0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9">
        <v>0</v>
      </c>
      <c r="K15" s="92">
        <f t="shared" si="0"/>
        <v>0</v>
      </c>
      <c r="L15" s="92">
        <v>0</v>
      </c>
      <c r="M15" s="92">
        <f t="shared" si="1"/>
        <v>0</v>
      </c>
      <c r="N15" s="92">
        <v>0.16666666666666666</v>
      </c>
    </row>
    <row r="16" spans="1:14">
      <c r="A16" s="1" t="s">
        <v>59</v>
      </c>
      <c r="B16" s="104" t="s">
        <v>71</v>
      </c>
      <c r="C16" s="78">
        <v>0</v>
      </c>
      <c r="D16" s="58">
        <v>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9">
        <v>0</v>
      </c>
      <c r="K16" s="92">
        <f t="shared" si="0"/>
        <v>0</v>
      </c>
      <c r="L16" s="92">
        <v>0</v>
      </c>
      <c r="M16" s="92">
        <f t="shared" si="1"/>
        <v>0</v>
      </c>
      <c r="N16" s="92">
        <v>0.29166666666666663</v>
      </c>
    </row>
    <row r="17" spans="1:14">
      <c r="A17" s="1" t="s">
        <v>59</v>
      </c>
      <c r="B17" s="104" t="s">
        <v>72</v>
      </c>
      <c r="C17" s="78">
        <v>0</v>
      </c>
      <c r="D17" s="58">
        <v>0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9">
        <v>0</v>
      </c>
      <c r="K17" s="92">
        <f t="shared" si="0"/>
        <v>0</v>
      </c>
      <c r="L17" s="92">
        <v>0</v>
      </c>
      <c r="M17" s="92">
        <f t="shared" si="1"/>
        <v>0</v>
      </c>
      <c r="N17" s="92">
        <v>0.375</v>
      </c>
    </row>
    <row r="18" spans="1:14">
      <c r="A18" s="1" t="s">
        <v>59</v>
      </c>
      <c r="B18" s="104" t="s">
        <v>73</v>
      </c>
      <c r="C18" s="78">
        <v>0</v>
      </c>
      <c r="D18" s="58">
        <v>0</v>
      </c>
      <c r="E18" s="58">
        <v>0.25</v>
      </c>
      <c r="F18" s="58">
        <v>0.29166666666666669</v>
      </c>
      <c r="G18" s="58">
        <v>0</v>
      </c>
      <c r="H18" s="58">
        <v>0</v>
      </c>
      <c r="I18" s="58">
        <v>0</v>
      </c>
      <c r="J18" s="59">
        <v>0</v>
      </c>
      <c r="K18" s="92">
        <f t="shared" si="0"/>
        <v>0.54166666666666674</v>
      </c>
      <c r="L18" s="92">
        <v>0</v>
      </c>
      <c r="M18" s="92">
        <f t="shared" si="1"/>
        <v>0</v>
      </c>
      <c r="N18" s="92">
        <v>0.54166666666666674</v>
      </c>
    </row>
    <row r="19" spans="1:14">
      <c r="A19" s="1" t="s">
        <v>59</v>
      </c>
      <c r="B19" s="105" t="s">
        <v>74</v>
      </c>
      <c r="C19" s="79">
        <v>0</v>
      </c>
      <c r="D19" s="18">
        <v>0</v>
      </c>
      <c r="E19" s="18">
        <v>0</v>
      </c>
      <c r="F19" s="18">
        <v>0</v>
      </c>
      <c r="G19" s="18">
        <v>2.0833333333333335</v>
      </c>
      <c r="H19" s="18">
        <v>0.625</v>
      </c>
      <c r="I19" s="18">
        <v>1.875</v>
      </c>
      <c r="J19" s="19">
        <v>1.625</v>
      </c>
      <c r="K19" s="6">
        <f t="shared" si="0"/>
        <v>6.2083333333333339</v>
      </c>
      <c r="L19" s="6">
        <v>0</v>
      </c>
      <c r="M19" s="6">
        <f t="shared" si="1"/>
        <v>0</v>
      </c>
      <c r="N19" s="6">
        <v>14.083333333333334</v>
      </c>
    </row>
    <row r="20" spans="1:14">
      <c r="A20" s="1" t="s">
        <v>59</v>
      </c>
      <c r="B20" s="106" t="s">
        <v>75</v>
      </c>
      <c r="C20" s="80">
        <v>13</v>
      </c>
      <c r="D20" s="28">
        <v>33.5</v>
      </c>
      <c r="E20" s="28">
        <v>11</v>
      </c>
      <c r="F20" s="28">
        <v>16</v>
      </c>
      <c r="G20" s="28">
        <v>0</v>
      </c>
      <c r="H20" s="28">
        <v>4</v>
      </c>
      <c r="I20" s="28">
        <v>26</v>
      </c>
      <c r="J20" s="29">
        <v>5</v>
      </c>
      <c r="K20" s="93"/>
      <c r="L20" s="93">
        <v>31</v>
      </c>
      <c r="M20" s="93">
        <f t="shared" si="1"/>
        <v>31</v>
      </c>
      <c r="N20" s="93"/>
    </row>
    <row r="21" spans="1:14">
      <c r="A21" s="1" t="s">
        <v>59</v>
      </c>
      <c r="B21" s="107" t="s">
        <v>76</v>
      </c>
      <c r="C21" s="81">
        <v>370000</v>
      </c>
      <c r="D21" s="35">
        <v>285000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6">
        <v>0</v>
      </c>
      <c r="K21" s="94">
        <f t="shared" si="0"/>
        <v>655000</v>
      </c>
      <c r="L21" s="94">
        <v>390000</v>
      </c>
      <c r="M21" s="94">
        <f t="shared" si="1"/>
        <v>390000</v>
      </c>
      <c r="N21" s="94">
        <v>3832000</v>
      </c>
    </row>
    <row r="22" spans="1:14">
      <c r="A22" s="1" t="s">
        <v>59</v>
      </c>
      <c r="B22" s="104" t="s">
        <v>77</v>
      </c>
      <c r="C22" s="82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5">
        <v>0</v>
      </c>
      <c r="K22" s="95">
        <f t="shared" si="0"/>
        <v>0</v>
      </c>
      <c r="L22" s="95">
        <v>0</v>
      </c>
      <c r="M22" s="95">
        <f t="shared" si="1"/>
        <v>0</v>
      </c>
      <c r="N22" s="95">
        <v>50000</v>
      </c>
    </row>
    <row r="23" spans="1:14">
      <c r="A23" s="1" t="s">
        <v>59</v>
      </c>
      <c r="B23" s="104" t="s">
        <v>78</v>
      </c>
      <c r="C23" s="82">
        <v>0</v>
      </c>
      <c r="D23" s="44">
        <v>3000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5">
        <v>0</v>
      </c>
      <c r="K23" s="95">
        <f t="shared" si="0"/>
        <v>3000</v>
      </c>
      <c r="L23" s="95">
        <v>0</v>
      </c>
      <c r="M23" s="95">
        <f t="shared" si="1"/>
        <v>0</v>
      </c>
      <c r="N23" s="95">
        <v>6000</v>
      </c>
    </row>
    <row r="24" spans="1:14">
      <c r="A24" s="1" t="s">
        <v>59</v>
      </c>
      <c r="B24" s="104" t="s">
        <v>79</v>
      </c>
      <c r="C24" s="82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5">
        <v>0</v>
      </c>
      <c r="K24" s="95">
        <f t="shared" si="0"/>
        <v>0</v>
      </c>
      <c r="L24" s="95">
        <v>0</v>
      </c>
      <c r="M24" s="95">
        <f t="shared" si="1"/>
        <v>0</v>
      </c>
      <c r="N24" s="95">
        <v>68584</v>
      </c>
    </row>
    <row r="25" spans="1:14">
      <c r="A25" s="1" t="s">
        <v>59</v>
      </c>
      <c r="B25" s="104" t="s">
        <v>80</v>
      </c>
      <c r="C25" s="82">
        <v>0</v>
      </c>
      <c r="D25" s="44">
        <v>0</v>
      </c>
      <c r="E25" s="44">
        <v>77625</v>
      </c>
      <c r="F25" s="44">
        <v>107000</v>
      </c>
      <c r="G25" s="44">
        <v>72150</v>
      </c>
      <c r="H25" s="44">
        <v>59475</v>
      </c>
      <c r="I25" s="44">
        <v>74100</v>
      </c>
      <c r="J25" s="45">
        <v>115050</v>
      </c>
      <c r="K25" s="95">
        <f t="shared" si="0"/>
        <v>505400</v>
      </c>
      <c r="L25" s="95">
        <v>0</v>
      </c>
      <c r="M25" s="95">
        <f t="shared" si="1"/>
        <v>0</v>
      </c>
      <c r="N25" s="95">
        <v>505400</v>
      </c>
    </row>
    <row r="26" spans="1:14">
      <c r="A26" s="1" t="s">
        <v>59</v>
      </c>
      <c r="B26" s="104" t="s">
        <v>81</v>
      </c>
      <c r="C26" s="82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5">
        <v>0</v>
      </c>
      <c r="K26" s="95">
        <f t="shared" si="0"/>
        <v>0</v>
      </c>
      <c r="L26" s="95">
        <v>0</v>
      </c>
      <c r="M26" s="95">
        <f t="shared" si="1"/>
        <v>0</v>
      </c>
      <c r="N26" s="95">
        <v>40000</v>
      </c>
    </row>
    <row r="27" spans="1:14">
      <c r="A27" s="1" t="s">
        <v>59</v>
      </c>
      <c r="B27" s="104" t="s">
        <v>82</v>
      </c>
      <c r="C27" s="82">
        <v>0</v>
      </c>
      <c r="D27" s="44">
        <v>0</v>
      </c>
      <c r="E27" s="44">
        <v>6210</v>
      </c>
      <c r="F27" s="44">
        <v>7490</v>
      </c>
      <c r="G27" s="44">
        <v>0</v>
      </c>
      <c r="H27" s="44">
        <v>0</v>
      </c>
      <c r="I27" s="44">
        <v>0</v>
      </c>
      <c r="J27" s="45">
        <v>0</v>
      </c>
      <c r="K27" s="95">
        <f t="shared" si="0"/>
        <v>13700</v>
      </c>
      <c r="L27" s="95">
        <v>0</v>
      </c>
      <c r="M27" s="95">
        <f t="shared" si="1"/>
        <v>0</v>
      </c>
      <c r="N27" s="95">
        <v>13700</v>
      </c>
    </row>
    <row r="28" spans="1:14">
      <c r="A28" s="1" t="s">
        <v>59</v>
      </c>
      <c r="B28" s="104" t="s">
        <v>67</v>
      </c>
      <c r="C28" s="82">
        <v>0</v>
      </c>
      <c r="D28" s="44">
        <v>47432</v>
      </c>
      <c r="E28" s="44">
        <v>0</v>
      </c>
      <c r="F28" s="44">
        <v>0</v>
      </c>
      <c r="G28" s="44">
        <v>0</v>
      </c>
      <c r="H28" s="44">
        <v>1219</v>
      </c>
      <c r="I28" s="44">
        <v>0</v>
      </c>
      <c r="J28" s="45">
        <v>3657</v>
      </c>
      <c r="K28" s="95">
        <f t="shared" si="0"/>
        <v>52308</v>
      </c>
      <c r="L28" s="95">
        <v>0</v>
      </c>
      <c r="M28" s="95">
        <f t="shared" si="1"/>
        <v>0</v>
      </c>
      <c r="N28" s="95">
        <v>940073</v>
      </c>
    </row>
    <row r="29" spans="1:14">
      <c r="A29" s="1" t="s">
        <v>59</v>
      </c>
      <c r="B29" s="104" t="s">
        <v>83</v>
      </c>
      <c r="C29" s="82">
        <v>0</v>
      </c>
      <c r="D29" s="44">
        <v>30277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5">
        <v>0</v>
      </c>
      <c r="K29" s="95">
        <f t="shared" si="0"/>
        <v>30277</v>
      </c>
      <c r="L29" s="95">
        <v>0</v>
      </c>
      <c r="M29" s="95">
        <f t="shared" si="1"/>
        <v>0</v>
      </c>
      <c r="N29" s="95">
        <v>387045</v>
      </c>
    </row>
    <row r="30" spans="1:14">
      <c r="A30" s="1" t="s">
        <v>59</v>
      </c>
      <c r="B30" s="104" t="s">
        <v>84</v>
      </c>
      <c r="C30" s="82">
        <v>0</v>
      </c>
      <c r="D30" s="44">
        <v>0</v>
      </c>
      <c r="E30" s="44">
        <v>0</v>
      </c>
      <c r="F30" s="44">
        <v>4335</v>
      </c>
      <c r="G30" s="44">
        <v>0</v>
      </c>
      <c r="H30" s="44">
        <v>0</v>
      </c>
      <c r="I30" s="44">
        <v>0</v>
      </c>
      <c r="J30" s="45">
        <v>0</v>
      </c>
      <c r="K30" s="95">
        <f t="shared" si="0"/>
        <v>4335</v>
      </c>
      <c r="L30" s="95">
        <v>0</v>
      </c>
      <c r="M30" s="95">
        <f t="shared" si="1"/>
        <v>0</v>
      </c>
      <c r="N30" s="95">
        <v>356637</v>
      </c>
    </row>
    <row r="31" spans="1:14">
      <c r="A31" s="1" t="s">
        <v>59</v>
      </c>
      <c r="B31" s="104" t="s">
        <v>85</v>
      </c>
      <c r="C31" s="82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5">
        <v>0</v>
      </c>
      <c r="K31" s="95">
        <f t="shared" si="0"/>
        <v>0</v>
      </c>
      <c r="L31" s="95">
        <v>0</v>
      </c>
      <c r="M31" s="95">
        <f t="shared" si="1"/>
        <v>0</v>
      </c>
      <c r="N31" s="95">
        <v>1556</v>
      </c>
    </row>
    <row r="32" spans="1:14">
      <c r="A32" s="1" t="s">
        <v>59</v>
      </c>
      <c r="B32" s="104" t="s">
        <v>86</v>
      </c>
      <c r="C32" s="82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5">
        <v>0</v>
      </c>
      <c r="K32" s="95">
        <f t="shared" si="0"/>
        <v>0</v>
      </c>
      <c r="L32" s="95">
        <v>0</v>
      </c>
      <c r="M32" s="95">
        <f t="shared" si="1"/>
        <v>0</v>
      </c>
      <c r="N32" s="95">
        <v>2900</v>
      </c>
    </row>
    <row r="33" spans="1:14">
      <c r="A33" s="1" t="s">
        <v>59</v>
      </c>
      <c r="B33" s="104" t="s">
        <v>72</v>
      </c>
      <c r="C33" s="82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5">
        <v>0</v>
      </c>
      <c r="K33" s="95">
        <f t="shared" si="0"/>
        <v>0</v>
      </c>
      <c r="L33" s="95">
        <v>0</v>
      </c>
      <c r="M33" s="95">
        <f t="shared" si="1"/>
        <v>0</v>
      </c>
      <c r="N33" s="95">
        <v>2358</v>
      </c>
    </row>
    <row r="34" spans="1:14">
      <c r="A34" s="1" t="s">
        <v>59</v>
      </c>
      <c r="B34" s="105" t="s">
        <v>74</v>
      </c>
      <c r="C34" s="83">
        <v>0</v>
      </c>
      <c r="D34" s="21">
        <v>0</v>
      </c>
      <c r="E34" s="21">
        <v>0</v>
      </c>
      <c r="F34" s="21">
        <v>0</v>
      </c>
      <c r="G34" s="21">
        <v>12200</v>
      </c>
      <c r="H34" s="21">
        <v>3660</v>
      </c>
      <c r="I34" s="21">
        <v>10980</v>
      </c>
      <c r="J34" s="22">
        <v>9516</v>
      </c>
      <c r="K34" s="7">
        <f t="shared" si="0"/>
        <v>36356</v>
      </c>
      <c r="L34" s="7">
        <v>0</v>
      </c>
      <c r="M34" s="7">
        <f t="shared" si="1"/>
        <v>0</v>
      </c>
      <c r="N34" s="7">
        <v>91489</v>
      </c>
    </row>
    <row r="35" spans="1:14">
      <c r="A35" s="1" t="s">
        <v>59</v>
      </c>
      <c r="B35" s="106" t="s">
        <v>87</v>
      </c>
      <c r="C35" s="84">
        <v>370000</v>
      </c>
      <c r="D35" s="31">
        <v>365709</v>
      </c>
      <c r="E35" s="31">
        <v>83835</v>
      </c>
      <c r="F35" s="31">
        <v>118825</v>
      </c>
      <c r="G35" s="31">
        <v>84350</v>
      </c>
      <c r="H35" s="31">
        <v>64354</v>
      </c>
      <c r="I35" s="31">
        <v>85080</v>
      </c>
      <c r="J35" s="32">
        <v>128223</v>
      </c>
      <c r="K35" s="96">
        <f t="shared" si="0"/>
        <v>1300376</v>
      </c>
      <c r="L35" s="96">
        <v>390000</v>
      </c>
      <c r="M35" s="96">
        <f t="shared" si="1"/>
        <v>390000</v>
      </c>
      <c r="N35" s="96">
        <v>6297742</v>
      </c>
    </row>
    <row r="36" spans="1:14">
      <c r="A36" s="1" t="s">
        <v>59</v>
      </c>
      <c r="B36" s="107" t="s">
        <v>88</v>
      </c>
      <c r="C36" s="81">
        <v>3242</v>
      </c>
      <c r="D36" s="35">
        <v>5350</v>
      </c>
      <c r="E36" s="35">
        <v>2810</v>
      </c>
      <c r="F36" s="35">
        <v>2297</v>
      </c>
      <c r="G36" s="35">
        <v>4755</v>
      </c>
      <c r="H36" s="35">
        <v>2810</v>
      </c>
      <c r="I36" s="35">
        <v>4539</v>
      </c>
      <c r="J36" s="36">
        <v>12428</v>
      </c>
      <c r="K36" s="94">
        <f t="shared" si="0"/>
        <v>38231</v>
      </c>
      <c r="L36" s="94">
        <v>6322</v>
      </c>
      <c r="M36" s="94">
        <f t="shared" si="1"/>
        <v>6322</v>
      </c>
      <c r="N36" s="94">
        <v>134547</v>
      </c>
    </row>
    <row r="37" spans="1:14">
      <c r="A37" s="1" t="s">
        <v>59</v>
      </c>
      <c r="B37" s="105" t="s">
        <v>89</v>
      </c>
      <c r="C37" s="83">
        <v>3242</v>
      </c>
      <c r="D37" s="21">
        <v>5350</v>
      </c>
      <c r="E37" s="21">
        <v>2810</v>
      </c>
      <c r="F37" s="21">
        <v>2297</v>
      </c>
      <c r="G37" s="21">
        <v>4755</v>
      </c>
      <c r="H37" s="21">
        <v>2810</v>
      </c>
      <c r="I37" s="21">
        <v>4539</v>
      </c>
      <c r="J37" s="22">
        <v>12428</v>
      </c>
      <c r="K37" s="7">
        <f t="shared" si="0"/>
        <v>38231</v>
      </c>
      <c r="L37" s="7">
        <v>6322</v>
      </c>
      <c r="M37" s="7">
        <f t="shared" si="1"/>
        <v>6322</v>
      </c>
      <c r="N37" s="7">
        <v>134547</v>
      </c>
    </row>
    <row r="38" spans="1:14">
      <c r="A38" s="1" t="s">
        <v>59</v>
      </c>
      <c r="B38" s="106" t="s">
        <v>90</v>
      </c>
      <c r="C38" s="84">
        <v>373242</v>
      </c>
      <c r="D38" s="31">
        <v>371059</v>
      </c>
      <c r="E38" s="31">
        <v>86645</v>
      </c>
      <c r="F38" s="31">
        <v>121122</v>
      </c>
      <c r="G38" s="31">
        <v>89105</v>
      </c>
      <c r="H38" s="31">
        <v>67164</v>
      </c>
      <c r="I38" s="31">
        <v>89619</v>
      </c>
      <c r="J38" s="32">
        <v>140651</v>
      </c>
      <c r="K38" s="96">
        <f t="shared" si="0"/>
        <v>1338607</v>
      </c>
      <c r="L38" s="96">
        <v>396322</v>
      </c>
      <c r="M38" s="96">
        <f t="shared" si="1"/>
        <v>396322</v>
      </c>
      <c r="N38" s="96">
        <v>6432289</v>
      </c>
    </row>
    <row r="39" spans="1:14">
      <c r="A39" s="1" t="s">
        <v>59</v>
      </c>
      <c r="B39" s="107" t="s">
        <v>91</v>
      </c>
      <c r="C39" s="81">
        <v>18360</v>
      </c>
      <c r="D39" s="35">
        <v>18360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6">
        <v>6834</v>
      </c>
      <c r="K39" s="94">
        <f t="shared" si="0"/>
        <v>43554</v>
      </c>
      <c r="L39" s="94">
        <v>19380</v>
      </c>
      <c r="M39" s="94">
        <f t="shared" si="1"/>
        <v>19380</v>
      </c>
      <c r="N39" s="94">
        <v>328134</v>
      </c>
    </row>
    <row r="40" spans="1:14">
      <c r="A40" s="1" t="s">
        <v>59</v>
      </c>
      <c r="B40" s="104" t="s">
        <v>92</v>
      </c>
      <c r="C40" s="82">
        <v>3240</v>
      </c>
      <c r="D40" s="44">
        <v>3240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5">
        <v>0</v>
      </c>
      <c r="K40" s="95">
        <f t="shared" si="0"/>
        <v>6480</v>
      </c>
      <c r="L40" s="95">
        <v>3420</v>
      </c>
      <c r="M40" s="95">
        <f t="shared" si="1"/>
        <v>3420</v>
      </c>
      <c r="N40" s="95">
        <v>54360</v>
      </c>
    </row>
    <row r="41" spans="1:14">
      <c r="A41" s="1" t="s">
        <v>59</v>
      </c>
      <c r="B41" s="104" t="s">
        <v>93</v>
      </c>
      <c r="C41" s="82">
        <v>32940</v>
      </c>
      <c r="D41" s="44">
        <v>32940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5">
        <v>12261</v>
      </c>
      <c r="K41" s="95">
        <f t="shared" si="0"/>
        <v>78141</v>
      </c>
      <c r="L41" s="95">
        <v>34770</v>
      </c>
      <c r="M41" s="95">
        <f t="shared" si="1"/>
        <v>34770</v>
      </c>
      <c r="N41" s="95">
        <v>588711</v>
      </c>
    </row>
    <row r="42" spans="1:14">
      <c r="A42" s="1" t="s">
        <v>59</v>
      </c>
      <c r="B42" s="108" t="s">
        <v>94</v>
      </c>
      <c r="C42" s="85">
        <v>2239</v>
      </c>
      <c r="D42" s="48">
        <v>2226</v>
      </c>
      <c r="E42" s="48">
        <v>520</v>
      </c>
      <c r="F42" s="48">
        <v>727</v>
      </c>
      <c r="G42" s="48">
        <v>0</v>
      </c>
      <c r="H42" s="48">
        <v>0</v>
      </c>
      <c r="I42" s="48">
        <v>538</v>
      </c>
      <c r="J42" s="49">
        <v>844</v>
      </c>
      <c r="K42" s="97">
        <f t="shared" si="0"/>
        <v>7094</v>
      </c>
      <c r="L42" s="97">
        <v>2378</v>
      </c>
      <c r="M42" s="97">
        <f t="shared" si="1"/>
        <v>2378</v>
      </c>
      <c r="N42" s="97">
        <v>37656</v>
      </c>
    </row>
    <row r="43" spans="1:14">
      <c r="A43" s="1" t="s">
        <v>59</v>
      </c>
      <c r="B43" s="106" t="s">
        <v>95</v>
      </c>
      <c r="C43" s="84">
        <v>56779</v>
      </c>
      <c r="D43" s="31">
        <v>56766</v>
      </c>
      <c r="E43" s="31">
        <v>520</v>
      </c>
      <c r="F43" s="31">
        <v>727</v>
      </c>
      <c r="G43" s="31">
        <v>0</v>
      </c>
      <c r="H43" s="31">
        <v>0</v>
      </c>
      <c r="I43" s="31">
        <v>538</v>
      </c>
      <c r="J43" s="32">
        <v>19939</v>
      </c>
      <c r="K43" s="96">
        <f t="shared" si="0"/>
        <v>135269</v>
      </c>
      <c r="L43" s="96">
        <v>59948</v>
      </c>
      <c r="M43" s="96">
        <f t="shared" si="1"/>
        <v>59948</v>
      </c>
      <c r="N43" s="96">
        <v>1008861</v>
      </c>
    </row>
    <row r="44" spans="1:14">
      <c r="A44" s="1" t="s">
        <v>59</v>
      </c>
      <c r="B44" s="107" t="s">
        <v>96</v>
      </c>
      <c r="C44" s="81">
        <v>7260</v>
      </c>
      <c r="D44" s="35">
        <v>7090</v>
      </c>
      <c r="E44" s="35">
        <v>0</v>
      </c>
      <c r="F44" s="35">
        <v>1650</v>
      </c>
      <c r="G44" s="35">
        <v>0</v>
      </c>
      <c r="H44" s="35">
        <v>0</v>
      </c>
      <c r="I44" s="35">
        <v>0</v>
      </c>
      <c r="J44" s="36">
        <v>0</v>
      </c>
      <c r="K44" s="94">
        <f t="shared" si="0"/>
        <v>16000</v>
      </c>
      <c r="L44" s="94">
        <v>10830</v>
      </c>
      <c r="M44" s="94">
        <f t="shared" si="1"/>
        <v>10830</v>
      </c>
      <c r="N44" s="94">
        <v>115840</v>
      </c>
    </row>
    <row r="45" spans="1:14">
      <c r="A45" s="1" t="s">
        <v>59</v>
      </c>
      <c r="B45" s="104" t="s">
        <v>97</v>
      </c>
      <c r="C45" s="82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5">
        <v>0</v>
      </c>
      <c r="K45" s="95">
        <f t="shared" si="0"/>
        <v>0</v>
      </c>
      <c r="L45" s="95">
        <v>0</v>
      </c>
      <c r="M45" s="95">
        <f t="shared" si="1"/>
        <v>0</v>
      </c>
      <c r="N45" s="95">
        <v>16900</v>
      </c>
    </row>
    <row r="46" spans="1:14">
      <c r="A46" s="1" t="s">
        <v>59</v>
      </c>
      <c r="B46" s="104" t="s">
        <v>98</v>
      </c>
      <c r="C46" s="82">
        <v>18600</v>
      </c>
      <c r="D46" s="44">
        <v>17000</v>
      </c>
      <c r="E46" s="44">
        <v>0</v>
      </c>
      <c r="F46" s="44">
        <v>0</v>
      </c>
      <c r="G46" s="44">
        <v>0</v>
      </c>
      <c r="H46" s="44">
        <v>0</v>
      </c>
      <c r="I46" s="44">
        <v>2700</v>
      </c>
      <c r="J46" s="45">
        <v>10700</v>
      </c>
      <c r="K46" s="95">
        <f t="shared" si="0"/>
        <v>49000</v>
      </c>
      <c r="L46" s="95">
        <v>21700</v>
      </c>
      <c r="M46" s="95">
        <f t="shared" si="1"/>
        <v>21700</v>
      </c>
      <c r="N46" s="95">
        <v>248300</v>
      </c>
    </row>
    <row r="47" spans="1:14">
      <c r="A47" s="1" t="s">
        <v>59</v>
      </c>
      <c r="B47" s="105" t="s">
        <v>99</v>
      </c>
      <c r="C47" s="83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2">
        <v>0</v>
      </c>
      <c r="K47" s="7">
        <f t="shared" si="0"/>
        <v>0</v>
      </c>
      <c r="L47" s="7">
        <v>0</v>
      </c>
      <c r="M47" s="7">
        <f t="shared" si="1"/>
        <v>0</v>
      </c>
      <c r="N47" s="98">
        <v>-77870</v>
      </c>
    </row>
    <row r="48" spans="1:14">
      <c r="A48" s="1" t="s">
        <v>59</v>
      </c>
      <c r="B48" s="106" t="s">
        <v>100</v>
      </c>
      <c r="C48" s="84">
        <v>82639</v>
      </c>
      <c r="D48" s="31">
        <v>80856</v>
      </c>
      <c r="E48" s="31">
        <v>520</v>
      </c>
      <c r="F48" s="31">
        <v>2377</v>
      </c>
      <c r="G48" s="31">
        <v>0</v>
      </c>
      <c r="H48" s="31">
        <v>0</v>
      </c>
      <c r="I48" s="31">
        <v>3238</v>
      </c>
      <c r="J48" s="32">
        <v>30639</v>
      </c>
      <c r="K48" s="96">
        <f t="shared" si="0"/>
        <v>200269</v>
      </c>
      <c r="L48" s="96">
        <v>92478</v>
      </c>
      <c r="M48" s="96">
        <f t="shared" si="1"/>
        <v>92478</v>
      </c>
      <c r="N48" s="96">
        <v>1312031</v>
      </c>
    </row>
    <row r="49" spans="1:14">
      <c r="A49" s="1" t="s">
        <v>59</v>
      </c>
      <c r="B49" s="106" t="s">
        <v>101</v>
      </c>
      <c r="C49" s="84">
        <v>313221</v>
      </c>
      <c r="D49" s="31">
        <v>308943</v>
      </c>
      <c r="E49" s="31">
        <v>83315</v>
      </c>
      <c r="F49" s="31">
        <v>118098</v>
      </c>
      <c r="G49" s="31">
        <v>84350</v>
      </c>
      <c r="H49" s="31">
        <v>64354</v>
      </c>
      <c r="I49" s="31">
        <v>84542</v>
      </c>
      <c r="J49" s="32">
        <v>108284</v>
      </c>
      <c r="K49" s="96">
        <f t="shared" si="0"/>
        <v>1165107</v>
      </c>
      <c r="L49" s="96">
        <v>330052</v>
      </c>
      <c r="M49" s="96">
        <f t="shared" si="1"/>
        <v>330052</v>
      </c>
      <c r="N49" s="96">
        <v>5288881</v>
      </c>
    </row>
    <row r="50" spans="1:14">
      <c r="A50" s="1" t="s">
        <v>59</v>
      </c>
      <c r="B50" s="106" t="s">
        <v>102</v>
      </c>
      <c r="C50" s="84">
        <v>290603</v>
      </c>
      <c r="D50" s="31">
        <v>290203</v>
      </c>
      <c r="E50" s="31">
        <v>86125</v>
      </c>
      <c r="F50" s="31">
        <v>118745</v>
      </c>
      <c r="G50" s="31">
        <v>89105</v>
      </c>
      <c r="H50" s="31">
        <v>67164</v>
      </c>
      <c r="I50" s="31">
        <v>86381</v>
      </c>
      <c r="J50" s="32">
        <v>110012</v>
      </c>
      <c r="K50" s="96">
        <f t="shared" si="0"/>
        <v>1138338</v>
      </c>
      <c r="L50" s="96">
        <v>303844</v>
      </c>
      <c r="M50" s="96">
        <f t="shared" si="1"/>
        <v>303844</v>
      </c>
      <c r="N50" s="96">
        <v>5120258</v>
      </c>
    </row>
    <row r="51" spans="1:14">
      <c r="A51" s="1" t="s">
        <v>59</v>
      </c>
      <c r="B51" s="106" t="s">
        <v>103</v>
      </c>
      <c r="C51" s="84">
        <v>290603</v>
      </c>
      <c r="D51" s="31">
        <v>290203</v>
      </c>
      <c r="E51" s="31">
        <v>86125</v>
      </c>
      <c r="F51" s="31">
        <v>118745</v>
      </c>
      <c r="G51" s="31">
        <v>89105</v>
      </c>
      <c r="H51" s="31">
        <v>67164</v>
      </c>
      <c r="I51" s="31">
        <v>86381</v>
      </c>
      <c r="J51" s="32">
        <v>110012</v>
      </c>
      <c r="K51" s="96">
        <f t="shared" si="0"/>
        <v>1138338</v>
      </c>
      <c r="L51" s="96">
        <v>303844</v>
      </c>
      <c r="M51" s="96">
        <f t="shared" si="1"/>
        <v>303844</v>
      </c>
      <c r="N51" s="96">
        <v>5120258</v>
      </c>
    </row>
    <row r="52" spans="1:14">
      <c r="A52" s="1" t="s">
        <v>59</v>
      </c>
      <c r="B52" s="106" t="s">
        <v>104</v>
      </c>
      <c r="C52" s="84">
        <v>1</v>
      </c>
      <c r="D52" s="31">
        <v>1</v>
      </c>
      <c r="E52" s="31">
        <v>0</v>
      </c>
      <c r="F52" s="31">
        <v>0</v>
      </c>
      <c r="G52" s="31">
        <v>1</v>
      </c>
      <c r="H52" s="31">
        <v>1</v>
      </c>
      <c r="I52" s="31">
        <v>1</v>
      </c>
      <c r="J52" s="32">
        <v>1</v>
      </c>
      <c r="K52" s="96"/>
      <c r="L52" s="96">
        <v>0</v>
      </c>
      <c r="M52" s="96"/>
      <c r="N52" s="96"/>
    </row>
    <row r="53" spans="1:14">
      <c r="A53" s="1" t="s">
        <v>59</v>
      </c>
      <c r="B53" s="106" t="s">
        <v>105</v>
      </c>
      <c r="C53" s="86" t="s">
        <v>106</v>
      </c>
      <c r="D53" s="40" t="s">
        <v>106</v>
      </c>
      <c r="E53" s="40" t="s">
        <v>106</v>
      </c>
      <c r="F53" s="40" t="s">
        <v>106</v>
      </c>
      <c r="G53" s="40" t="s">
        <v>106</v>
      </c>
      <c r="H53" s="40" t="s">
        <v>106</v>
      </c>
      <c r="I53" s="40" t="s">
        <v>106</v>
      </c>
      <c r="J53" s="41" t="s">
        <v>106</v>
      </c>
      <c r="K53" s="99"/>
      <c r="L53" s="99" t="s">
        <v>106</v>
      </c>
      <c r="M53" s="99"/>
      <c r="N53" s="99"/>
    </row>
    <row r="54" spans="1:14" ht="19.5" thickBot="1">
      <c r="A54" s="1" t="s">
        <v>59</v>
      </c>
      <c r="B54" s="109" t="s">
        <v>107</v>
      </c>
      <c r="C54" s="87">
        <v>7260</v>
      </c>
      <c r="D54" s="24">
        <v>7090</v>
      </c>
      <c r="E54" s="24">
        <v>0</v>
      </c>
      <c r="F54" s="24">
        <v>1650</v>
      </c>
      <c r="G54" s="24">
        <v>0</v>
      </c>
      <c r="H54" s="24">
        <v>0</v>
      </c>
      <c r="I54" s="24">
        <v>0</v>
      </c>
      <c r="J54" s="25">
        <v>0</v>
      </c>
      <c r="K54" s="8">
        <f t="shared" si="0"/>
        <v>16000</v>
      </c>
      <c r="L54" s="8">
        <v>10830</v>
      </c>
      <c r="M54" s="8">
        <f t="shared" si="1"/>
        <v>10830</v>
      </c>
      <c r="N54" s="8">
        <v>115840</v>
      </c>
    </row>
  </sheetData>
  <phoneticPr fontId="3"/>
  <pageMargins left="0.31496062992125984" right="0.31496062992125984" top="0.15748031496062992" bottom="0.15748031496062992" header="0.11811023622047245" footer="0.11811023622047245"/>
  <pageSetup paperSize="12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195E-FAAC-46DE-B0E0-322FFB65F4E2}">
  <sheetPr>
    <pageSetUpPr fitToPage="1"/>
  </sheetPr>
  <dimension ref="A1:S54"/>
  <sheetViews>
    <sheetView workbookViewId="0">
      <pane xSplit="2" ySplit="4" topLeftCell="C5" activePane="bottomRight" state="frozen"/>
      <selection pane="bottomRight" activeCell="B2" sqref="B2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9" width="11.25" style="2" customWidth="1"/>
    <col min="20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64" width="11.125" style="2" bestFit="1" customWidth="1"/>
    <col min="265" max="265" width="9" style="2"/>
    <col min="266" max="272" width="11.125" style="2" bestFit="1" customWidth="1"/>
    <col min="273" max="273" width="9" style="2"/>
    <col min="274" max="274" width="9.625" style="2" bestFit="1" customWidth="1"/>
    <col min="275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20" width="11.125" style="2" bestFit="1" customWidth="1"/>
    <col min="521" max="521" width="9" style="2"/>
    <col min="522" max="528" width="11.125" style="2" bestFit="1" customWidth="1"/>
    <col min="529" max="529" width="9" style="2"/>
    <col min="530" max="530" width="9.625" style="2" bestFit="1" customWidth="1"/>
    <col min="531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76" width="11.125" style="2" bestFit="1" customWidth="1"/>
    <col min="777" max="777" width="9" style="2"/>
    <col min="778" max="784" width="11.125" style="2" bestFit="1" customWidth="1"/>
    <col min="785" max="785" width="9" style="2"/>
    <col min="786" max="786" width="9.625" style="2" bestFit="1" customWidth="1"/>
    <col min="787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32" width="11.125" style="2" bestFit="1" customWidth="1"/>
    <col min="1033" max="1033" width="9" style="2"/>
    <col min="1034" max="1040" width="11.125" style="2" bestFit="1" customWidth="1"/>
    <col min="1041" max="1041" width="9" style="2"/>
    <col min="1042" max="1042" width="9.625" style="2" bestFit="1" customWidth="1"/>
    <col min="1043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88" width="11.125" style="2" bestFit="1" customWidth="1"/>
    <col min="1289" max="1289" width="9" style="2"/>
    <col min="1290" max="1296" width="11.125" style="2" bestFit="1" customWidth="1"/>
    <col min="1297" max="1297" width="9" style="2"/>
    <col min="1298" max="1298" width="9.625" style="2" bestFit="1" customWidth="1"/>
    <col min="1299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44" width="11.125" style="2" bestFit="1" customWidth="1"/>
    <col min="1545" max="1545" width="9" style="2"/>
    <col min="1546" max="1552" width="11.125" style="2" bestFit="1" customWidth="1"/>
    <col min="1553" max="1553" width="9" style="2"/>
    <col min="1554" max="1554" width="9.625" style="2" bestFit="1" customWidth="1"/>
    <col min="1555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800" width="11.125" style="2" bestFit="1" customWidth="1"/>
    <col min="1801" max="1801" width="9" style="2"/>
    <col min="1802" max="1808" width="11.125" style="2" bestFit="1" customWidth="1"/>
    <col min="1809" max="1809" width="9" style="2"/>
    <col min="1810" max="1810" width="9.625" style="2" bestFit="1" customWidth="1"/>
    <col min="1811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56" width="11.125" style="2" bestFit="1" customWidth="1"/>
    <col min="2057" max="2057" width="9" style="2"/>
    <col min="2058" max="2064" width="11.125" style="2" bestFit="1" customWidth="1"/>
    <col min="2065" max="2065" width="9" style="2"/>
    <col min="2066" max="2066" width="9.625" style="2" bestFit="1" customWidth="1"/>
    <col min="2067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12" width="11.125" style="2" bestFit="1" customWidth="1"/>
    <col min="2313" max="2313" width="9" style="2"/>
    <col min="2314" max="2320" width="11.125" style="2" bestFit="1" customWidth="1"/>
    <col min="2321" max="2321" width="9" style="2"/>
    <col min="2322" max="2322" width="9.625" style="2" bestFit="1" customWidth="1"/>
    <col min="2323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68" width="11.125" style="2" bestFit="1" customWidth="1"/>
    <col min="2569" max="2569" width="9" style="2"/>
    <col min="2570" max="2576" width="11.125" style="2" bestFit="1" customWidth="1"/>
    <col min="2577" max="2577" width="9" style="2"/>
    <col min="2578" max="2578" width="9.625" style="2" bestFit="1" customWidth="1"/>
    <col min="2579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24" width="11.125" style="2" bestFit="1" customWidth="1"/>
    <col min="2825" max="2825" width="9" style="2"/>
    <col min="2826" max="2832" width="11.125" style="2" bestFit="1" customWidth="1"/>
    <col min="2833" max="2833" width="9" style="2"/>
    <col min="2834" max="2834" width="9.625" style="2" bestFit="1" customWidth="1"/>
    <col min="2835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80" width="11.125" style="2" bestFit="1" customWidth="1"/>
    <col min="3081" max="3081" width="9" style="2"/>
    <col min="3082" max="3088" width="11.125" style="2" bestFit="1" customWidth="1"/>
    <col min="3089" max="3089" width="9" style="2"/>
    <col min="3090" max="3090" width="9.625" style="2" bestFit="1" customWidth="1"/>
    <col min="3091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36" width="11.125" style="2" bestFit="1" customWidth="1"/>
    <col min="3337" max="3337" width="9" style="2"/>
    <col min="3338" max="3344" width="11.125" style="2" bestFit="1" customWidth="1"/>
    <col min="3345" max="3345" width="9" style="2"/>
    <col min="3346" max="3346" width="9.625" style="2" bestFit="1" customWidth="1"/>
    <col min="3347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92" width="11.125" style="2" bestFit="1" customWidth="1"/>
    <col min="3593" max="3593" width="9" style="2"/>
    <col min="3594" max="3600" width="11.125" style="2" bestFit="1" customWidth="1"/>
    <col min="3601" max="3601" width="9" style="2"/>
    <col min="3602" max="3602" width="9.625" style="2" bestFit="1" customWidth="1"/>
    <col min="3603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48" width="11.125" style="2" bestFit="1" customWidth="1"/>
    <col min="3849" max="3849" width="9" style="2"/>
    <col min="3850" max="3856" width="11.125" style="2" bestFit="1" customWidth="1"/>
    <col min="3857" max="3857" width="9" style="2"/>
    <col min="3858" max="3858" width="9.625" style="2" bestFit="1" customWidth="1"/>
    <col min="3859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104" width="11.125" style="2" bestFit="1" customWidth="1"/>
    <col min="4105" max="4105" width="9" style="2"/>
    <col min="4106" max="4112" width="11.125" style="2" bestFit="1" customWidth="1"/>
    <col min="4113" max="4113" width="9" style="2"/>
    <col min="4114" max="4114" width="9.625" style="2" bestFit="1" customWidth="1"/>
    <col min="4115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60" width="11.125" style="2" bestFit="1" customWidth="1"/>
    <col min="4361" max="4361" width="9" style="2"/>
    <col min="4362" max="4368" width="11.125" style="2" bestFit="1" customWidth="1"/>
    <col min="4369" max="4369" width="9" style="2"/>
    <col min="4370" max="4370" width="9.625" style="2" bestFit="1" customWidth="1"/>
    <col min="4371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16" width="11.125" style="2" bestFit="1" customWidth="1"/>
    <col min="4617" max="4617" width="9" style="2"/>
    <col min="4618" max="4624" width="11.125" style="2" bestFit="1" customWidth="1"/>
    <col min="4625" max="4625" width="9" style="2"/>
    <col min="4626" max="4626" width="9.625" style="2" bestFit="1" customWidth="1"/>
    <col min="4627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72" width="11.125" style="2" bestFit="1" customWidth="1"/>
    <col min="4873" max="4873" width="9" style="2"/>
    <col min="4874" max="4880" width="11.125" style="2" bestFit="1" customWidth="1"/>
    <col min="4881" max="4881" width="9" style="2"/>
    <col min="4882" max="4882" width="9.625" style="2" bestFit="1" customWidth="1"/>
    <col min="4883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28" width="11.125" style="2" bestFit="1" customWidth="1"/>
    <col min="5129" max="5129" width="9" style="2"/>
    <col min="5130" max="5136" width="11.125" style="2" bestFit="1" customWidth="1"/>
    <col min="5137" max="5137" width="9" style="2"/>
    <col min="5138" max="5138" width="9.625" style="2" bestFit="1" customWidth="1"/>
    <col min="5139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84" width="11.125" style="2" bestFit="1" customWidth="1"/>
    <col min="5385" max="5385" width="9" style="2"/>
    <col min="5386" max="5392" width="11.125" style="2" bestFit="1" customWidth="1"/>
    <col min="5393" max="5393" width="9" style="2"/>
    <col min="5394" max="5394" width="9.625" style="2" bestFit="1" customWidth="1"/>
    <col min="5395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40" width="11.125" style="2" bestFit="1" customWidth="1"/>
    <col min="5641" max="5641" width="9" style="2"/>
    <col min="5642" max="5648" width="11.125" style="2" bestFit="1" customWidth="1"/>
    <col min="5649" max="5649" width="9" style="2"/>
    <col min="5650" max="5650" width="9.625" style="2" bestFit="1" customWidth="1"/>
    <col min="5651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96" width="11.125" style="2" bestFit="1" customWidth="1"/>
    <col min="5897" max="5897" width="9" style="2"/>
    <col min="5898" max="5904" width="11.125" style="2" bestFit="1" customWidth="1"/>
    <col min="5905" max="5905" width="9" style="2"/>
    <col min="5906" max="5906" width="9.625" style="2" bestFit="1" customWidth="1"/>
    <col min="5907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52" width="11.125" style="2" bestFit="1" customWidth="1"/>
    <col min="6153" max="6153" width="9" style="2"/>
    <col min="6154" max="6160" width="11.125" style="2" bestFit="1" customWidth="1"/>
    <col min="6161" max="6161" width="9" style="2"/>
    <col min="6162" max="6162" width="9.625" style="2" bestFit="1" customWidth="1"/>
    <col min="6163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408" width="11.125" style="2" bestFit="1" customWidth="1"/>
    <col min="6409" max="6409" width="9" style="2"/>
    <col min="6410" max="6416" width="11.125" style="2" bestFit="1" customWidth="1"/>
    <col min="6417" max="6417" width="9" style="2"/>
    <col min="6418" max="6418" width="9.625" style="2" bestFit="1" customWidth="1"/>
    <col min="6419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64" width="11.125" style="2" bestFit="1" customWidth="1"/>
    <col min="6665" max="6665" width="9" style="2"/>
    <col min="6666" max="6672" width="11.125" style="2" bestFit="1" customWidth="1"/>
    <col min="6673" max="6673" width="9" style="2"/>
    <col min="6674" max="6674" width="9.625" style="2" bestFit="1" customWidth="1"/>
    <col min="6675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20" width="11.125" style="2" bestFit="1" customWidth="1"/>
    <col min="6921" max="6921" width="9" style="2"/>
    <col min="6922" max="6928" width="11.125" style="2" bestFit="1" customWidth="1"/>
    <col min="6929" max="6929" width="9" style="2"/>
    <col min="6930" max="6930" width="9.625" style="2" bestFit="1" customWidth="1"/>
    <col min="6931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76" width="11.125" style="2" bestFit="1" customWidth="1"/>
    <col min="7177" max="7177" width="9" style="2"/>
    <col min="7178" max="7184" width="11.125" style="2" bestFit="1" customWidth="1"/>
    <col min="7185" max="7185" width="9" style="2"/>
    <col min="7186" max="7186" width="9.625" style="2" bestFit="1" customWidth="1"/>
    <col min="7187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32" width="11.125" style="2" bestFit="1" customWidth="1"/>
    <col min="7433" max="7433" width="9" style="2"/>
    <col min="7434" max="7440" width="11.125" style="2" bestFit="1" customWidth="1"/>
    <col min="7441" max="7441" width="9" style="2"/>
    <col min="7442" max="7442" width="9.625" style="2" bestFit="1" customWidth="1"/>
    <col min="7443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88" width="11.125" style="2" bestFit="1" customWidth="1"/>
    <col min="7689" max="7689" width="9" style="2"/>
    <col min="7690" max="7696" width="11.125" style="2" bestFit="1" customWidth="1"/>
    <col min="7697" max="7697" width="9" style="2"/>
    <col min="7698" max="7698" width="9.625" style="2" bestFit="1" customWidth="1"/>
    <col min="7699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44" width="11.125" style="2" bestFit="1" customWidth="1"/>
    <col min="7945" max="7945" width="9" style="2"/>
    <col min="7946" max="7952" width="11.125" style="2" bestFit="1" customWidth="1"/>
    <col min="7953" max="7953" width="9" style="2"/>
    <col min="7954" max="7954" width="9.625" style="2" bestFit="1" customWidth="1"/>
    <col min="7955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200" width="11.125" style="2" bestFit="1" customWidth="1"/>
    <col min="8201" max="8201" width="9" style="2"/>
    <col min="8202" max="8208" width="11.125" style="2" bestFit="1" customWidth="1"/>
    <col min="8209" max="8209" width="9" style="2"/>
    <col min="8210" max="8210" width="9.625" style="2" bestFit="1" customWidth="1"/>
    <col min="8211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56" width="11.125" style="2" bestFit="1" customWidth="1"/>
    <col min="8457" max="8457" width="9" style="2"/>
    <col min="8458" max="8464" width="11.125" style="2" bestFit="1" customWidth="1"/>
    <col min="8465" max="8465" width="9" style="2"/>
    <col min="8466" max="8466" width="9.625" style="2" bestFit="1" customWidth="1"/>
    <col min="8467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12" width="11.125" style="2" bestFit="1" customWidth="1"/>
    <col min="8713" max="8713" width="9" style="2"/>
    <col min="8714" max="8720" width="11.125" style="2" bestFit="1" customWidth="1"/>
    <col min="8721" max="8721" width="9" style="2"/>
    <col min="8722" max="8722" width="9.625" style="2" bestFit="1" customWidth="1"/>
    <col min="8723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68" width="11.125" style="2" bestFit="1" customWidth="1"/>
    <col min="8969" max="8969" width="9" style="2"/>
    <col min="8970" max="8976" width="11.125" style="2" bestFit="1" customWidth="1"/>
    <col min="8977" max="8977" width="9" style="2"/>
    <col min="8978" max="8978" width="9.625" style="2" bestFit="1" customWidth="1"/>
    <col min="8979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24" width="11.125" style="2" bestFit="1" customWidth="1"/>
    <col min="9225" max="9225" width="9" style="2"/>
    <col min="9226" max="9232" width="11.125" style="2" bestFit="1" customWidth="1"/>
    <col min="9233" max="9233" width="9" style="2"/>
    <col min="9234" max="9234" width="9.625" style="2" bestFit="1" customWidth="1"/>
    <col min="9235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80" width="11.125" style="2" bestFit="1" customWidth="1"/>
    <col min="9481" max="9481" width="9" style="2"/>
    <col min="9482" max="9488" width="11.125" style="2" bestFit="1" customWidth="1"/>
    <col min="9489" max="9489" width="9" style="2"/>
    <col min="9490" max="9490" width="9.625" style="2" bestFit="1" customWidth="1"/>
    <col min="9491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36" width="11.125" style="2" bestFit="1" customWidth="1"/>
    <col min="9737" max="9737" width="9" style="2"/>
    <col min="9738" max="9744" width="11.125" style="2" bestFit="1" customWidth="1"/>
    <col min="9745" max="9745" width="9" style="2"/>
    <col min="9746" max="9746" width="9.625" style="2" bestFit="1" customWidth="1"/>
    <col min="9747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92" width="11.125" style="2" bestFit="1" customWidth="1"/>
    <col min="9993" max="9993" width="9" style="2"/>
    <col min="9994" max="10000" width="11.125" style="2" bestFit="1" customWidth="1"/>
    <col min="10001" max="10001" width="9" style="2"/>
    <col min="10002" max="10002" width="9.625" style="2" bestFit="1" customWidth="1"/>
    <col min="10003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48" width="11.125" style="2" bestFit="1" customWidth="1"/>
    <col min="10249" max="10249" width="9" style="2"/>
    <col min="10250" max="10256" width="11.125" style="2" bestFit="1" customWidth="1"/>
    <col min="10257" max="10257" width="9" style="2"/>
    <col min="10258" max="10258" width="9.625" style="2" bestFit="1" customWidth="1"/>
    <col min="10259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504" width="11.125" style="2" bestFit="1" customWidth="1"/>
    <col min="10505" max="10505" width="9" style="2"/>
    <col min="10506" max="10512" width="11.125" style="2" bestFit="1" customWidth="1"/>
    <col min="10513" max="10513" width="9" style="2"/>
    <col min="10514" max="10514" width="9.625" style="2" bestFit="1" customWidth="1"/>
    <col min="10515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60" width="11.125" style="2" bestFit="1" customWidth="1"/>
    <col min="10761" max="10761" width="9" style="2"/>
    <col min="10762" max="10768" width="11.125" style="2" bestFit="1" customWidth="1"/>
    <col min="10769" max="10769" width="9" style="2"/>
    <col min="10770" max="10770" width="9.625" style="2" bestFit="1" customWidth="1"/>
    <col min="10771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16" width="11.125" style="2" bestFit="1" customWidth="1"/>
    <col min="11017" max="11017" width="9" style="2"/>
    <col min="11018" max="11024" width="11.125" style="2" bestFit="1" customWidth="1"/>
    <col min="11025" max="11025" width="9" style="2"/>
    <col min="11026" max="11026" width="9.625" style="2" bestFit="1" customWidth="1"/>
    <col min="11027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72" width="11.125" style="2" bestFit="1" customWidth="1"/>
    <col min="11273" max="11273" width="9" style="2"/>
    <col min="11274" max="11280" width="11.125" style="2" bestFit="1" customWidth="1"/>
    <col min="11281" max="11281" width="9" style="2"/>
    <col min="11282" max="11282" width="9.625" style="2" bestFit="1" customWidth="1"/>
    <col min="11283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28" width="11.125" style="2" bestFit="1" customWidth="1"/>
    <col min="11529" max="11529" width="9" style="2"/>
    <col min="11530" max="11536" width="11.125" style="2" bestFit="1" customWidth="1"/>
    <col min="11537" max="11537" width="9" style="2"/>
    <col min="11538" max="11538" width="9.625" style="2" bestFit="1" customWidth="1"/>
    <col min="11539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84" width="11.125" style="2" bestFit="1" customWidth="1"/>
    <col min="11785" max="11785" width="9" style="2"/>
    <col min="11786" max="11792" width="11.125" style="2" bestFit="1" customWidth="1"/>
    <col min="11793" max="11793" width="9" style="2"/>
    <col min="11794" max="11794" width="9.625" style="2" bestFit="1" customWidth="1"/>
    <col min="11795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40" width="11.125" style="2" bestFit="1" customWidth="1"/>
    <col min="12041" max="12041" width="9" style="2"/>
    <col min="12042" max="12048" width="11.125" style="2" bestFit="1" customWidth="1"/>
    <col min="12049" max="12049" width="9" style="2"/>
    <col min="12050" max="12050" width="9.625" style="2" bestFit="1" customWidth="1"/>
    <col min="12051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96" width="11.125" style="2" bestFit="1" customWidth="1"/>
    <col min="12297" max="12297" width="9" style="2"/>
    <col min="12298" max="12304" width="11.125" style="2" bestFit="1" customWidth="1"/>
    <col min="12305" max="12305" width="9" style="2"/>
    <col min="12306" max="12306" width="9.625" style="2" bestFit="1" customWidth="1"/>
    <col min="12307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52" width="11.125" style="2" bestFit="1" customWidth="1"/>
    <col min="12553" max="12553" width="9" style="2"/>
    <col min="12554" max="12560" width="11.125" style="2" bestFit="1" customWidth="1"/>
    <col min="12561" max="12561" width="9" style="2"/>
    <col min="12562" max="12562" width="9.625" style="2" bestFit="1" customWidth="1"/>
    <col min="12563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808" width="11.125" style="2" bestFit="1" customWidth="1"/>
    <col min="12809" max="12809" width="9" style="2"/>
    <col min="12810" max="12816" width="11.125" style="2" bestFit="1" customWidth="1"/>
    <col min="12817" max="12817" width="9" style="2"/>
    <col min="12818" max="12818" width="9.625" style="2" bestFit="1" customWidth="1"/>
    <col min="12819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64" width="11.125" style="2" bestFit="1" customWidth="1"/>
    <col min="13065" max="13065" width="9" style="2"/>
    <col min="13066" max="13072" width="11.125" style="2" bestFit="1" customWidth="1"/>
    <col min="13073" max="13073" width="9" style="2"/>
    <col min="13074" max="13074" width="9.625" style="2" bestFit="1" customWidth="1"/>
    <col min="13075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20" width="11.125" style="2" bestFit="1" customWidth="1"/>
    <col min="13321" max="13321" width="9" style="2"/>
    <col min="13322" max="13328" width="11.125" style="2" bestFit="1" customWidth="1"/>
    <col min="13329" max="13329" width="9" style="2"/>
    <col min="13330" max="13330" width="9.625" style="2" bestFit="1" customWidth="1"/>
    <col min="13331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76" width="11.125" style="2" bestFit="1" customWidth="1"/>
    <col min="13577" max="13577" width="9" style="2"/>
    <col min="13578" max="13584" width="11.125" style="2" bestFit="1" customWidth="1"/>
    <col min="13585" max="13585" width="9" style="2"/>
    <col min="13586" max="13586" width="9.625" style="2" bestFit="1" customWidth="1"/>
    <col min="13587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32" width="11.125" style="2" bestFit="1" customWidth="1"/>
    <col min="13833" max="13833" width="9" style="2"/>
    <col min="13834" max="13840" width="11.125" style="2" bestFit="1" customWidth="1"/>
    <col min="13841" max="13841" width="9" style="2"/>
    <col min="13842" max="13842" width="9.625" style="2" bestFit="1" customWidth="1"/>
    <col min="13843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88" width="11.125" style="2" bestFit="1" customWidth="1"/>
    <col min="14089" max="14089" width="9" style="2"/>
    <col min="14090" max="14096" width="11.125" style="2" bestFit="1" customWidth="1"/>
    <col min="14097" max="14097" width="9" style="2"/>
    <col min="14098" max="14098" width="9.625" style="2" bestFit="1" customWidth="1"/>
    <col min="14099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44" width="11.125" style="2" bestFit="1" customWidth="1"/>
    <col min="14345" max="14345" width="9" style="2"/>
    <col min="14346" max="14352" width="11.125" style="2" bestFit="1" customWidth="1"/>
    <col min="14353" max="14353" width="9" style="2"/>
    <col min="14354" max="14354" width="9.625" style="2" bestFit="1" customWidth="1"/>
    <col min="14355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600" width="11.125" style="2" bestFit="1" customWidth="1"/>
    <col min="14601" max="14601" width="9" style="2"/>
    <col min="14602" max="14608" width="11.125" style="2" bestFit="1" customWidth="1"/>
    <col min="14609" max="14609" width="9" style="2"/>
    <col min="14610" max="14610" width="9.625" style="2" bestFit="1" customWidth="1"/>
    <col min="14611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56" width="11.125" style="2" bestFit="1" customWidth="1"/>
    <col min="14857" max="14857" width="9" style="2"/>
    <col min="14858" max="14864" width="11.125" style="2" bestFit="1" customWidth="1"/>
    <col min="14865" max="14865" width="9" style="2"/>
    <col min="14866" max="14866" width="9.625" style="2" bestFit="1" customWidth="1"/>
    <col min="14867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12" width="11.125" style="2" bestFit="1" customWidth="1"/>
    <col min="15113" max="15113" width="9" style="2"/>
    <col min="15114" max="15120" width="11.125" style="2" bestFit="1" customWidth="1"/>
    <col min="15121" max="15121" width="9" style="2"/>
    <col min="15122" max="15122" width="9.625" style="2" bestFit="1" customWidth="1"/>
    <col min="15123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68" width="11.125" style="2" bestFit="1" customWidth="1"/>
    <col min="15369" max="15369" width="9" style="2"/>
    <col min="15370" max="15376" width="11.125" style="2" bestFit="1" customWidth="1"/>
    <col min="15377" max="15377" width="9" style="2"/>
    <col min="15378" max="15378" width="9.625" style="2" bestFit="1" customWidth="1"/>
    <col min="15379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24" width="11.125" style="2" bestFit="1" customWidth="1"/>
    <col min="15625" max="15625" width="9" style="2"/>
    <col min="15626" max="15632" width="11.125" style="2" bestFit="1" customWidth="1"/>
    <col min="15633" max="15633" width="9" style="2"/>
    <col min="15634" max="15634" width="9.625" style="2" bestFit="1" customWidth="1"/>
    <col min="15635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80" width="11.125" style="2" bestFit="1" customWidth="1"/>
    <col min="15881" max="15881" width="9" style="2"/>
    <col min="15882" max="15888" width="11.125" style="2" bestFit="1" customWidth="1"/>
    <col min="15889" max="15889" width="9" style="2"/>
    <col min="15890" max="15890" width="9.625" style="2" bestFit="1" customWidth="1"/>
    <col min="15891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36" width="11.125" style="2" bestFit="1" customWidth="1"/>
    <col min="16137" max="16137" width="9" style="2"/>
    <col min="16138" max="16144" width="11.125" style="2" bestFit="1" customWidth="1"/>
    <col min="16145" max="16145" width="9" style="2"/>
    <col min="16146" max="16146" width="9.625" style="2" bestFit="1" customWidth="1"/>
    <col min="16147" max="16384" width="9" style="2"/>
  </cols>
  <sheetData>
    <row r="1" spans="1:19">
      <c r="A1" s="1" t="s">
        <v>0</v>
      </c>
    </row>
    <row r="2" spans="1:19" ht="19.5" thickBot="1">
      <c r="A2" s="1" t="s">
        <v>1</v>
      </c>
    </row>
    <row r="3" spans="1:19">
      <c r="B3" s="4"/>
      <c r="C3" s="11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60" t="s">
        <v>17</v>
      </c>
      <c r="S3" s="88" t="s">
        <v>18</v>
      </c>
    </row>
    <row r="4" spans="1:19" ht="19.5" thickBot="1">
      <c r="B4" s="3" t="s">
        <v>29</v>
      </c>
      <c r="C4" s="14" t="s">
        <v>30</v>
      </c>
      <c r="D4" s="15" t="s">
        <v>31</v>
      </c>
      <c r="E4" s="15" t="s">
        <v>32</v>
      </c>
      <c r="F4" s="15" t="s">
        <v>33</v>
      </c>
      <c r="G4" s="15" t="s">
        <v>34</v>
      </c>
      <c r="H4" s="15" t="s">
        <v>35</v>
      </c>
      <c r="I4" s="15" t="s">
        <v>36</v>
      </c>
      <c r="J4" s="15" t="s">
        <v>37</v>
      </c>
      <c r="K4" s="15" t="s">
        <v>38</v>
      </c>
      <c r="L4" s="15" t="s">
        <v>39</v>
      </c>
      <c r="M4" s="15" t="s">
        <v>40</v>
      </c>
      <c r="N4" s="15" t="s">
        <v>41</v>
      </c>
      <c r="O4" s="15" t="s">
        <v>42</v>
      </c>
      <c r="P4" s="15" t="s">
        <v>43</v>
      </c>
      <c r="Q4" s="15" t="s">
        <v>44</v>
      </c>
      <c r="R4" s="61" t="s">
        <v>45</v>
      </c>
      <c r="S4" s="89" t="s">
        <v>46</v>
      </c>
    </row>
    <row r="5" spans="1:19">
      <c r="A5" s="1" t="s">
        <v>59</v>
      </c>
      <c r="B5" s="50" t="s">
        <v>60</v>
      </c>
      <c r="C5" s="51">
        <v>20</v>
      </c>
      <c r="D5" s="52">
        <v>20</v>
      </c>
      <c r="E5" s="52">
        <v>19</v>
      </c>
      <c r="F5" s="52">
        <v>20</v>
      </c>
      <c r="G5" s="52">
        <v>0</v>
      </c>
      <c r="H5" s="52">
        <v>20</v>
      </c>
      <c r="I5" s="52">
        <v>20</v>
      </c>
      <c r="J5" s="52">
        <v>19</v>
      </c>
      <c r="K5" s="52">
        <v>18</v>
      </c>
      <c r="L5" s="52">
        <v>18</v>
      </c>
      <c r="M5" s="52">
        <v>20</v>
      </c>
      <c r="N5" s="52">
        <v>19</v>
      </c>
      <c r="O5" s="52">
        <v>20</v>
      </c>
      <c r="P5" s="52">
        <v>20</v>
      </c>
      <c r="Q5" s="52">
        <v>20</v>
      </c>
      <c r="R5" s="62">
        <v>20</v>
      </c>
      <c r="S5" s="90">
        <f>SUM(C5:R5)</f>
        <v>293</v>
      </c>
    </row>
    <row r="6" spans="1:19">
      <c r="A6" s="1" t="s">
        <v>59</v>
      </c>
      <c r="B6" s="42" t="s">
        <v>61</v>
      </c>
      <c r="C6" s="54">
        <v>0</v>
      </c>
      <c r="D6" s="55">
        <v>2</v>
      </c>
      <c r="E6" s="55">
        <v>1</v>
      </c>
      <c r="F6" s="55">
        <v>1</v>
      </c>
      <c r="G6" s="55">
        <v>0</v>
      </c>
      <c r="H6" s="55">
        <v>2</v>
      </c>
      <c r="I6" s="55">
        <v>4</v>
      </c>
      <c r="J6" s="55">
        <v>1</v>
      </c>
      <c r="K6" s="55">
        <v>4</v>
      </c>
      <c r="L6" s="55">
        <v>2</v>
      </c>
      <c r="M6" s="55">
        <v>1</v>
      </c>
      <c r="N6" s="55">
        <v>4</v>
      </c>
      <c r="O6" s="55">
        <v>1</v>
      </c>
      <c r="P6" s="55">
        <v>2</v>
      </c>
      <c r="Q6" s="55">
        <v>4</v>
      </c>
      <c r="R6" s="63">
        <v>4</v>
      </c>
      <c r="S6" s="91">
        <f t="shared" ref="S6:S54" si="0">SUM(C6:R6)</f>
        <v>33</v>
      </c>
    </row>
    <row r="7" spans="1:19">
      <c r="A7" s="1" t="s">
        <v>59</v>
      </c>
      <c r="B7" s="42" t="s">
        <v>62</v>
      </c>
      <c r="C7" s="54">
        <v>5</v>
      </c>
      <c r="D7" s="55">
        <v>3</v>
      </c>
      <c r="E7" s="55">
        <v>1</v>
      </c>
      <c r="F7" s="55">
        <v>1</v>
      </c>
      <c r="G7" s="55">
        <v>0</v>
      </c>
      <c r="H7" s="55">
        <v>1</v>
      </c>
      <c r="I7" s="55">
        <v>0</v>
      </c>
      <c r="J7" s="55">
        <v>2</v>
      </c>
      <c r="K7" s="55">
        <v>3</v>
      </c>
      <c r="L7" s="55">
        <v>3</v>
      </c>
      <c r="M7" s="55">
        <v>0</v>
      </c>
      <c r="N7" s="55">
        <v>3</v>
      </c>
      <c r="O7" s="55">
        <v>4</v>
      </c>
      <c r="P7" s="55">
        <v>2</v>
      </c>
      <c r="Q7" s="55">
        <v>2</v>
      </c>
      <c r="R7" s="63">
        <v>0</v>
      </c>
      <c r="S7" s="91">
        <f t="shared" si="0"/>
        <v>30</v>
      </c>
    </row>
    <row r="8" spans="1:19">
      <c r="A8" s="1" t="s">
        <v>59</v>
      </c>
      <c r="B8" s="42" t="s">
        <v>63</v>
      </c>
      <c r="C8" s="54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1</v>
      </c>
      <c r="L8" s="55">
        <v>1</v>
      </c>
      <c r="M8" s="55">
        <v>0</v>
      </c>
      <c r="N8" s="55">
        <v>1</v>
      </c>
      <c r="O8" s="55">
        <v>0</v>
      </c>
      <c r="P8" s="55">
        <v>0</v>
      </c>
      <c r="Q8" s="55">
        <v>0</v>
      </c>
      <c r="R8" s="63">
        <v>0</v>
      </c>
      <c r="S8" s="91">
        <f t="shared" si="0"/>
        <v>3</v>
      </c>
    </row>
    <row r="9" spans="1:19">
      <c r="A9" s="1" t="s">
        <v>59</v>
      </c>
      <c r="B9" s="42" t="s">
        <v>64</v>
      </c>
      <c r="C9" s="54">
        <v>0</v>
      </c>
      <c r="D9" s="55">
        <v>0</v>
      </c>
      <c r="E9" s="55">
        <v>1</v>
      </c>
      <c r="F9" s="55">
        <v>0</v>
      </c>
      <c r="G9" s="55">
        <v>0</v>
      </c>
      <c r="H9" s="55">
        <v>0</v>
      </c>
      <c r="I9" s="55">
        <v>0</v>
      </c>
      <c r="J9" s="55">
        <v>1</v>
      </c>
      <c r="K9" s="55">
        <v>1</v>
      </c>
      <c r="L9" s="55">
        <v>1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63">
        <v>0</v>
      </c>
      <c r="S9" s="91">
        <f t="shared" si="0"/>
        <v>4</v>
      </c>
    </row>
    <row r="10" spans="1:19">
      <c r="A10" s="1" t="s">
        <v>59</v>
      </c>
      <c r="B10" s="42" t="s">
        <v>65</v>
      </c>
      <c r="C10" s="54">
        <v>0</v>
      </c>
      <c r="D10" s="55">
        <v>0</v>
      </c>
      <c r="E10" s="55">
        <v>0</v>
      </c>
      <c r="F10" s="55">
        <v>0</v>
      </c>
      <c r="G10" s="55">
        <v>20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63">
        <v>0</v>
      </c>
      <c r="S10" s="91">
        <f t="shared" si="0"/>
        <v>20</v>
      </c>
    </row>
    <row r="11" spans="1:19">
      <c r="A11" s="1" t="s">
        <v>59</v>
      </c>
      <c r="B11" s="42" t="s">
        <v>66</v>
      </c>
      <c r="C11" s="57">
        <v>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64">
        <v>0</v>
      </c>
      <c r="S11" s="92">
        <f t="shared" si="0"/>
        <v>0</v>
      </c>
    </row>
    <row r="12" spans="1:19">
      <c r="A12" s="1" t="s">
        <v>59</v>
      </c>
      <c r="B12" s="42" t="s">
        <v>67</v>
      </c>
      <c r="C12" s="57">
        <v>0.58333333333333337</v>
      </c>
      <c r="D12" s="58">
        <v>2</v>
      </c>
      <c r="E12" s="58">
        <v>1.6666666666666665</v>
      </c>
      <c r="F12" s="58">
        <v>1.7083333333333335</v>
      </c>
      <c r="G12" s="58">
        <v>0</v>
      </c>
      <c r="H12" s="58">
        <v>1.875</v>
      </c>
      <c r="I12" s="58">
        <v>1.6666666666666665</v>
      </c>
      <c r="J12" s="58">
        <v>1.4583333333333333</v>
      </c>
      <c r="K12" s="58">
        <v>1.5416666666666665</v>
      </c>
      <c r="L12" s="58">
        <v>1.5416666666666665</v>
      </c>
      <c r="M12" s="58">
        <v>2.4583333333333335</v>
      </c>
      <c r="N12" s="58">
        <v>1.4166666666666667</v>
      </c>
      <c r="O12" s="58">
        <v>2.6666666666666665</v>
      </c>
      <c r="P12" s="58">
        <v>1.8333333333333335</v>
      </c>
      <c r="Q12" s="58">
        <v>1.7916666666666665</v>
      </c>
      <c r="R12" s="64">
        <v>1.5416666666666665</v>
      </c>
      <c r="S12" s="92">
        <f t="shared" si="0"/>
        <v>25.750000000000004</v>
      </c>
    </row>
    <row r="13" spans="1:19">
      <c r="A13" s="1" t="s">
        <v>59</v>
      </c>
      <c r="B13" s="42" t="s">
        <v>68</v>
      </c>
      <c r="C13" s="57">
        <v>0</v>
      </c>
      <c r="D13" s="58">
        <v>0.33333333333333331</v>
      </c>
      <c r="E13" s="58">
        <v>0.5</v>
      </c>
      <c r="F13" s="58">
        <v>0.45833333333333331</v>
      </c>
      <c r="G13" s="58">
        <v>0</v>
      </c>
      <c r="H13" s="58">
        <v>0.5</v>
      </c>
      <c r="I13" s="58">
        <v>1.125</v>
      </c>
      <c r="J13" s="58">
        <v>0.5</v>
      </c>
      <c r="K13" s="58">
        <v>1.25</v>
      </c>
      <c r="L13" s="58">
        <v>0.25</v>
      </c>
      <c r="M13" s="58">
        <v>0.41666666666666669</v>
      </c>
      <c r="N13" s="58">
        <v>1.0416666666666667</v>
      </c>
      <c r="O13" s="58">
        <v>0.375</v>
      </c>
      <c r="P13" s="58">
        <v>0.33333333333333331</v>
      </c>
      <c r="Q13" s="58">
        <v>1.4583333333333333</v>
      </c>
      <c r="R13" s="64">
        <v>1.0833333333333333</v>
      </c>
      <c r="S13" s="92">
        <f t="shared" si="0"/>
        <v>9.625</v>
      </c>
    </row>
    <row r="14" spans="1:19">
      <c r="A14" s="1" t="s">
        <v>59</v>
      </c>
      <c r="B14" s="42" t="s">
        <v>69</v>
      </c>
      <c r="C14" s="57">
        <v>1.6666666666666665</v>
      </c>
      <c r="D14" s="58">
        <v>0.875</v>
      </c>
      <c r="E14" s="58">
        <v>0.45833333333333331</v>
      </c>
      <c r="F14" s="58">
        <v>0.16666666666666666</v>
      </c>
      <c r="G14" s="58">
        <v>0</v>
      </c>
      <c r="H14" s="58">
        <v>0.45833333333333331</v>
      </c>
      <c r="I14" s="58">
        <v>0</v>
      </c>
      <c r="J14" s="58">
        <v>0.83333333333333337</v>
      </c>
      <c r="K14" s="58">
        <v>0.70833333333333337</v>
      </c>
      <c r="L14" s="58">
        <v>0.58333333333333337</v>
      </c>
      <c r="M14" s="58">
        <v>0</v>
      </c>
      <c r="N14" s="58">
        <v>0.95833333333333337</v>
      </c>
      <c r="O14" s="58">
        <v>1.4166666666666667</v>
      </c>
      <c r="P14" s="58">
        <v>0.75</v>
      </c>
      <c r="Q14" s="58">
        <v>0.79166666666666663</v>
      </c>
      <c r="R14" s="64">
        <v>0</v>
      </c>
      <c r="S14" s="92">
        <f t="shared" si="0"/>
        <v>9.6666666666666643</v>
      </c>
    </row>
    <row r="15" spans="1:19">
      <c r="A15" s="1" t="s">
        <v>59</v>
      </c>
      <c r="B15" s="42" t="s">
        <v>70</v>
      </c>
      <c r="C15" s="57">
        <v>0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0.16666666666666666</v>
      </c>
      <c r="O15" s="58">
        <v>0</v>
      </c>
      <c r="P15" s="58">
        <v>0</v>
      </c>
      <c r="Q15" s="58">
        <v>0</v>
      </c>
      <c r="R15" s="64">
        <v>0</v>
      </c>
      <c r="S15" s="92">
        <f t="shared" si="0"/>
        <v>0.16666666666666666</v>
      </c>
    </row>
    <row r="16" spans="1:19">
      <c r="A16" s="1" t="s">
        <v>59</v>
      </c>
      <c r="B16" s="42" t="s">
        <v>71</v>
      </c>
      <c r="C16" s="57">
        <v>0</v>
      </c>
      <c r="D16" s="58">
        <v>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8">
        <v>0</v>
      </c>
      <c r="K16" s="58">
        <v>0.125</v>
      </c>
      <c r="L16" s="58">
        <v>0.16666666666666666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64">
        <v>0</v>
      </c>
      <c r="S16" s="92">
        <f t="shared" si="0"/>
        <v>0.29166666666666663</v>
      </c>
    </row>
    <row r="17" spans="1:19">
      <c r="A17" s="1" t="s">
        <v>59</v>
      </c>
      <c r="B17" s="42" t="s">
        <v>72</v>
      </c>
      <c r="C17" s="57">
        <v>0</v>
      </c>
      <c r="D17" s="58">
        <v>0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0.375</v>
      </c>
      <c r="P17" s="58">
        <v>0</v>
      </c>
      <c r="Q17" s="58">
        <v>0</v>
      </c>
      <c r="R17" s="64">
        <v>0</v>
      </c>
      <c r="S17" s="92">
        <f t="shared" si="0"/>
        <v>0.375</v>
      </c>
    </row>
    <row r="18" spans="1:19">
      <c r="A18" s="1" t="s">
        <v>59</v>
      </c>
      <c r="B18" s="42" t="s">
        <v>73</v>
      </c>
      <c r="C18" s="57">
        <v>0</v>
      </c>
      <c r="D18" s="58">
        <v>0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64">
        <v>0</v>
      </c>
      <c r="S18" s="92">
        <f t="shared" si="0"/>
        <v>0</v>
      </c>
    </row>
    <row r="19" spans="1:19">
      <c r="A19" s="1" t="s">
        <v>59</v>
      </c>
      <c r="B19" s="9" t="s">
        <v>74</v>
      </c>
      <c r="C19" s="17">
        <v>0.25</v>
      </c>
      <c r="D19" s="18">
        <v>0.25</v>
      </c>
      <c r="E19" s="18">
        <v>0.375</v>
      </c>
      <c r="F19" s="18">
        <v>0.58333333333333337</v>
      </c>
      <c r="G19" s="18">
        <v>0</v>
      </c>
      <c r="H19" s="18">
        <v>0.41666666666666669</v>
      </c>
      <c r="I19" s="18">
        <v>0.125</v>
      </c>
      <c r="J19" s="18">
        <v>0.375</v>
      </c>
      <c r="K19" s="18">
        <v>1.4583333333333333</v>
      </c>
      <c r="L19" s="18">
        <v>0.58333333333333337</v>
      </c>
      <c r="M19" s="18">
        <v>1.4166666666666667</v>
      </c>
      <c r="N19" s="18">
        <v>0.58333333333333337</v>
      </c>
      <c r="O19" s="18">
        <v>0.75</v>
      </c>
      <c r="P19" s="18">
        <v>0.375</v>
      </c>
      <c r="Q19" s="18">
        <v>0.16666666666666666</v>
      </c>
      <c r="R19" s="65">
        <v>0.16666666666666666</v>
      </c>
      <c r="S19" s="6">
        <f t="shared" si="0"/>
        <v>7.875</v>
      </c>
    </row>
    <row r="20" spans="1:19">
      <c r="A20" s="1" t="s">
        <v>59</v>
      </c>
      <c r="B20" s="26" t="s">
        <v>75</v>
      </c>
      <c r="C20" s="27">
        <v>6</v>
      </c>
      <c r="D20" s="28">
        <v>5</v>
      </c>
      <c r="E20" s="28">
        <v>18.5</v>
      </c>
      <c r="F20" s="28">
        <v>24</v>
      </c>
      <c r="G20" s="28">
        <v>19</v>
      </c>
      <c r="H20" s="28">
        <v>11</v>
      </c>
      <c r="I20" s="28">
        <v>21</v>
      </c>
      <c r="J20" s="28">
        <v>16.5</v>
      </c>
      <c r="K20" s="28">
        <v>19.5</v>
      </c>
      <c r="L20" s="28">
        <v>27</v>
      </c>
      <c r="M20" s="28">
        <v>14</v>
      </c>
      <c r="N20" s="28">
        <v>21.5</v>
      </c>
      <c r="O20" s="28">
        <v>3</v>
      </c>
      <c r="P20" s="28">
        <v>6</v>
      </c>
      <c r="Q20" s="28">
        <v>14</v>
      </c>
      <c r="R20" s="66">
        <v>0</v>
      </c>
      <c r="S20" s="93"/>
    </row>
    <row r="21" spans="1:19">
      <c r="A21" s="1" t="s">
        <v>59</v>
      </c>
      <c r="B21" s="33" t="s">
        <v>76</v>
      </c>
      <c r="C21" s="34">
        <v>182000</v>
      </c>
      <c r="D21" s="35">
        <v>192000</v>
      </c>
      <c r="E21" s="35">
        <v>197000</v>
      </c>
      <c r="F21" s="35">
        <v>197000</v>
      </c>
      <c r="G21" s="35">
        <v>0</v>
      </c>
      <c r="H21" s="35">
        <v>182000</v>
      </c>
      <c r="I21" s="35">
        <v>187000</v>
      </c>
      <c r="J21" s="35">
        <v>182000</v>
      </c>
      <c r="K21" s="35">
        <v>197000</v>
      </c>
      <c r="L21" s="35">
        <v>192000</v>
      </c>
      <c r="M21" s="35">
        <v>192000</v>
      </c>
      <c r="N21" s="35">
        <v>182000</v>
      </c>
      <c r="O21" s="35">
        <v>175000</v>
      </c>
      <c r="P21" s="35">
        <v>175000</v>
      </c>
      <c r="Q21" s="35">
        <v>180000</v>
      </c>
      <c r="R21" s="67">
        <v>175000</v>
      </c>
      <c r="S21" s="94">
        <f t="shared" si="0"/>
        <v>2787000</v>
      </c>
    </row>
    <row r="22" spans="1:19">
      <c r="A22" s="1" t="s">
        <v>59</v>
      </c>
      <c r="B22" s="42" t="s">
        <v>77</v>
      </c>
      <c r="C22" s="43">
        <v>0</v>
      </c>
      <c r="D22" s="44">
        <v>0</v>
      </c>
      <c r="E22" s="44">
        <v>20000</v>
      </c>
      <c r="F22" s="44">
        <v>20000</v>
      </c>
      <c r="G22" s="44">
        <v>0</v>
      </c>
      <c r="H22" s="44">
        <v>0</v>
      </c>
      <c r="I22" s="44">
        <v>5000</v>
      </c>
      <c r="J22" s="44">
        <v>0</v>
      </c>
      <c r="K22" s="44">
        <v>0</v>
      </c>
      <c r="L22" s="44">
        <v>0</v>
      </c>
      <c r="M22" s="44">
        <v>5000</v>
      </c>
      <c r="N22" s="44">
        <v>0</v>
      </c>
      <c r="O22" s="44">
        <v>0</v>
      </c>
      <c r="P22" s="44">
        <v>0</v>
      </c>
      <c r="Q22" s="44">
        <v>0</v>
      </c>
      <c r="R22" s="68">
        <v>0</v>
      </c>
      <c r="S22" s="95">
        <f t="shared" si="0"/>
        <v>50000</v>
      </c>
    </row>
    <row r="23" spans="1:19">
      <c r="A23" s="1" t="s">
        <v>59</v>
      </c>
      <c r="B23" s="42" t="s">
        <v>78</v>
      </c>
      <c r="C23" s="43">
        <v>0</v>
      </c>
      <c r="D23" s="44">
        <v>0</v>
      </c>
      <c r="E23" s="44">
        <v>3000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68">
        <v>0</v>
      </c>
      <c r="S23" s="95">
        <f t="shared" si="0"/>
        <v>3000</v>
      </c>
    </row>
    <row r="24" spans="1:19">
      <c r="A24" s="1" t="s">
        <v>59</v>
      </c>
      <c r="B24" s="42" t="s">
        <v>79</v>
      </c>
      <c r="C24" s="43">
        <v>0</v>
      </c>
      <c r="D24" s="44">
        <v>0</v>
      </c>
      <c r="E24" s="44">
        <v>0</v>
      </c>
      <c r="F24" s="44">
        <v>11091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51392</v>
      </c>
      <c r="N24" s="44">
        <v>5282</v>
      </c>
      <c r="O24" s="44">
        <v>0</v>
      </c>
      <c r="P24" s="44">
        <v>0</v>
      </c>
      <c r="Q24" s="44">
        <v>819</v>
      </c>
      <c r="R24" s="68">
        <v>0</v>
      </c>
      <c r="S24" s="95">
        <f t="shared" si="0"/>
        <v>68584</v>
      </c>
    </row>
    <row r="25" spans="1:19">
      <c r="A25" s="1" t="s">
        <v>59</v>
      </c>
      <c r="B25" s="42" t="s">
        <v>80</v>
      </c>
      <c r="C25" s="43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68">
        <v>0</v>
      </c>
      <c r="S25" s="95">
        <f t="shared" si="0"/>
        <v>0</v>
      </c>
    </row>
    <row r="26" spans="1:19">
      <c r="A26" s="1" t="s">
        <v>59</v>
      </c>
      <c r="B26" s="42" t="s">
        <v>81</v>
      </c>
      <c r="C26" s="43">
        <v>3500</v>
      </c>
      <c r="D26" s="44">
        <v>1000</v>
      </c>
      <c r="E26" s="44">
        <v>3500</v>
      </c>
      <c r="F26" s="44">
        <v>3500</v>
      </c>
      <c r="G26" s="44">
        <v>0</v>
      </c>
      <c r="H26" s="44">
        <v>3500</v>
      </c>
      <c r="I26" s="44">
        <v>3500</v>
      </c>
      <c r="J26" s="44">
        <v>3500</v>
      </c>
      <c r="K26" s="44">
        <v>3500</v>
      </c>
      <c r="L26" s="44">
        <v>3500</v>
      </c>
      <c r="M26" s="44">
        <v>3500</v>
      </c>
      <c r="N26" s="44">
        <v>3500</v>
      </c>
      <c r="O26" s="44">
        <v>0</v>
      </c>
      <c r="P26" s="44">
        <v>2000</v>
      </c>
      <c r="Q26" s="44">
        <v>2000</v>
      </c>
      <c r="R26" s="68">
        <v>0</v>
      </c>
      <c r="S26" s="95">
        <f t="shared" si="0"/>
        <v>40000</v>
      </c>
    </row>
    <row r="27" spans="1:19">
      <c r="A27" s="1" t="s">
        <v>59</v>
      </c>
      <c r="B27" s="42" t="s">
        <v>82</v>
      </c>
      <c r="C27" s="43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68">
        <v>0</v>
      </c>
      <c r="S27" s="95">
        <f t="shared" si="0"/>
        <v>0</v>
      </c>
    </row>
    <row r="28" spans="1:19">
      <c r="A28" s="1" t="s">
        <v>59</v>
      </c>
      <c r="B28" s="42" t="s">
        <v>67</v>
      </c>
      <c r="C28" s="43">
        <v>19446</v>
      </c>
      <c r="D28" s="44">
        <v>69360</v>
      </c>
      <c r="E28" s="44">
        <v>66920</v>
      </c>
      <c r="F28" s="44">
        <v>67650</v>
      </c>
      <c r="G28" s="44">
        <v>0</v>
      </c>
      <c r="H28" s="44">
        <v>62505</v>
      </c>
      <c r="I28" s="44">
        <v>58560</v>
      </c>
      <c r="J28" s="44">
        <v>48615</v>
      </c>
      <c r="K28" s="44">
        <v>55537</v>
      </c>
      <c r="L28" s="44">
        <v>54168</v>
      </c>
      <c r="M28" s="44">
        <v>88559</v>
      </c>
      <c r="N28" s="44">
        <v>47226</v>
      </c>
      <c r="O28" s="44">
        <v>83840</v>
      </c>
      <c r="P28" s="44">
        <v>58300</v>
      </c>
      <c r="Q28" s="44">
        <v>58609</v>
      </c>
      <c r="R28" s="68">
        <v>48470</v>
      </c>
      <c r="S28" s="95">
        <f t="shared" si="0"/>
        <v>887765</v>
      </c>
    </row>
    <row r="29" spans="1:19">
      <c r="A29" s="1" t="s">
        <v>59</v>
      </c>
      <c r="B29" s="42" t="s">
        <v>83</v>
      </c>
      <c r="C29" s="43">
        <v>0</v>
      </c>
      <c r="D29" s="44">
        <v>12488</v>
      </c>
      <c r="E29" s="44">
        <v>21672</v>
      </c>
      <c r="F29" s="44">
        <v>19602</v>
      </c>
      <c r="G29" s="44">
        <v>0</v>
      </c>
      <c r="H29" s="44">
        <v>18000</v>
      </c>
      <c r="I29" s="44">
        <v>42687</v>
      </c>
      <c r="J29" s="44">
        <v>18000</v>
      </c>
      <c r="K29" s="44">
        <v>48630</v>
      </c>
      <c r="L29" s="44">
        <v>9486</v>
      </c>
      <c r="M29" s="44">
        <v>16210</v>
      </c>
      <c r="N29" s="44">
        <v>37500</v>
      </c>
      <c r="O29" s="44">
        <v>12735</v>
      </c>
      <c r="P29" s="44">
        <v>11448</v>
      </c>
      <c r="Q29" s="44">
        <v>51520</v>
      </c>
      <c r="R29" s="68">
        <v>36790</v>
      </c>
      <c r="S29" s="95">
        <f t="shared" si="0"/>
        <v>356768</v>
      </c>
    </row>
    <row r="30" spans="1:19">
      <c r="A30" s="1" t="s">
        <v>59</v>
      </c>
      <c r="B30" s="42" t="s">
        <v>84</v>
      </c>
      <c r="C30" s="43">
        <v>60000</v>
      </c>
      <c r="D30" s="44">
        <v>32781</v>
      </c>
      <c r="E30" s="44">
        <v>19866</v>
      </c>
      <c r="F30" s="44">
        <v>7128</v>
      </c>
      <c r="G30" s="44">
        <v>0</v>
      </c>
      <c r="H30" s="44">
        <v>16500</v>
      </c>
      <c r="I30" s="44">
        <v>0</v>
      </c>
      <c r="J30" s="44">
        <v>30000</v>
      </c>
      <c r="K30" s="44">
        <v>27557</v>
      </c>
      <c r="L30" s="44">
        <v>22134</v>
      </c>
      <c r="M30" s="44">
        <v>0</v>
      </c>
      <c r="N30" s="44">
        <v>34500</v>
      </c>
      <c r="O30" s="44">
        <v>48110</v>
      </c>
      <c r="P30" s="44">
        <v>25758</v>
      </c>
      <c r="Q30" s="44">
        <v>27968</v>
      </c>
      <c r="R30" s="68">
        <v>0</v>
      </c>
      <c r="S30" s="95">
        <f t="shared" si="0"/>
        <v>352302</v>
      </c>
    </row>
    <row r="31" spans="1:19">
      <c r="A31" s="1" t="s">
        <v>59</v>
      </c>
      <c r="B31" s="42" t="s">
        <v>85</v>
      </c>
      <c r="C31" s="43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1556</v>
      </c>
      <c r="O31" s="44">
        <v>0</v>
      </c>
      <c r="P31" s="44">
        <v>0</v>
      </c>
      <c r="Q31" s="44">
        <v>0</v>
      </c>
      <c r="R31" s="68">
        <v>0</v>
      </c>
      <c r="S31" s="95">
        <f t="shared" si="0"/>
        <v>1556</v>
      </c>
    </row>
    <row r="32" spans="1:19">
      <c r="A32" s="1" t="s">
        <v>59</v>
      </c>
      <c r="B32" s="42" t="s">
        <v>86</v>
      </c>
      <c r="C32" s="43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1260</v>
      </c>
      <c r="L32" s="44">
        <v>1640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68">
        <v>0</v>
      </c>
      <c r="S32" s="95">
        <f t="shared" si="0"/>
        <v>2900</v>
      </c>
    </row>
    <row r="33" spans="1:19">
      <c r="A33" s="1" t="s">
        <v>59</v>
      </c>
      <c r="B33" s="42" t="s">
        <v>72</v>
      </c>
      <c r="C33" s="43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44">
        <v>2358</v>
      </c>
      <c r="P33" s="44">
        <v>0</v>
      </c>
      <c r="Q33" s="44">
        <v>0</v>
      </c>
      <c r="R33" s="68">
        <v>0</v>
      </c>
      <c r="S33" s="95">
        <f t="shared" si="0"/>
        <v>2358</v>
      </c>
    </row>
    <row r="34" spans="1:19">
      <c r="A34" s="1" t="s">
        <v>59</v>
      </c>
      <c r="B34" s="9" t="s">
        <v>74</v>
      </c>
      <c r="C34" s="20">
        <v>1668</v>
      </c>
      <c r="D34" s="21">
        <v>1734</v>
      </c>
      <c r="E34" s="21">
        <v>3015</v>
      </c>
      <c r="F34" s="21">
        <v>4620</v>
      </c>
      <c r="G34" s="21">
        <v>0</v>
      </c>
      <c r="H34" s="21">
        <v>2780</v>
      </c>
      <c r="I34" s="21">
        <v>879</v>
      </c>
      <c r="J34" s="21">
        <v>2502</v>
      </c>
      <c r="K34" s="21">
        <v>10500</v>
      </c>
      <c r="L34" s="21">
        <v>4102</v>
      </c>
      <c r="M34" s="21">
        <v>10200</v>
      </c>
      <c r="N34" s="21">
        <v>3892</v>
      </c>
      <c r="O34" s="21">
        <v>4716</v>
      </c>
      <c r="P34" s="21">
        <v>2385</v>
      </c>
      <c r="Q34" s="21">
        <v>1092</v>
      </c>
      <c r="R34" s="69">
        <v>1048</v>
      </c>
      <c r="S34" s="7">
        <f t="shared" si="0"/>
        <v>55133</v>
      </c>
    </row>
    <row r="35" spans="1:19">
      <c r="A35" s="1" t="s">
        <v>59</v>
      </c>
      <c r="B35" s="26" t="s">
        <v>87</v>
      </c>
      <c r="C35" s="30">
        <v>266614</v>
      </c>
      <c r="D35" s="31">
        <v>309363</v>
      </c>
      <c r="E35" s="31">
        <v>334973</v>
      </c>
      <c r="F35" s="31">
        <v>330591</v>
      </c>
      <c r="G35" s="31">
        <v>0</v>
      </c>
      <c r="H35" s="31">
        <v>285285</v>
      </c>
      <c r="I35" s="31">
        <v>297626</v>
      </c>
      <c r="J35" s="31">
        <v>284617</v>
      </c>
      <c r="K35" s="31">
        <v>343984</v>
      </c>
      <c r="L35" s="31">
        <v>287030</v>
      </c>
      <c r="M35" s="31">
        <v>366861</v>
      </c>
      <c r="N35" s="31">
        <v>315456</v>
      </c>
      <c r="O35" s="31">
        <v>326759</v>
      </c>
      <c r="P35" s="31">
        <v>274891</v>
      </c>
      <c r="Q35" s="31">
        <v>322008</v>
      </c>
      <c r="R35" s="70">
        <v>261308</v>
      </c>
      <c r="S35" s="96">
        <f t="shared" si="0"/>
        <v>4607366</v>
      </c>
    </row>
    <row r="36" spans="1:19">
      <c r="A36" s="1" t="s">
        <v>59</v>
      </c>
      <c r="B36" s="33" t="s">
        <v>88</v>
      </c>
      <c r="C36" s="34">
        <v>13508</v>
      </c>
      <c r="D36" s="35">
        <v>3377</v>
      </c>
      <c r="E36" s="35">
        <v>5106</v>
      </c>
      <c r="F36" s="35">
        <v>2972</v>
      </c>
      <c r="G36" s="35">
        <v>0</v>
      </c>
      <c r="H36" s="35">
        <v>2486</v>
      </c>
      <c r="I36" s="35">
        <v>1297</v>
      </c>
      <c r="J36" s="35">
        <v>2972</v>
      </c>
      <c r="K36" s="35">
        <v>5404</v>
      </c>
      <c r="L36" s="35">
        <v>7457</v>
      </c>
      <c r="M36" s="35">
        <v>5674</v>
      </c>
      <c r="N36" s="35">
        <v>11941</v>
      </c>
      <c r="O36" s="35">
        <v>8780</v>
      </c>
      <c r="P36" s="35">
        <v>8429</v>
      </c>
      <c r="Q36" s="35">
        <v>2810</v>
      </c>
      <c r="R36" s="67">
        <v>7781</v>
      </c>
      <c r="S36" s="94">
        <f t="shared" si="0"/>
        <v>89994</v>
      </c>
    </row>
    <row r="37" spans="1:19">
      <c r="A37" s="1" t="s">
        <v>59</v>
      </c>
      <c r="B37" s="9" t="s">
        <v>89</v>
      </c>
      <c r="C37" s="20">
        <v>13508</v>
      </c>
      <c r="D37" s="21">
        <v>3377</v>
      </c>
      <c r="E37" s="21">
        <v>5106</v>
      </c>
      <c r="F37" s="21">
        <v>2972</v>
      </c>
      <c r="G37" s="21">
        <v>0</v>
      </c>
      <c r="H37" s="21">
        <v>2486</v>
      </c>
      <c r="I37" s="21">
        <v>1297</v>
      </c>
      <c r="J37" s="21">
        <v>2972</v>
      </c>
      <c r="K37" s="21">
        <v>5404</v>
      </c>
      <c r="L37" s="21">
        <v>7457</v>
      </c>
      <c r="M37" s="21">
        <v>5674</v>
      </c>
      <c r="N37" s="21">
        <v>11941</v>
      </c>
      <c r="O37" s="21">
        <v>8780</v>
      </c>
      <c r="P37" s="21">
        <v>8429</v>
      </c>
      <c r="Q37" s="21">
        <v>2810</v>
      </c>
      <c r="R37" s="69">
        <v>7781</v>
      </c>
      <c r="S37" s="7">
        <f t="shared" si="0"/>
        <v>89994</v>
      </c>
    </row>
    <row r="38" spans="1:19">
      <c r="A38" s="1" t="s">
        <v>59</v>
      </c>
      <c r="B38" s="26" t="s">
        <v>90</v>
      </c>
      <c r="C38" s="30">
        <v>280122</v>
      </c>
      <c r="D38" s="31">
        <v>312740</v>
      </c>
      <c r="E38" s="31">
        <v>340079</v>
      </c>
      <c r="F38" s="31">
        <v>333563</v>
      </c>
      <c r="G38" s="31">
        <v>0</v>
      </c>
      <c r="H38" s="31">
        <v>287771</v>
      </c>
      <c r="I38" s="31">
        <v>298923</v>
      </c>
      <c r="J38" s="31">
        <v>287589</v>
      </c>
      <c r="K38" s="31">
        <v>349388</v>
      </c>
      <c r="L38" s="31">
        <v>294487</v>
      </c>
      <c r="M38" s="31">
        <v>372535</v>
      </c>
      <c r="N38" s="31">
        <v>327397</v>
      </c>
      <c r="O38" s="31">
        <v>335539</v>
      </c>
      <c r="P38" s="31">
        <v>283320</v>
      </c>
      <c r="Q38" s="31">
        <v>324818</v>
      </c>
      <c r="R38" s="70">
        <v>269089</v>
      </c>
      <c r="S38" s="96">
        <f t="shared" si="0"/>
        <v>4697360</v>
      </c>
    </row>
    <row r="39" spans="1:19">
      <c r="A39" s="1" t="s">
        <v>59</v>
      </c>
      <c r="B39" s="33" t="s">
        <v>91</v>
      </c>
      <c r="C39" s="34">
        <v>15300</v>
      </c>
      <c r="D39" s="35">
        <v>16320</v>
      </c>
      <c r="E39" s="35">
        <v>19380</v>
      </c>
      <c r="F39" s="35">
        <v>19380</v>
      </c>
      <c r="G39" s="35">
        <v>19380</v>
      </c>
      <c r="H39" s="35">
        <v>16320</v>
      </c>
      <c r="I39" s="35">
        <v>15300</v>
      </c>
      <c r="J39" s="35">
        <v>15300</v>
      </c>
      <c r="K39" s="35">
        <v>19380</v>
      </c>
      <c r="L39" s="35">
        <v>18360</v>
      </c>
      <c r="M39" s="35">
        <v>17340</v>
      </c>
      <c r="N39" s="35">
        <v>15300</v>
      </c>
      <c r="O39" s="35">
        <v>16320</v>
      </c>
      <c r="P39" s="35">
        <v>14280</v>
      </c>
      <c r="Q39" s="35">
        <v>14280</v>
      </c>
      <c r="R39" s="67">
        <v>13260</v>
      </c>
      <c r="S39" s="94">
        <f t="shared" si="0"/>
        <v>265200</v>
      </c>
    </row>
    <row r="40" spans="1:19">
      <c r="A40" s="1" t="s">
        <v>59</v>
      </c>
      <c r="B40" s="42" t="s">
        <v>92</v>
      </c>
      <c r="C40" s="43">
        <v>2700</v>
      </c>
      <c r="D40" s="44">
        <v>2880</v>
      </c>
      <c r="E40" s="44">
        <v>3420</v>
      </c>
      <c r="F40" s="44">
        <v>3420</v>
      </c>
      <c r="G40" s="44">
        <v>3420</v>
      </c>
      <c r="H40" s="44">
        <v>2880</v>
      </c>
      <c r="I40" s="44">
        <v>2700</v>
      </c>
      <c r="J40" s="44">
        <v>2700</v>
      </c>
      <c r="K40" s="44">
        <v>3420</v>
      </c>
      <c r="L40" s="44">
        <v>3240</v>
      </c>
      <c r="M40" s="44">
        <v>3060</v>
      </c>
      <c r="N40" s="44">
        <v>2700</v>
      </c>
      <c r="O40" s="44">
        <v>2880</v>
      </c>
      <c r="P40" s="44">
        <v>2520</v>
      </c>
      <c r="Q40" s="44">
        <v>2520</v>
      </c>
      <c r="R40" s="68">
        <v>0</v>
      </c>
      <c r="S40" s="95">
        <f t="shared" si="0"/>
        <v>44460</v>
      </c>
    </row>
    <row r="41" spans="1:19">
      <c r="A41" s="1" t="s">
        <v>59</v>
      </c>
      <c r="B41" s="42" t="s">
        <v>93</v>
      </c>
      <c r="C41" s="43">
        <v>27450</v>
      </c>
      <c r="D41" s="44">
        <v>29280</v>
      </c>
      <c r="E41" s="44">
        <v>34770</v>
      </c>
      <c r="F41" s="44">
        <v>34770</v>
      </c>
      <c r="G41" s="44">
        <v>34770</v>
      </c>
      <c r="H41" s="44">
        <v>29280</v>
      </c>
      <c r="I41" s="44">
        <v>27450</v>
      </c>
      <c r="J41" s="44">
        <v>27450</v>
      </c>
      <c r="K41" s="44">
        <v>34770</v>
      </c>
      <c r="L41" s="44">
        <v>32940</v>
      </c>
      <c r="M41" s="44">
        <v>31110</v>
      </c>
      <c r="N41" s="44">
        <v>27450</v>
      </c>
      <c r="O41" s="44">
        <v>29280</v>
      </c>
      <c r="P41" s="44">
        <v>25620</v>
      </c>
      <c r="Q41" s="44">
        <v>25620</v>
      </c>
      <c r="R41" s="68">
        <v>23790</v>
      </c>
      <c r="S41" s="95">
        <f t="shared" si="0"/>
        <v>475800</v>
      </c>
    </row>
    <row r="42" spans="1:19">
      <c r="A42" s="1" t="s">
        <v>59</v>
      </c>
      <c r="B42" s="46" t="s">
        <v>94</v>
      </c>
      <c r="C42" s="47">
        <v>1681</v>
      </c>
      <c r="D42" s="48">
        <v>1876</v>
      </c>
      <c r="E42" s="48">
        <v>2040</v>
      </c>
      <c r="F42" s="48">
        <v>2001</v>
      </c>
      <c r="G42" s="48">
        <v>0</v>
      </c>
      <c r="H42" s="48">
        <v>1727</v>
      </c>
      <c r="I42" s="48">
        <v>1794</v>
      </c>
      <c r="J42" s="48">
        <v>1726</v>
      </c>
      <c r="K42" s="48">
        <v>2096</v>
      </c>
      <c r="L42" s="48">
        <v>1767</v>
      </c>
      <c r="M42" s="48">
        <v>2235</v>
      </c>
      <c r="N42" s="48">
        <v>1964</v>
      </c>
      <c r="O42" s="48">
        <v>2013</v>
      </c>
      <c r="P42" s="48">
        <v>1700</v>
      </c>
      <c r="Q42" s="48">
        <v>1949</v>
      </c>
      <c r="R42" s="71">
        <v>1615</v>
      </c>
      <c r="S42" s="97">
        <f t="shared" si="0"/>
        <v>28184</v>
      </c>
    </row>
    <row r="43" spans="1:19">
      <c r="A43" s="1" t="s">
        <v>59</v>
      </c>
      <c r="B43" s="26" t="s">
        <v>95</v>
      </c>
      <c r="C43" s="30">
        <v>47131</v>
      </c>
      <c r="D43" s="31">
        <v>50356</v>
      </c>
      <c r="E43" s="31">
        <v>59610</v>
      </c>
      <c r="F43" s="31">
        <v>59571</v>
      </c>
      <c r="G43" s="31">
        <v>57570</v>
      </c>
      <c r="H43" s="31">
        <v>50207</v>
      </c>
      <c r="I43" s="31">
        <v>47244</v>
      </c>
      <c r="J43" s="31">
        <v>47176</v>
      </c>
      <c r="K43" s="31">
        <v>59666</v>
      </c>
      <c r="L43" s="31">
        <v>56307</v>
      </c>
      <c r="M43" s="31">
        <v>53745</v>
      </c>
      <c r="N43" s="31">
        <v>47414</v>
      </c>
      <c r="O43" s="31">
        <v>50493</v>
      </c>
      <c r="P43" s="31">
        <v>44120</v>
      </c>
      <c r="Q43" s="31">
        <v>44369</v>
      </c>
      <c r="R43" s="70">
        <v>38665</v>
      </c>
      <c r="S43" s="96">
        <f t="shared" si="0"/>
        <v>813644</v>
      </c>
    </row>
    <row r="44" spans="1:19">
      <c r="A44" s="1" t="s">
        <v>59</v>
      </c>
      <c r="B44" s="33" t="s">
        <v>96</v>
      </c>
      <c r="C44" s="34">
        <v>3840</v>
      </c>
      <c r="D44" s="35">
        <v>6870</v>
      </c>
      <c r="E44" s="35">
        <v>5840</v>
      </c>
      <c r="F44" s="35">
        <v>7300</v>
      </c>
      <c r="G44" s="35">
        <v>0</v>
      </c>
      <c r="H44" s="35">
        <v>6020</v>
      </c>
      <c r="I44" s="35">
        <v>4950</v>
      </c>
      <c r="J44" s="35">
        <v>6100</v>
      </c>
      <c r="K44" s="35">
        <v>7780</v>
      </c>
      <c r="L44" s="35">
        <v>5860</v>
      </c>
      <c r="M44" s="35">
        <v>2410</v>
      </c>
      <c r="N44" s="35">
        <v>7200</v>
      </c>
      <c r="O44" s="35">
        <v>5870</v>
      </c>
      <c r="P44" s="35">
        <v>5860</v>
      </c>
      <c r="Q44" s="35">
        <v>7540</v>
      </c>
      <c r="R44" s="67">
        <v>5570</v>
      </c>
      <c r="S44" s="94">
        <f t="shared" si="0"/>
        <v>89010</v>
      </c>
    </row>
    <row r="45" spans="1:19">
      <c r="A45" s="1" t="s">
        <v>59</v>
      </c>
      <c r="B45" s="42" t="s">
        <v>97</v>
      </c>
      <c r="C45" s="43">
        <v>1300</v>
      </c>
      <c r="D45" s="44">
        <v>1300</v>
      </c>
      <c r="E45" s="44">
        <v>1300</v>
      </c>
      <c r="F45" s="44">
        <v>0</v>
      </c>
      <c r="G45" s="44">
        <v>1300</v>
      </c>
      <c r="H45" s="44">
        <v>1300</v>
      </c>
      <c r="I45" s="44">
        <v>1300</v>
      </c>
      <c r="J45" s="44">
        <v>1300</v>
      </c>
      <c r="K45" s="44">
        <v>1300</v>
      </c>
      <c r="L45" s="44">
        <v>1300</v>
      </c>
      <c r="M45" s="44">
        <v>1300</v>
      </c>
      <c r="N45" s="44">
        <v>1300</v>
      </c>
      <c r="O45" s="44">
        <v>1300</v>
      </c>
      <c r="P45" s="44">
        <v>1300</v>
      </c>
      <c r="Q45" s="44">
        <v>0</v>
      </c>
      <c r="R45" s="68">
        <v>0</v>
      </c>
      <c r="S45" s="95">
        <f t="shared" si="0"/>
        <v>16900</v>
      </c>
    </row>
    <row r="46" spans="1:19">
      <c r="A46" s="1" t="s">
        <v>59</v>
      </c>
      <c r="B46" s="42" t="s">
        <v>98</v>
      </c>
      <c r="C46" s="43">
        <v>6700</v>
      </c>
      <c r="D46" s="44">
        <v>15100</v>
      </c>
      <c r="E46" s="44">
        <v>18200</v>
      </c>
      <c r="F46" s="44">
        <v>20200</v>
      </c>
      <c r="G46" s="44">
        <v>19000</v>
      </c>
      <c r="H46" s="44">
        <v>13900</v>
      </c>
      <c r="I46" s="44">
        <v>9200</v>
      </c>
      <c r="J46" s="44">
        <v>13900</v>
      </c>
      <c r="K46" s="44">
        <v>16500</v>
      </c>
      <c r="L46" s="44">
        <v>14300</v>
      </c>
      <c r="M46" s="44">
        <v>1900</v>
      </c>
      <c r="N46" s="44">
        <v>0</v>
      </c>
      <c r="O46" s="44">
        <v>12900</v>
      </c>
      <c r="P46" s="44">
        <v>10500</v>
      </c>
      <c r="Q46" s="44">
        <v>5300</v>
      </c>
      <c r="R46" s="68">
        <v>0</v>
      </c>
      <c r="S46" s="95">
        <f t="shared" si="0"/>
        <v>177600</v>
      </c>
    </row>
    <row r="47" spans="1:19">
      <c r="A47" s="1" t="s">
        <v>59</v>
      </c>
      <c r="B47" s="9" t="s">
        <v>99</v>
      </c>
      <c r="C47" s="20">
        <v>0</v>
      </c>
      <c r="D47" s="21">
        <v>0</v>
      </c>
      <c r="E47" s="21">
        <v>0</v>
      </c>
      <c r="F47" s="21">
        <v>0</v>
      </c>
      <c r="G47" s="37">
        <v>-77870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69">
        <v>0</v>
      </c>
      <c r="S47" s="98">
        <f t="shared" si="0"/>
        <v>-77870</v>
      </c>
    </row>
    <row r="48" spans="1:19">
      <c r="A48" s="1" t="s">
        <v>59</v>
      </c>
      <c r="B48" s="26" t="s">
        <v>100</v>
      </c>
      <c r="C48" s="30">
        <v>58971</v>
      </c>
      <c r="D48" s="31">
        <v>73626</v>
      </c>
      <c r="E48" s="31">
        <v>84950</v>
      </c>
      <c r="F48" s="31">
        <v>87071</v>
      </c>
      <c r="G48" s="31">
        <v>0</v>
      </c>
      <c r="H48" s="31">
        <v>71427</v>
      </c>
      <c r="I48" s="31">
        <v>62694</v>
      </c>
      <c r="J48" s="31">
        <v>68476</v>
      </c>
      <c r="K48" s="31">
        <v>85246</v>
      </c>
      <c r="L48" s="31">
        <v>77767</v>
      </c>
      <c r="M48" s="31">
        <v>59355</v>
      </c>
      <c r="N48" s="31">
        <v>55914</v>
      </c>
      <c r="O48" s="31">
        <v>70563</v>
      </c>
      <c r="P48" s="31">
        <v>61780</v>
      </c>
      <c r="Q48" s="31">
        <v>57209</v>
      </c>
      <c r="R48" s="70">
        <v>44235</v>
      </c>
      <c r="S48" s="96">
        <f t="shared" si="0"/>
        <v>1019284</v>
      </c>
    </row>
    <row r="49" spans="1:19">
      <c r="A49" s="1" t="s">
        <v>59</v>
      </c>
      <c r="B49" s="26" t="s">
        <v>101</v>
      </c>
      <c r="C49" s="30">
        <v>219483</v>
      </c>
      <c r="D49" s="31">
        <v>259007</v>
      </c>
      <c r="E49" s="31">
        <v>275363</v>
      </c>
      <c r="F49" s="31">
        <v>271020</v>
      </c>
      <c r="G49" s="38">
        <v>-57570</v>
      </c>
      <c r="H49" s="31">
        <v>235078</v>
      </c>
      <c r="I49" s="31">
        <v>250382</v>
      </c>
      <c r="J49" s="31">
        <v>237441</v>
      </c>
      <c r="K49" s="31">
        <v>284318</v>
      </c>
      <c r="L49" s="31">
        <v>230723</v>
      </c>
      <c r="M49" s="31">
        <v>313116</v>
      </c>
      <c r="N49" s="31">
        <v>268042</v>
      </c>
      <c r="O49" s="31">
        <v>276266</v>
      </c>
      <c r="P49" s="31">
        <v>230771</v>
      </c>
      <c r="Q49" s="31">
        <v>277639</v>
      </c>
      <c r="R49" s="70">
        <v>222643</v>
      </c>
      <c r="S49" s="96">
        <f t="shared" si="0"/>
        <v>3793722</v>
      </c>
    </row>
    <row r="50" spans="1:19">
      <c r="A50" s="1" t="s">
        <v>59</v>
      </c>
      <c r="B50" s="26" t="s">
        <v>102</v>
      </c>
      <c r="C50" s="30">
        <v>221151</v>
      </c>
      <c r="D50" s="31">
        <v>239114</v>
      </c>
      <c r="E50" s="31">
        <v>255129</v>
      </c>
      <c r="F50" s="31">
        <v>246492</v>
      </c>
      <c r="G50" s="31">
        <v>0</v>
      </c>
      <c r="H50" s="31">
        <v>216344</v>
      </c>
      <c r="I50" s="31">
        <v>236229</v>
      </c>
      <c r="J50" s="31">
        <v>219113</v>
      </c>
      <c r="K50" s="31">
        <v>264142</v>
      </c>
      <c r="L50" s="31">
        <v>216720</v>
      </c>
      <c r="M50" s="31">
        <v>313180</v>
      </c>
      <c r="N50" s="31">
        <v>271483</v>
      </c>
      <c r="O50" s="31">
        <v>264976</v>
      </c>
      <c r="P50" s="31">
        <v>221540</v>
      </c>
      <c r="Q50" s="31">
        <v>267609</v>
      </c>
      <c r="R50" s="70">
        <v>224854</v>
      </c>
      <c r="S50" s="96">
        <f t="shared" si="0"/>
        <v>3678076</v>
      </c>
    </row>
    <row r="51" spans="1:19">
      <c r="A51" s="1" t="s">
        <v>59</v>
      </c>
      <c r="B51" s="26" t="s">
        <v>103</v>
      </c>
      <c r="C51" s="30">
        <v>221151</v>
      </c>
      <c r="D51" s="31">
        <v>239114</v>
      </c>
      <c r="E51" s="31">
        <v>255129</v>
      </c>
      <c r="F51" s="31">
        <v>246492</v>
      </c>
      <c r="G51" s="31">
        <v>0</v>
      </c>
      <c r="H51" s="31">
        <v>216344</v>
      </c>
      <c r="I51" s="31">
        <v>236229</v>
      </c>
      <c r="J51" s="31">
        <v>219113</v>
      </c>
      <c r="K51" s="31">
        <v>264142</v>
      </c>
      <c r="L51" s="31">
        <v>216720</v>
      </c>
      <c r="M51" s="31">
        <v>313180</v>
      </c>
      <c r="N51" s="31">
        <v>271483</v>
      </c>
      <c r="O51" s="31">
        <v>264976</v>
      </c>
      <c r="P51" s="31">
        <v>221540</v>
      </c>
      <c r="Q51" s="31">
        <v>267609</v>
      </c>
      <c r="R51" s="70">
        <v>224854</v>
      </c>
      <c r="S51" s="96">
        <f t="shared" si="0"/>
        <v>3678076</v>
      </c>
    </row>
    <row r="52" spans="1:19">
      <c r="A52" s="1" t="s">
        <v>59</v>
      </c>
      <c r="B52" s="26" t="s">
        <v>104</v>
      </c>
      <c r="C52" s="30">
        <v>1</v>
      </c>
      <c r="D52" s="31">
        <v>0</v>
      </c>
      <c r="E52" s="31">
        <v>1</v>
      </c>
      <c r="F52" s="31">
        <v>0</v>
      </c>
      <c r="G52" s="31">
        <v>0</v>
      </c>
      <c r="H52" s="31">
        <v>0</v>
      </c>
      <c r="I52" s="31">
        <v>1</v>
      </c>
      <c r="J52" s="31">
        <v>0</v>
      </c>
      <c r="K52" s="31">
        <v>0</v>
      </c>
      <c r="L52" s="31">
        <v>0</v>
      </c>
      <c r="M52" s="31">
        <v>4</v>
      </c>
      <c r="N52" s="31">
        <v>0</v>
      </c>
      <c r="O52" s="31">
        <v>1</v>
      </c>
      <c r="P52" s="31">
        <v>0</v>
      </c>
      <c r="Q52" s="31">
        <v>0</v>
      </c>
      <c r="R52" s="70">
        <v>0</v>
      </c>
      <c r="S52" s="96"/>
    </row>
    <row r="53" spans="1:19">
      <c r="A53" s="1" t="s">
        <v>59</v>
      </c>
      <c r="B53" s="26" t="s">
        <v>105</v>
      </c>
      <c r="C53" s="39" t="s">
        <v>106</v>
      </c>
      <c r="D53" s="40" t="s">
        <v>106</v>
      </c>
      <c r="E53" s="40" t="s">
        <v>106</v>
      </c>
      <c r="F53" s="40" t="s">
        <v>106</v>
      </c>
      <c r="G53" s="40" t="s">
        <v>106</v>
      </c>
      <c r="H53" s="40" t="s">
        <v>106</v>
      </c>
      <c r="I53" s="40" t="s">
        <v>106</v>
      </c>
      <c r="J53" s="40" t="s">
        <v>106</v>
      </c>
      <c r="K53" s="40" t="s">
        <v>106</v>
      </c>
      <c r="L53" s="40" t="s">
        <v>106</v>
      </c>
      <c r="M53" s="40" t="s">
        <v>106</v>
      </c>
      <c r="N53" s="40" t="s">
        <v>106</v>
      </c>
      <c r="O53" s="40" t="s">
        <v>106</v>
      </c>
      <c r="P53" s="40" t="s">
        <v>106</v>
      </c>
      <c r="Q53" s="40" t="s">
        <v>106</v>
      </c>
      <c r="R53" s="72" t="s">
        <v>106</v>
      </c>
      <c r="S53" s="99"/>
    </row>
    <row r="54" spans="1:19" ht="19.5" thickBot="1">
      <c r="A54" s="1" t="s">
        <v>59</v>
      </c>
      <c r="B54" s="10" t="s">
        <v>107</v>
      </c>
      <c r="C54" s="23">
        <v>3840</v>
      </c>
      <c r="D54" s="24">
        <v>6870</v>
      </c>
      <c r="E54" s="24">
        <v>5840</v>
      </c>
      <c r="F54" s="24">
        <v>7300</v>
      </c>
      <c r="G54" s="24">
        <v>0</v>
      </c>
      <c r="H54" s="24">
        <v>6020</v>
      </c>
      <c r="I54" s="24">
        <v>4950</v>
      </c>
      <c r="J54" s="24">
        <v>6100</v>
      </c>
      <c r="K54" s="24">
        <v>7780</v>
      </c>
      <c r="L54" s="24">
        <v>5860</v>
      </c>
      <c r="M54" s="24">
        <v>2410</v>
      </c>
      <c r="N54" s="24">
        <v>7200</v>
      </c>
      <c r="O54" s="24">
        <v>5870</v>
      </c>
      <c r="P54" s="24">
        <v>5860</v>
      </c>
      <c r="Q54" s="24">
        <v>7540</v>
      </c>
      <c r="R54" s="73">
        <v>5570</v>
      </c>
      <c r="S54" s="8">
        <f t="shared" si="0"/>
        <v>89010</v>
      </c>
    </row>
  </sheetData>
  <phoneticPr fontId="3"/>
  <pageMargins left="0.11811023622047245" right="0.11811023622047245" top="0.15748031496062992" bottom="0.15748031496062992" header="0.11811023622047245" footer="0.11811023622047245"/>
  <pageSetup paperSize="12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2025-01-08T06:03:21Z</dcterms:created>
  <dcterms:modified xsi:type="dcterms:W3CDTF">2025-09-24T04:29:12Z</dcterms:modified>
  <cp:category/>
  <cp:contentStatus/>
</cp:coreProperties>
</file>