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4.12月分\"/>
    </mc:Choice>
  </mc:AlternateContent>
  <xr:revisionPtr revIDLastSave="0" documentId="13_ncr:1_{0FD4E253-52F5-4F73-9491-4331E8BA4479}" xr6:coauthVersionLast="47" xr6:coauthVersionMax="47" xr10:uidLastSave="{00000000-0000-0000-0000-000000000000}"/>
  <bookViews>
    <workbookView xWindow="-120" yWindow="-120" windowWidth="20730" windowHeight="11040" xr2:uid="{3F2B763E-95D6-4368-973B-3D5E4FDB7E02}"/>
  </bookViews>
  <sheets>
    <sheet name="2024年 12月度給与 (2)" sheetId="3" r:id="rId1"/>
  </sheets>
  <definedNames>
    <definedName name="_xlnm.Print_Area" localSheetId="0">'2024年 12月度給与 (2)'!$A$1:$L$37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3" l="1"/>
  <c r="L21" i="3"/>
  <c r="L33" i="3"/>
  <c r="K6" i="3"/>
  <c r="K7" i="3"/>
  <c r="K8" i="3"/>
  <c r="K9" i="3"/>
  <c r="L9" i="3" s="1"/>
  <c r="K10" i="3"/>
  <c r="L10" i="3" s="1"/>
  <c r="K12" i="3"/>
  <c r="L12" i="3" s="1"/>
  <c r="K13" i="3"/>
  <c r="L13" i="3" s="1"/>
  <c r="K14" i="3"/>
  <c r="L14" i="3" s="1"/>
  <c r="K15" i="3"/>
  <c r="K16" i="3"/>
  <c r="K17" i="3"/>
  <c r="K18" i="3"/>
  <c r="K19" i="3"/>
  <c r="K20" i="3"/>
  <c r="K21" i="3"/>
  <c r="K22" i="3"/>
  <c r="L22" i="3" s="1"/>
  <c r="K23" i="3"/>
  <c r="L23" i="3" s="1"/>
  <c r="K24" i="3"/>
  <c r="L24" i="3" s="1"/>
  <c r="K25" i="3"/>
  <c r="L25" i="3" s="1"/>
  <c r="K26" i="3"/>
  <c r="L26" i="3" s="1"/>
  <c r="K27" i="3"/>
  <c r="K28" i="3"/>
  <c r="K29" i="3"/>
  <c r="K30" i="3"/>
  <c r="K31" i="3"/>
  <c r="K32" i="3"/>
  <c r="K33" i="3"/>
  <c r="K35" i="3"/>
  <c r="L35" i="3" s="1"/>
  <c r="K37" i="3"/>
  <c r="L37" i="3" s="1"/>
  <c r="K5" i="3"/>
  <c r="L5" i="3" s="1"/>
  <c r="G6" i="3"/>
  <c r="L6" i="3" s="1"/>
  <c r="G7" i="3"/>
  <c r="L7" i="3" s="1"/>
  <c r="G8" i="3"/>
  <c r="G9" i="3"/>
  <c r="G10" i="3"/>
  <c r="G12" i="3"/>
  <c r="G13" i="3"/>
  <c r="G14" i="3"/>
  <c r="G15" i="3"/>
  <c r="L15" i="3" s="1"/>
  <c r="G16" i="3"/>
  <c r="L16" i="3" s="1"/>
  <c r="G17" i="3"/>
  <c r="L17" i="3" s="1"/>
  <c r="G18" i="3"/>
  <c r="L18" i="3" s="1"/>
  <c r="G19" i="3"/>
  <c r="L19" i="3" s="1"/>
  <c r="G20" i="3"/>
  <c r="L20" i="3" s="1"/>
  <c r="G21" i="3"/>
  <c r="G22" i="3"/>
  <c r="G23" i="3"/>
  <c r="G24" i="3"/>
  <c r="G25" i="3"/>
  <c r="G26" i="3"/>
  <c r="G27" i="3"/>
  <c r="L27" i="3" s="1"/>
  <c r="G28" i="3"/>
  <c r="L28" i="3" s="1"/>
  <c r="G29" i="3"/>
  <c r="L29" i="3" s="1"/>
  <c r="G30" i="3"/>
  <c r="L30" i="3" s="1"/>
  <c r="G31" i="3"/>
  <c r="L31" i="3" s="1"/>
  <c r="G32" i="3"/>
  <c r="L32" i="3" s="1"/>
  <c r="G33" i="3"/>
  <c r="G34" i="3"/>
  <c r="L34" i="3" s="1"/>
  <c r="G35" i="3"/>
  <c r="G37" i="3"/>
  <c r="G5" i="3"/>
</calcChain>
</file>

<file path=xl/sharedStrings.xml><?xml version="1.0" encoding="utf-8"?>
<sst xmlns="http://schemas.openxmlformats.org/spreadsheetml/2006/main" count="96" uniqueCount="57">
  <si>
    <t>支給控除一覧表</t>
    <phoneticPr fontId="4"/>
  </si>
  <si>
    <t/>
  </si>
  <si>
    <t>1019</t>
    <phoneticPr fontId="4"/>
  </si>
  <si>
    <t>1024</t>
    <phoneticPr fontId="4"/>
  </si>
  <si>
    <t>1111</t>
    <phoneticPr fontId="4"/>
  </si>
  <si>
    <t>1200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</si>
  <si>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</si>
  <si>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</si>
  <si>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</si>
  <si>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</si>
  <si>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</si>
  <si>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</si>
  <si>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</si>
  <si>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若林作太郎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</si>
  <si>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</si>
  <si>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</si>
  <si>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</si>
  <si>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</si>
  <si>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</si>
  <si>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</si>
  <si>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</si>
  <si>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平日残業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</si>
  <si>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</si>
  <si>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</si>
  <si>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</si>
  <si>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</si>
  <si>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</si>
  <si>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</si>
  <si>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</si>
  <si>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</si>
  <si>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</si>
  <si>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</si>
  <si>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</si>
  <si>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</si>
  <si>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</si>
  <si>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</si>
  <si>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</si>
  <si>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</si>
  <si>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</si>
  <si>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</si>
  <si>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</si>
  <si>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</si>
  <si>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</si>
  <si>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</si>
  <si>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</si>
  <si>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</si>
  <si>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</si>
  <si>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</si>
  <si>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乙欄</t>
    <phoneticPr fontId="4"/>
  </si>
  <si>
    <t>甲欄</t>
    <phoneticPr fontId="4"/>
  </si>
  <si>
    <t>(減税前税額)</t>
    <phoneticPr fontId="4"/>
  </si>
  <si>
    <t>2024年 12月度給与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</si>
  <si>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</si>
  <si>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</si>
  <si>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7名</t>
    <rPh sb="1" eb="2">
      <t>メイ</t>
    </rPh>
    <phoneticPr fontId="4"/>
  </si>
  <si>
    <t>小計</t>
    <rPh sb="0" eb="2">
      <t>ショウケイ</t>
    </rPh>
    <phoneticPr fontId="4"/>
  </si>
  <si>
    <t>3名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</si>
</sst>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/>
    <xf numFmtId="176" fontId="2" fillId="0" borderId="7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176" fontId="2" fillId="0" borderId="14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8" xfId="1" applyNumberFormat="1" applyFont="1" applyBorder="1" applyAlignment="1">
      <alignment horizontal="left"/>
    </xf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37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9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8" xfId="1" applyNumberFormat="1" applyFont="1" applyBorder="1"/>
    <xf numFmtId="3" fontId="2" fillId="0" borderId="44" xfId="1" applyNumberFormat="1" applyFont="1" applyBorder="1"/>
    <xf numFmtId="49" fontId="2" fillId="0" borderId="50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51" xfId="1" applyNumberFormat="1" applyFont="1" applyBorder="1"/>
    <xf numFmtId="176" fontId="2" fillId="0" borderId="51" xfId="1" applyNumberFormat="1" applyFont="1" applyBorder="1"/>
    <xf numFmtId="2" fontId="2" fillId="0" borderId="17" xfId="1" applyNumberFormat="1" applyFont="1" applyBorder="1"/>
    <xf numFmtId="3" fontId="2" fillId="0" borderId="22" xfId="1" applyNumberFormat="1" applyFont="1" applyBorder="1"/>
    <xf numFmtId="3" fontId="2" fillId="0" borderId="51" xfId="1" applyNumberFormat="1" applyFont="1" applyBorder="1"/>
    <xf numFmtId="3" fontId="2" fillId="0" borderId="17" xfId="1" applyNumberFormat="1" applyFont="1" applyBorder="1"/>
    <xf numFmtId="49" fontId="2" fillId="0" borderId="17" xfId="1" applyNumberFormat="1" applyFont="1" applyBorder="1"/>
  </cellXfs>
  <cellStyles count="2">
    <cellStyle name="標準" xfId="0" builtinId="0"/>
    <cellStyle name="標準 2" xfId="1" xr:uid="{E830B87E-D884-4B4E-B63D-BCDDAA280D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69FD-8828-4231-B152-BD66F53AD0B1}">
  <dimension ref="A1:L3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3.125" style="2" customWidth="1"/>
    <col min="13" max="257" width="9" style="2"/>
    <col min="258" max="258" width="2.375" style="2" customWidth="1"/>
    <col min="259" max="260" width="13.25" style="2" bestFit="1" customWidth="1"/>
    <col min="261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6" width="13.25" style="2" bestFit="1" customWidth="1"/>
    <col min="517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2" width="13.25" style="2" bestFit="1" customWidth="1"/>
    <col min="773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8" width="13.25" style="2" bestFit="1" customWidth="1"/>
    <col min="1029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4" width="13.25" style="2" bestFit="1" customWidth="1"/>
    <col min="1285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0" width="13.25" style="2" bestFit="1" customWidth="1"/>
    <col min="1541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6" width="13.25" style="2" bestFit="1" customWidth="1"/>
    <col min="1797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2" width="13.25" style="2" bestFit="1" customWidth="1"/>
    <col min="2053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8" width="13.25" style="2" bestFit="1" customWidth="1"/>
    <col min="2309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4" width="13.25" style="2" bestFit="1" customWidth="1"/>
    <col min="2565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0" width="13.25" style="2" bestFit="1" customWidth="1"/>
    <col min="2821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6" width="13.25" style="2" bestFit="1" customWidth="1"/>
    <col min="3077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2" width="13.25" style="2" bestFit="1" customWidth="1"/>
    <col min="3333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8" width="13.25" style="2" bestFit="1" customWidth="1"/>
    <col min="3589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4" width="13.25" style="2" bestFit="1" customWidth="1"/>
    <col min="3845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0" width="13.25" style="2" bestFit="1" customWidth="1"/>
    <col min="4101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6" width="13.25" style="2" bestFit="1" customWidth="1"/>
    <col min="4357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2" width="13.25" style="2" bestFit="1" customWidth="1"/>
    <col min="4613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8" width="13.25" style="2" bestFit="1" customWidth="1"/>
    <col min="4869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4" width="13.25" style="2" bestFit="1" customWidth="1"/>
    <col min="5125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0" width="13.25" style="2" bestFit="1" customWidth="1"/>
    <col min="5381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6" width="13.25" style="2" bestFit="1" customWidth="1"/>
    <col min="5637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2" width="13.25" style="2" bestFit="1" customWidth="1"/>
    <col min="5893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8" width="13.25" style="2" bestFit="1" customWidth="1"/>
    <col min="6149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4" width="13.25" style="2" bestFit="1" customWidth="1"/>
    <col min="6405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0" width="13.25" style="2" bestFit="1" customWidth="1"/>
    <col min="6661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6" width="13.25" style="2" bestFit="1" customWidth="1"/>
    <col min="6917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2" width="13.25" style="2" bestFit="1" customWidth="1"/>
    <col min="7173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8" width="13.25" style="2" bestFit="1" customWidth="1"/>
    <col min="7429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4" width="13.25" style="2" bestFit="1" customWidth="1"/>
    <col min="7685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0" width="13.25" style="2" bestFit="1" customWidth="1"/>
    <col min="7941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6" width="13.25" style="2" bestFit="1" customWidth="1"/>
    <col min="8197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2" width="13.25" style="2" bestFit="1" customWidth="1"/>
    <col min="8453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8" width="13.25" style="2" bestFit="1" customWidth="1"/>
    <col min="8709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4" width="13.25" style="2" bestFit="1" customWidth="1"/>
    <col min="8965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0" width="13.25" style="2" bestFit="1" customWidth="1"/>
    <col min="9221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6" width="13.25" style="2" bestFit="1" customWidth="1"/>
    <col min="9477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2" width="13.25" style="2" bestFit="1" customWidth="1"/>
    <col min="9733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8" width="13.25" style="2" bestFit="1" customWidth="1"/>
    <col min="9989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4" width="13.25" style="2" bestFit="1" customWidth="1"/>
    <col min="10245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0" width="13.25" style="2" bestFit="1" customWidth="1"/>
    <col min="10501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6" width="13.25" style="2" bestFit="1" customWidth="1"/>
    <col min="10757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2" width="13.25" style="2" bestFit="1" customWidth="1"/>
    <col min="11013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8" width="13.25" style="2" bestFit="1" customWidth="1"/>
    <col min="11269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4" width="13.25" style="2" bestFit="1" customWidth="1"/>
    <col min="11525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0" width="13.25" style="2" bestFit="1" customWidth="1"/>
    <col min="11781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6" width="13.25" style="2" bestFit="1" customWidth="1"/>
    <col min="12037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2" width="13.25" style="2" bestFit="1" customWidth="1"/>
    <col min="12293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8" width="13.25" style="2" bestFit="1" customWidth="1"/>
    <col min="12549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4" width="13.25" style="2" bestFit="1" customWidth="1"/>
    <col min="12805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0" width="13.25" style="2" bestFit="1" customWidth="1"/>
    <col min="13061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6" width="13.25" style="2" bestFit="1" customWidth="1"/>
    <col min="13317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2" width="13.25" style="2" bestFit="1" customWidth="1"/>
    <col min="13573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8" width="13.25" style="2" bestFit="1" customWidth="1"/>
    <col min="13829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4" width="13.25" style="2" bestFit="1" customWidth="1"/>
    <col min="14085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0" width="13.25" style="2" bestFit="1" customWidth="1"/>
    <col min="14341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6" width="13.25" style="2" bestFit="1" customWidth="1"/>
    <col min="14597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2" width="13.25" style="2" bestFit="1" customWidth="1"/>
    <col min="14853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8" width="13.25" style="2" bestFit="1" customWidth="1"/>
    <col min="15109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4" width="13.25" style="2" bestFit="1" customWidth="1"/>
    <col min="15365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0" width="13.25" style="2" bestFit="1" customWidth="1"/>
    <col min="15621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6" width="13.25" style="2" bestFit="1" customWidth="1"/>
    <col min="15877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2" width="13.25" style="2" bestFit="1" customWidth="1"/>
    <col min="16133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51</v>
      </c>
    </row>
    <row r="3" spans="1:12">
      <c r="B3" s="5"/>
      <c r="C3" s="12" t="s">
        <v>2</v>
      </c>
      <c r="D3" s="13" t="s">
        <v>3</v>
      </c>
      <c r="E3" s="13" t="s">
        <v>4</v>
      </c>
      <c r="F3" s="55" t="s">
        <v>5</v>
      </c>
      <c r="G3" s="81" t="s">
        <v>52</v>
      </c>
      <c r="H3" s="68" t="s">
        <v>6</v>
      </c>
      <c r="I3" s="13" t="s">
        <v>7</v>
      </c>
      <c r="J3" s="14" t="s">
        <v>8</v>
      </c>
      <c r="K3" s="14" t="s">
        <v>55</v>
      </c>
      <c r="L3" s="6" t="s">
        <v>17</v>
      </c>
    </row>
    <row r="4" spans="1:12" ht="19.5" thickBot="1">
      <c r="B4" s="4" t="s">
        <v>9</v>
      </c>
      <c r="C4" s="15" t="s">
        <v>10</v>
      </c>
      <c r="D4" s="16" t="s">
        <v>11</v>
      </c>
      <c r="E4" s="16" t="s">
        <v>12</v>
      </c>
      <c r="F4" s="56" t="s">
        <v>13</v>
      </c>
      <c r="G4" s="82" t="s">
        <v>53</v>
      </c>
      <c r="H4" s="69" t="s">
        <v>14</v>
      </c>
      <c r="I4" s="16" t="s">
        <v>15</v>
      </c>
      <c r="J4" s="17" t="s">
        <v>16</v>
      </c>
      <c r="K4" s="17" t="s">
        <v>56</v>
      </c>
      <c r="L4" s="3" t="s">
        <v>54</v>
      </c>
    </row>
    <row r="5" spans="1:12">
      <c r="A5" s="1" t="s">
        <v>1</v>
      </c>
      <c r="B5" s="41" t="s">
        <v>18</v>
      </c>
      <c r="C5" s="42">
        <v>0</v>
      </c>
      <c r="D5" s="43">
        <v>0</v>
      </c>
      <c r="E5" s="43">
        <v>0</v>
      </c>
      <c r="F5" s="57">
        <v>0</v>
      </c>
      <c r="G5" s="83">
        <f>SUM(C5:F5)</f>
        <v>0</v>
      </c>
      <c r="H5" s="70">
        <v>19</v>
      </c>
      <c r="I5" s="43">
        <v>19</v>
      </c>
      <c r="J5" s="44">
        <v>15</v>
      </c>
      <c r="K5" s="44">
        <f>SUM(H5:J5)</f>
        <v>53</v>
      </c>
      <c r="L5" s="44">
        <f>SUM(K5,G5)</f>
        <v>53</v>
      </c>
    </row>
    <row r="6" spans="1:12">
      <c r="A6" s="1" t="s">
        <v>1</v>
      </c>
      <c r="B6" s="45" t="s">
        <v>19</v>
      </c>
      <c r="C6" s="46">
        <v>0</v>
      </c>
      <c r="D6" s="47">
        <v>0</v>
      </c>
      <c r="E6" s="47">
        <v>0</v>
      </c>
      <c r="F6" s="58">
        <v>0</v>
      </c>
      <c r="G6" s="84">
        <f t="shared" ref="G6:G37" si="0">SUM(C6:F6)</f>
        <v>0</v>
      </c>
      <c r="H6" s="71">
        <v>1</v>
      </c>
      <c r="I6" s="47">
        <v>1</v>
      </c>
      <c r="J6" s="48">
        <v>2</v>
      </c>
      <c r="K6" s="48">
        <f t="shared" ref="K6:K37" si="1">SUM(H6:J6)</f>
        <v>4</v>
      </c>
      <c r="L6" s="48">
        <f t="shared" ref="L6:L37" si="2">SUM(K6,G6)</f>
        <v>4</v>
      </c>
    </row>
    <row r="7" spans="1:12">
      <c r="A7" s="1" t="s">
        <v>1</v>
      </c>
      <c r="B7" s="45" t="s">
        <v>20</v>
      </c>
      <c r="C7" s="49">
        <v>0</v>
      </c>
      <c r="D7" s="50">
        <v>0</v>
      </c>
      <c r="E7" s="50">
        <v>0</v>
      </c>
      <c r="F7" s="59">
        <v>0</v>
      </c>
      <c r="G7" s="85">
        <f t="shared" si="0"/>
        <v>0</v>
      </c>
      <c r="H7" s="72">
        <v>0</v>
      </c>
      <c r="I7" s="50">
        <v>0</v>
      </c>
      <c r="J7" s="51">
        <v>3.0833333333333335</v>
      </c>
      <c r="K7" s="51">
        <f t="shared" si="1"/>
        <v>3.0833333333333335</v>
      </c>
      <c r="L7" s="51">
        <f t="shared" si="2"/>
        <v>3.0833333333333335</v>
      </c>
    </row>
    <row r="8" spans="1:12">
      <c r="A8" s="1" t="s">
        <v>1</v>
      </c>
      <c r="B8" s="45" t="s">
        <v>21</v>
      </c>
      <c r="C8" s="49">
        <v>0</v>
      </c>
      <c r="D8" s="50">
        <v>0</v>
      </c>
      <c r="E8" s="50">
        <v>0</v>
      </c>
      <c r="F8" s="59">
        <v>0</v>
      </c>
      <c r="G8" s="85">
        <f t="shared" si="0"/>
        <v>0</v>
      </c>
      <c r="H8" s="72">
        <v>4.1666666666666664E-2</v>
      </c>
      <c r="I8" s="50">
        <v>0</v>
      </c>
      <c r="J8" s="51">
        <v>0</v>
      </c>
      <c r="K8" s="51">
        <f t="shared" si="1"/>
        <v>4.1666666666666664E-2</v>
      </c>
      <c r="L8" s="51">
        <f t="shared" si="2"/>
        <v>4.1666666666666664E-2</v>
      </c>
    </row>
    <row r="9" spans="1:12">
      <c r="A9" s="1" t="s">
        <v>1</v>
      </c>
      <c r="B9" s="45" t="s">
        <v>22</v>
      </c>
      <c r="C9" s="49">
        <v>0</v>
      </c>
      <c r="D9" s="50">
        <v>0</v>
      </c>
      <c r="E9" s="50">
        <v>0</v>
      </c>
      <c r="F9" s="59">
        <v>0</v>
      </c>
      <c r="G9" s="85">
        <f t="shared" si="0"/>
        <v>0</v>
      </c>
      <c r="H9" s="72">
        <v>0.25</v>
      </c>
      <c r="I9" s="50">
        <v>0</v>
      </c>
      <c r="J9" s="51">
        <v>0</v>
      </c>
      <c r="K9" s="51">
        <f t="shared" si="1"/>
        <v>0.25</v>
      </c>
      <c r="L9" s="51">
        <f t="shared" si="2"/>
        <v>0.25</v>
      </c>
    </row>
    <row r="10" spans="1:12">
      <c r="A10" s="1" t="s">
        <v>1</v>
      </c>
      <c r="B10" s="10" t="s">
        <v>23</v>
      </c>
      <c r="C10" s="18">
        <v>0</v>
      </c>
      <c r="D10" s="19">
        <v>0</v>
      </c>
      <c r="E10" s="19">
        <v>0</v>
      </c>
      <c r="F10" s="60">
        <v>0</v>
      </c>
      <c r="G10" s="7">
        <f t="shared" si="0"/>
        <v>0</v>
      </c>
      <c r="H10" s="73">
        <v>0</v>
      </c>
      <c r="I10" s="19">
        <v>0</v>
      </c>
      <c r="J10" s="20">
        <v>0.41666666666666669</v>
      </c>
      <c r="K10" s="20">
        <f t="shared" si="1"/>
        <v>0.41666666666666669</v>
      </c>
      <c r="L10" s="20">
        <f t="shared" si="2"/>
        <v>0.41666666666666669</v>
      </c>
    </row>
    <row r="11" spans="1:12">
      <c r="A11" s="1" t="s">
        <v>1</v>
      </c>
      <c r="B11" s="27" t="s">
        <v>24</v>
      </c>
      <c r="C11" s="28">
        <v>0</v>
      </c>
      <c r="D11" s="29">
        <v>0</v>
      </c>
      <c r="E11" s="29">
        <v>0</v>
      </c>
      <c r="F11" s="61">
        <v>0</v>
      </c>
      <c r="G11" s="86"/>
      <c r="H11" s="74">
        <v>24</v>
      </c>
      <c r="I11" s="29">
        <v>33</v>
      </c>
      <c r="J11" s="30">
        <v>29</v>
      </c>
      <c r="K11" s="30"/>
      <c r="L11" s="30"/>
    </row>
    <row r="12" spans="1:12">
      <c r="A12" s="1" t="s">
        <v>1</v>
      </c>
      <c r="B12" s="34" t="s">
        <v>25</v>
      </c>
      <c r="C12" s="35">
        <v>0</v>
      </c>
      <c r="D12" s="36">
        <v>0</v>
      </c>
      <c r="E12" s="36">
        <v>0</v>
      </c>
      <c r="F12" s="62">
        <v>0</v>
      </c>
      <c r="G12" s="87">
        <f t="shared" si="0"/>
        <v>0</v>
      </c>
      <c r="H12" s="75">
        <v>305000</v>
      </c>
      <c r="I12" s="36">
        <v>390000</v>
      </c>
      <c r="J12" s="37">
        <v>0</v>
      </c>
      <c r="K12" s="37">
        <f t="shared" si="1"/>
        <v>695000</v>
      </c>
      <c r="L12" s="37">
        <f t="shared" si="2"/>
        <v>695000</v>
      </c>
    </row>
    <row r="13" spans="1:12">
      <c r="A13" s="1" t="s">
        <v>1</v>
      </c>
      <c r="B13" s="45" t="s">
        <v>26</v>
      </c>
      <c r="C13" s="52">
        <v>0</v>
      </c>
      <c r="D13" s="53">
        <v>0</v>
      </c>
      <c r="E13" s="53">
        <v>0</v>
      </c>
      <c r="F13" s="63">
        <v>0</v>
      </c>
      <c r="G13" s="88">
        <f t="shared" si="0"/>
        <v>0</v>
      </c>
      <c r="H13" s="76">
        <v>3000</v>
      </c>
      <c r="I13" s="53">
        <v>0</v>
      </c>
      <c r="J13" s="54">
        <v>0</v>
      </c>
      <c r="K13" s="54">
        <f t="shared" si="1"/>
        <v>3000</v>
      </c>
      <c r="L13" s="54">
        <f t="shared" si="2"/>
        <v>3000</v>
      </c>
    </row>
    <row r="14" spans="1:12">
      <c r="A14" s="1" t="s">
        <v>1</v>
      </c>
      <c r="B14" s="45" t="s">
        <v>27</v>
      </c>
      <c r="C14" s="52">
        <v>0</v>
      </c>
      <c r="D14" s="53">
        <v>0</v>
      </c>
      <c r="E14" s="53">
        <v>0</v>
      </c>
      <c r="F14" s="63">
        <v>0</v>
      </c>
      <c r="G14" s="88">
        <f t="shared" si="0"/>
        <v>0</v>
      </c>
      <c r="H14" s="76">
        <v>50000</v>
      </c>
      <c r="I14" s="53">
        <v>50000</v>
      </c>
      <c r="J14" s="54">
        <v>0</v>
      </c>
      <c r="K14" s="54">
        <f t="shared" si="1"/>
        <v>100000</v>
      </c>
      <c r="L14" s="54">
        <f t="shared" si="2"/>
        <v>100000</v>
      </c>
    </row>
    <row r="15" spans="1:12">
      <c r="A15" s="1" t="s">
        <v>1</v>
      </c>
      <c r="B15" s="45" t="s">
        <v>28</v>
      </c>
      <c r="C15" s="52">
        <v>0</v>
      </c>
      <c r="D15" s="53">
        <v>0</v>
      </c>
      <c r="E15" s="53">
        <v>0</v>
      </c>
      <c r="F15" s="63">
        <v>0</v>
      </c>
      <c r="G15" s="88">
        <f t="shared" si="0"/>
        <v>0</v>
      </c>
      <c r="H15" s="76">
        <v>0</v>
      </c>
      <c r="I15" s="53">
        <v>0</v>
      </c>
      <c r="J15" s="54">
        <v>95090</v>
      </c>
      <c r="K15" s="54">
        <f t="shared" si="1"/>
        <v>95090</v>
      </c>
      <c r="L15" s="54">
        <f t="shared" si="2"/>
        <v>95090</v>
      </c>
    </row>
    <row r="16" spans="1:12">
      <c r="A16" s="1" t="s">
        <v>1</v>
      </c>
      <c r="B16" s="45" t="s">
        <v>29</v>
      </c>
      <c r="C16" s="52">
        <v>1000000</v>
      </c>
      <c r="D16" s="53">
        <v>200000</v>
      </c>
      <c r="E16" s="53">
        <v>300000</v>
      </c>
      <c r="F16" s="63">
        <v>100000</v>
      </c>
      <c r="G16" s="88">
        <f t="shared" si="0"/>
        <v>1600000</v>
      </c>
      <c r="H16" s="76">
        <v>0</v>
      </c>
      <c r="I16" s="53">
        <v>0</v>
      </c>
      <c r="J16" s="54">
        <v>0</v>
      </c>
      <c r="K16" s="54">
        <f t="shared" si="1"/>
        <v>0</v>
      </c>
      <c r="L16" s="54">
        <f t="shared" si="2"/>
        <v>1600000</v>
      </c>
    </row>
    <row r="17" spans="1:12">
      <c r="A17" s="1" t="s">
        <v>1</v>
      </c>
      <c r="B17" s="45" t="s">
        <v>30</v>
      </c>
      <c r="C17" s="52">
        <v>0</v>
      </c>
      <c r="D17" s="53">
        <v>0</v>
      </c>
      <c r="E17" s="53">
        <v>0</v>
      </c>
      <c r="F17" s="63">
        <v>0</v>
      </c>
      <c r="G17" s="88">
        <f t="shared" si="0"/>
        <v>0</v>
      </c>
      <c r="H17" s="76">
        <v>0</v>
      </c>
      <c r="I17" s="53">
        <v>0</v>
      </c>
      <c r="J17" s="54">
        <v>12850</v>
      </c>
      <c r="K17" s="54">
        <f t="shared" si="1"/>
        <v>12850</v>
      </c>
      <c r="L17" s="54">
        <f t="shared" si="2"/>
        <v>12850</v>
      </c>
    </row>
    <row r="18" spans="1:12">
      <c r="A18" s="1" t="s">
        <v>1</v>
      </c>
      <c r="B18" s="45" t="s">
        <v>21</v>
      </c>
      <c r="C18" s="52">
        <v>0</v>
      </c>
      <c r="D18" s="53">
        <v>0</v>
      </c>
      <c r="E18" s="53">
        <v>0</v>
      </c>
      <c r="F18" s="63">
        <v>0</v>
      </c>
      <c r="G18" s="88">
        <f t="shared" si="0"/>
        <v>0</v>
      </c>
      <c r="H18" s="76">
        <v>3151</v>
      </c>
      <c r="I18" s="53">
        <v>0</v>
      </c>
      <c r="J18" s="54">
        <v>0</v>
      </c>
      <c r="K18" s="54">
        <f t="shared" si="1"/>
        <v>3151</v>
      </c>
      <c r="L18" s="54">
        <f t="shared" si="2"/>
        <v>3151</v>
      </c>
    </row>
    <row r="19" spans="1:12">
      <c r="A19" s="1" t="s">
        <v>1</v>
      </c>
      <c r="B19" s="10" t="s">
        <v>22</v>
      </c>
      <c r="C19" s="21">
        <v>0</v>
      </c>
      <c r="D19" s="22">
        <v>0</v>
      </c>
      <c r="E19" s="22">
        <v>0</v>
      </c>
      <c r="F19" s="64">
        <v>0</v>
      </c>
      <c r="G19" s="8">
        <f t="shared" si="0"/>
        <v>0</v>
      </c>
      <c r="H19" s="77">
        <v>15126</v>
      </c>
      <c r="I19" s="22">
        <v>0</v>
      </c>
      <c r="J19" s="23">
        <v>0</v>
      </c>
      <c r="K19" s="23">
        <f t="shared" si="1"/>
        <v>15126</v>
      </c>
      <c r="L19" s="23">
        <f t="shared" si="2"/>
        <v>15126</v>
      </c>
    </row>
    <row r="20" spans="1:12">
      <c r="A20" s="1" t="s">
        <v>1</v>
      </c>
      <c r="B20" s="27" t="s">
        <v>31</v>
      </c>
      <c r="C20" s="31">
        <v>1000000</v>
      </c>
      <c r="D20" s="32">
        <v>200000</v>
      </c>
      <c r="E20" s="32">
        <v>300000</v>
      </c>
      <c r="F20" s="65">
        <v>100000</v>
      </c>
      <c r="G20" s="89">
        <f t="shared" si="0"/>
        <v>1600000</v>
      </c>
      <c r="H20" s="78">
        <v>376277</v>
      </c>
      <c r="I20" s="32">
        <v>440000</v>
      </c>
      <c r="J20" s="33">
        <v>107940</v>
      </c>
      <c r="K20" s="33">
        <f t="shared" si="1"/>
        <v>924217</v>
      </c>
      <c r="L20" s="33">
        <f t="shared" si="2"/>
        <v>2524217</v>
      </c>
    </row>
    <row r="21" spans="1:12">
      <c r="A21" s="1" t="s">
        <v>1</v>
      </c>
      <c r="B21" s="34" t="s">
        <v>32</v>
      </c>
      <c r="C21" s="35">
        <v>0</v>
      </c>
      <c r="D21" s="36">
        <v>0</v>
      </c>
      <c r="E21" s="36">
        <v>0</v>
      </c>
      <c r="F21" s="62">
        <v>0</v>
      </c>
      <c r="G21" s="87">
        <f t="shared" si="0"/>
        <v>0</v>
      </c>
      <c r="H21" s="75">
        <v>1689</v>
      </c>
      <c r="I21" s="36">
        <v>9680</v>
      </c>
      <c r="J21" s="37">
        <v>0</v>
      </c>
      <c r="K21" s="37">
        <f t="shared" si="1"/>
        <v>11369</v>
      </c>
      <c r="L21" s="37">
        <f t="shared" si="2"/>
        <v>11369</v>
      </c>
    </row>
    <row r="22" spans="1:12">
      <c r="A22" s="1" t="s">
        <v>1</v>
      </c>
      <c r="B22" s="10" t="s">
        <v>33</v>
      </c>
      <c r="C22" s="21">
        <v>0</v>
      </c>
      <c r="D22" s="22">
        <v>0</v>
      </c>
      <c r="E22" s="22">
        <v>0</v>
      </c>
      <c r="F22" s="64">
        <v>0</v>
      </c>
      <c r="G22" s="8">
        <f t="shared" si="0"/>
        <v>0</v>
      </c>
      <c r="H22" s="77">
        <v>1689</v>
      </c>
      <c r="I22" s="22">
        <v>9680</v>
      </c>
      <c r="J22" s="23">
        <v>0</v>
      </c>
      <c r="K22" s="23">
        <f t="shared" si="1"/>
        <v>11369</v>
      </c>
      <c r="L22" s="23">
        <f t="shared" si="2"/>
        <v>11369</v>
      </c>
    </row>
    <row r="23" spans="1:12">
      <c r="A23" s="1" t="s">
        <v>1</v>
      </c>
      <c r="B23" s="27" t="s">
        <v>34</v>
      </c>
      <c r="C23" s="31">
        <v>1000000</v>
      </c>
      <c r="D23" s="32">
        <v>200000</v>
      </c>
      <c r="E23" s="32">
        <v>300000</v>
      </c>
      <c r="F23" s="65">
        <v>100000</v>
      </c>
      <c r="G23" s="89">
        <f t="shared" si="0"/>
        <v>1600000</v>
      </c>
      <c r="H23" s="78">
        <v>377966</v>
      </c>
      <c r="I23" s="32">
        <v>449680</v>
      </c>
      <c r="J23" s="33">
        <v>107940</v>
      </c>
      <c r="K23" s="33">
        <f t="shared" si="1"/>
        <v>935586</v>
      </c>
      <c r="L23" s="33">
        <f t="shared" si="2"/>
        <v>2535586</v>
      </c>
    </row>
    <row r="24" spans="1:12">
      <c r="A24" s="1" t="s">
        <v>1</v>
      </c>
      <c r="B24" s="34" t="s">
        <v>35</v>
      </c>
      <c r="C24" s="35">
        <v>0</v>
      </c>
      <c r="D24" s="36">
        <v>0</v>
      </c>
      <c r="E24" s="36">
        <v>0</v>
      </c>
      <c r="F24" s="62">
        <v>0</v>
      </c>
      <c r="G24" s="87">
        <f t="shared" si="0"/>
        <v>0</v>
      </c>
      <c r="H24" s="75">
        <v>20910</v>
      </c>
      <c r="I24" s="36">
        <v>22440</v>
      </c>
      <c r="J24" s="37">
        <v>0</v>
      </c>
      <c r="K24" s="37">
        <f t="shared" si="1"/>
        <v>43350</v>
      </c>
      <c r="L24" s="37">
        <f t="shared" si="2"/>
        <v>43350</v>
      </c>
    </row>
    <row r="25" spans="1:12">
      <c r="A25" s="1" t="s">
        <v>1</v>
      </c>
      <c r="B25" s="45" t="s">
        <v>36</v>
      </c>
      <c r="C25" s="52">
        <v>0</v>
      </c>
      <c r="D25" s="53">
        <v>0</v>
      </c>
      <c r="E25" s="53">
        <v>0</v>
      </c>
      <c r="F25" s="63">
        <v>0</v>
      </c>
      <c r="G25" s="88">
        <f t="shared" si="0"/>
        <v>0</v>
      </c>
      <c r="H25" s="76">
        <v>3690</v>
      </c>
      <c r="I25" s="53">
        <v>3960</v>
      </c>
      <c r="J25" s="54">
        <v>0</v>
      </c>
      <c r="K25" s="54">
        <f t="shared" si="1"/>
        <v>7650</v>
      </c>
      <c r="L25" s="54">
        <f t="shared" si="2"/>
        <v>7650</v>
      </c>
    </row>
    <row r="26" spans="1:12">
      <c r="A26" s="1" t="s">
        <v>1</v>
      </c>
      <c r="B26" s="45" t="s">
        <v>37</v>
      </c>
      <c r="C26" s="52">
        <v>0</v>
      </c>
      <c r="D26" s="53">
        <v>0</v>
      </c>
      <c r="E26" s="53">
        <v>0</v>
      </c>
      <c r="F26" s="63">
        <v>0</v>
      </c>
      <c r="G26" s="88">
        <f t="shared" si="0"/>
        <v>0</v>
      </c>
      <c r="H26" s="76">
        <v>37515</v>
      </c>
      <c r="I26" s="53">
        <v>40260</v>
      </c>
      <c r="J26" s="54">
        <v>0</v>
      </c>
      <c r="K26" s="54">
        <f t="shared" si="1"/>
        <v>77775</v>
      </c>
      <c r="L26" s="54">
        <f t="shared" si="2"/>
        <v>77775</v>
      </c>
    </row>
    <row r="27" spans="1:12">
      <c r="A27" s="1" t="s">
        <v>1</v>
      </c>
      <c r="B27" s="10" t="s">
        <v>38</v>
      </c>
      <c r="C27" s="21">
        <v>0</v>
      </c>
      <c r="D27" s="22">
        <v>0</v>
      </c>
      <c r="E27" s="22">
        <v>0</v>
      </c>
      <c r="F27" s="64">
        <v>0</v>
      </c>
      <c r="G27" s="8">
        <f t="shared" si="0"/>
        <v>0</v>
      </c>
      <c r="H27" s="77">
        <v>2268</v>
      </c>
      <c r="I27" s="22">
        <v>2698</v>
      </c>
      <c r="J27" s="23">
        <v>648</v>
      </c>
      <c r="K27" s="23">
        <f t="shared" si="1"/>
        <v>5614</v>
      </c>
      <c r="L27" s="23">
        <f t="shared" si="2"/>
        <v>5614</v>
      </c>
    </row>
    <row r="28" spans="1:12">
      <c r="A28" s="1" t="s">
        <v>1</v>
      </c>
      <c r="B28" s="27" t="s">
        <v>39</v>
      </c>
      <c r="C28" s="31">
        <v>0</v>
      </c>
      <c r="D28" s="32">
        <v>0</v>
      </c>
      <c r="E28" s="32">
        <v>0</v>
      </c>
      <c r="F28" s="65">
        <v>0</v>
      </c>
      <c r="G28" s="89">
        <f t="shared" si="0"/>
        <v>0</v>
      </c>
      <c r="H28" s="78">
        <v>64383</v>
      </c>
      <c r="I28" s="32">
        <v>69358</v>
      </c>
      <c r="J28" s="33">
        <v>648</v>
      </c>
      <c r="K28" s="33">
        <f t="shared" si="1"/>
        <v>134389</v>
      </c>
      <c r="L28" s="33">
        <f t="shared" si="2"/>
        <v>134389</v>
      </c>
    </row>
    <row r="29" spans="1:12">
      <c r="A29" s="1" t="s">
        <v>1</v>
      </c>
      <c r="B29" s="34" t="s">
        <v>40</v>
      </c>
      <c r="C29" s="35">
        <v>365984</v>
      </c>
      <c r="D29" s="36">
        <v>4760</v>
      </c>
      <c r="E29" s="36">
        <v>53700</v>
      </c>
      <c r="F29" s="62">
        <v>3600</v>
      </c>
      <c r="G29" s="87">
        <f t="shared" si="0"/>
        <v>428044</v>
      </c>
      <c r="H29" s="75">
        <v>9350</v>
      </c>
      <c r="I29" s="36">
        <v>14150</v>
      </c>
      <c r="J29" s="37">
        <v>1100</v>
      </c>
      <c r="K29" s="37">
        <f t="shared" si="1"/>
        <v>24600</v>
      </c>
      <c r="L29" s="37">
        <f t="shared" si="2"/>
        <v>452644</v>
      </c>
    </row>
    <row r="30" spans="1:12">
      <c r="A30" s="1" t="s">
        <v>1</v>
      </c>
      <c r="B30" s="10" t="s">
        <v>41</v>
      </c>
      <c r="C30" s="21">
        <v>0</v>
      </c>
      <c r="D30" s="22">
        <v>0</v>
      </c>
      <c r="E30" s="22">
        <v>0</v>
      </c>
      <c r="F30" s="64">
        <v>0</v>
      </c>
      <c r="G30" s="8">
        <f t="shared" si="0"/>
        <v>0</v>
      </c>
      <c r="H30" s="77">
        <v>24200</v>
      </c>
      <c r="I30" s="22">
        <v>18800</v>
      </c>
      <c r="J30" s="23">
        <v>1600</v>
      </c>
      <c r="K30" s="23">
        <f t="shared" si="1"/>
        <v>44600</v>
      </c>
      <c r="L30" s="23">
        <f t="shared" si="2"/>
        <v>44600</v>
      </c>
    </row>
    <row r="31" spans="1:12">
      <c r="A31" s="1" t="s">
        <v>1</v>
      </c>
      <c r="B31" s="27" t="s">
        <v>42</v>
      </c>
      <c r="C31" s="31">
        <v>365984</v>
      </c>
      <c r="D31" s="32">
        <v>4760</v>
      </c>
      <c r="E31" s="32">
        <v>53700</v>
      </c>
      <c r="F31" s="65">
        <v>3600</v>
      </c>
      <c r="G31" s="89">
        <f t="shared" si="0"/>
        <v>428044</v>
      </c>
      <c r="H31" s="78">
        <v>97933</v>
      </c>
      <c r="I31" s="32">
        <v>102308</v>
      </c>
      <c r="J31" s="33">
        <v>3348</v>
      </c>
      <c r="K31" s="33">
        <f t="shared" si="1"/>
        <v>203589</v>
      </c>
      <c r="L31" s="33">
        <f t="shared" si="2"/>
        <v>631633</v>
      </c>
    </row>
    <row r="32" spans="1:12">
      <c r="A32" s="1" t="s">
        <v>1</v>
      </c>
      <c r="B32" s="27" t="s">
        <v>43</v>
      </c>
      <c r="C32" s="31">
        <v>1000000</v>
      </c>
      <c r="D32" s="32">
        <v>200000</v>
      </c>
      <c r="E32" s="32">
        <v>300000</v>
      </c>
      <c r="F32" s="65">
        <v>100000</v>
      </c>
      <c r="G32" s="89">
        <f t="shared" si="0"/>
        <v>1600000</v>
      </c>
      <c r="H32" s="78">
        <v>311894</v>
      </c>
      <c r="I32" s="32">
        <v>370642</v>
      </c>
      <c r="J32" s="33">
        <v>107292</v>
      </c>
      <c r="K32" s="33">
        <f t="shared" si="1"/>
        <v>789828</v>
      </c>
      <c r="L32" s="33">
        <f t="shared" si="2"/>
        <v>2389828</v>
      </c>
    </row>
    <row r="33" spans="1:12">
      <c r="A33" s="1" t="s">
        <v>1</v>
      </c>
      <c r="B33" s="27" t="s">
        <v>44</v>
      </c>
      <c r="C33" s="31">
        <v>634016</v>
      </c>
      <c r="D33" s="32">
        <v>195240</v>
      </c>
      <c r="E33" s="32">
        <v>246300</v>
      </c>
      <c r="F33" s="65">
        <v>96400</v>
      </c>
      <c r="G33" s="89">
        <f t="shared" si="0"/>
        <v>1171956</v>
      </c>
      <c r="H33" s="78">
        <v>280033</v>
      </c>
      <c r="I33" s="32">
        <v>347372</v>
      </c>
      <c r="J33" s="33">
        <v>104592</v>
      </c>
      <c r="K33" s="33">
        <f t="shared" si="1"/>
        <v>731997</v>
      </c>
      <c r="L33" s="33">
        <f t="shared" si="2"/>
        <v>1903953</v>
      </c>
    </row>
    <row r="34" spans="1:12">
      <c r="A34" s="1" t="s">
        <v>1</v>
      </c>
      <c r="B34" s="27" t="s">
        <v>45</v>
      </c>
      <c r="C34" s="31">
        <v>0</v>
      </c>
      <c r="D34" s="32">
        <v>195240</v>
      </c>
      <c r="E34" s="32">
        <v>0</v>
      </c>
      <c r="F34" s="65">
        <v>0</v>
      </c>
      <c r="G34" s="89">
        <f t="shared" si="0"/>
        <v>195240</v>
      </c>
      <c r="H34" s="78">
        <v>0</v>
      </c>
      <c r="I34" s="32">
        <v>0</v>
      </c>
      <c r="J34" s="33">
        <v>0</v>
      </c>
      <c r="K34" s="33"/>
      <c r="L34" s="33">
        <f t="shared" si="2"/>
        <v>195240</v>
      </c>
    </row>
    <row r="35" spans="1:12">
      <c r="A35" s="1" t="s">
        <v>1</v>
      </c>
      <c r="B35" s="27" t="s">
        <v>46</v>
      </c>
      <c r="C35" s="31">
        <v>634016</v>
      </c>
      <c r="D35" s="32">
        <v>0</v>
      </c>
      <c r="E35" s="32">
        <v>246300</v>
      </c>
      <c r="F35" s="65">
        <v>96400</v>
      </c>
      <c r="G35" s="89">
        <f t="shared" si="0"/>
        <v>976716</v>
      </c>
      <c r="H35" s="78">
        <v>280033</v>
      </c>
      <c r="I35" s="32">
        <v>347372</v>
      </c>
      <c r="J35" s="33">
        <v>104592</v>
      </c>
      <c r="K35" s="33">
        <f t="shared" si="1"/>
        <v>731997</v>
      </c>
      <c r="L35" s="33">
        <f t="shared" si="2"/>
        <v>1708713</v>
      </c>
    </row>
    <row r="36" spans="1:12">
      <c r="A36" s="1" t="s">
        <v>1</v>
      </c>
      <c r="B36" s="27" t="s">
        <v>47</v>
      </c>
      <c r="C36" s="38" t="s">
        <v>48</v>
      </c>
      <c r="D36" s="39" t="s">
        <v>49</v>
      </c>
      <c r="E36" s="39" t="s">
        <v>48</v>
      </c>
      <c r="F36" s="66" t="s">
        <v>48</v>
      </c>
      <c r="G36" s="90"/>
      <c r="H36" s="79" t="s">
        <v>49</v>
      </c>
      <c r="I36" s="39" t="s">
        <v>49</v>
      </c>
      <c r="J36" s="40" t="s">
        <v>49</v>
      </c>
      <c r="K36" s="40"/>
      <c r="L36" s="40"/>
    </row>
    <row r="37" spans="1:12" ht="19.5" thickBot="1">
      <c r="A37" s="1" t="s">
        <v>1</v>
      </c>
      <c r="B37" s="11" t="s">
        <v>50</v>
      </c>
      <c r="C37" s="24">
        <v>365984</v>
      </c>
      <c r="D37" s="25">
        <v>4760</v>
      </c>
      <c r="E37" s="25">
        <v>53700</v>
      </c>
      <c r="F37" s="67">
        <v>3600</v>
      </c>
      <c r="G37" s="9">
        <f t="shared" si="0"/>
        <v>428044</v>
      </c>
      <c r="H37" s="80">
        <v>9350</v>
      </c>
      <c r="I37" s="25">
        <v>14150</v>
      </c>
      <c r="J37" s="26">
        <v>1100</v>
      </c>
      <c r="K37" s="26">
        <f t="shared" si="1"/>
        <v>24600</v>
      </c>
      <c r="L37" s="26">
        <f t="shared" si="2"/>
        <v>452644</v>
      </c>
    </row>
  </sheetData>
  <phoneticPr fontId="4"/>
  <pageMargins left="0.31496062992125984" right="0.31496062992125984" top="0.15748031496062992" bottom="0.15748031496062992" header="0.11811023622047245" footer="0.11811023622047245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12月度給与 (2)</vt:lpstr>
      <vt:lpstr>'2024年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2025-01-08T06:31:59Z</cp:lastPrinted>
  <dcterms:created xsi:type="dcterms:W3CDTF">2025-01-08T04:12:42Z</dcterms:created>
  <dcterms:modified xsi:type="dcterms:W3CDTF">2025-01-09T06:38:33Z</dcterms:modified>
</cp:coreProperties>
</file>