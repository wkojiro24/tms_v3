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3月分\"/>
    </mc:Choice>
  </mc:AlternateContent>
  <xr:revisionPtr revIDLastSave="0" documentId="13_ncr:1_{5B0E5130-5A5B-48DB-8235-F40F6B6C8A4E}" xr6:coauthVersionLast="47" xr6:coauthVersionMax="47" xr10:uidLastSave="{00000000-0000-0000-0000-000000000000}"/>
  <bookViews>
    <workbookView xWindow="-120" yWindow="-120" windowWidth="20730" windowHeight="11040" xr2:uid="{A67014B4-8E34-4BC7-B1B4-553365A5A80B}"/>
  </bookViews>
  <sheets>
    <sheet name="2025年 3月度給与 (2)" sheetId="3" r:id="rId1"/>
  </sheets>
  <definedNames>
    <definedName name="_xlnm.Print_Area" localSheetId="0">'2025年 3月度給与 (2)'!$A$1:$I$38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8" i="3"/>
  <c r="I5" i="3"/>
  <c r="H6" i="3"/>
  <c r="H7" i="3"/>
  <c r="H8" i="3"/>
  <c r="H9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8" i="3"/>
  <c r="H5" i="3"/>
  <c r="D6" i="3"/>
  <c r="D7" i="3"/>
  <c r="D8" i="3"/>
  <c r="D9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8" i="3"/>
  <c r="D5" i="3"/>
</calcChain>
</file>

<file path=xl/sharedStrings.xml><?xml version="1.0" encoding="utf-8"?>
<sst xmlns="http://schemas.openxmlformats.org/spreadsheetml/2006/main" count="89" uniqueCount="50">
  <si>
    <t>支給控除一覧表</t>
    <phoneticPr fontId="4"/>
  </si>
  <si>
    <t>2025年 3月度給与</t>
    <phoneticPr fontId="4"/>
  </si>
  <si>
    <t>1078</t>
    <phoneticPr fontId="4"/>
  </si>
  <si>
    <t>小計</t>
    <rPh sb="0" eb="2">
      <t>ショウケイ</t>
    </rPh>
    <phoneticPr fontId="3"/>
  </si>
  <si>
    <t>1049</t>
    <phoneticPr fontId="4"/>
  </si>
  <si>
    <t>1050</t>
    <phoneticPr fontId="4"/>
  </si>
  <si>
    <t>1114</t>
    <phoneticPr fontId="4"/>
  </si>
  <si>
    <t>合計</t>
    <phoneticPr fontId="4"/>
  </si>
  <si>
    <t>項目名</t>
    <phoneticPr fontId="4"/>
  </si>
  <si>
    <t>伊藤　尚</t>
    <phoneticPr fontId="4"/>
  </si>
  <si>
    <t>1名</t>
    <rPh sb="1" eb="2">
      <t>メイ</t>
    </rPh>
    <phoneticPr fontId="3"/>
  </si>
  <si>
    <t>菅原　幸志</t>
    <phoneticPr fontId="4"/>
  </si>
  <si>
    <t>伊藤　正典</t>
    <phoneticPr fontId="4"/>
  </si>
  <si>
    <t>吉田　亨</t>
    <phoneticPr fontId="4"/>
  </si>
  <si>
    <t>3名</t>
    <rPh sb="1" eb="2">
      <t>メイ</t>
    </rPh>
    <phoneticPr fontId="3"/>
  </si>
  <si>
    <t>4名</t>
    <rPh sb="1" eb="2">
      <t>メイ</t>
    </rPh>
    <phoneticPr fontId="4"/>
  </si>
  <si>
    <t/>
  </si>
  <si>
    <t>平日出勤日数</t>
    <phoneticPr fontId="4"/>
  </si>
  <si>
    <t>法定休日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</si>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</sst>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176" fontId="2" fillId="0" borderId="5" xfId="1" applyNumberFormat="1" applyFont="1" applyBorder="1"/>
    <xf numFmtId="3" fontId="2" fillId="0" borderId="5" xfId="1" applyNumberFormat="1" applyFont="1" applyBorder="1"/>
    <xf numFmtId="3" fontId="2" fillId="0" borderId="4" xfId="1" applyNumberFormat="1" applyFont="1" applyBorder="1"/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176" fontId="2" fillId="0" borderId="12" xfId="1" applyNumberFormat="1" applyFont="1" applyBorder="1"/>
    <xf numFmtId="176" fontId="2" fillId="0" borderId="13" xfId="1" applyNumberFormat="1" applyFont="1" applyBorder="1"/>
    <xf numFmtId="176" fontId="2" fillId="0" borderId="14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5" xfId="1" applyNumberFormat="1" applyFont="1" applyBorder="1" applyAlignment="1">
      <alignment horizontal="left"/>
    </xf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30" xfId="1" applyNumberFormat="1" applyFont="1" applyBorder="1" applyAlignment="1">
      <alignment horizontal="left"/>
    </xf>
    <xf numFmtId="2" fontId="2" fillId="0" borderId="31" xfId="1" applyNumberFormat="1" applyFont="1" applyBorder="1"/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6" xfId="1" applyNumberFormat="1" applyFont="1" applyBorder="1"/>
    <xf numFmtId="176" fontId="2" fillId="0" borderId="27" xfId="1" applyNumberFormat="1" applyFont="1" applyBorder="1"/>
    <xf numFmtId="176" fontId="2" fillId="0" borderId="28" xfId="1" applyNumberFormat="1" applyFont="1" applyBorder="1"/>
    <xf numFmtId="3" fontId="2" fillId="0" borderId="34" xfId="1" applyNumberFormat="1" applyFont="1" applyBorder="1"/>
    <xf numFmtId="49" fontId="2" fillId="0" borderId="35" xfId="1" applyNumberFormat="1" applyFont="1" applyBorder="1" applyAlignment="1">
      <alignment horizontal="center"/>
    </xf>
    <xf numFmtId="0" fontId="2" fillId="0" borderId="35" xfId="1" applyFont="1" applyBorder="1"/>
    <xf numFmtId="49" fontId="2" fillId="0" borderId="4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3" fontId="2" fillId="0" borderId="20" xfId="1" applyNumberFormat="1" applyFont="1" applyBorder="1"/>
    <xf numFmtId="3" fontId="2" fillId="0" borderId="36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0" fontId="0" fillId="0" borderId="15" xfId="0" applyBorder="1">
      <alignment vertical="center"/>
    </xf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176" fontId="2" fillId="0" borderId="41" xfId="1" applyNumberFormat="1" applyFont="1" applyBorder="1"/>
    <xf numFmtId="2" fontId="2" fillId="0" borderId="42" xfId="1" applyNumberFormat="1" applyFont="1" applyBorder="1"/>
    <xf numFmtId="3" fontId="2" fillId="0" borderId="43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49" fontId="2" fillId="0" borderId="42" xfId="1" applyNumberFormat="1" applyFont="1" applyBorder="1"/>
    <xf numFmtId="3" fontId="2" fillId="0" borderId="38" xfId="1" applyNumberFormat="1" applyFont="1" applyBorder="1"/>
    <xf numFmtId="2" fontId="2" fillId="0" borderId="15" xfId="1" applyNumberFormat="1" applyFont="1" applyBorder="1"/>
  </cellXfs>
  <cellStyles count="2">
    <cellStyle name="標準" xfId="0" builtinId="0"/>
    <cellStyle name="標準 2" xfId="1" xr:uid="{1910C1F6-50B0-4599-906D-B47F5B33CF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4E33-E6AF-4E53-A708-DB3084900790}">
  <sheetPr>
    <pageSetUpPr fitToPage="1"/>
  </sheetPr>
  <dimension ref="A1:I39"/>
  <sheetViews>
    <sheetView tabSelected="1" workbookViewId="0">
      <pane xSplit="2" ySplit="4" topLeftCell="C5" activePane="bottomRight" state="frozen"/>
      <selection pane="bottomRight" activeCell="B3" sqref="B3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9" width="12.625" style="2" customWidth="1"/>
    <col min="10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/>
    <col min="265" max="265" width="9.625" style="2" bestFit="1" customWidth="1"/>
    <col min="266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/>
    <col min="521" max="521" width="9.625" style="2" bestFit="1" customWidth="1"/>
    <col min="522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/>
    <col min="777" max="777" width="9.625" style="2" bestFit="1" customWidth="1"/>
    <col min="778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/>
    <col min="1033" max="1033" width="9.625" style="2" bestFit="1" customWidth="1"/>
    <col min="1034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/>
    <col min="1289" max="1289" width="9.625" style="2" bestFit="1" customWidth="1"/>
    <col min="1290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/>
    <col min="1545" max="1545" width="9.625" style="2" bestFit="1" customWidth="1"/>
    <col min="1546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/>
    <col min="1801" max="1801" width="9.625" style="2" bestFit="1" customWidth="1"/>
    <col min="1802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/>
    <col min="2057" max="2057" width="9.625" style="2" bestFit="1" customWidth="1"/>
    <col min="2058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/>
    <col min="2313" max="2313" width="9.625" style="2" bestFit="1" customWidth="1"/>
    <col min="2314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/>
    <col min="2569" max="2569" width="9.625" style="2" bestFit="1" customWidth="1"/>
    <col min="2570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/>
    <col min="2825" max="2825" width="9.625" style="2" bestFit="1" customWidth="1"/>
    <col min="2826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/>
    <col min="3081" max="3081" width="9.625" style="2" bestFit="1" customWidth="1"/>
    <col min="3082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/>
    <col min="3337" max="3337" width="9.625" style="2" bestFit="1" customWidth="1"/>
    <col min="3338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/>
    <col min="3593" max="3593" width="9.625" style="2" bestFit="1" customWidth="1"/>
    <col min="3594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/>
    <col min="3849" max="3849" width="9.625" style="2" bestFit="1" customWidth="1"/>
    <col min="3850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/>
    <col min="4105" max="4105" width="9.625" style="2" bestFit="1" customWidth="1"/>
    <col min="4106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/>
    <col min="4361" max="4361" width="9.625" style="2" bestFit="1" customWidth="1"/>
    <col min="4362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/>
    <col min="4617" max="4617" width="9.625" style="2" bestFit="1" customWidth="1"/>
    <col min="4618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/>
    <col min="4873" max="4873" width="9.625" style="2" bestFit="1" customWidth="1"/>
    <col min="4874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/>
    <col min="5129" max="5129" width="9.625" style="2" bestFit="1" customWidth="1"/>
    <col min="5130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/>
    <col min="5385" max="5385" width="9.625" style="2" bestFit="1" customWidth="1"/>
    <col min="5386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/>
    <col min="5641" max="5641" width="9.625" style="2" bestFit="1" customWidth="1"/>
    <col min="5642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/>
    <col min="5897" max="5897" width="9.625" style="2" bestFit="1" customWidth="1"/>
    <col min="5898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/>
    <col min="6153" max="6153" width="9.625" style="2" bestFit="1" customWidth="1"/>
    <col min="6154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/>
    <col min="6409" max="6409" width="9.625" style="2" bestFit="1" customWidth="1"/>
    <col min="6410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/>
    <col min="6665" max="6665" width="9.625" style="2" bestFit="1" customWidth="1"/>
    <col min="6666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/>
    <col min="6921" max="6921" width="9.625" style="2" bestFit="1" customWidth="1"/>
    <col min="6922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/>
    <col min="7177" max="7177" width="9.625" style="2" bestFit="1" customWidth="1"/>
    <col min="7178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/>
    <col min="7433" max="7433" width="9.625" style="2" bestFit="1" customWidth="1"/>
    <col min="7434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/>
    <col min="7689" max="7689" width="9.625" style="2" bestFit="1" customWidth="1"/>
    <col min="7690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/>
    <col min="7945" max="7945" width="9.625" style="2" bestFit="1" customWidth="1"/>
    <col min="7946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/>
    <col min="8201" max="8201" width="9.625" style="2" bestFit="1" customWidth="1"/>
    <col min="8202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/>
    <col min="8457" max="8457" width="9.625" style="2" bestFit="1" customWidth="1"/>
    <col min="8458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/>
    <col min="8713" max="8713" width="9.625" style="2" bestFit="1" customWidth="1"/>
    <col min="8714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/>
    <col min="8969" max="8969" width="9.625" style="2" bestFit="1" customWidth="1"/>
    <col min="8970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/>
    <col min="9225" max="9225" width="9.625" style="2" bestFit="1" customWidth="1"/>
    <col min="9226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/>
    <col min="9481" max="9481" width="9.625" style="2" bestFit="1" customWidth="1"/>
    <col min="9482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/>
    <col min="9737" max="9737" width="9.625" style="2" bestFit="1" customWidth="1"/>
    <col min="9738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/>
    <col min="9993" max="9993" width="9.625" style="2" bestFit="1" customWidth="1"/>
    <col min="9994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/>
    <col min="10249" max="10249" width="9.625" style="2" bestFit="1" customWidth="1"/>
    <col min="10250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/>
    <col min="10505" max="10505" width="9.625" style="2" bestFit="1" customWidth="1"/>
    <col min="10506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/>
    <col min="10761" max="10761" width="9.625" style="2" bestFit="1" customWidth="1"/>
    <col min="10762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/>
    <col min="11017" max="11017" width="9.625" style="2" bestFit="1" customWidth="1"/>
    <col min="11018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/>
    <col min="11273" max="11273" width="9.625" style="2" bestFit="1" customWidth="1"/>
    <col min="11274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/>
    <col min="11529" max="11529" width="9.625" style="2" bestFit="1" customWidth="1"/>
    <col min="11530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/>
    <col min="11785" max="11785" width="9.625" style="2" bestFit="1" customWidth="1"/>
    <col min="11786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/>
    <col min="12041" max="12041" width="9.625" style="2" bestFit="1" customWidth="1"/>
    <col min="12042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/>
    <col min="12297" max="12297" width="9.625" style="2" bestFit="1" customWidth="1"/>
    <col min="12298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/>
    <col min="12553" max="12553" width="9.625" style="2" bestFit="1" customWidth="1"/>
    <col min="12554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/>
    <col min="12809" max="12809" width="9.625" style="2" bestFit="1" customWidth="1"/>
    <col min="12810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/>
    <col min="13065" max="13065" width="9.625" style="2" bestFit="1" customWidth="1"/>
    <col min="13066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/>
    <col min="13321" max="13321" width="9.625" style="2" bestFit="1" customWidth="1"/>
    <col min="13322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/>
    <col min="13577" max="13577" width="9.625" style="2" bestFit="1" customWidth="1"/>
    <col min="13578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/>
    <col min="13833" max="13833" width="9.625" style="2" bestFit="1" customWidth="1"/>
    <col min="13834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/>
    <col min="14089" max="14089" width="9.625" style="2" bestFit="1" customWidth="1"/>
    <col min="14090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/>
    <col min="14345" max="14345" width="9.625" style="2" bestFit="1" customWidth="1"/>
    <col min="14346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/>
    <col min="14601" max="14601" width="9.625" style="2" bestFit="1" customWidth="1"/>
    <col min="14602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/>
    <col min="14857" max="14857" width="9.625" style="2" bestFit="1" customWidth="1"/>
    <col min="14858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/>
    <col min="15113" max="15113" width="9.625" style="2" bestFit="1" customWidth="1"/>
    <col min="15114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/>
    <col min="15369" max="15369" width="9.625" style="2" bestFit="1" customWidth="1"/>
    <col min="15370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/>
    <col min="15625" max="15625" width="9.625" style="2" bestFit="1" customWidth="1"/>
    <col min="15626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/>
    <col min="15881" max="15881" width="9.625" style="2" bestFit="1" customWidth="1"/>
    <col min="15882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/>
    <col min="16137" max="16137" width="9.625" style="2" bestFit="1" customWidth="1"/>
    <col min="16138" max="16384" width="9" style="2"/>
  </cols>
  <sheetData>
    <row r="1" spans="1:9">
      <c r="A1" s="1" t="s">
        <v>0</v>
      </c>
    </row>
    <row r="2" spans="1:9" ht="19.5" thickBot="1">
      <c r="A2" s="1" t="s">
        <v>1</v>
      </c>
    </row>
    <row r="3" spans="1:9">
      <c r="B3" s="4"/>
      <c r="C3" s="66" t="s">
        <v>2</v>
      </c>
      <c r="D3" s="55" t="s">
        <v>3</v>
      </c>
      <c r="E3" s="11" t="s">
        <v>4</v>
      </c>
      <c r="F3" s="12" t="s">
        <v>5</v>
      </c>
      <c r="G3" s="13" t="s">
        <v>6</v>
      </c>
      <c r="H3" s="55" t="s">
        <v>3</v>
      </c>
      <c r="I3" s="56" t="s">
        <v>7</v>
      </c>
    </row>
    <row r="4" spans="1:9" ht="19.5" thickBot="1">
      <c r="B4" s="3" t="s">
        <v>8</v>
      </c>
      <c r="C4" s="67" t="s">
        <v>9</v>
      </c>
      <c r="D4" s="57" t="s">
        <v>10</v>
      </c>
      <c r="E4" s="14" t="s">
        <v>11</v>
      </c>
      <c r="F4" s="15" t="s">
        <v>12</v>
      </c>
      <c r="G4" s="16" t="s">
        <v>13</v>
      </c>
      <c r="H4" s="57" t="s">
        <v>14</v>
      </c>
      <c r="I4" s="5" t="s">
        <v>15</v>
      </c>
    </row>
    <row r="5" spans="1:9">
      <c r="A5" s="1" t="s">
        <v>16</v>
      </c>
      <c r="B5" s="44" t="s">
        <v>17</v>
      </c>
      <c r="C5" s="68">
        <v>20</v>
      </c>
      <c r="D5" s="58">
        <f>SUM(C5)</f>
        <v>20</v>
      </c>
      <c r="E5" s="45">
        <v>20</v>
      </c>
      <c r="F5" s="46">
        <v>20</v>
      </c>
      <c r="G5" s="47">
        <v>20</v>
      </c>
      <c r="H5" s="58">
        <f>SUM(E5:G5)</f>
        <v>60</v>
      </c>
      <c r="I5" s="58">
        <f>SUM(H5,D5)</f>
        <v>80</v>
      </c>
    </row>
    <row r="6" spans="1:9">
      <c r="A6" s="1" t="s">
        <v>16</v>
      </c>
      <c r="B6" s="40" t="s">
        <v>18</v>
      </c>
      <c r="C6" s="69">
        <v>0</v>
      </c>
      <c r="D6" s="59">
        <f t="shared" ref="D6:D38" si="0">SUM(C6)</f>
        <v>0</v>
      </c>
      <c r="E6" s="48">
        <v>0</v>
      </c>
      <c r="F6" s="49">
        <v>0</v>
      </c>
      <c r="G6" s="50">
        <v>1</v>
      </c>
      <c r="H6" s="59">
        <f t="shared" ref="H6:H38" si="1">SUM(E6:G6)</f>
        <v>1</v>
      </c>
      <c r="I6" s="59">
        <f t="shared" ref="I6:I38" si="2">SUM(H6,D6)</f>
        <v>1</v>
      </c>
    </row>
    <row r="7" spans="1:9">
      <c r="A7" s="1" t="s">
        <v>16</v>
      </c>
      <c r="B7" s="40" t="s">
        <v>19</v>
      </c>
      <c r="C7" s="70">
        <v>0</v>
      </c>
      <c r="D7" s="60">
        <f t="shared" si="0"/>
        <v>0</v>
      </c>
      <c r="E7" s="51">
        <v>0.875</v>
      </c>
      <c r="F7" s="52">
        <v>2.3333333333333335</v>
      </c>
      <c r="G7" s="53">
        <v>1.375</v>
      </c>
      <c r="H7" s="60">
        <f t="shared" si="1"/>
        <v>4.5833333333333339</v>
      </c>
      <c r="I7" s="60">
        <f t="shared" si="2"/>
        <v>4.5833333333333339</v>
      </c>
    </row>
    <row r="8" spans="1:9">
      <c r="A8" s="1" t="s">
        <v>16</v>
      </c>
      <c r="B8" s="40" t="s">
        <v>20</v>
      </c>
      <c r="C8" s="70">
        <v>0</v>
      </c>
      <c r="D8" s="60">
        <f t="shared" si="0"/>
        <v>0</v>
      </c>
      <c r="E8" s="51">
        <v>0</v>
      </c>
      <c r="F8" s="52">
        <v>0</v>
      </c>
      <c r="G8" s="53">
        <v>0.375</v>
      </c>
      <c r="H8" s="60">
        <f t="shared" si="1"/>
        <v>0.375</v>
      </c>
      <c r="I8" s="60">
        <f t="shared" si="2"/>
        <v>0.375</v>
      </c>
    </row>
    <row r="9" spans="1:9">
      <c r="A9" s="1" t="s">
        <v>16</v>
      </c>
      <c r="B9" s="9" t="s">
        <v>21</v>
      </c>
      <c r="C9" s="71">
        <v>0</v>
      </c>
      <c r="D9" s="6">
        <f t="shared" si="0"/>
        <v>0</v>
      </c>
      <c r="E9" s="17">
        <v>0.20833333333333334</v>
      </c>
      <c r="F9" s="18">
        <v>8.3333333333333329E-2</v>
      </c>
      <c r="G9" s="19">
        <v>8.3333333333333329E-2</v>
      </c>
      <c r="H9" s="6">
        <f t="shared" si="1"/>
        <v>0.375</v>
      </c>
      <c r="I9" s="6">
        <f t="shared" si="2"/>
        <v>0.375</v>
      </c>
    </row>
    <row r="10" spans="1:9">
      <c r="A10" s="1" t="s">
        <v>16</v>
      </c>
      <c r="B10" s="26" t="s">
        <v>22</v>
      </c>
      <c r="C10" s="72">
        <v>28</v>
      </c>
      <c r="D10" s="79"/>
      <c r="E10" s="27">
        <v>21</v>
      </c>
      <c r="F10" s="28">
        <v>29</v>
      </c>
      <c r="G10" s="29">
        <v>1</v>
      </c>
      <c r="H10" s="65"/>
      <c r="I10" s="65"/>
    </row>
    <row r="11" spans="1:9">
      <c r="A11" s="1" t="s">
        <v>16</v>
      </c>
      <c r="B11" s="33" t="s">
        <v>23</v>
      </c>
      <c r="C11" s="73">
        <v>370000</v>
      </c>
      <c r="D11" s="61">
        <f t="shared" si="0"/>
        <v>370000</v>
      </c>
      <c r="E11" s="34">
        <v>187000</v>
      </c>
      <c r="F11" s="35">
        <v>192000</v>
      </c>
      <c r="G11" s="36">
        <v>192000</v>
      </c>
      <c r="H11" s="61">
        <f t="shared" si="1"/>
        <v>571000</v>
      </c>
      <c r="I11" s="61">
        <f t="shared" si="2"/>
        <v>941000</v>
      </c>
    </row>
    <row r="12" spans="1:9">
      <c r="A12" s="1" t="s">
        <v>16</v>
      </c>
      <c r="B12" s="40" t="s">
        <v>24</v>
      </c>
      <c r="C12" s="74">
        <v>0</v>
      </c>
      <c r="D12" s="62">
        <f t="shared" si="0"/>
        <v>0</v>
      </c>
      <c r="E12" s="41">
        <v>5000</v>
      </c>
      <c r="F12" s="42">
        <v>0</v>
      </c>
      <c r="G12" s="43">
        <v>0</v>
      </c>
      <c r="H12" s="62">
        <f t="shared" si="1"/>
        <v>5000</v>
      </c>
      <c r="I12" s="62">
        <f t="shared" si="2"/>
        <v>5000</v>
      </c>
    </row>
    <row r="13" spans="1:9">
      <c r="A13" s="1" t="s">
        <v>16</v>
      </c>
      <c r="B13" s="40" t="s">
        <v>25</v>
      </c>
      <c r="C13" s="74">
        <v>0</v>
      </c>
      <c r="D13" s="62">
        <f t="shared" si="0"/>
        <v>0</v>
      </c>
      <c r="E13" s="41">
        <v>3000</v>
      </c>
      <c r="F13" s="42">
        <v>3000</v>
      </c>
      <c r="G13" s="43">
        <v>15000</v>
      </c>
      <c r="H13" s="62">
        <f t="shared" si="1"/>
        <v>21000</v>
      </c>
      <c r="I13" s="62">
        <f t="shared" si="2"/>
        <v>21000</v>
      </c>
    </row>
    <row r="14" spans="1:9">
      <c r="A14" s="1" t="s">
        <v>16</v>
      </c>
      <c r="B14" s="40" t="s">
        <v>26</v>
      </c>
      <c r="C14" s="74">
        <v>50000</v>
      </c>
      <c r="D14" s="62">
        <f t="shared" si="0"/>
        <v>50000</v>
      </c>
      <c r="E14" s="41">
        <v>50000</v>
      </c>
      <c r="F14" s="42">
        <v>50000</v>
      </c>
      <c r="G14" s="43">
        <v>50000</v>
      </c>
      <c r="H14" s="62">
        <f t="shared" si="1"/>
        <v>150000</v>
      </c>
      <c r="I14" s="62">
        <f t="shared" si="2"/>
        <v>200000</v>
      </c>
    </row>
    <row r="15" spans="1:9">
      <c r="A15" s="1" t="s">
        <v>16</v>
      </c>
      <c r="B15" s="40" t="s">
        <v>27</v>
      </c>
      <c r="C15" s="74">
        <v>0</v>
      </c>
      <c r="D15" s="62">
        <f t="shared" si="0"/>
        <v>0</v>
      </c>
      <c r="E15" s="41">
        <v>0</v>
      </c>
      <c r="F15" s="42">
        <v>0</v>
      </c>
      <c r="G15" s="43">
        <v>73975</v>
      </c>
      <c r="H15" s="62">
        <f t="shared" si="1"/>
        <v>73975</v>
      </c>
      <c r="I15" s="62">
        <f t="shared" si="2"/>
        <v>73975</v>
      </c>
    </row>
    <row r="16" spans="1:9">
      <c r="A16" s="1" t="s">
        <v>16</v>
      </c>
      <c r="B16" s="40" t="s">
        <v>28</v>
      </c>
      <c r="C16" s="74">
        <v>0</v>
      </c>
      <c r="D16" s="62">
        <f t="shared" si="0"/>
        <v>0</v>
      </c>
      <c r="E16" s="41">
        <v>3500</v>
      </c>
      <c r="F16" s="42">
        <v>3500</v>
      </c>
      <c r="G16" s="43">
        <v>0</v>
      </c>
      <c r="H16" s="62">
        <f t="shared" si="1"/>
        <v>7000</v>
      </c>
      <c r="I16" s="62">
        <f t="shared" si="2"/>
        <v>7000</v>
      </c>
    </row>
    <row r="17" spans="1:9">
      <c r="A17" s="1" t="s">
        <v>16</v>
      </c>
      <c r="B17" s="40" t="s">
        <v>29</v>
      </c>
      <c r="C17" s="74">
        <v>0</v>
      </c>
      <c r="D17" s="62">
        <f t="shared" si="0"/>
        <v>0</v>
      </c>
      <c r="E17" s="41">
        <v>0</v>
      </c>
      <c r="F17" s="42">
        <v>13000</v>
      </c>
      <c r="G17" s="43">
        <v>13000</v>
      </c>
      <c r="H17" s="62">
        <f t="shared" si="1"/>
        <v>26000</v>
      </c>
      <c r="I17" s="62">
        <f t="shared" si="2"/>
        <v>26000</v>
      </c>
    </row>
    <row r="18" spans="1:9">
      <c r="A18" s="1" t="s">
        <v>16</v>
      </c>
      <c r="B18" s="40" t="s">
        <v>19</v>
      </c>
      <c r="C18" s="74">
        <v>0</v>
      </c>
      <c r="D18" s="62">
        <f t="shared" si="0"/>
        <v>0</v>
      </c>
      <c r="E18" s="41">
        <v>39060</v>
      </c>
      <c r="F18" s="42">
        <v>109648</v>
      </c>
      <c r="G18" s="43">
        <v>66693</v>
      </c>
      <c r="H18" s="62">
        <f t="shared" si="1"/>
        <v>215401</v>
      </c>
      <c r="I18" s="62">
        <f t="shared" si="2"/>
        <v>215401</v>
      </c>
    </row>
    <row r="19" spans="1:9">
      <c r="A19" s="1" t="s">
        <v>16</v>
      </c>
      <c r="B19" s="40" t="s">
        <v>30</v>
      </c>
      <c r="C19" s="74">
        <v>0</v>
      </c>
      <c r="D19" s="62">
        <f t="shared" si="0"/>
        <v>0</v>
      </c>
      <c r="E19" s="41">
        <v>0</v>
      </c>
      <c r="F19" s="42">
        <v>0</v>
      </c>
      <c r="G19" s="43">
        <v>19647</v>
      </c>
      <c r="H19" s="62">
        <f t="shared" si="1"/>
        <v>19647</v>
      </c>
      <c r="I19" s="62">
        <f t="shared" si="2"/>
        <v>19647</v>
      </c>
    </row>
    <row r="20" spans="1:9">
      <c r="A20" s="1" t="s">
        <v>16</v>
      </c>
      <c r="B20" s="9" t="s">
        <v>21</v>
      </c>
      <c r="C20" s="75">
        <v>0</v>
      </c>
      <c r="D20" s="7">
        <f t="shared" si="0"/>
        <v>0</v>
      </c>
      <c r="E20" s="20">
        <v>1860</v>
      </c>
      <c r="F20" s="21">
        <v>784</v>
      </c>
      <c r="G20" s="22">
        <v>808</v>
      </c>
      <c r="H20" s="7">
        <f t="shared" si="1"/>
        <v>3452</v>
      </c>
      <c r="I20" s="7">
        <f t="shared" si="2"/>
        <v>3452</v>
      </c>
    </row>
    <row r="21" spans="1:9">
      <c r="A21" s="1" t="s">
        <v>16</v>
      </c>
      <c r="B21" s="26" t="s">
        <v>31</v>
      </c>
      <c r="C21" s="76">
        <v>420000</v>
      </c>
      <c r="D21" s="63">
        <f t="shared" si="0"/>
        <v>420000</v>
      </c>
      <c r="E21" s="30">
        <v>289420</v>
      </c>
      <c r="F21" s="31">
        <v>371932</v>
      </c>
      <c r="G21" s="32">
        <v>431123</v>
      </c>
      <c r="H21" s="63">
        <f t="shared" si="1"/>
        <v>1092475</v>
      </c>
      <c r="I21" s="63">
        <f t="shared" si="2"/>
        <v>1512475</v>
      </c>
    </row>
    <row r="22" spans="1:9">
      <c r="A22" s="1" t="s">
        <v>16</v>
      </c>
      <c r="B22" s="33" t="s">
        <v>32</v>
      </c>
      <c r="C22" s="73">
        <v>11389</v>
      </c>
      <c r="D22" s="61">
        <f t="shared" si="0"/>
        <v>11389</v>
      </c>
      <c r="E22" s="34">
        <v>0</v>
      </c>
      <c r="F22" s="35">
        <v>1564</v>
      </c>
      <c r="G22" s="36">
        <v>8757</v>
      </c>
      <c r="H22" s="61">
        <f t="shared" si="1"/>
        <v>10321</v>
      </c>
      <c r="I22" s="61">
        <f t="shared" si="2"/>
        <v>21710</v>
      </c>
    </row>
    <row r="23" spans="1:9">
      <c r="A23" s="1" t="s">
        <v>16</v>
      </c>
      <c r="B23" s="9" t="s">
        <v>33</v>
      </c>
      <c r="C23" s="75">
        <v>11389</v>
      </c>
      <c r="D23" s="7">
        <f t="shared" si="0"/>
        <v>11389</v>
      </c>
      <c r="E23" s="20">
        <v>0</v>
      </c>
      <c r="F23" s="21">
        <v>1564</v>
      </c>
      <c r="G23" s="22">
        <v>8757</v>
      </c>
      <c r="H23" s="7">
        <f t="shared" si="1"/>
        <v>10321</v>
      </c>
      <c r="I23" s="7">
        <f t="shared" si="2"/>
        <v>21710</v>
      </c>
    </row>
    <row r="24" spans="1:9">
      <c r="A24" s="1" t="s">
        <v>16</v>
      </c>
      <c r="B24" s="26" t="s">
        <v>34</v>
      </c>
      <c r="C24" s="76">
        <v>431389</v>
      </c>
      <c r="D24" s="63">
        <f t="shared" si="0"/>
        <v>431389</v>
      </c>
      <c r="E24" s="30">
        <v>289420</v>
      </c>
      <c r="F24" s="31">
        <v>373496</v>
      </c>
      <c r="G24" s="32">
        <v>439880</v>
      </c>
      <c r="H24" s="63">
        <f t="shared" si="1"/>
        <v>1102796</v>
      </c>
      <c r="I24" s="63">
        <f t="shared" si="2"/>
        <v>1534185</v>
      </c>
    </row>
    <row r="25" spans="1:9">
      <c r="A25" s="1" t="s">
        <v>16</v>
      </c>
      <c r="B25" s="33" t="s">
        <v>35</v>
      </c>
      <c r="C25" s="73">
        <v>22440</v>
      </c>
      <c r="D25" s="61">
        <f t="shared" si="0"/>
        <v>22440</v>
      </c>
      <c r="E25" s="34">
        <v>18360</v>
      </c>
      <c r="F25" s="35">
        <v>18360</v>
      </c>
      <c r="G25" s="36">
        <v>20910</v>
      </c>
      <c r="H25" s="61">
        <f t="shared" si="1"/>
        <v>57630</v>
      </c>
      <c r="I25" s="61">
        <f t="shared" si="2"/>
        <v>80070</v>
      </c>
    </row>
    <row r="26" spans="1:9">
      <c r="A26" s="1" t="s">
        <v>16</v>
      </c>
      <c r="B26" s="40" t="s">
        <v>36</v>
      </c>
      <c r="C26" s="74">
        <v>3960</v>
      </c>
      <c r="D26" s="62">
        <f t="shared" si="0"/>
        <v>3960</v>
      </c>
      <c r="E26" s="41">
        <v>0</v>
      </c>
      <c r="F26" s="42">
        <v>3240</v>
      </c>
      <c r="G26" s="43">
        <v>3690</v>
      </c>
      <c r="H26" s="62">
        <f t="shared" si="1"/>
        <v>6930</v>
      </c>
      <c r="I26" s="62">
        <f t="shared" si="2"/>
        <v>10890</v>
      </c>
    </row>
    <row r="27" spans="1:9">
      <c r="A27" s="1" t="s">
        <v>16</v>
      </c>
      <c r="B27" s="40" t="s">
        <v>37</v>
      </c>
      <c r="C27" s="74">
        <v>40260</v>
      </c>
      <c r="D27" s="62">
        <f t="shared" si="0"/>
        <v>40260</v>
      </c>
      <c r="E27" s="41">
        <v>32940</v>
      </c>
      <c r="F27" s="42">
        <v>32940</v>
      </c>
      <c r="G27" s="43">
        <v>37515</v>
      </c>
      <c r="H27" s="62">
        <f t="shared" si="1"/>
        <v>103395</v>
      </c>
      <c r="I27" s="62">
        <f t="shared" si="2"/>
        <v>143655</v>
      </c>
    </row>
    <row r="28" spans="1:9">
      <c r="A28" s="1" t="s">
        <v>16</v>
      </c>
      <c r="B28" s="9" t="s">
        <v>38</v>
      </c>
      <c r="C28" s="75">
        <v>2588</v>
      </c>
      <c r="D28" s="7">
        <f t="shared" si="0"/>
        <v>2588</v>
      </c>
      <c r="E28" s="20">
        <v>1737</v>
      </c>
      <c r="F28" s="21">
        <v>2241</v>
      </c>
      <c r="G28" s="22">
        <v>2639</v>
      </c>
      <c r="H28" s="7">
        <f t="shared" si="1"/>
        <v>6617</v>
      </c>
      <c r="I28" s="7">
        <f t="shared" si="2"/>
        <v>9205</v>
      </c>
    </row>
    <row r="29" spans="1:9">
      <c r="A29" s="1" t="s">
        <v>16</v>
      </c>
      <c r="B29" s="26" t="s">
        <v>39</v>
      </c>
      <c r="C29" s="76">
        <v>69248</v>
      </c>
      <c r="D29" s="63">
        <f t="shared" si="0"/>
        <v>69248</v>
      </c>
      <c r="E29" s="30">
        <v>53037</v>
      </c>
      <c r="F29" s="31">
        <v>56781</v>
      </c>
      <c r="G29" s="32">
        <v>64754</v>
      </c>
      <c r="H29" s="63">
        <f t="shared" si="1"/>
        <v>174572</v>
      </c>
      <c r="I29" s="63">
        <f t="shared" si="2"/>
        <v>243820</v>
      </c>
    </row>
    <row r="30" spans="1:9">
      <c r="A30" s="1" t="s">
        <v>16</v>
      </c>
      <c r="B30" s="33" t="s">
        <v>40</v>
      </c>
      <c r="C30" s="73">
        <v>12530</v>
      </c>
      <c r="D30" s="61">
        <f t="shared" si="0"/>
        <v>12530</v>
      </c>
      <c r="E30" s="34">
        <v>4450</v>
      </c>
      <c r="F30" s="35">
        <v>9620</v>
      </c>
      <c r="G30" s="36">
        <v>13800</v>
      </c>
      <c r="H30" s="61">
        <f t="shared" si="1"/>
        <v>27870</v>
      </c>
      <c r="I30" s="61">
        <f t="shared" si="2"/>
        <v>40400</v>
      </c>
    </row>
    <row r="31" spans="1:9">
      <c r="A31" s="1" t="s">
        <v>16</v>
      </c>
      <c r="B31" s="9" t="s">
        <v>41</v>
      </c>
      <c r="C31" s="75">
        <v>20300</v>
      </c>
      <c r="D31" s="7">
        <f t="shared" si="0"/>
        <v>20300</v>
      </c>
      <c r="E31" s="20">
        <v>15900</v>
      </c>
      <c r="F31" s="21">
        <v>20500</v>
      </c>
      <c r="G31" s="22">
        <v>16600</v>
      </c>
      <c r="H31" s="7">
        <f t="shared" si="1"/>
        <v>53000</v>
      </c>
      <c r="I31" s="7">
        <f t="shared" si="2"/>
        <v>73300</v>
      </c>
    </row>
    <row r="32" spans="1:9">
      <c r="A32" s="1" t="s">
        <v>16</v>
      </c>
      <c r="B32" s="26" t="s">
        <v>42</v>
      </c>
      <c r="C32" s="76">
        <v>102078</v>
      </c>
      <c r="D32" s="63">
        <f t="shared" si="0"/>
        <v>102078</v>
      </c>
      <c r="E32" s="30">
        <v>73387</v>
      </c>
      <c r="F32" s="31">
        <v>86901</v>
      </c>
      <c r="G32" s="32">
        <v>95154</v>
      </c>
      <c r="H32" s="63">
        <f t="shared" si="1"/>
        <v>255442</v>
      </c>
      <c r="I32" s="63">
        <f t="shared" si="2"/>
        <v>357520</v>
      </c>
    </row>
    <row r="33" spans="1:9">
      <c r="A33" s="1" t="s">
        <v>16</v>
      </c>
      <c r="B33" s="26" t="s">
        <v>43</v>
      </c>
      <c r="C33" s="76">
        <v>350752</v>
      </c>
      <c r="D33" s="63">
        <f t="shared" si="0"/>
        <v>350752</v>
      </c>
      <c r="E33" s="30">
        <v>236383</v>
      </c>
      <c r="F33" s="31">
        <v>315151</v>
      </c>
      <c r="G33" s="32">
        <v>366369</v>
      </c>
      <c r="H33" s="63">
        <f t="shared" si="1"/>
        <v>917903</v>
      </c>
      <c r="I33" s="63">
        <f t="shared" si="2"/>
        <v>1268655</v>
      </c>
    </row>
    <row r="34" spans="1:9">
      <c r="A34" s="1" t="s">
        <v>16</v>
      </c>
      <c r="B34" s="26" t="s">
        <v>44</v>
      </c>
      <c r="C34" s="76">
        <v>329311</v>
      </c>
      <c r="D34" s="63">
        <f t="shared" si="0"/>
        <v>329311</v>
      </c>
      <c r="E34" s="30">
        <v>216033</v>
      </c>
      <c r="F34" s="31">
        <v>286595</v>
      </c>
      <c r="G34" s="32">
        <v>344726</v>
      </c>
      <c r="H34" s="63">
        <f t="shared" si="1"/>
        <v>847354</v>
      </c>
      <c r="I34" s="63">
        <f t="shared" si="2"/>
        <v>1176665</v>
      </c>
    </row>
    <row r="35" spans="1:9">
      <c r="A35" s="1" t="s">
        <v>16</v>
      </c>
      <c r="B35" s="26" t="s">
        <v>45</v>
      </c>
      <c r="C35" s="76">
        <v>329311</v>
      </c>
      <c r="D35" s="63">
        <f t="shared" si="0"/>
        <v>329311</v>
      </c>
      <c r="E35" s="30">
        <v>216033</v>
      </c>
      <c r="F35" s="31">
        <v>286595</v>
      </c>
      <c r="G35" s="32">
        <v>344726</v>
      </c>
      <c r="H35" s="63">
        <f t="shared" si="1"/>
        <v>847354</v>
      </c>
      <c r="I35" s="63">
        <f t="shared" si="2"/>
        <v>1176665</v>
      </c>
    </row>
    <row r="36" spans="1:9">
      <c r="A36" s="1" t="s">
        <v>16</v>
      </c>
      <c r="B36" s="26" t="s">
        <v>46</v>
      </c>
      <c r="C36" s="76">
        <v>0</v>
      </c>
      <c r="D36" s="63"/>
      <c r="E36" s="30">
        <v>1</v>
      </c>
      <c r="F36" s="31">
        <v>0</v>
      </c>
      <c r="G36" s="32">
        <v>0</v>
      </c>
      <c r="H36" s="63"/>
      <c r="I36" s="63"/>
    </row>
    <row r="37" spans="1:9">
      <c r="A37" s="1" t="s">
        <v>16</v>
      </c>
      <c r="B37" s="26" t="s">
        <v>47</v>
      </c>
      <c r="C37" s="77" t="s">
        <v>48</v>
      </c>
      <c r="D37" s="64"/>
      <c r="E37" s="37" t="s">
        <v>48</v>
      </c>
      <c r="F37" s="38" t="s">
        <v>48</v>
      </c>
      <c r="G37" s="39" t="s">
        <v>48</v>
      </c>
      <c r="H37" s="64"/>
      <c r="I37" s="64"/>
    </row>
    <row r="38" spans="1:9" ht="19.5" thickBot="1">
      <c r="A38" s="1" t="s">
        <v>16</v>
      </c>
      <c r="B38" s="10" t="s">
        <v>49</v>
      </c>
      <c r="C38" s="78">
        <v>12530</v>
      </c>
      <c r="D38" s="8">
        <f t="shared" si="0"/>
        <v>12530</v>
      </c>
      <c r="E38" s="23">
        <v>4450</v>
      </c>
      <c r="F38" s="24">
        <v>9620</v>
      </c>
      <c r="G38" s="25">
        <v>13800</v>
      </c>
      <c r="H38" s="8">
        <f t="shared" si="1"/>
        <v>27870</v>
      </c>
      <c r="I38" s="8">
        <f t="shared" si="2"/>
        <v>40400</v>
      </c>
    </row>
    <row r="39" spans="1:9">
      <c r="D39" s="54"/>
    </row>
  </sheetData>
  <phoneticPr fontId="4"/>
  <pageMargins left="0.31496062992125984" right="0.31496062992125984" top="0.35433070866141736" bottom="0.35433070866141736" header="0.11811023622047245" footer="0.11811023622047245"/>
  <pageSetup paperSize="12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2025-04-03T07:20:48Z</dcterms:created>
  <dcterms:modified xsi:type="dcterms:W3CDTF">2025-05-01T05:40:27Z</dcterms:modified>
  <cp:category/>
  <cp:contentStatus/>
</cp:coreProperties>
</file>