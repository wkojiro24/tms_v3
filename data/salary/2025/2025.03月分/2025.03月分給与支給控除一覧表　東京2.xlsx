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深沢道夫\総務・経理\給与集計内訳\2025\2025.03月分\"/>
    </mc:Choice>
  </mc:AlternateContent>
  <xr:revisionPtr revIDLastSave="0" documentId="13_ncr:1_{9A678430-5096-462B-9658-BA1F44ADB424}" xr6:coauthVersionLast="47" xr6:coauthVersionMax="47" xr10:uidLastSave="{00000000-0000-0000-0000-000000000000}"/>
  <bookViews>
    <workbookView xWindow="-120" yWindow="-120" windowWidth="20730" windowHeight="11040" xr2:uid="{E804342C-D32D-48E5-877A-ED491FECF576}"/>
  </bookViews>
  <sheets>
    <sheet name="2025年 3月度給与 (2)" sheetId="3" r:id="rId1"/>
  </sheets>
  <definedNames>
    <definedName name="_xlnm.Print_Area" localSheetId="0">'2025年 3月度給与 (2)'!$A$1:$O$48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3" l="1"/>
  <c r="O7" i="3"/>
  <c r="O8" i="3"/>
  <c r="O9" i="3"/>
  <c r="O10" i="3"/>
  <c r="O11" i="3"/>
  <c r="O12" i="3"/>
  <c r="O13" i="3"/>
  <c r="O14" i="3"/>
  <c r="O15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8" i="3"/>
  <c r="O5" i="3"/>
  <c r="N6" i="3"/>
  <c r="N7" i="3"/>
  <c r="N8" i="3"/>
  <c r="N9" i="3"/>
  <c r="N10" i="3"/>
  <c r="N11" i="3"/>
  <c r="N12" i="3"/>
  <c r="N13" i="3"/>
  <c r="N14" i="3"/>
  <c r="N15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8" i="3"/>
  <c r="N5" i="3"/>
  <c r="E6" i="3"/>
  <c r="E7" i="3"/>
  <c r="E8" i="3"/>
  <c r="E9" i="3"/>
  <c r="E10" i="3"/>
  <c r="E11" i="3"/>
  <c r="E12" i="3"/>
  <c r="E13" i="3"/>
  <c r="E14" i="3"/>
  <c r="E15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8" i="3"/>
  <c r="E5" i="3"/>
</calcChain>
</file>

<file path=xl/sharedStrings.xml><?xml version="1.0" encoding="utf-8"?>
<sst xmlns="http://schemas.openxmlformats.org/spreadsheetml/2006/main" count="126" uniqueCount="71">
  <si>
    <t>支給控除一覧表</t>
    <phoneticPr fontId="4"/>
  </si>
  <si>
    <t>2025年 3月度給与</t>
    <phoneticPr fontId="4"/>
  </si>
  <si>
    <t>1029</t>
    <phoneticPr fontId="4"/>
  </si>
  <si>
    <t>1033</t>
    <phoneticPr fontId="4"/>
  </si>
  <si>
    <t>小計</t>
    <rPh sb="0" eb="2">
      <t>ショウケイ</t>
    </rPh>
    <phoneticPr fontId="3"/>
  </si>
  <si>
    <t>1025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</si>
  <si>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</si>
  <si>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</si>
  <si>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</si>
  <si>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</si>
  <si>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1201</t>
    <phoneticPr fontId="4"/>
  </si>
  <si>
    <t>1203</t>
    <phoneticPr fontId="4"/>
  </si>
  <si>
    <t>1204</t>
    <phoneticPr fontId="4"/>
  </si>
  <si>
    <t>項目名</t>
    <phoneticPr fontId="4"/>
  </si>
  <si>
    <t>上原　勉</t>
    <phoneticPr fontId="4"/>
  </si>
  <si>
    <t>新治　泰子</t>
    <phoneticPr fontId="4"/>
  </si>
  <si>
    <t>2名</t>
    <rPh sb="1" eb="2">
      <t>メイ</t>
    </rPh>
    <phoneticPr fontId="3"/>
  </si>
  <si>
    <t>金子　勝彦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</si>
  <si>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</si>
  <si>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</si>
  <si>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</si>
  <si>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</si>
  <si>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小幡　泰寛</t>
    <phoneticPr fontId="4"/>
  </si>
  <si>
    <t>長野　智彦</t>
    <phoneticPr fontId="4"/>
  </si>
  <si>
    <t>伊藤　博一</t>
    <phoneticPr fontId="4"/>
  </si>
  <si>
    <t>8名</t>
    <rPh sb="1" eb="2">
      <t>メイ</t>
    </rPh>
    <phoneticPr fontId="3"/>
  </si>
  <si>
    <t>合計</t>
    <phoneticPr fontId="4"/>
  </si>
  <si>
    <t/>
  </si>
  <si>
    <t>平日出勤日数</t>
    <phoneticPr fontId="4"/>
  </si>
  <si>
    <t>法定休日</t>
    <phoneticPr fontId="4"/>
  </si>
  <si>
    <t>法定外休日</t>
    <phoneticPr fontId="4"/>
  </si>
  <si>
    <t>有休日数</t>
    <phoneticPr fontId="4"/>
  </si>
  <si>
    <t>特別休暇日数</t>
    <phoneticPr fontId="4"/>
  </si>
  <si>
    <t>欠勤日数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</si>
  <si>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</si>
  <si>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</si>
  <si>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</si>
  <si>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</si>
  <si>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</si>
  <si>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</si>
  <si>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</si>
  <si>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</si>
  <si>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</si>
  <si>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</si>
  <si>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</si>
  <si>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</si>
  <si>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特別休暇</t>
    <phoneticPr fontId="4"/>
  </si>
  <si>
    <t>過不足調整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</si>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</sst>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176" fontId="2" fillId="0" borderId="3" xfId="1" applyNumberFormat="1" applyFont="1" applyBorder="1"/>
    <xf numFmtId="3" fontId="2" fillId="0" borderId="3" xfId="1" applyNumberFormat="1" applyFont="1" applyBorder="1"/>
    <xf numFmtId="3" fontId="2" fillId="0" borderId="1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3" fontId="2" fillId="0" borderId="9" xfId="1" applyNumberFormat="1" applyFont="1" applyBorder="1"/>
    <xf numFmtId="3" fontId="2" fillId="0" borderId="10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49" fontId="2" fillId="0" borderId="25" xfId="1" applyNumberFormat="1" applyFont="1" applyBorder="1" applyAlignment="1">
      <alignment horizontal="left"/>
    </xf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7" fontId="2" fillId="0" borderId="23" xfId="1" applyNumberFormat="1" applyFont="1" applyBorder="1"/>
    <xf numFmtId="177" fontId="2" fillId="0" borderId="24" xfId="1" applyNumberFormat="1" applyFont="1" applyBorder="1"/>
    <xf numFmtId="49" fontId="2" fillId="0" borderId="29" xfId="1" applyNumberFormat="1" applyFont="1" applyBorder="1" applyAlignment="1">
      <alignment horizontal="center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177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49" fontId="2" fillId="0" borderId="38" xfId="1" applyNumberFormat="1" applyFont="1" applyBorder="1" applyAlignment="1">
      <alignment horizontal="center"/>
    </xf>
    <xf numFmtId="0" fontId="2" fillId="0" borderId="38" xfId="1" applyFont="1" applyBorder="1"/>
    <xf numFmtId="49" fontId="2" fillId="0" borderId="39" xfId="1" applyNumberFormat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2" fontId="2" fillId="0" borderId="40" xfId="1" applyNumberFormat="1" applyFont="1" applyBorder="1"/>
    <xf numFmtId="2" fontId="2" fillId="0" borderId="41" xfId="1" applyNumberFormat="1" applyFont="1" applyBorder="1"/>
    <xf numFmtId="176" fontId="2" fillId="0" borderId="41" xfId="1" applyNumberFormat="1" applyFont="1" applyBorder="1"/>
    <xf numFmtId="176" fontId="2" fillId="0" borderId="42" xfId="1" applyNumberFormat="1" applyFont="1" applyBorder="1"/>
    <xf numFmtId="2" fontId="2" fillId="0" borderId="43" xfId="1" applyNumberFormat="1" applyFont="1" applyBorder="1"/>
    <xf numFmtId="3" fontId="2" fillId="0" borderId="44" xfId="1" applyNumberFormat="1" applyFont="1" applyBorder="1"/>
    <xf numFmtId="3" fontId="2" fillId="0" borderId="41" xfId="1" applyNumberFormat="1" applyFont="1" applyBorder="1"/>
    <xf numFmtId="177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49" fontId="2" fillId="0" borderId="43" xfId="1" applyNumberFormat="1" applyFont="1" applyBorder="1"/>
    <xf numFmtId="3" fontId="2" fillId="0" borderId="39" xfId="1" applyNumberFormat="1" applyFont="1" applyBorder="1"/>
  </cellXfs>
  <cellStyles count="2">
    <cellStyle name="標準" xfId="0" builtinId="0"/>
    <cellStyle name="標準 2" xfId="1" xr:uid="{D4BD513C-0D33-42F6-8306-8BE87BF61C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6422-C64A-4873-94EC-CAEA648D4DA9}">
  <sheetPr>
    <pageSetUpPr fitToPage="1"/>
  </sheetPr>
  <dimension ref="A1:O48"/>
  <sheetViews>
    <sheetView tabSelected="1" workbookViewId="0">
      <pane xSplit="2" ySplit="4" topLeftCell="C22" activePane="bottomRight" state="frozen"/>
      <selection pane="bottomRight" activeCell="M34" sqref="M34"/>
      <selection pane="bottomLeft" activeCell="A9" sqref="A9"/>
      <selection pane="topRight" activeCell="C1" sqref="C1"/>
    </sheetView>
  </sheetViews>
  <sheetFormatPr defaultRowHeight="18.75"/>
  <cols>
    <col min="1" max="1" width="2.375" style="2" customWidth="1"/>
    <col min="2" max="2" width="13.25" style="2" bestFit="1" customWidth="1"/>
    <col min="3" max="15" width="11.5" style="2" customWidth="1"/>
    <col min="16" max="258" width="9" style="2"/>
    <col min="259" max="259" width="2.375" style="2" customWidth="1"/>
    <col min="260" max="260" width="13.25" style="2" bestFit="1" customWidth="1"/>
    <col min="261" max="261" width="11.125" style="2" bestFit="1" customWidth="1"/>
    <col min="262" max="263" width="9" style="2"/>
    <col min="264" max="270" width="11.125" style="2" bestFit="1" customWidth="1"/>
    <col min="271" max="271" width="9.625" style="2" bestFit="1" customWidth="1"/>
    <col min="272" max="514" width="9" style="2"/>
    <col min="515" max="515" width="2.375" style="2" customWidth="1"/>
    <col min="516" max="516" width="13.25" style="2" bestFit="1" customWidth="1"/>
    <col min="517" max="517" width="11.125" style="2" bestFit="1" customWidth="1"/>
    <col min="518" max="519" width="9" style="2"/>
    <col min="520" max="526" width="11.125" style="2" bestFit="1" customWidth="1"/>
    <col min="527" max="527" width="9.625" style="2" bestFit="1" customWidth="1"/>
    <col min="528" max="770" width="9" style="2"/>
    <col min="771" max="771" width="2.375" style="2" customWidth="1"/>
    <col min="772" max="772" width="13.25" style="2" bestFit="1" customWidth="1"/>
    <col min="773" max="773" width="11.125" style="2" bestFit="1" customWidth="1"/>
    <col min="774" max="775" width="9" style="2"/>
    <col min="776" max="782" width="11.125" style="2" bestFit="1" customWidth="1"/>
    <col min="783" max="783" width="9.625" style="2" bestFit="1" customWidth="1"/>
    <col min="784" max="1026" width="9" style="2"/>
    <col min="1027" max="1027" width="2.375" style="2" customWidth="1"/>
    <col min="1028" max="1028" width="13.25" style="2" bestFit="1" customWidth="1"/>
    <col min="1029" max="1029" width="11.125" style="2" bestFit="1" customWidth="1"/>
    <col min="1030" max="1031" width="9" style="2"/>
    <col min="1032" max="1038" width="11.125" style="2" bestFit="1" customWidth="1"/>
    <col min="1039" max="1039" width="9.625" style="2" bestFit="1" customWidth="1"/>
    <col min="1040" max="1282" width="9" style="2"/>
    <col min="1283" max="1283" width="2.375" style="2" customWidth="1"/>
    <col min="1284" max="1284" width="13.25" style="2" bestFit="1" customWidth="1"/>
    <col min="1285" max="1285" width="11.125" style="2" bestFit="1" customWidth="1"/>
    <col min="1286" max="1287" width="9" style="2"/>
    <col min="1288" max="1294" width="11.125" style="2" bestFit="1" customWidth="1"/>
    <col min="1295" max="1295" width="9.625" style="2" bestFit="1" customWidth="1"/>
    <col min="1296" max="1538" width="9" style="2"/>
    <col min="1539" max="1539" width="2.375" style="2" customWidth="1"/>
    <col min="1540" max="1540" width="13.25" style="2" bestFit="1" customWidth="1"/>
    <col min="1541" max="1541" width="11.125" style="2" bestFit="1" customWidth="1"/>
    <col min="1542" max="1543" width="9" style="2"/>
    <col min="1544" max="1550" width="11.125" style="2" bestFit="1" customWidth="1"/>
    <col min="1551" max="1551" width="9.625" style="2" bestFit="1" customWidth="1"/>
    <col min="1552" max="1794" width="9" style="2"/>
    <col min="1795" max="1795" width="2.375" style="2" customWidth="1"/>
    <col min="1796" max="1796" width="13.25" style="2" bestFit="1" customWidth="1"/>
    <col min="1797" max="1797" width="11.125" style="2" bestFit="1" customWidth="1"/>
    <col min="1798" max="1799" width="9" style="2"/>
    <col min="1800" max="1806" width="11.125" style="2" bestFit="1" customWidth="1"/>
    <col min="1807" max="1807" width="9.625" style="2" bestFit="1" customWidth="1"/>
    <col min="1808" max="2050" width="9" style="2"/>
    <col min="2051" max="2051" width="2.375" style="2" customWidth="1"/>
    <col min="2052" max="2052" width="13.25" style="2" bestFit="1" customWidth="1"/>
    <col min="2053" max="2053" width="11.125" style="2" bestFit="1" customWidth="1"/>
    <col min="2054" max="2055" width="9" style="2"/>
    <col min="2056" max="2062" width="11.125" style="2" bestFit="1" customWidth="1"/>
    <col min="2063" max="2063" width="9.625" style="2" bestFit="1" customWidth="1"/>
    <col min="2064" max="2306" width="9" style="2"/>
    <col min="2307" max="2307" width="2.375" style="2" customWidth="1"/>
    <col min="2308" max="2308" width="13.25" style="2" bestFit="1" customWidth="1"/>
    <col min="2309" max="2309" width="11.125" style="2" bestFit="1" customWidth="1"/>
    <col min="2310" max="2311" width="9" style="2"/>
    <col min="2312" max="2318" width="11.125" style="2" bestFit="1" customWidth="1"/>
    <col min="2319" max="2319" width="9.625" style="2" bestFit="1" customWidth="1"/>
    <col min="2320" max="2562" width="9" style="2"/>
    <col min="2563" max="2563" width="2.375" style="2" customWidth="1"/>
    <col min="2564" max="2564" width="13.25" style="2" bestFit="1" customWidth="1"/>
    <col min="2565" max="2565" width="11.125" style="2" bestFit="1" customWidth="1"/>
    <col min="2566" max="2567" width="9" style="2"/>
    <col min="2568" max="2574" width="11.125" style="2" bestFit="1" customWidth="1"/>
    <col min="2575" max="2575" width="9.625" style="2" bestFit="1" customWidth="1"/>
    <col min="2576" max="2818" width="9" style="2"/>
    <col min="2819" max="2819" width="2.375" style="2" customWidth="1"/>
    <col min="2820" max="2820" width="13.25" style="2" bestFit="1" customWidth="1"/>
    <col min="2821" max="2821" width="11.125" style="2" bestFit="1" customWidth="1"/>
    <col min="2822" max="2823" width="9" style="2"/>
    <col min="2824" max="2830" width="11.125" style="2" bestFit="1" customWidth="1"/>
    <col min="2831" max="2831" width="9.625" style="2" bestFit="1" customWidth="1"/>
    <col min="2832" max="3074" width="9" style="2"/>
    <col min="3075" max="3075" width="2.375" style="2" customWidth="1"/>
    <col min="3076" max="3076" width="13.25" style="2" bestFit="1" customWidth="1"/>
    <col min="3077" max="3077" width="11.125" style="2" bestFit="1" customWidth="1"/>
    <col min="3078" max="3079" width="9" style="2"/>
    <col min="3080" max="3086" width="11.125" style="2" bestFit="1" customWidth="1"/>
    <col min="3087" max="3087" width="9.625" style="2" bestFit="1" customWidth="1"/>
    <col min="3088" max="3330" width="9" style="2"/>
    <col min="3331" max="3331" width="2.375" style="2" customWidth="1"/>
    <col min="3332" max="3332" width="13.25" style="2" bestFit="1" customWidth="1"/>
    <col min="3333" max="3333" width="11.125" style="2" bestFit="1" customWidth="1"/>
    <col min="3334" max="3335" width="9" style="2"/>
    <col min="3336" max="3342" width="11.125" style="2" bestFit="1" customWidth="1"/>
    <col min="3343" max="3343" width="9.625" style="2" bestFit="1" customWidth="1"/>
    <col min="3344" max="3586" width="9" style="2"/>
    <col min="3587" max="3587" width="2.375" style="2" customWidth="1"/>
    <col min="3588" max="3588" width="13.25" style="2" bestFit="1" customWidth="1"/>
    <col min="3589" max="3589" width="11.125" style="2" bestFit="1" customWidth="1"/>
    <col min="3590" max="3591" width="9" style="2"/>
    <col min="3592" max="3598" width="11.125" style="2" bestFit="1" customWidth="1"/>
    <col min="3599" max="3599" width="9.625" style="2" bestFit="1" customWidth="1"/>
    <col min="3600" max="3842" width="9" style="2"/>
    <col min="3843" max="3843" width="2.375" style="2" customWidth="1"/>
    <col min="3844" max="3844" width="13.25" style="2" bestFit="1" customWidth="1"/>
    <col min="3845" max="3845" width="11.125" style="2" bestFit="1" customWidth="1"/>
    <col min="3846" max="3847" width="9" style="2"/>
    <col min="3848" max="3854" width="11.125" style="2" bestFit="1" customWidth="1"/>
    <col min="3855" max="3855" width="9.625" style="2" bestFit="1" customWidth="1"/>
    <col min="3856" max="4098" width="9" style="2"/>
    <col min="4099" max="4099" width="2.375" style="2" customWidth="1"/>
    <col min="4100" max="4100" width="13.25" style="2" bestFit="1" customWidth="1"/>
    <col min="4101" max="4101" width="11.125" style="2" bestFit="1" customWidth="1"/>
    <col min="4102" max="4103" width="9" style="2"/>
    <col min="4104" max="4110" width="11.125" style="2" bestFit="1" customWidth="1"/>
    <col min="4111" max="4111" width="9.625" style="2" bestFit="1" customWidth="1"/>
    <col min="4112" max="4354" width="9" style="2"/>
    <col min="4355" max="4355" width="2.375" style="2" customWidth="1"/>
    <col min="4356" max="4356" width="13.25" style="2" bestFit="1" customWidth="1"/>
    <col min="4357" max="4357" width="11.125" style="2" bestFit="1" customWidth="1"/>
    <col min="4358" max="4359" width="9" style="2"/>
    <col min="4360" max="4366" width="11.125" style="2" bestFit="1" customWidth="1"/>
    <col min="4367" max="4367" width="9.625" style="2" bestFit="1" customWidth="1"/>
    <col min="4368" max="4610" width="9" style="2"/>
    <col min="4611" max="4611" width="2.375" style="2" customWidth="1"/>
    <col min="4612" max="4612" width="13.25" style="2" bestFit="1" customWidth="1"/>
    <col min="4613" max="4613" width="11.125" style="2" bestFit="1" customWidth="1"/>
    <col min="4614" max="4615" width="9" style="2"/>
    <col min="4616" max="4622" width="11.125" style="2" bestFit="1" customWidth="1"/>
    <col min="4623" max="4623" width="9.625" style="2" bestFit="1" customWidth="1"/>
    <col min="4624" max="4866" width="9" style="2"/>
    <col min="4867" max="4867" width="2.375" style="2" customWidth="1"/>
    <col min="4868" max="4868" width="13.25" style="2" bestFit="1" customWidth="1"/>
    <col min="4869" max="4869" width="11.125" style="2" bestFit="1" customWidth="1"/>
    <col min="4870" max="4871" width="9" style="2"/>
    <col min="4872" max="4878" width="11.125" style="2" bestFit="1" customWidth="1"/>
    <col min="4879" max="4879" width="9.625" style="2" bestFit="1" customWidth="1"/>
    <col min="4880" max="5122" width="9" style="2"/>
    <col min="5123" max="5123" width="2.375" style="2" customWidth="1"/>
    <col min="5124" max="5124" width="13.25" style="2" bestFit="1" customWidth="1"/>
    <col min="5125" max="5125" width="11.125" style="2" bestFit="1" customWidth="1"/>
    <col min="5126" max="5127" width="9" style="2"/>
    <col min="5128" max="5134" width="11.125" style="2" bestFit="1" customWidth="1"/>
    <col min="5135" max="5135" width="9.625" style="2" bestFit="1" customWidth="1"/>
    <col min="5136" max="5378" width="9" style="2"/>
    <col min="5379" max="5379" width="2.375" style="2" customWidth="1"/>
    <col min="5380" max="5380" width="13.25" style="2" bestFit="1" customWidth="1"/>
    <col min="5381" max="5381" width="11.125" style="2" bestFit="1" customWidth="1"/>
    <col min="5382" max="5383" width="9" style="2"/>
    <col min="5384" max="5390" width="11.125" style="2" bestFit="1" customWidth="1"/>
    <col min="5391" max="5391" width="9.625" style="2" bestFit="1" customWidth="1"/>
    <col min="5392" max="5634" width="9" style="2"/>
    <col min="5635" max="5635" width="2.375" style="2" customWidth="1"/>
    <col min="5636" max="5636" width="13.25" style="2" bestFit="1" customWidth="1"/>
    <col min="5637" max="5637" width="11.125" style="2" bestFit="1" customWidth="1"/>
    <col min="5638" max="5639" width="9" style="2"/>
    <col min="5640" max="5646" width="11.125" style="2" bestFit="1" customWidth="1"/>
    <col min="5647" max="5647" width="9.625" style="2" bestFit="1" customWidth="1"/>
    <col min="5648" max="5890" width="9" style="2"/>
    <col min="5891" max="5891" width="2.375" style="2" customWidth="1"/>
    <col min="5892" max="5892" width="13.25" style="2" bestFit="1" customWidth="1"/>
    <col min="5893" max="5893" width="11.125" style="2" bestFit="1" customWidth="1"/>
    <col min="5894" max="5895" width="9" style="2"/>
    <col min="5896" max="5902" width="11.125" style="2" bestFit="1" customWidth="1"/>
    <col min="5903" max="5903" width="9.625" style="2" bestFit="1" customWidth="1"/>
    <col min="5904" max="6146" width="9" style="2"/>
    <col min="6147" max="6147" width="2.375" style="2" customWidth="1"/>
    <col min="6148" max="6148" width="13.25" style="2" bestFit="1" customWidth="1"/>
    <col min="6149" max="6149" width="11.125" style="2" bestFit="1" customWidth="1"/>
    <col min="6150" max="6151" width="9" style="2"/>
    <col min="6152" max="6158" width="11.125" style="2" bestFit="1" customWidth="1"/>
    <col min="6159" max="6159" width="9.625" style="2" bestFit="1" customWidth="1"/>
    <col min="6160" max="6402" width="9" style="2"/>
    <col min="6403" max="6403" width="2.375" style="2" customWidth="1"/>
    <col min="6404" max="6404" width="13.25" style="2" bestFit="1" customWidth="1"/>
    <col min="6405" max="6405" width="11.125" style="2" bestFit="1" customWidth="1"/>
    <col min="6406" max="6407" width="9" style="2"/>
    <col min="6408" max="6414" width="11.125" style="2" bestFit="1" customWidth="1"/>
    <col min="6415" max="6415" width="9.625" style="2" bestFit="1" customWidth="1"/>
    <col min="6416" max="6658" width="9" style="2"/>
    <col min="6659" max="6659" width="2.375" style="2" customWidth="1"/>
    <col min="6660" max="6660" width="13.25" style="2" bestFit="1" customWidth="1"/>
    <col min="6661" max="6661" width="11.125" style="2" bestFit="1" customWidth="1"/>
    <col min="6662" max="6663" width="9" style="2"/>
    <col min="6664" max="6670" width="11.125" style="2" bestFit="1" customWidth="1"/>
    <col min="6671" max="6671" width="9.625" style="2" bestFit="1" customWidth="1"/>
    <col min="6672" max="6914" width="9" style="2"/>
    <col min="6915" max="6915" width="2.375" style="2" customWidth="1"/>
    <col min="6916" max="6916" width="13.25" style="2" bestFit="1" customWidth="1"/>
    <col min="6917" max="6917" width="11.125" style="2" bestFit="1" customWidth="1"/>
    <col min="6918" max="6919" width="9" style="2"/>
    <col min="6920" max="6926" width="11.125" style="2" bestFit="1" customWidth="1"/>
    <col min="6927" max="6927" width="9.625" style="2" bestFit="1" customWidth="1"/>
    <col min="6928" max="7170" width="9" style="2"/>
    <col min="7171" max="7171" width="2.375" style="2" customWidth="1"/>
    <col min="7172" max="7172" width="13.25" style="2" bestFit="1" customWidth="1"/>
    <col min="7173" max="7173" width="11.125" style="2" bestFit="1" customWidth="1"/>
    <col min="7174" max="7175" width="9" style="2"/>
    <col min="7176" max="7182" width="11.125" style="2" bestFit="1" customWidth="1"/>
    <col min="7183" max="7183" width="9.625" style="2" bestFit="1" customWidth="1"/>
    <col min="7184" max="7426" width="9" style="2"/>
    <col min="7427" max="7427" width="2.375" style="2" customWidth="1"/>
    <col min="7428" max="7428" width="13.25" style="2" bestFit="1" customWidth="1"/>
    <col min="7429" max="7429" width="11.125" style="2" bestFit="1" customWidth="1"/>
    <col min="7430" max="7431" width="9" style="2"/>
    <col min="7432" max="7438" width="11.125" style="2" bestFit="1" customWidth="1"/>
    <col min="7439" max="7439" width="9.625" style="2" bestFit="1" customWidth="1"/>
    <col min="7440" max="7682" width="9" style="2"/>
    <col min="7683" max="7683" width="2.375" style="2" customWidth="1"/>
    <col min="7684" max="7684" width="13.25" style="2" bestFit="1" customWidth="1"/>
    <col min="7685" max="7685" width="11.125" style="2" bestFit="1" customWidth="1"/>
    <col min="7686" max="7687" width="9" style="2"/>
    <col min="7688" max="7694" width="11.125" style="2" bestFit="1" customWidth="1"/>
    <col min="7695" max="7695" width="9.625" style="2" bestFit="1" customWidth="1"/>
    <col min="7696" max="7938" width="9" style="2"/>
    <col min="7939" max="7939" width="2.375" style="2" customWidth="1"/>
    <col min="7940" max="7940" width="13.25" style="2" bestFit="1" customWidth="1"/>
    <col min="7941" max="7941" width="11.125" style="2" bestFit="1" customWidth="1"/>
    <col min="7942" max="7943" width="9" style="2"/>
    <col min="7944" max="7950" width="11.125" style="2" bestFit="1" customWidth="1"/>
    <col min="7951" max="7951" width="9.625" style="2" bestFit="1" customWidth="1"/>
    <col min="7952" max="8194" width="9" style="2"/>
    <col min="8195" max="8195" width="2.375" style="2" customWidth="1"/>
    <col min="8196" max="8196" width="13.25" style="2" bestFit="1" customWidth="1"/>
    <col min="8197" max="8197" width="11.125" style="2" bestFit="1" customWidth="1"/>
    <col min="8198" max="8199" width="9" style="2"/>
    <col min="8200" max="8206" width="11.125" style="2" bestFit="1" customWidth="1"/>
    <col min="8207" max="8207" width="9.625" style="2" bestFit="1" customWidth="1"/>
    <col min="8208" max="8450" width="9" style="2"/>
    <col min="8451" max="8451" width="2.375" style="2" customWidth="1"/>
    <col min="8452" max="8452" width="13.25" style="2" bestFit="1" customWidth="1"/>
    <col min="8453" max="8453" width="11.125" style="2" bestFit="1" customWidth="1"/>
    <col min="8454" max="8455" width="9" style="2"/>
    <col min="8456" max="8462" width="11.125" style="2" bestFit="1" customWidth="1"/>
    <col min="8463" max="8463" width="9.625" style="2" bestFit="1" customWidth="1"/>
    <col min="8464" max="8706" width="9" style="2"/>
    <col min="8707" max="8707" width="2.375" style="2" customWidth="1"/>
    <col min="8708" max="8708" width="13.25" style="2" bestFit="1" customWidth="1"/>
    <col min="8709" max="8709" width="11.125" style="2" bestFit="1" customWidth="1"/>
    <col min="8710" max="8711" width="9" style="2"/>
    <col min="8712" max="8718" width="11.125" style="2" bestFit="1" customWidth="1"/>
    <col min="8719" max="8719" width="9.625" style="2" bestFit="1" customWidth="1"/>
    <col min="8720" max="8962" width="9" style="2"/>
    <col min="8963" max="8963" width="2.375" style="2" customWidth="1"/>
    <col min="8964" max="8964" width="13.25" style="2" bestFit="1" customWidth="1"/>
    <col min="8965" max="8965" width="11.125" style="2" bestFit="1" customWidth="1"/>
    <col min="8966" max="8967" width="9" style="2"/>
    <col min="8968" max="8974" width="11.125" style="2" bestFit="1" customWidth="1"/>
    <col min="8975" max="8975" width="9.625" style="2" bestFit="1" customWidth="1"/>
    <col min="8976" max="9218" width="9" style="2"/>
    <col min="9219" max="9219" width="2.375" style="2" customWidth="1"/>
    <col min="9220" max="9220" width="13.25" style="2" bestFit="1" customWidth="1"/>
    <col min="9221" max="9221" width="11.125" style="2" bestFit="1" customWidth="1"/>
    <col min="9222" max="9223" width="9" style="2"/>
    <col min="9224" max="9230" width="11.125" style="2" bestFit="1" customWidth="1"/>
    <col min="9231" max="9231" width="9.625" style="2" bestFit="1" customWidth="1"/>
    <col min="9232" max="9474" width="9" style="2"/>
    <col min="9475" max="9475" width="2.375" style="2" customWidth="1"/>
    <col min="9476" max="9476" width="13.25" style="2" bestFit="1" customWidth="1"/>
    <col min="9477" max="9477" width="11.125" style="2" bestFit="1" customWidth="1"/>
    <col min="9478" max="9479" width="9" style="2"/>
    <col min="9480" max="9486" width="11.125" style="2" bestFit="1" customWidth="1"/>
    <col min="9487" max="9487" width="9.625" style="2" bestFit="1" customWidth="1"/>
    <col min="9488" max="9730" width="9" style="2"/>
    <col min="9731" max="9731" width="2.375" style="2" customWidth="1"/>
    <col min="9732" max="9732" width="13.25" style="2" bestFit="1" customWidth="1"/>
    <col min="9733" max="9733" width="11.125" style="2" bestFit="1" customWidth="1"/>
    <col min="9734" max="9735" width="9" style="2"/>
    <col min="9736" max="9742" width="11.125" style="2" bestFit="1" customWidth="1"/>
    <col min="9743" max="9743" width="9.625" style="2" bestFit="1" customWidth="1"/>
    <col min="9744" max="9986" width="9" style="2"/>
    <col min="9987" max="9987" width="2.375" style="2" customWidth="1"/>
    <col min="9988" max="9988" width="13.25" style="2" bestFit="1" customWidth="1"/>
    <col min="9989" max="9989" width="11.125" style="2" bestFit="1" customWidth="1"/>
    <col min="9990" max="9991" width="9" style="2"/>
    <col min="9992" max="9998" width="11.125" style="2" bestFit="1" customWidth="1"/>
    <col min="9999" max="9999" width="9.625" style="2" bestFit="1" customWidth="1"/>
    <col min="10000" max="10242" width="9" style="2"/>
    <col min="10243" max="10243" width="2.375" style="2" customWidth="1"/>
    <col min="10244" max="10244" width="13.25" style="2" bestFit="1" customWidth="1"/>
    <col min="10245" max="10245" width="11.125" style="2" bestFit="1" customWidth="1"/>
    <col min="10246" max="10247" width="9" style="2"/>
    <col min="10248" max="10254" width="11.125" style="2" bestFit="1" customWidth="1"/>
    <col min="10255" max="10255" width="9.625" style="2" bestFit="1" customWidth="1"/>
    <col min="10256" max="10498" width="9" style="2"/>
    <col min="10499" max="10499" width="2.375" style="2" customWidth="1"/>
    <col min="10500" max="10500" width="13.25" style="2" bestFit="1" customWidth="1"/>
    <col min="10501" max="10501" width="11.125" style="2" bestFit="1" customWidth="1"/>
    <col min="10502" max="10503" width="9" style="2"/>
    <col min="10504" max="10510" width="11.125" style="2" bestFit="1" customWidth="1"/>
    <col min="10511" max="10511" width="9.625" style="2" bestFit="1" customWidth="1"/>
    <col min="10512" max="10754" width="9" style="2"/>
    <col min="10755" max="10755" width="2.375" style="2" customWidth="1"/>
    <col min="10756" max="10756" width="13.25" style="2" bestFit="1" customWidth="1"/>
    <col min="10757" max="10757" width="11.125" style="2" bestFit="1" customWidth="1"/>
    <col min="10758" max="10759" width="9" style="2"/>
    <col min="10760" max="10766" width="11.125" style="2" bestFit="1" customWidth="1"/>
    <col min="10767" max="10767" width="9.625" style="2" bestFit="1" customWidth="1"/>
    <col min="10768" max="11010" width="9" style="2"/>
    <col min="11011" max="11011" width="2.375" style="2" customWidth="1"/>
    <col min="11012" max="11012" width="13.25" style="2" bestFit="1" customWidth="1"/>
    <col min="11013" max="11013" width="11.125" style="2" bestFit="1" customWidth="1"/>
    <col min="11014" max="11015" width="9" style="2"/>
    <col min="11016" max="11022" width="11.125" style="2" bestFit="1" customWidth="1"/>
    <col min="11023" max="11023" width="9.625" style="2" bestFit="1" customWidth="1"/>
    <col min="11024" max="11266" width="9" style="2"/>
    <col min="11267" max="11267" width="2.375" style="2" customWidth="1"/>
    <col min="11268" max="11268" width="13.25" style="2" bestFit="1" customWidth="1"/>
    <col min="11269" max="11269" width="11.125" style="2" bestFit="1" customWidth="1"/>
    <col min="11270" max="11271" width="9" style="2"/>
    <col min="11272" max="11278" width="11.125" style="2" bestFit="1" customWidth="1"/>
    <col min="11279" max="11279" width="9.625" style="2" bestFit="1" customWidth="1"/>
    <col min="11280" max="11522" width="9" style="2"/>
    <col min="11523" max="11523" width="2.375" style="2" customWidth="1"/>
    <col min="11524" max="11524" width="13.25" style="2" bestFit="1" customWidth="1"/>
    <col min="11525" max="11525" width="11.125" style="2" bestFit="1" customWidth="1"/>
    <col min="11526" max="11527" width="9" style="2"/>
    <col min="11528" max="11534" width="11.125" style="2" bestFit="1" customWidth="1"/>
    <col min="11535" max="11535" width="9.625" style="2" bestFit="1" customWidth="1"/>
    <col min="11536" max="11778" width="9" style="2"/>
    <col min="11779" max="11779" width="2.375" style="2" customWidth="1"/>
    <col min="11780" max="11780" width="13.25" style="2" bestFit="1" customWidth="1"/>
    <col min="11781" max="11781" width="11.125" style="2" bestFit="1" customWidth="1"/>
    <col min="11782" max="11783" width="9" style="2"/>
    <col min="11784" max="11790" width="11.125" style="2" bestFit="1" customWidth="1"/>
    <col min="11791" max="11791" width="9.625" style="2" bestFit="1" customWidth="1"/>
    <col min="11792" max="12034" width="9" style="2"/>
    <col min="12035" max="12035" width="2.375" style="2" customWidth="1"/>
    <col min="12036" max="12036" width="13.25" style="2" bestFit="1" customWidth="1"/>
    <col min="12037" max="12037" width="11.125" style="2" bestFit="1" customWidth="1"/>
    <col min="12038" max="12039" width="9" style="2"/>
    <col min="12040" max="12046" width="11.125" style="2" bestFit="1" customWidth="1"/>
    <col min="12047" max="12047" width="9.625" style="2" bestFit="1" customWidth="1"/>
    <col min="12048" max="12290" width="9" style="2"/>
    <col min="12291" max="12291" width="2.375" style="2" customWidth="1"/>
    <col min="12292" max="12292" width="13.25" style="2" bestFit="1" customWidth="1"/>
    <col min="12293" max="12293" width="11.125" style="2" bestFit="1" customWidth="1"/>
    <col min="12294" max="12295" width="9" style="2"/>
    <col min="12296" max="12302" width="11.125" style="2" bestFit="1" customWidth="1"/>
    <col min="12303" max="12303" width="9.625" style="2" bestFit="1" customWidth="1"/>
    <col min="12304" max="12546" width="9" style="2"/>
    <col min="12547" max="12547" width="2.375" style="2" customWidth="1"/>
    <col min="12548" max="12548" width="13.25" style="2" bestFit="1" customWidth="1"/>
    <col min="12549" max="12549" width="11.125" style="2" bestFit="1" customWidth="1"/>
    <col min="12550" max="12551" width="9" style="2"/>
    <col min="12552" max="12558" width="11.125" style="2" bestFit="1" customWidth="1"/>
    <col min="12559" max="12559" width="9.625" style="2" bestFit="1" customWidth="1"/>
    <col min="12560" max="12802" width="9" style="2"/>
    <col min="12803" max="12803" width="2.375" style="2" customWidth="1"/>
    <col min="12804" max="12804" width="13.25" style="2" bestFit="1" customWidth="1"/>
    <col min="12805" max="12805" width="11.125" style="2" bestFit="1" customWidth="1"/>
    <col min="12806" max="12807" width="9" style="2"/>
    <col min="12808" max="12814" width="11.125" style="2" bestFit="1" customWidth="1"/>
    <col min="12815" max="12815" width="9.625" style="2" bestFit="1" customWidth="1"/>
    <col min="12816" max="13058" width="9" style="2"/>
    <col min="13059" max="13059" width="2.375" style="2" customWidth="1"/>
    <col min="13060" max="13060" width="13.25" style="2" bestFit="1" customWidth="1"/>
    <col min="13061" max="13061" width="11.125" style="2" bestFit="1" customWidth="1"/>
    <col min="13062" max="13063" width="9" style="2"/>
    <col min="13064" max="13070" width="11.125" style="2" bestFit="1" customWidth="1"/>
    <col min="13071" max="13071" width="9.625" style="2" bestFit="1" customWidth="1"/>
    <col min="13072" max="13314" width="9" style="2"/>
    <col min="13315" max="13315" width="2.375" style="2" customWidth="1"/>
    <col min="13316" max="13316" width="13.25" style="2" bestFit="1" customWidth="1"/>
    <col min="13317" max="13317" width="11.125" style="2" bestFit="1" customWidth="1"/>
    <col min="13318" max="13319" width="9" style="2"/>
    <col min="13320" max="13326" width="11.125" style="2" bestFit="1" customWidth="1"/>
    <col min="13327" max="13327" width="9.625" style="2" bestFit="1" customWidth="1"/>
    <col min="13328" max="13570" width="9" style="2"/>
    <col min="13571" max="13571" width="2.375" style="2" customWidth="1"/>
    <col min="13572" max="13572" width="13.25" style="2" bestFit="1" customWidth="1"/>
    <col min="13573" max="13573" width="11.125" style="2" bestFit="1" customWidth="1"/>
    <col min="13574" max="13575" width="9" style="2"/>
    <col min="13576" max="13582" width="11.125" style="2" bestFit="1" customWidth="1"/>
    <col min="13583" max="13583" width="9.625" style="2" bestFit="1" customWidth="1"/>
    <col min="13584" max="13826" width="9" style="2"/>
    <col min="13827" max="13827" width="2.375" style="2" customWidth="1"/>
    <col min="13828" max="13828" width="13.25" style="2" bestFit="1" customWidth="1"/>
    <col min="13829" max="13829" width="11.125" style="2" bestFit="1" customWidth="1"/>
    <col min="13830" max="13831" width="9" style="2"/>
    <col min="13832" max="13838" width="11.125" style="2" bestFit="1" customWidth="1"/>
    <col min="13839" max="13839" width="9.625" style="2" bestFit="1" customWidth="1"/>
    <col min="13840" max="14082" width="9" style="2"/>
    <col min="14083" max="14083" width="2.375" style="2" customWidth="1"/>
    <col min="14084" max="14084" width="13.25" style="2" bestFit="1" customWidth="1"/>
    <col min="14085" max="14085" width="11.125" style="2" bestFit="1" customWidth="1"/>
    <col min="14086" max="14087" width="9" style="2"/>
    <col min="14088" max="14094" width="11.125" style="2" bestFit="1" customWidth="1"/>
    <col min="14095" max="14095" width="9.625" style="2" bestFit="1" customWidth="1"/>
    <col min="14096" max="14338" width="9" style="2"/>
    <col min="14339" max="14339" width="2.375" style="2" customWidth="1"/>
    <col min="14340" max="14340" width="13.25" style="2" bestFit="1" customWidth="1"/>
    <col min="14341" max="14341" width="11.125" style="2" bestFit="1" customWidth="1"/>
    <col min="14342" max="14343" width="9" style="2"/>
    <col min="14344" max="14350" width="11.125" style="2" bestFit="1" customWidth="1"/>
    <col min="14351" max="14351" width="9.625" style="2" bestFit="1" customWidth="1"/>
    <col min="14352" max="14594" width="9" style="2"/>
    <col min="14595" max="14595" width="2.375" style="2" customWidth="1"/>
    <col min="14596" max="14596" width="13.25" style="2" bestFit="1" customWidth="1"/>
    <col min="14597" max="14597" width="11.125" style="2" bestFit="1" customWidth="1"/>
    <col min="14598" max="14599" width="9" style="2"/>
    <col min="14600" max="14606" width="11.125" style="2" bestFit="1" customWidth="1"/>
    <col min="14607" max="14607" width="9.625" style="2" bestFit="1" customWidth="1"/>
    <col min="14608" max="14850" width="9" style="2"/>
    <col min="14851" max="14851" width="2.375" style="2" customWidth="1"/>
    <col min="14852" max="14852" width="13.25" style="2" bestFit="1" customWidth="1"/>
    <col min="14853" max="14853" width="11.125" style="2" bestFit="1" customWidth="1"/>
    <col min="14854" max="14855" width="9" style="2"/>
    <col min="14856" max="14862" width="11.125" style="2" bestFit="1" customWidth="1"/>
    <col min="14863" max="14863" width="9.625" style="2" bestFit="1" customWidth="1"/>
    <col min="14864" max="15106" width="9" style="2"/>
    <col min="15107" max="15107" width="2.375" style="2" customWidth="1"/>
    <col min="15108" max="15108" width="13.25" style="2" bestFit="1" customWidth="1"/>
    <col min="15109" max="15109" width="11.125" style="2" bestFit="1" customWidth="1"/>
    <col min="15110" max="15111" width="9" style="2"/>
    <col min="15112" max="15118" width="11.125" style="2" bestFit="1" customWidth="1"/>
    <col min="15119" max="15119" width="9.625" style="2" bestFit="1" customWidth="1"/>
    <col min="15120" max="15362" width="9" style="2"/>
    <col min="15363" max="15363" width="2.375" style="2" customWidth="1"/>
    <col min="15364" max="15364" width="13.25" style="2" bestFit="1" customWidth="1"/>
    <col min="15365" max="15365" width="11.125" style="2" bestFit="1" customWidth="1"/>
    <col min="15366" max="15367" width="9" style="2"/>
    <col min="15368" max="15374" width="11.125" style="2" bestFit="1" customWidth="1"/>
    <col min="15375" max="15375" width="9.625" style="2" bestFit="1" customWidth="1"/>
    <col min="15376" max="15618" width="9" style="2"/>
    <col min="15619" max="15619" width="2.375" style="2" customWidth="1"/>
    <col min="15620" max="15620" width="13.25" style="2" bestFit="1" customWidth="1"/>
    <col min="15621" max="15621" width="11.125" style="2" bestFit="1" customWidth="1"/>
    <col min="15622" max="15623" width="9" style="2"/>
    <col min="15624" max="15630" width="11.125" style="2" bestFit="1" customWidth="1"/>
    <col min="15631" max="15631" width="9.625" style="2" bestFit="1" customWidth="1"/>
    <col min="15632" max="15874" width="9" style="2"/>
    <col min="15875" max="15875" width="2.375" style="2" customWidth="1"/>
    <col min="15876" max="15876" width="13.25" style="2" bestFit="1" customWidth="1"/>
    <col min="15877" max="15877" width="11.125" style="2" bestFit="1" customWidth="1"/>
    <col min="15878" max="15879" width="9" style="2"/>
    <col min="15880" max="15886" width="11.125" style="2" bestFit="1" customWidth="1"/>
    <col min="15887" max="15887" width="9.625" style="2" bestFit="1" customWidth="1"/>
    <col min="15888" max="16130" width="9" style="2"/>
    <col min="16131" max="16131" width="2.375" style="2" customWidth="1"/>
    <col min="16132" max="16132" width="13.25" style="2" bestFit="1" customWidth="1"/>
    <col min="16133" max="16133" width="11.125" style="2" bestFit="1" customWidth="1"/>
    <col min="16134" max="16135" width="9" style="2"/>
    <col min="16136" max="16142" width="11.125" style="2" bestFit="1" customWidth="1"/>
    <col min="16143" max="16143" width="9.625" style="2" bestFit="1" customWidth="1"/>
    <col min="16144" max="16384" width="9" style="2"/>
  </cols>
  <sheetData>
    <row r="1" spans="1:15">
      <c r="A1" s="1" t="s">
        <v>0</v>
      </c>
    </row>
    <row r="2" spans="1:15" ht="19.5" thickBot="1">
      <c r="A2" s="1" t="s">
        <v>1</v>
      </c>
    </row>
    <row r="3" spans="1:15">
      <c r="B3" s="4"/>
      <c r="C3" s="13" t="s">
        <v>2</v>
      </c>
      <c r="D3" s="10" t="s">
        <v>3</v>
      </c>
      <c r="E3" s="52" t="s">
        <v>4</v>
      </c>
      <c r="F3" s="12" t="s">
        <v>5</v>
      </c>
      <c r="G3" s="13" t="s">
        <v>6</v>
      </c>
      <c r="H3" s="13" t="s">
        <v>7</v>
      </c>
      <c r="I3" s="13" t="s">
        <v>8</v>
      </c>
      <c r="J3" s="13" t="s">
        <v>9</v>
      </c>
      <c r="K3" s="13" t="s">
        <v>10</v>
      </c>
      <c r="L3" s="13" t="s">
        <v>11</v>
      </c>
      <c r="M3" s="54" t="s">
        <v>12</v>
      </c>
      <c r="N3" s="68" t="s">
        <v>4</v>
      </c>
      <c r="O3" s="69"/>
    </row>
    <row r="4" spans="1:15" ht="19.5" thickBot="1">
      <c r="B4" s="3" t="s">
        <v>13</v>
      </c>
      <c r="C4" s="15" t="s">
        <v>14</v>
      </c>
      <c r="D4" s="11" t="s">
        <v>15</v>
      </c>
      <c r="E4" s="53" t="s">
        <v>16</v>
      </c>
      <c r="F4" s="14" t="s">
        <v>17</v>
      </c>
      <c r="G4" s="15" t="s">
        <v>18</v>
      </c>
      <c r="H4" s="15" t="s">
        <v>19</v>
      </c>
      <c r="I4" s="15" t="s">
        <v>20</v>
      </c>
      <c r="J4" s="15" t="s">
        <v>21</v>
      </c>
      <c r="K4" s="15" t="s">
        <v>22</v>
      </c>
      <c r="L4" s="15" t="s">
        <v>23</v>
      </c>
      <c r="M4" s="55" t="s">
        <v>24</v>
      </c>
      <c r="N4" s="70" t="s">
        <v>25</v>
      </c>
      <c r="O4" s="71" t="s">
        <v>26</v>
      </c>
    </row>
    <row r="5" spans="1:15">
      <c r="A5" s="1" t="s">
        <v>27</v>
      </c>
      <c r="B5" s="40" t="s">
        <v>28</v>
      </c>
      <c r="C5" s="42">
        <v>20</v>
      </c>
      <c r="D5" s="43">
        <v>11</v>
      </c>
      <c r="E5" s="43">
        <f>SUM(C5:D5)</f>
        <v>31</v>
      </c>
      <c r="F5" s="41">
        <v>20</v>
      </c>
      <c r="G5" s="42">
        <v>18</v>
      </c>
      <c r="H5" s="42">
        <v>20</v>
      </c>
      <c r="I5" s="42">
        <v>19</v>
      </c>
      <c r="J5" s="42">
        <v>19</v>
      </c>
      <c r="K5" s="42">
        <v>20</v>
      </c>
      <c r="L5" s="42">
        <v>4</v>
      </c>
      <c r="M5" s="56">
        <v>2</v>
      </c>
      <c r="N5" s="72">
        <f>SUM(F5:M5)</f>
        <v>122</v>
      </c>
      <c r="O5" s="72">
        <f>SUM(N5,E5)</f>
        <v>153</v>
      </c>
    </row>
    <row r="6" spans="1:15">
      <c r="A6" s="1" t="s">
        <v>27</v>
      </c>
      <c r="B6" s="36" t="s">
        <v>29</v>
      </c>
      <c r="C6" s="45">
        <v>0</v>
      </c>
      <c r="D6" s="46">
        <v>0</v>
      </c>
      <c r="E6" s="46">
        <f t="shared" ref="E6:E48" si="0">SUM(C6:D6)</f>
        <v>0</v>
      </c>
      <c r="F6" s="44">
        <v>4</v>
      </c>
      <c r="G6" s="45">
        <v>2</v>
      </c>
      <c r="H6" s="45">
        <v>2</v>
      </c>
      <c r="I6" s="45">
        <v>4</v>
      </c>
      <c r="J6" s="45">
        <v>2</v>
      </c>
      <c r="K6" s="45">
        <v>1</v>
      </c>
      <c r="L6" s="45">
        <v>0</v>
      </c>
      <c r="M6" s="57">
        <v>0</v>
      </c>
      <c r="N6" s="73">
        <f t="shared" ref="N6:N48" si="1">SUM(F6:M6)</f>
        <v>15</v>
      </c>
      <c r="O6" s="73">
        <f t="shared" ref="O6:O48" si="2">SUM(N6,E6)</f>
        <v>15</v>
      </c>
    </row>
    <row r="7" spans="1:15">
      <c r="A7" s="1" t="s">
        <v>27</v>
      </c>
      <c r="B7" s="36" t="s">
        <v>30</v>
      </c>
      <c r="C7" s="45">
        <v>0</v>
      </c>
      <c r="D7" s="46">
        <v>0</v>
      </c>
      <c r="E7" s="46">
        <f t="shared" si="0"/>
        <v>0</v>
      </c>
      <c r="F7" s="44">
        <v>0</v>
      </c>
      <c r="G7" s="45">
        <v>1</v>
      </c>
      <c r="H7" s="45">
        <v>0</v>
      </c>
      <c r="I7" s="45">
        <v>1</v>
      </c>
      <c r="J7" s="45">
        <v>1</v>
      </c>
      <c r="K7" s="45">
        <v>0</v>
      </c>
      <c r="L7" s="45">
        <v>0</v>
      </c>
      <c r="M7" s="57">
        <v>0</v>
      </c>
      <c r="N7" s="73">
        <f t="shared" si="1"/>
        <v>3</v>
      </c>
      <c r="O7" s="73">
        <f t="shared" si="2"/>
        <v>3</v>
      </c>
    </row>
    <row r="8" spans="1:15">
      <c r="A8" s="1" t="s">
        <v>27</v>
      </c>
      <c r="B8" s="36" t="s">
        <v>31</v>
      </c>
      <c r="C8" s="45">
        <v>0</v>
      </c>
      <c r="D8" s="46">
        <v>0</v>
      </c>
      <c r="E8" s="46">
        <f t="shared" si="0"/>
        <v>0</v>
      </c>
      <c r="F8" s="44">
        <v>0</v>
      </c>
      <c r="G8" s="45">
        <v>2</v>
      </c>
      <c r="H8" s="45">
        <v>0</v>
      </c>
      <c r="I8" s="45">
        <v>1</v>
      </c>
      <c r="J8" s="45">
        <v>1</v>
      </c>
      <c r="K8" s="45">
        <v>0</v>
      </c>
      <c r="L8" s="45">
        <v>0</v>
      </c>
      <c r="M8" s="57">
        <v>0</v>
      </c>
      <c r="N8" s="73">
        <f t="shared" si="1"/>
        <v>4</v>
      </c>
      <c r="O8" s="73">
        <f t="shared" si="2"/>
        <v>4</v>
      </c>
    </row>
    <row r="9" spans="1:15">
      <c r="A9" s="1" t="s">
        <v>27</v>
      </c>
      <c r="B9" s="36" t="s">
        <v>32</v>
      </c>
      <c r="C9" s="45">
        <v>0</v>
      </c>
      <c r="D9" s="46">
        <v>4</v>
      </c>
      <c r="E9" s="46">
        <f t="shared" si="0"/>
        <v>4</v>
      </c>
      <c r="F9" s="44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57">
        <v>0</v>
      </c>
      <c r="N9" s="73">
        <f t="shared" si="1"/>
        <v>0</v>
      </c>
      <c r="O9" s="73">
        <f t="shared" si="2"/>
        <v>4</v>
      </c>
    </row>
    <row r="10" spans="1:15">
      <c r="A10" s="1" t="s">
        <v>27</v>
      </c>
      <c r="B10" s="36" t="s">
        <v>33</v>
      </c>
      <c r="C10" s="45">
        <v>0</v>
      </c>
      <c r="D10" s="46">
        <v>0</v>
      </c>
      <c r="E10" s="46">
        <f t="shared" si="0"/>
        <v>0</v>
      </c>
      <c r="F10" s="44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16</v>
      </c>
      <c r="M10" s="57">
        <v>18</v>
      </c>
      <c r="N10" s="73">
        <f t="shared" si="1"/>
        <v>34</v>
      </c>
      <c r="O10" s="73">
        <f t="shared" si="2"/>
        <v>34</v>
      </c>
    </row>
    <row r="11" spans="1:15">
      <c r="A11" s="1" t="s">
        <v>27</v>
      </c>
      <c r="B11" s="36" t="s">
        <v>34</v>
      </c>
      <c r="C11" s="48">
        <v>0</v>
      </c>
      <c r="D11" s="49">
        <v>2.5833333333333335</v>
      </c>
      <c r="E11" s="49">
        <f t="shared" si="0"/>
        <v>2.5833333333333335</v>
      </c>
      <c r="F11" s="47">
        <v>0</v>
      </c>
      <c r="G11" s="48">
        <v>0</v>
      </c>
      <c r="H11" s="48">
        <v>0</v>
      </c>
      <c r="I11" s="48">
        <v>0</v>
      </c>
      <c r="J11" s="48">
        <v>0</v>
      </c>
      <c r="K11" s="48">
        <v>0</v>
      </c>
      <c r="L11" s="48">
        <v>0</v>
      </c>
      <c r="M11" s="58">
        <v>0</v>
      </c>
      <c r="N11" s="74">
        <f t="shared" si="1"/>
        <v>0</v>
      </c>
      <c r="O11" s="74">
        <f t="shared" si="2"/>
        <v>2.5833333333333335</v>
      </c>
    </row>
    <row r="12" spans="1:15">
      <c r="A12" s="1" t="s">
        <v>27</v>
      </c>
      <c r="B12" s="36" t="s">
        <v>35</v>
      </c>
      <c r="C12" s="48">
        <v>0</v>
      </c>
      <c r="D12" s="49">
        <v>0</v>
      </c>
      <c r="E12" s="49">
        <f t="shared" si="0"/>
        <v>0</v>
      </c>
      <c r="F12" s="47">
        <v>1.75</v>
      </c>
      <c r="G12" s="48">
        <v>1.1666666666666667</v>
      </c>
      <c r="H12" s="48">
        <v>1.7916666666666665</v>
      </c>
      <c r="I12" s="48">
        <v>1.375</v>
      </c>
      <c r="J12" s="48">
        <v>1.7916666666666665</v>
      </c>
      <c r="K12" s="48">
        <v>1.8333333333333335</v>
      </c>
      <c r="L12" s="48">
        <v>0</v>
      </c>
      <c r="M12" s="58">
        <v>0</v>
      </c>
      <c r="N12" s="74">
        <f t="shared" si="1"/>
        <v>9.7083333333333339</v>
      </c>
      <c r="O12" s="74">
        <f t="shared" si="2"/>
        <v>9.7083333333333339</v>
      </c>
    </row>
    <row r="13" spans="1:15">
      <c r="A13" s="1" t="s">
        <v>27</v>
      </c>
      <c r="B13" s="36" t="s">
        <v>36</v>
      </c>
      <c r="C13" s="48">
        <v>0</v>
      </c>
      <c r="D13" s="49">
        <v>0</v>
      </c>
      <c r="E13" s="49">
        <f t="shared" si="0"/>
        <v>0</v>
      </c>
      <c r="F13" s="47">
        <v>1</v>
      </c>
      <c r="G13" s="48">
        <v>0.66666666666666663</v>
      </c>
      <c r="H13" s="48">
        <v>0.33333333333333331</v>
      </c>
      <c r="I13" s="48">
        <v>0.91666666666666663</v>
      </c>
      <c r="J13" s="48">
        <v>0.625</v>
      </c>
      <c r="K13" s="48">
        <v>0.16666666666666666</v>
      </c>
      <c r="L13" s="48">
        <v>0</v>
      </c>
      <c r="M13" s="58">
        <v>0</v>
      </c>
      <c r="N13" s="74">
        <f t="shared" si="1"/>
        <v>3.708333333333333</v>
      </c>
      <c r="O13" s="74">
        <f t="shared" si="2"/>
        <v>3.708333333333333</v>
      </c>
    </row>
    <row r="14" spans="1:15">
      <c r="A14" s="1" t="s">
        <v>27</v>
      </c>
      <c r="B14" s="36" t="s">
        <v>37</v>
      </c>
      <c r="C14" s="48">
        <v>0</v>
      </c>
      <c r="D14" s="49">
        <v>0</v>
      </c>
      <c r="E14" s="49">
        <f t="shared" si="0"/>
        <v>0</v>
      </c>
      <c r="F14" s="47">
        <v>0</v>
      </c>
      <c r="G14" s="48">
        <v>0.20833333333333334</v>
      </c>
      <c r="H14" s="48">
        <v>0</v>
      </c>
      <c r="I14" s="48">
        <v>0.20833333333333334</v>
      </c>
      <c r="J14" s="48">
        <v>0.375</v>
      </c>
      <c r="K14" s="48">
        <v>0</v>
      </c>
      <c r="L14" s="48">
        <v>0</v>
      </c>
      <c r="M14" s="58">
        <v>0</v>
      </c>
      <c r="N14" s="74">
        <f t="shared" si="1"/>
        <v>0.79166666666666674</v>
      </c>
      <c r="O14" s="74">
        <f t="shared" si="2"/>
        <v>0.79166666666666674</v>
      </c>
    </row>
    <row r="15" spans="1:15">
      <c r="A15" s="1" t="s">
        <v>27</v>
      </c>
      <c r="B15" s="5" t="s">
        <v>38</v>
      </c>
      <c r="C15" s="17">
        <v>0</v>
      </c>
      <c r="D15" s="7">
        <v>0</v>
      </c>
      <c r="E15" s="7">
        <f t="shared" si="0"/>
        <v>0</v>
      </c>
      <c r="F15" s="16">
        <v>0.95833333333333337</v>
      </c>
      <c r="G15" s="17">
        <v>0.16666666666666666</v>
      </c>
      <c r="H15" s="17">
        <v>0.66666666666666663</v>
      </c>
      <c r="I15" s="17">
        <v>0.29166666666666669</v>
      </c>
      <c r="J15" s="17">
        <v>0.33333333333333331</v>
      </c>
      <c r="K15" s="17">
        <v>0.70833333333333337</v>
      </c>
      <c r="L15" s="17">
        <v>0</v>
      </c>
      <c r="M15" s="59">
        <v>0</v>
      </c>
      <c r="N15" s="75">
        <f t="shared" si="1"/>
        <v>3.125</v>
      </c>
      <c r="O15" s="75">
        <f t="shared" si="2"/>
        <v>3.125</v>
      </c>
    </row>
    <row r="16" spans="1:15">
      <c r="A16" s="1" t="s">
        <v>27</v>
      </c>
      <c r="B16" s="22" t="s">
        <v>39</v>
      </c>
      <c r="C16" s="24">
        <v>33.5</v>
      </c>
      <c r="D16" s="25">
        <v>1</v>
      </c>
      <c r="E16" s="25"/>
      <c r="F16" s="23">
        <v>13</v>
      </c>
      <c r="G16" s="24">
        <v>22</v>
      </c>
      <c r="H16" s="24">
        <v>8</v>
      </c>
      <c r="I16" s="24">
        <v>25</v>
      </c>
      <c r="J16" s="24">
        <v>28</v>
      </c>
      <c r="K16" s="24">
        <v>5</v>
      </c>
      <c r="L16" s="24">
        <v>0</v>
      </c>
      <c r="M16" s="60">
        <v>0</v>
      </c>
      <c r="N16" s="76"/>
      <c r="O16" s="76"/>
    </row>
    <row r="17" spans="1:15">
      <c r="A17" s="1" t="s">
        <v>27</v>
      </c>
      <c r="B17" s="32" t="s">
        <v>40</v>
      </c>
      <c r="C17" s="34">
        <v>370000</v>
      </c>
      <c r="D17" s="35">
        <v>0</v>
      </c>
      <c r="E17" s="35">
        <f t="shared" si="0"/>
        <v>370000</v>
      </c>
      <c r="F17" s="33">
        <v>197000</v>
      </c>
      <c r="G17" s="34">
        <v>182000</v>
      </c>
      <c r="H17" s="34">
        <v>182000</v>
      </c>
      <c r="I17" s="34">
        <v>182000</v>
      </c>
      <c r="J17" s="34">
        <v>182000</v>
      </c>
      <c r="K17" s="34">
        <v>175000</v>
      </c>
      <c r="L17" s="34">
        <v>175000</v>
      </c>
      <c r="M17" s="61">
        <v>175000</v>
      </c>
      <c r="N17" s="77">
        <f t="shared" si="1"/>
        <v>1450000</v>
      </c>
      <c r="O17" s="77">
        <f t="shared" si="2"/>
        <v>1820000</v>
      </c>
    </row>
    <row r="18" spans="1:15">
      <c r="A18" s="1" t="s">
        <v>27</v>
      </c>
      <c r="B18" s="36" t="s">
        <v>41</v>
      </c>
      <c r="C18" s="38">
        <v>0</v>
      </c>
      <c r="D18" s="39">
        <v>0</v>
      </c>
      <c r="E18" s="39">
        <f t="shared" si="0"/>
        <v>0</v>
      </c>
      <c r="F18" s="37">
        <v>5000</v>
      </c>
      <c r="G18" s="38">
        <v>0</v>
      </c>
      <c r="H18" s="38">
        <v>0</v>
      </c>
      <c r="I18" s="38">
        <v>0</v>
      </c>
      <c r="J18" s="38">
        <v>0</v>
      </c>
      <c r="K18" s="38">
        <v>0</v>
      </c>
      <c r="L18" s="38">
        <v>0</v>
      </c>
      <c r="M18" s="62">
        <v>0</v>
      </c>
      <c r="N18" s="78">
        <f t="shared" si="1"/>
        <v>5000</v>
      </c>
      <c r="O18" s="78">
        <f t="shared" si="2"/>
        <v>5000</v>
      </c>
    </row>
    <row r="19" spans="1:15">
      <c r="A19" s="1" t="s">
        <v>27</v>
      </c>
      <c r="B19" s="36" t="s">
        <v>42</v>
      </c>
      <c r="C19" s="38">
        <v>0</v>
      </c>
      <c r="D19" s="39">
        <v>0</v>
      </c>
      <c r="E19" s="39">
        <f t="shared" si="0"/>
        <v>0</v>
      </c>
      <c r="F19" s="37">
        <v>0</v>
      </c>
      <c r="G19" s="38">
        <v>15000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62">
        <v>0</v>
      </c>
      <c r="N19" s="78">
        <f t="shared" si="1"/>
        <v>15000</v>
      </c>
      <c r="O19" s="78">
        <f t="shared" si="2"/>
        <v>15000</v>
      </c>
    </row>
    <row r="20" spans="1:15">
      <c r="A20" s="1" t="s">
        <v>27</v>
      </c>
      <c r="B20" s="36" t="s">
        <v>43</v>
      </c>
      <c r="C20" s="38">
        <v>50000</v>
      </c>
      <c r="D20" s="39">
        <v>0</v>
      </c>
      <c r="E20" s="39">
        <f t="shared" si="0"/>
        <v>50000</v>
      </c>
      <c r="F20" s="37">
        <v>50000</v>
      </c>
      <c r="G20" s="38">
        <v>50000</v>
      </c>
      <c r="H20" s="38">
        <v>50000</v>
      </c>
      <c r="I20" s="38">
        <v>50000</v>
      </c>
      <c r="J20" s="38">
        <v>50000</v>
      </c>
      <c r="K20" s="38">
        <v>50000</v>
      </c>
      <c r="L20" s="38">
        <v>50000</v>
      </c>
      <c r="M20" s="62">
        <v>50000</v>
      </c>
      <c r="N20" s="78">
        <f t="shared" si="1"/>
        <v>400000</v>
      </c>
      <c r="O20" s="78">
        <f t="shared" si="2"/>
        <v>450000</v>
      </c>
    </row>
    <row r="21" spans="1:15">
      <c r="A21" s="1" t="s">
        <v>27</v>
      </c>
      <c r="B21" s="36" t="s">
        <v>44</v>
      </c>
      <c r="C21" s="38">
        <v>0</v>
      </c>
      <c r="D21" s="39">
        <v>77190</v>
      </c>
      <c r="E21" s="39">
        <f t="shared" si="0"/>
        <v>77190</v>
      </c>
      <c r="F21" s="37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62">
        <v>0</v>
      </c>
      <c r="N21" s="78">
        <f t="shared" si="1"/>
        <v>0</v>
      </c>
      <c r="O21" s="78">
        <f t="shared" si="2"/>
        <v>77190</v>
      </c>
    </row>
    <row r="22" spans="1:15">
      <c r="A22" s="1" t="s">
        <v>27</v>
      </c>
      <c r="B22" s="36" t="s">
        <v>45</v>
      </c>
      <c r="C22" s="38">
        <v>0</v>
      </c>
      <c r="D22" s="39">
        <v>0</v>
      </c>
      <c r="E22" s="39">
        <f t="shared" si="0"/>
        <v>0</v>
      </c>
      <c r="F22" s="37">
        <v>3500</v>
      </c>
      <c r="G22" s="38">
        <v>2000</v>
      </c>
      <c r="H22" s="38">
        <v>3500</v>
      </c>
      <c r="I22" s="38">
        <v>3500</v>
      </c>
      <c r="J22" s="38">
        <v>3500</v>
      </c>
      <c r="K22" s="38">
        <v>0</v>
      </c>
      <c r="L22" s="38">
        <v>0</v>
      </c>
      <c r="M22" s="62">
        <v>0</v>
      </c>
      <c r="N22" s="78">
        <f t="shared" si="1"/>
        <v>16000</v>
      </c>
      <c r="O22" s="78">
        <f t="shared" si="2"/>
        <v>16000</v>
      </c>
    </row>
    <row r="23" spans="1:15">
      <c r="A23" s="1" t="s">
        <v>27</v>
      </c>
      <c r="B23" s="36" t="s">
        <v>46</v>
      </c>
      <c r="C23" s="38">
        <v>0</v>
      </c>
      <c r="D23" s="39">
        <v>34860</v>
      </c>
      <c r="E23" s="39">
        <f t="shared" si="0"/>
        <v>34860</v>
      </c>
      <c r="F23" s="37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62">
        <v>0</v>
      </c>
      <c r="N23" s="78">
        <f t="shared" si="1"/>
        <v>0</v>
      </c>
      <c r="O23" s="78">
        <f t="shared" si="2"/>
        <v>34860</v>
      </c>
    </row>
    <row r="24" spans="1:15">
      <c r="A24" s="1" t="s">
        <v>27</v>
      </c>
      <c r="B24" s="36" t="s">
        <v>47</v>
      </c>
      <c r="C24" s="38">
        <v>0</v>
      </c>
      <c r="D24" s="39">
        <v>2490</v>
      </c>
      <c r="E24" s="39">
        <f t="shared" si="0"/>
        <v>2490</v>
      </c>
      <c r="F24" s="37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62">
        <v>0</v>
      </c>
      <c r="N24" s="78">
        <f t="shared" si="1"/>
        <v>0</v>
      </c>
      <c r="O24" s="78">
        <f t="shared" si="2"/>
        <v>2490</v>
      </c>
    </row>
    <row r="25" spans="1:15">
      <c r="A25" s="1" t="s">
        <v>27</v>
      </c>
      <c r="B25" s="36" t="s">
        <v>48</v>
      </c>
      <c r="C25" s="38">
        <v>0</v>
      </c>
      <c r="D25" s="39">
        <v>0</v>
      </c>
      <c r="E25" s="39">
        <f t="shared" si="0"/>
        <v>0</v>
      </c>
      <c r="F25" s="37">
        <v>10500</v>
      </c>
      <c r="G25" s="38">
        <v>13500</v>
      </c>
      <c r="H25" s="38">
        <v>13000</v>
      </c>
      <c r="I25" s="38">
        <v>13000</v>
      </c>
      <c r="J25" s="38">
        <v>13000</v>
      </c>
      <c r="K25" s="38">
        <v>8000</v>
      </c>
      <c r="L25" s="38">
        <v>8000</v>
      </c>
      <c r="M25" s="62">
        <v>8000</v>
      </c>
      <c r="N25" s="78">
        <f t="shared" si="1"/>
        <v>87000</v>
      </c>
      <c r="O25" s="78">
        <f t="shared" si="2"/>
        <v>87000</v>
      </c>
    </row>
    <row r="26" spans="1:15">
      <c r="A26" s="1" t="s">
        <v>27</v>
      </c>
      <c r="B26" s="36" t="s">
        <v>49</v>
      </c>
      <c r="C26" s="38">
        <v>0</v>
      </c>
      <c r="D26" s="51">
        <v>0</v>
      </c>
      <c r="E26" s="51">
        <f t="shared" si="0"/>
        <v>0</v>
      </c>
      <c r="F26" s="37">
        <v>0</v>
      </c>
      <c r="G26" s="38">
        <v>0</v>
      </c>
      <c r="H26" s="38">
        <v>0</v>
      </c>
      <c r="I26" s="38">
        <v>0</v>
      </c>
      <c r="J26" s="38">
        <v>0</v>
      </c>
      <c r="K26" s="38">
        <v>0</v>
      </c>
      <c r="L26" s="50">
        <v>-178368</v>
      </c>
      <c r="M26" s="63">
        <v>-200664</v>
      </c>
      <c r="N26" s="79">
        <f t="shared" si="1"/>
        <v>-379032</v>
      </c>
      <c r="O26" s="79">
        <f t="shared" si="2"/>
        <v>-379032</v>
      </c>
    </row>
    <row r="27" spans="1:15">
      <c r="A27" s="1" t="s">
        <v>27</v>
      </c>
      <c r="B27" s="36" t="s">
        <v>35</v>
      </c>
      <c r="C27" s="38">
        <v>0</v>
      </c>
      <c r="D27" s="39">
        <v>0</v>
      </c>
      <c r="E27" s="39">
        <f t="shared" si="0"/>
        <v>0</v>
      </c>
      <c r="F27" s="37">
        <v>83622</v>
      </c>
      <c r="G27" s="38">
        <v>55020</v>
      </c>
      <c r="H27" s="38">
        <v>79980</v>
      </c>
      <c r="I27" s="38">
        <v>61380</v>
      </c>
      <c r="J27" s="38">
        <v>79980</v>
      </c>
      <c r="K27" s="38">
        <v>76736</v>
      </c>
      <c r="L27" s="38">
        <v>0</v>
      </c>
      <c r="M27" s="62">
        <v>0</v>
      </c>
      <c r="N27" s="78">
        <f t="shared" si="1"/>
        <v>436718</v>
      </c>
      <c r="O27" s="78">
        <f t="shared" si="2"/>
        <v>436718</v>
      </c>
    </row>
    <row r="28" spans="1:15">
      <c r="A28" s="1" t="s">
        <v>27</v>
      </c>
      <c r="B28" s="36" t="s">
        <v>50</v>
      </c>
      <c r="C28" s="38">
        <v>0</v>
      </c>
      <c r="D28" s="39">
        <v>0</v>
      </c>
      <c r="E28" s="39">
        <f t="shared" si="0"/>
        <v>0</v>
      </c>
      <c r="F28" s="37">
        <v>51624</v>
      </c>
      <c r="G28" s="38">
        <v>33952</v>
      </c>
      <c r="H28" s="38">
        <v>16072</v>
      </c>
      <c r="I28" s="38">
        <v>44198</v>
      </c>
      <c r="J28" s="38">
        <v>30135</v>
      </c>
      <c r="K28" s="38">
        <v>7532</v>
      </c>
      <c r="L28" s="38">
        <v>0</v>
      </c>
      <c r="M28" s="62">
        <v>0</v>
      </c>
      <c r="N28" s="78">
        <f t="shared" si="1"/>
        <v>183513</v>
      </c>
      <c r="O28" s="78">
        <f t="shared" si="2"/>
        <v>183513</v>
      </c>
    </row>
    <row r="29" spans="1:15">
      <c r="A29" s="1" t="s">
        <v>27</v>
      </c>
      <c r="B29" s="36" t="s">
        <v>51</v>
      </c>
      <c r="C29" s="38">
        <v>0</v>
      </c>
      <c r="D29" s="39">
        <v>0</v>
      </c>
      <c r="E29" s="39">
        <f t="shared" si="0"/>
        <v>0</v>
      </c>
      <c r="F29" s="37">
        <v>0</v>
      </c>
      <c r="G29" s="38">
        <v>10610</v>
      </c>
      <c r="H29" s="38">
        <v>0</v>
      </c>
      <c r="I29" s="38">
        <v>10045</v>
      </c>
      <c r="J29" s="38">
        <v>18081</v>
      </c>
      <c r="K29" s="38">
        <v>0</v>
      </c>
      <c r="L29" s="38">
        <v>0</v>
      </c>
      <c r="M29" s="62">
        <v>0</v>
      </c>
      <c r="N29" s="78">
        <f t="shared" si="1"/>
        <v>38736</v>
      </c>
      <c r="O29" s="78">
        <f t="shared" si="2"/>
        <v>38736</v>
      </c>
    </row>
    <row r="30" spans="1:15">
      <c r="A30" s="1" t="s">
        <v>27</v>
      </c>
      <c r="B30" s="5" t="s">
        <v>38</v>
      </c>
      <c r="C30" s="19">
        <v>0</v>
      </c>
      <c r="D30" s="8">
        <v>0</v>
      </c>
      <c r="E30" s="8">
        <f t="shared" si="0"/>
        <v>0</v>
      </c>
      <c r="F30" s="18">
        <v>9154</v>
      </c>
      <c r="G30" s="19">
        <v>1572</v>
      </c>
      <c r="H30" s="19">
        <v>5952</v>
      </c>
      <c r="I30" s="19">
        <v>2604</v>
      </c>
      <c r="J30" s="19">
        <v>2976</v>
      </c>
      <c r="K30" s="19">
        <v>5933</v>
      </c>
      <c r="L30" s="19">
        <v>0</v>
      </c>
      <c r="M30" s="64">
        <v>0</v>
      </c>
      <c r="N30" s="80">
        <f t="shared" si="1"/>
        <v>28191</v>
      </c>
      <c r="O30" s="80">
        <f t="shared" si="2"/>
        <v>28191</v>
      </c>
    </row>
    <row r="31" spans="1:15">
      <c r="A31" s="1" t="s">
        <v>27</v>
      </c>
      <c r="B31" s="22" t="s">
        <v>52</v>
      </c>
      <c r="C31" s="27">
        <v>420000</v>
      </c>
      <c r="D31" s="28">
        <v>114540</v>
      </c>
      <c r="E31" s="28">
        <f t="shared" si="0"/>
        <v>534540</v>
      </c>
      <c r="F31" s="26">
        <v>410400</v>
      </c>
      <c r="G31" s="27">
        <v>363654</v>
      </c>
      <c r="H31" s="27">
        <v>350504</v>
      </c>
      <c r="I31" s="27">
        <v>366727</v>
      </c>
      <c r="J31" s="27">
        <v>379672</v>
      </c>
      <c r="K31" s="27">
        <v>323201</v>
      </c>
      <c r="L31" s="27">
        <v>54632</v>
      </c>
      <c r="M31" s="65">
        <v>32336</v>
      </c>
      <c r="N31" s="81">
        <f t="shared" si="1"/>
        <v>2281126</v>
      </c>
      <c r="O31" s="81">
        <f t="shared" si="2"/>
        <v>2815666</v>
      </c>
    </row>
    <row r="32" spans="1:15">
      <c r="A32" s="1" t="s">
        <v>27</v>
      </c>
      <c r="B32" s="32" t="s">
        <v>53</v>
      </c>
      <c r="C32" s="34">
        <v>12325</v>
      </c>
      <c r="D32" s="35">
        <v>3960</v>
      </c>
      <c r="E32" s="35">
        <f t="shared" si="0"/>
        <v>16285</v>
      </c>
      <c r="F32" s="33">
        <v>5906</v>
      </c>
      <c r="G32" s="34">
        <v>8731</v>
      </c>
      <c r="H32" s="34">
        <v>4912</v>
      </c>
      <c r="I32" s="34">
        <v>4134</v>
      </c>
      <c r="J32" s="34">
        <v>5649</v>
      </c>
      <c r="K32" s="34">
        <v>5393</v>
      </c>
      <c r="L32" s="34">
        <v>936</v>
      </c>
      <c r="M32" s="61">
        <v>624</v>
      </c>
      <c r="N32" s="77">
        <f t="shared" si="1"/>
        <v>36285</v>
      </c>
      <c r="O32" s="77">
        <f t="shared" si="2"/>
        <v>52570</v>
      </c>
    </row>
    <row r="33" spans="1:15">
      <c r="A33" s="1" t="s">
        <v>27</v>
      </c>
      <c r="B33" s="5" t="s">
        <v>54</v>
      </c>
      <c r="C33" s="19">
        <v>12325</v>
      </c>
      <c r="D33" s="8">
        <v>3960</v>
      </c>
      <c r="E33" s="8">
        <f t="shared" si="0"/>
        <v>16285</v>
      </c>
      <c r="F33" s="18">
        <v>5906</v>
      </c>
      <c r="G33" s="19">
        <v>8731</v>
      </c>
      <c r="H33" s="19">
        <v>4912</v>
      </c>
      <c r="I33" s="19">
        <v>4134</v>
      </c>
      <c r="J33" s="19">
        <v>5649</v>
      </c>
      <c r="K33" s="19">
        <v>5393</v>
      </c>
      <c r="L33" s="19">
        <v>936</v>
      </c>
      <c r="M33" s="64">
        <v>624</v>
      </c>
      <c r="N33" s="80">
        <f t="shared" si="1"/>
        <v>36285</v>
      </c>
      <c r="O33" s="80">
        <f t="shared" si="2"/>
        <v>52570</v>
      </c>
    </row>
    <row r="34" spans="1:15">
      <c r="A34" s="1" t="s">
        <v>27</v>
      </c>
      <c r="B34" s="22" t="s">
        <v>55</v>
      </c>
      <c r="C34" s="27">
        <v>432325</v>
      </c>
      <c r="D34" s="28">
        <v>118500</v>
      </c>
      <c r="E34" s="28">
        <f t="shared" si="0"/>
        <v>550825</v>
      </c>
      <c r="F34" s="26">
        <v>416306</v>
      </c>
      <c r="G34" s="27">
        <v>372385</v>
      </c>
      <c r="H34" s="27">
        <v>355416</v>
      </c>
      <c r="I34" s="27">
        <v>370861</v>
      </c>
      <c r="J34" s="27">
        <v>385321</v>
      </c>
      <c r="K34" s="27">
        <v>328594</v>
      </c>
      <c r="L34" s="27">
        <v>55568</v>
      </c>
      <c r="M34" s="65">
        <v>32960</v>
      </c>
      <c r="N34" s="81">
        <f t="shared" si="1"/>
        <v>2317411</v>
      </c>
      <c r="O34" s="81">
        <f t="shared" si="2"/>
        <v>2868236</v>
      </c>
    </row>
    <row r="35" spans="1:15">
      <c r="A35" s="1" t="s">
        <v>27</v>
      </c>
      <c r="B35" s="32" t="s">
        <v>56</v>
      </c>
      <c r="C35" s="34">
        <v>20910</v>
      </c>
      <c r="D35" s="35">
        <v>0</v>
      </c>
      <c r="E35" s="35">
        <f t="shared" si="0"/>
        <v>20910</v>
      </c>
      <c r="F35" s="33">
        <v>18360</v>
      </c>
      <c r="G35" s="34">
        <v>19380</v>
      </c>
      <c r="H35" s="34">
        <v>19380</v>
      </c>
      <c r="I35" s="34">
        <v>19380</v>
      </c>
      <c r="J35" s="34">
        <v>19380</v>
      </c>
      <c r="K35" s="34">
        <v>15300</v>
      </c>
      <c r="L35" s="34">
        <v>0</v>
      </c>
      <c r="M35" s="61">
        <v>0</v>
      </c>
      <c r="N35" s="77">
        <f t="shared" si="1"/>
        <v>111180</v>
      </c>
      <c r="O35" s="77">
        <f t="shared" si="2"/>
        <v>132090</v>
      </c>
    </row>
    <row r="36" spans="1:15">
      <c r="A36" s="1" t="s">
        <v>27</v>
      </c>
      <c r="B36" s="36" t="s">
        <v>57</v>
      </c>
      <c r="C36" s="38">
        <v>3690</v>
      </c>
      <c r="D36" s="39">
        <v>0</v>
      </c>
      <c r="E36" s="39">
        <f t="shared" si="0"/>
        <v>3690</v>
      </c>
      <c r="F36" s="37">
        <v>3240</v>
      </c>
      <c r="G36" s="38">
        <v>3420</v>
      </c>
      <c r="H36" s="38">
        <v>3420</v>
      </c>
      <c r="I36" s="38">
        <v>3420</v>
      </c>
      <c r="J36" s="38">
        <v>3420</v>
      </c>
      <c r="K36" s="38">
        <v>2700</v>
      </c>
      <c r="L36" s="38">
        <v>0</v>
      </c>
      <c r="M36" s="62">
        <v>0</v>
      </c>
      <c r="N36" s="78">
        <f t="shared" si="1"/>
        <v>19620</v>
      </c>
      <c r="O36" s="78">
        <f t="shared" si="2"/>
        <v>23310</v>
      </c>
    </row>
    <row r="37" spans="1:15">
      <c r="A37" s="1" t="s">
        <v>27</v>
      </c>
      <c r="B37" s="36" t="s">
        <v>58</v>
      </c>
      <c r="C37" s="38">
        <v>37515</v>
      </c>
      <c r="D37" s="39">
        <v>0</v>
      </c>
      <c r="E37" s="39">
        <f t="shared" si="0"/>
        <v>37515</v>
      </c>
      <c r="F37" s="37">
        <v>32940</v>
      </c>
      <c r="G37" s="38">
        <v>34770</v>
      </c>
      <c r="H37" s="38">
        <v>34770</v>
      </c>
      <c r="I37" s="38">
        <v>34770</v>
      </c>
      <c r="J37" s="38">
        <v>34770</v>
      </c>
      <c r="K37" s="38">
        <v>27450</v>
      </c>
      <c r="L37" s="38">
        <v>0</v>
      </c>
      <c r="M37" s="62">
        <v>0</v>
      </c>
      <c r="N37" s="78">
        <f t="shared" si="1"/>
        <v>199470</v>
      </c>
      <c r="O37" s="78">
        <f t="shared" si="2"/>
        <v>236985</v>
      </c>
    </row>
    <row r="38" spans="1:15">
      <c r="A38" s="1" t="s">
        <v>27</v>
      </c>
      <c r="B38" s="5" t="s">
        <v>59</v>
      </c>
      <c r="C38" s="19">
        <v>2594</v>
      </c>
      <c r="D38" s="8">
        <v>711</v>
      </c>
      <c r="E38" s="8">
        <f t="shared" si="0"/>
        <v>3305</v>
      </c>
      <c r="F38" s="18">
        <v>2498</v>
      </c>
      <c r="G38" s="19">
        <v>2234</v>
      </c>
      <c r="H38" s="19">
        <v>2132</v>
      </c>
      <c r="I38" s="19">
        <v>2225</v>
      </c>
      <c r="J38" s="19">
        <v>2312</v>
      </c>
      <c r="K38" s="19">
        <v>1972</v>
      </c>
      <c r="L38" s="19">
        <v>333</v>
      </c>
      <c r="M38" s="64">
        <v>198</v>
      </c>
      <c r="N38" s="80">
        <f t="shared" si="1"/>
        <v>13904</v>
      </c>
      <c r="O38" s="80">
        <f t="shared" si="2"/>
        <v>17209</v>
      </c>
    </row>
    <row r="39" spans="1:15">
      <c r="A39" s="1" t="s">
        <v>27</v>
      </c>
      <c r="B39" s="22" t="s">
        <v>60</v>
      </c>
      <c r="C39" s="27">
        <v>64709</v>
      </c>
      <c r="D39" s="28">
        <v>711</v>
      </c>
      <c r="E39" s="28">
        <f t="shared" si="0"/>
        <v>65420</v>
      </c>
      <c r="F39" s="26">
        <v>57038</v>
      </c>
      <c r="G39" s="27">
        <v>59804</v>
      </c>
      <c r="H39" s="27">
        <v>59702</v>
      </c>
      <c r="I39" s="27">
        <v>59795</v>
      </c>
      <c r="J39" s="27">
        <v>59882</v>
      </c>
      <c r="K39" s="27">
        <v>47422</v>
      </c>
      <c r="L39" s="27">
        <v>333</v>
      </c>
      <c r="M39" s="65">
        <v>198</v>
      </c>
      <c r="N39" s="81">
        <f t="shared" si="1"/>
        <v>344174</v>
      </c>
      <c r="O39" s="81">
        <f t="shared" si="2"/>
        <v>409594</v>
      </c>
    </row>
    <row r="40" spans="1:15">
      <c r="A40" s="1" t="s">
        <v>27</v>
      </c>
      <c r="B40" s="32" t="s">
        <v>61</v>
      </c>
      <c r="C40" s="34">
        <v>7360</v>
      </c>
      <c r="D40" s="35">
        <v>1430</v>
      </c>
      <c r="E40" s="35">
        <f t="shared" si="0"/>
        <v>8790</v>
      </c>
      <c r="F40" s="33">
        <v>12740</v>
      </c>
      <c r="G40" s="34">
        <v>6880</v>
      </c>
      <c r="H40" s="34">
        <v>4780</v>
      </c>
      <c r="I40" s="34">
        <v>8950</v>
      </c>
      <c r="J40" s="34">
        <v>5910</v>
      </c>
      <c r="K40" s="34">
        <v>5860</v>
      </c>
      <c r="L40" s="34">
        <v>0</v>
      </c>
      <c r="M40" s="61">
        <v>0</v>
      </c>
      <c r="N40" s="77">
        <f t="shared" si="1"/>
        <v>45120</v>
      </c>
      <c r="O40" s="77">
        <f t="shared" si="2"/>
        <v>53910</v>
      </c>
    </row>
    <row r="41" spans="1:15">
      <c r="A41" s="1" t="s">
        <v>27</v>
      </c>
      <c r="B41" s="5" t="s">
        <v>62</v>
      </c>
      <c r="C41" s="19">
        <v>23700</v>
      </c>
      <c r="D41" s="8">
        <v>0</v>
      </c>
      <c r="E41" s="8">
        <f t="shared" si="0"/>
        <v>23700</v>
      </c>
      <c r="F41" s="18">
        <v>18300</v>
      </c>
      <c r="G41" s="19">
        <v>12900</v>
      </c>
      <c r="H41" s="19">
        <v>6500</v>
      </c>
      <c r="I41" s="19">
        <v>16400</v>
      </c>
      <c r="J41" s="19">
        <v>2700</v>
      </c>
      <c r="K41" s="19">
        <v>0</v>
      </c>
      <c r="L41" s="19">
        <v>0</v>
      </c>
      <c r="M41" s="64">
        <v>0</v>
      </c>
      <c r="N41" s="80">
        <f t="shared" si="1"/>
        <v>56800</v>
      </c>
      <c r="O41" s="80">
        <f t="shared" si="2"/>
        <v>80500</v>
      </c>
    </row>
    <row r="42" spans="1:15">
      <c r="A42" s="1" t="s">
        <v>27</v>
      </c>
      <c r="B42" s="22" t="s">
        <v>63</v>
      </c>
      <c r="C42" s="27">
        <v>95769</v>
      </c>
      <c r="D42" s="28">
        <v>2141</v>
      </c>
      <c r="E42" s="28">
        <f t="shared" si="0"/>
        <v>97910</v>
      </c>
      <c r="F42" s="26">
        <v>88078</v>
      </c>
      <c r="G42" s="27">
        <v>79584</v>
      </c>
      <c r="H42" s="27">
        <v>70982</v>
      </c>
      <c r="I42" s="27">
        <v>85145</v>
      </c>
      <c r="J42" s="27">
        <v>68492</v>
      </c>
      <c r="K42" s="27">
        <v>53282</v>
      </c>
      <c r="L42" s="27">
        <v>333</v>
      </c>
      <c r="M42" s="65">
        <v>198</v>
      </c>
      <c r="N42" s="81">
        <f t="shared" si="1"/>
        <v>446094</v>
      </c>
      <c r="O42" s="81">
        <f t="shared" si="2"/>
        <v>544004</v>
      </c>
    </row>
    <row r="43" spans="1:15">
      <c r="A43" s="1" t="s">
        <v>27</v>
      </c>
      <c r="B43" s="22" t="s">
        <v>64</v>
      </c>
      <c r="C43" s="27">
        <v>355291</v>
      </c>
      <c r="D43" s="28">
        <v>113829</v>
      </c>
      <c r="E43" s="28">
        <f t="shared" si="0"/>
        <v>469120</v>
      </c>
      <c r="F43" s="26">
        <v>353362</v>
      </c>
      <c r="G43" s="27">
        <v>303850</v>
      </c>
      <c r="H43" s="27">
        <v>290802</v>
      </c>
      <c r="I43" s="27">
        <v>306932</v>
      </c>
      <c r="J43" s="27">
        <v>319790</v>
      </c>
      <c r="K43" s="27">
        <v>275779</v>
      </c>
      <c r="L43" s="27">
        <v>54299</v>
      </c>
      <c r="M43" s="65">
        <v>32138</v>
      </c>
      <c r="N43" s="81">
        <f t="shared" si="1"/>
        <v>1936952</v>
      </c>
      <c r="O43" s="81">
        <f t="shared" si="2"/>
        <v>2406072</v>
      </c>
    </row>
    <row r="44" spans="1:15">
      <c r="A44" s="1" t="s">
        <v>27</v>
      </c>
      <c r="B44" s="22" t="s">
        <v>65</v>
      </c>
      <c r="C44" s="27">
        <v>336556</v>
      </c>
      <c r="D44" s="28">
        <v>116359</v>
      </c>
      <c r="E44" s="28">
        <f t="shared" si="0"/>
        <v>452915</v>
      </c>
      <c r="F44" s="26">
        <v>328228</v>
      </c>
      <c r="G44" s="27">
        <v>292801</v>
      </c>
      <c r="H44" s="27">
        <v>284434</v>
      </c>
      <c r="I44" s="27">
        <v>285716</v>
      </c>
      <c r="J44" s="27">
        <v>316829</v>
      </c>
      <c r="K44" s="27">
        <v>275312</v>
      </c>
      <c r="L44" s="27">
        <v>55235</v>
      </c>
      <c r="M44" s="65">
        <v>32762</v>
      </c>
      <c r="N44" s="81">
        <f t="shared" si="1"/>
        <v>1871317</v>
      </c>
      <c r="O44" s="81">
        <f t="shared" si="2"/>
        <v>2324232</v>
      </c>
    </row>
    <row r="45" spans="1:15">
      <c r="A45" s="1" t="s">
        <v>27</v>
      </c>
      <c r="B45" s="22" t="s">
        <v>66</v>
      </c>
      <c r="C45" s="27">
        <v>336556</v>
      </c>
      <c r="D45" s="28">
        <v>116359</v>
      </c>
      <c r="E45" s="28">
        <f t="shared" si="0"/>
        <v>452915</v>
      </c>
      <c r="F45" s="26">
        <v>328228</v>
      </c>
      <c r="G45" s="27">
        <v>292801</v>
      </c>
      <c r="H45" s="27">
        <v>284434</v>
      </c>
      <c r="I45" s="27">
        <v>285716</v>
      </c>
      <c r="J45" s="27">
        <v>316829</v>
      </c>
      <c r="K45" s="27">
        <v>275312</v>
      </c>
      <c r="L45" s="27">
        <v>55235</v>
      </c>
      <c r="M45" s="65">
        <v>32762</v>
      </c>
      <c r="N45" s="81">
        <f t="shared" si="1"/>
        <v>1871317</v>
      </c>
      <c r="O45" s="81">
        <f t="shared" si="2"/>
        <v>2324232</v>
      </c>
    </row>
    <row r="46" spans="1:15">
      <c r="A46" s="1" t="s">
        <v>27</v>
      </c>
      <c r="B46" s="22" t="s">
        <v>67</v>
      </c>
      <c r="C46" s="27">
        <v>2</v>
      </c>
      <c r="D46" s="28">
        <v>0</v>
      </c>
      <c r="E46" s="28"/>
      <c r="F46" s="26">
        <v>0</v>
      </c>
      <c r="G46" s="27">
        <v>1</v>
      </c>
      <c r="H46" s="27">
        <v>2</v>
      </c>
      <c r="I46" s="27">
        <v>0</v>
      </c>
      <c r="J46" s="27">
        <v>2</v>
      </c>
      <c r="K46" s="27">
        <v>1</v>
      </c>
      <c r="L46" s="27">
        <v>0</v>
      </c>
      <c r="M46" s="65">
        <v>0</v>
      </c>
      <c r="N46" s="81"/>
      <c r="O46" s="81"/>
    </row>
    <row r="47" spans="1:15">
      <c r="A47" s="1" t="s">
        <v>27</v>
      </c>
      <c r="B47" s="22" t="s">
        <v>68</v>
      </c>
      <c r="C47" s="30" t="s">
        <v>69</v>
      </c>
      <c r="D47" s="31" t="s">
        <v>69</v>
      </c>
      <c r="E47" s="31"/>
      <c r="F47" s="29" t="s">
        <v>69</v>
      </c>
      <c r="G47" s="30" t="s">
        <v>69</v>
      </c>
      <c r="H47" s="30" t="s">
        <v>69</v>
      </c>
      <c r="I47" s="30" t="s">
        <v>69</v>
      </c>
      <c r="J47" s="30" t="s">
        <v>69</v>
      </c>
      <c r="K47" s="30" t="s">
        <v>69</v>
      </c>
      <c r="L47" s="30" t="s">
        <v>69</v>
      </c>
      <c r="M47" s="66" t="s">
        <v>69</v>
      </c>
      <c r="N47" s="82"/>
      <c r="O47" s="82"/>
    </row>
    <row r="48" spans="1:15" ht="19.5" thickBot="1">
      <c r="A48" s="1" t="s">
        <v>27</v>
      </c>
      <c r="B48" s="6" t="s">
        <v>70</v>
      </c>
      <c r="C48" s="21">
        <v>7360</v>
      </c>
      <c r="D48" s="9">
        <v>1430</v>
      </c>
      <c r="E48" s="9">
        <f t="shared" si="0"/>
        <v>8790</v>
      </c>
      <c r="F48" s="20">
        <v>12740</v>
      </c>
      <c r="G48" s="21">
        <v>6880</v>
      </c>
      <c r="H48" s="21">
        <v>4780</v>
      </c>
      <c r="I48" s="21">
        <v>8950</v>
      </c>
      <c r="J48" s="21">
        <v>5910</v>
      </c>
      <c r="K48" s="21">
        <v>5860</v>
      </c>
      <c r="L48" s="21">
        <v>0</v>
      </c>
      <c r="M48" s="67">
        <v>0</v>
      </c>
      <c r="N48" s="83">
        <f t="shared" si="1"/>
        <v>45120</v>
      </c>
      <c r="O48" s="83">
        <f t="shared" si="2"/>
        <v>53910</v>
      </c>
    </row>
  </sheetData>
  <phoneticPr fontId="4"/>
  <pageMargins left="0.11811023622047245" right="0.11811023622047245" top="0.15748031496062992" bottom="0.15748031496062992" header="0.31496062992125984" footer="0.11811023622047245"/>
  <pageSetup paperSize="12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道夫 深沢</dc:creator>
  <cp:keywords/>
  <dc:description/>
  <cp:lastModifiedBy>若林孝次郎</cp:lastModifiedBy>
  <cp:revision/>
  <dcterms:created xsi:type="dcterms:W3CDTF">2025-04-03T06:12:08Z</dcterms:created>
  <dcterms:modified xsi:type="dcterms:W3CDTF">2025-05-01T05:40:27Z</dcterms:modified>
  <cp:category/>
  <cp:contentStatus/>
</cp:coreProperties>
</file>