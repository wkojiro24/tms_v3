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3月分\"/>
    </mc:Choice>
  </mc:AlternateContent>
  <xr:revisionPtr revIDLastSave="0" documentId="13_ncr:1_{69CCC1C3-109D-4E51-A494-0EF4FB0DC67C}" xr6:coauthVersionLast="47" xr6:coauthVersionMax="47" xr10:uidLastSave="{00000000-0000-0000-0000-000000000000}"/>
  <bookViews>
    <workbookView xWindow="-120" yWindow="-120" windowWidth="20730" windowHeight="11040" xr2:uid="{1771B619-4F92-4E6D-80D9-61B3D7A85DC6}"/>
  </bookViews>
  <sheets>
    <sheet name="2025年 3月度給与 (2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O7" i="3"/>
  <c r="O8" i="3"/>
  <c r="O9" i="3"/>
  <c r="O10" i="3"/>
  <c r="O11" i="3"/>
  <c r="O12" i="3"/>
  <c r="O13" i="3"/>
  <c r="O14" i="3"/>
  <c r="O15" i="3"/>
  <c r="O16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7" i="3"/>
  <c r="O5" i="3"/>
  <c r="N6" i="3"/>
  <c r="N7" i="3"/>
  <c r="N8" i="3"/>
  <c r="N9" i="3"/>
  <c r="N10" i="3"/>
  <c r="N11" i="3"/>
  <c r="N12" i="3"/>
  <c r="N13" i="3"/>
  <c r="N14" i="3"/>
  <c r="N15" i="3"/>
  <c r="N16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7" i="3"/>
  <c r="N5" i="3"/>
  <c r="F6" i="3"/>
  <c r="F7" i="3"/>
  <c r="F8" i="3"/>
  <c r="F9" i="3"/>
  <c r="F10" i="3"/>
  <c r="F11" i="3"/>
  <c r="F12" i="3"/>
  <c r="F13" i="3"/>
  <c r="F14" i="3"/>
  <c r="F15" i="3"/>
  <c r="F16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7" i="3"/>
  <c r="F5" i="3"/>
</calcChain>
</file>

<file path=xl/sharedStrings.xml><?xml version="1.0" encoding="utf-8"?>
<sst xmlns="http://schemas.openxmlformats.org/spreadsheetml/2006/main" count="124" uniqueCount="70">
  <si>
    <t>支給控除一覧表</t>
    <phoneticPr fontId="4"/>
  </si>
  <si>
    <t>2025年3月度給与</t>
    <phoneticPr fontId="4"/>
  </si>
  <si>
    <t>1043</t>
    <phoneticPr fontId="4"/>
  </si>
  <si>
    <t>1093</t>
    <phoneticPr fontId="4"/>
  </si>
  <si>
    <t>1072</t>
    <phoneticPr fontId="4"/>
  </si>
  <si>
    <t>小計</t>
    <rPh sb="0" eb="2">
      <t>ショウケイ</t>
    </rPh>
    <phoneticPr fontId="3"/>
  </si>
  <si>
    <t>1037</t>
    <phoneticPr fontId="4"/>
  </si>
  <si>
    <t>1038</t>
    <phoneticPr fontId="4"/>
  </si>
  <si>
    <t>1042</t>
    <phoneticPr fontId="4"/>
  </si>
  <si>
    <t>1099</t>
    <phoneticPr fontId="4"/>
  </si>
  <si>
    <t>1102</t>
    <phoneticPr fontId="4"/>
  </si>
  <si>
    <t>1117</t>
    <phoneticPr fontId="4"/>
  </si>
  <si>
    <t>1202</t>
    <phoneticPr fontId="4"/>
  </si>
  <si>
    <t>小計</t>
    <rPh sb="0" eb="2">
      <t>ショウケイ</t>
    </rPh>
    <phoneticPr fontId="4"/>
  </si>
  <si>
    <t>項目名</t>
    <phoneticPr fontId="4"/>
  </si>
  <si>
    <t>鈴木　貴雄</t>
    <phoneticPr fontId="4"/>
  </si>
  <si>
    <t>佐藤　禎尚</t>
    <phoneticPr fontId="4"/>
  </si>
  <si>
    <t>佐藤　ゆうこ</t>
    <phoneticPr fontId="4"/>
  </si>
  <si>
    <t>3名</t>
    <rPh sb="1" eb="2">
      <t>メイ</t>
    </rPh>
    <phoneticPr fontId="3"/>
  </si>
  <si>
    <t>佐藤　守</t>
    <phoneticPr fontId="4"/>
  </si>
  <si>
    <t>高橋　徹</t>
    <phoneticPr fontId="4"/>
  </si>
  <si>
    <t>高橋　英晃</t>
    <phoneticPr fontId="4"/>
  </si>
  <si>
    <t>土谷　栄</t>
    <phoneticPr fontId="4"/>
  </si>
  <si>
    <t>小田島　健司</t>
    <phoneticPr fontId="4"/>
  </si>
  <si>
    <t>白井　博</t>
    <phoneticPr fontId="4"/>
  </si>
  <si>
    <t>鈴木　大</t>
    <phoneticPr fontId="4"/>
  </si>
  <si>
    <t>7名</t>
    <rPh sb="1" eb="2">
      <t>メイ</t>
    </rPh>
    <phoneticPr fontId="4"/>
  </si>
  <si>
    <t>合計</t>
    <phoneticPr fontId="4"/>
  </si>
  <si>
    <t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</si>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</sst>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3" fontId="2" fillId="0" borderId="3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176" fontId="2" fillId="0" borderId="14" xfId="1" applyNumberFormat="1" applyFont="1" applyBorder="1"/>
    <xf numFmtId="176" fontId="2" fillId="0" borderId="15" xfId="1" applyNumberFormat="1" applyFont="1" applyBorder="1"/>
    <xf numFmtId="3" fontId="2" fillId="0" borderId="19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5" xfId="1" applyNumberFormat="1" applyFont="1" applyBorder="1"/>
    <xf numFmtId="3" fontId="2" fillId="0" borderId="21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1" xfId="1" applyNumberFormat="1" applyFont="1" applyBorder="1"/>
    <xf numFmtId="3" fontId="2" fillId="0" borderId="27" xfId="1" applyNumberFormat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1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7" xfId="1" applyNumberFormat="1" applyFont="1" applyBorder="1"/>
    <xf numFmtId="0" fontId="2" fillId="0" borderId="38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49" fontId="2" fillId="0" borderId="40" xfId="1" applyNumberFormat="1" applyFont="1" applyBorder="1" applyAlignment="1">
      <alignment horizontal="left"/>
    </xf>
    <xf numFmtId="49" fontId="2" fillId="0" borderId="41" xfId="1" applyNumberFormat="1" applyFont="1" applyBorder="1" applyAlignment="1">
      <alignment horizontal="left"/>
    </xf>
    <xf numFmtId="49" fontId="2" fillId="0" borderId="42" xfId="1" applyNumberFormat="1" applyFont="1" applyBorder="1" applyAlignment="1">
      <alignment horizontal="left"/>
    </xf>
    <xf numFmtId="49" fontId="2" fillId="0" borderId="43" xfId="1" applyNumberFormat="1" applyFont="1" applyBorder="1" applyAlignment="1">
      <alignment horizontal="left"/>
    </xf>
    <xf numFmtId="49" fontId="2" fillId="0" borderId="44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left"/>
    </xf>
  </cellXfs>
  <cellStyles count="2">
    <cellStyle name="標準" xfId="0" builtinId="0"/>
    <cellStyle name="標準 2" xfId="1" xr:uid="{F212F212-6220-4406-B9D7-2238CE658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698C-2E46-4604-B7F5-9A8F36BE74C7}">
  <sheetPr>
    <pageSetUpPr fitToPage="1"/>
  </sheetPr>
  <dimension ref="A1:O47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5" width="11.625" style="2" customWidth="1"/>
    <col min="16" max="258" width="9" style="2"/>
    <col min="259" max="259" width="2.375" style="2" customWidth="1"/>
    <col min="260" max="260" width="13.25" style="2" bestFit="1" customWidth="1"/>
    <col min="261" max="262" width="9" style="2"/>
    <col min="263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70" width="9" style="2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9" style="2"/>
    <col min="519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6" width="9" style="2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9" style="2"/>
    <col min="775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2" width="9" style="2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8" width="9" style="2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4" width="9" style="2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50" width="9" style="2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6" width="9" style="2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2" width="9" style="2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8" width="9" style="2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4" width="9" style="2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30" width="9" style="2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6" width="9" style="2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2" width="9" style="2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8" width="9" style="2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4" width="9" style="2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10" width="9" style="2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6" width="9" style="2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2" width="9" style="2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8" width="9" style="2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4" width="9" style="2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90" width="9" style="2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6" width="9" style="2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2" width="9" style="2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8" width="9" style="2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4" width="9" style="2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70" width="9" style="2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6" width="9" style="2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2" width="9" style="2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8" width="9" style="2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4" width="9" style="2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50" width="9" style="2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6" width="9" style="2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2" width="9" style="2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8" width="9" style="2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4" width="9" style="2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30" width="9" style="2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6" width="9" style="2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2" width="9" style="2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8" width="9" style="2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4" width="9" style="2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10" width="9" style="2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6" width="9" style="2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2" width="9" style="2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8" width="9" style="2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4" width="9" style="2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90" width="9" style="2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6" width="9" style="2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2" width="9" style="2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8" width="9" style="2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4" width="9" style="2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70" width="9" style="2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6" width="9" style="2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2" width="9" style="2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8" width="9" style="2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4" width="9" style="2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50" width="9" style="2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6" width="9" style="2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2" width="9" style="2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8" width="9" style="2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4" width="9" style="2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30" width="9" style="2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6" width="9" style="2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 ht="19.5" thickBot="1">
      <c r="A2" s="1" t="s">
        <v>1</v>
      </c>
    </row>
    <row r="3" spans="1:15">
      <c r="B3" s="72"/>
      <c r="C3" s="33" t="s">
        <v>2</v>
      </c>
      <c r="D3" s="6" t="s">
        <v>3</v>
      </c>
      <c r="E3" s="47" t="s">
        <v>4</v>
      </c>
      <c r="F3" s="60" t="s">
        <v>5</v>
      </c>
      <c r="G3" s="33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45" t="s">
        <v>13</v>
      </c>
      <c r="O3" s="4"/>
    </row>
    <row r="4" spans="1:15" ht="19.5" thickBot="1">
      <c r="B4" s="73" t="s">
        <v>14</v>
      </c>
      <c r="C4" s="34" t="s">
        <v>15</v>
      </c>
      <c r="D4" s="8" t="s">
        <v>16</v>
      </c>
      <c r="E4" s="48" t="s">
        <v>17</v>
      </c>
      <c r="F4" s="61" t="s">
        <v>18</v>
      </c>
      <c r="G4" s="34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9" t="s">
        <v>25</v>
      </c>
      <c r="N4" s="46" t="s">
        <v>26</v>
      </c>
      <c r="O4" s="3" t="s">
        <v>27</v>
      </c>
    </row>
    <row r="5" spans="1:15">
      <c r="A5" s="1" t="s">
        <v>28</v>
      </c>
      <c r="B5" s="74" t="s">
        <v>29</v>
      </c>
      <c r="C5" s="35">
        <v>19</v>
      </c>
      <c r="D5" s="22">
        <v>18</v>
      </c>
      <c r="E5" s="49">
        <v>19</v>
      </c>
      <c r="F5" s="62">
        <f>SUM(C5:E5)</f>
        <v>56</v>
      </c>
      <c r="G5" s="35">
        <v>20</v>
      </c>
      <c r="H5" s="22">
        <v>19</v>
      </c>
      <c r="I5" s="22">
        <v>15</v>
      </c>
      <c r="J5" s="22">
        <v>19</v>
      </c>
      <c r="K5" s="22">
        <v>17</v>
      </c>
      <c r="L5" s="22">
        <v>18</v>
      </c>
      <c r="M5" s="23">
        <v>19</v>
      </c>
      <c r="N5" s="23">
        <f>SUM(G5:M5)</f>
        <v>127</v>
      </c>
      <c r="O5" s="23">
        <f>SUM(N5,F5)</f>
        <v>183</v>
      </c>
    </row>
    <row r="6" spans="1:15">
      <c r="A6" s="1" t="s">
        <v>28</v>
      </c>
      <c r="B6" s="75" t="s">
        <v>30</v>
      </c>
      <c r="C6" s="36">
        <v>0</v>
      </c>
      <c r="D6" s="24">
        <v>0</v>
      </c>
      <c r="E6" s="50">
        <v>3</v>
      </c>
      <c r="F6" s="63">
        <f t="shared" ref="F6:F47" si="0">SUM(C6:E6)</f>
        <v>3</v>
      </c>
      <c r="G6" s="36">
        <v>3</v>
      </c>
      <c r="H6" s="24">
        <v>4</v>
      </c>
      <c r="I6" s="24">
        <v>3</v>
      </c>
      <c r="J6" s="24">
        <v>4</v>
      </c>
      <c r="K6" s="24">
        <v>3</v>
      </c>
      <c r="L6" s="24">
        <v>2</v>
      </c>
      <c r="M6" s="25">
        <v>3</v>
      </c>
      <c r="N6" s="25">
        <f t="shared" ref="N6:N47" si="1">SUM(G6:M6)</f>
        <v>22</v>
      </c>
      <c r="O6" s="25">
        <f t="shared" ref="O6:O47" si="2">SUM(N6,F6)</f>
        <v>25</v>
      </c>
    </row>
    <row r="7" spans="1:15">
      <c r="A7" s="1" t="s">
        <v>28</v>
      </c>
      <c r="B7" s="75" t="s">
        <v>31</v>
      </c>
      <c r="C7" s="36">
        <v>0</v>
      </c>
      <c r="D7" s="24">
        <v>0</v>
      </c>
      <c r="E7" s="50">
        <v>0</v>
      </c>
      <c r="F7" s="63">
        <f t="shared" si="0"/>
        <v>0</v>
      </c>
      <c r="G7" s="36">
        <v>2</v>
      </c>
      <c r="H7" s="24">
        <v>3</v>
      </c>
      <c r="I7" s="24">
        <v>6</v>
      </c>
      <c r="J7" s="24">
        <v>1</v>
      </c>
      <c r="K7" s="24">
        <v>2</v>
      </c>
      <c r="L7" s="24">
        <v>3</v>
      </c>
      <c r="M7" s="25">
        <v>3</v>
      </c>
      <c r="N7" s="25">
        <f t="shared" si="1"/>
        <v>20</v>
      </c>
      <c r="O7" s="25">
        <f t="shared" si="2"/>
        <v>20</v>
      </c>
    </row>
    <row r="8" spans="1:15">
      <c r="A8" s="1" t="s">
        <v>28</v>
      </c>
      <c r="B8" s="75" t="s">
        <v>32</v>
      </c>
      <c r="C8" s="36">
        <v>0</v>
      </c>
      <c r="D8" s="24">
        <v>0</v>
      </c>
      <c r="E8" s="50">
        <v>0</v>
      </c>
      <c r="F8" s="63">
        <f t="shared" si="0"/>
        <v>0</v>
      </c>
      <c r="G8" s="36">
        <v>0</v>
      </c>
      <c r="H8" s="24">
        <v>0</v>
      </c>
      <c r="I8" s="24">
        <v>2</v>
      </c>
      <c r="J8" s="24">
        <v>0</v>
      </c>
      <c r="K8" s="24">
        <v>0</v>
      </c>
      <c r="L8" s="24">
        <v>1</v>
      </c>
      <c r="M8" s="25">
        <v>1</v>
      </c>
      <c r="N8" s="25">
        <f t="shared" si="1"/>
        <v>4</v>
      </c>
      <c r="O8" s="25">
        <f t="shared" si="2"/>
        <v>4</v>
      </c>
    </row>
    <row r="9" spans="1:15">
      <c r="A9" s="1" t="s">
        <v>28</v>
      </c>
      <c r="B9" s="75" t="s">
        <v>33</v>
      </c>
      <c r="C9" s="36">
        <v>0</v>
      </c>
      <c r="D9" s="24">
        <v>0</v>
      </c>
      <c r="E9" s="50">
        <v>1</v>
      </c>
      <c r="F9" s="63">
        <f t="shared" si="0"/>
        <v>1</v>
      </c>
      <c r="G9" s="36">
        <v>0</v>
      </c>
      <c r="H9" s="24">
        <v>1</v>
      </c>
      <c r="I9" s="24">
        <v>3</v>
      </c>
      <c r="J9" s="24">
        <v>1</v>
      </c>
      <c r="K9" s="24">
        <v>3</v>
      </c>
      <c r="L9" s="24">
        <v>1</v>
      </c>
      <c r="M9" s="25">
        <v>0</v>
      </c>
      <c r="N9" s="25">
        <f t="shared" si="1"/>
        <v>9</v>
      </c>
      <c r="O9" s="25">
        <f t="shared" si="2"/>
        <v>10</v>
      </c>
    </row>
    <row r="10" spans="1:15">
      <c r="A10" s="1" t="s">
        <v>28</v>
      </c>
      <c r="B10" s="75" t="s">
        <v>34</v>
      </c>
      <c r="C10" s="37">
        <v>0</v>
      </c>
      <c r="D10" s="26">
        <v>0</v>
      </c>
      <c r="E10" s="51">
        <v>0.20833333333333334</v>
      </c>
      <c r="F10" s="64">
        <f t="shared" si="0"/>
        <v>0.20833333333333334</v>
      </c>
      <c r="G10" s="37">
        <v>1.6666666666666665</v>
      </c>
      <c r="H10" s="26">
        <v>0.45833333333333331</v>
      </c>
      <c r="I10" s="26">
        <v>1</v>
      </c>
      <c r="J10" s="26">
        <v>1.7916666666666665</v>
      </c>
      <c r="K10" s="26">
        <v>1.7083333333333335</v>
      </c>
      <c r="L10" s="26">
        <v>1.0416666666666667</v>
      </c>
      <c r="M10" s="27">
        <v>1.2916666666666667</v>
      </c>
      <c r="N10" s="27">
        <f t="shared" si="1"/>
        <v>8.9583333333333339</v>
      </c>
      <c r="O10" s="27">
        <f t="shared" si="2"/>
        <v>9.1666666666666679</v>
      </c>
    </row>
    <row r="11" spans="1:15">
      <c r="A11" s="1" t="s">
        <v>28</v>
      </c>
      <c r="B11" s="75" t="s">
        <v>35</v>
      </c>
      <c r="C11" s="37">
        <v>0</v>
      </c>
      <c r="D11" s="26">
        <v>0</v>
      </c>
      <c r="E11" s="51">
        <v>0.79166666666666663</v>
      </c>
      <c r="F11" s="64">
        <f t="shared" si="0"/>
        <v>0.79166666666666663</v>
      </c>
      <c r="G11" s="37">
        <v>1.25</v>
      </c>
      <c r="H11" s="26">
        <v>1.4166666666666667</v>
      </c>
      <c r="I11" s="26">
        <v>1.125</v>
      </c>
      <c r="J11" s="26">
        <v>1.7083333333333335</v>
      </c>
      <c r="K11" s="26">
        <v>1.25</v>
      </c>
      <c r="L11" s="26">
        <v>0.66666666666666663</v>
      </c>
      <c r="M11" s="27">
        <v>0.79166666666666663</v>
      </c>
      <c r="N11" s="27">
        <f t="shared" si="1"/>
        <v>8.2083333333333339</v>
      </c>
      <c r="O11" s="27">
        <f t="shared" si="2"/>
        <v>9</v>
      </c>
    </row>
    <row r="12" spans="1:15">
      <c r="A12" s="1" t="s">
        <v>28</v>
      </c>
      <c r="B12" s="75" t="s">
        <v>36</v>
      </c>
      <c r="C12" s="37">
        <v>0</v>
      </c>
      <c r="D12" s="26">
        <v>0</v>
      </c>
      <c r="E12" s="51">
        <v>0</v>
      </c>
      <c r="F12" s="64">
        <f t="shared" si="0"/>
        <v>0</v>
      </c>
      <c r="G12" s="37">
        <v>0.83333333333333337</v>
      </c>
      <c r="H12" s="26">
        <v>1.0416666666666667</v>
      </c>
      <c r="I12" s="26">
        <v>1.5416666666666665</v>
      </c>
      <c r="J12" s="26">
        <v>0.41666666666666669</v>
      </c>
      <c r="K12" s="26">
        <v>0.75</v>
      </c>
      <c r="L12" s="26">
        <v>0.58333333333333337</v>
      </c>
      <c r="M12" s="27">
        <v>1.0833333333333333</v>
      </c>
      <c r="N12" s="27">
        <f t="shared" si="1"/>
        <v>6.2499999999999991</v>
      </c>
      <c r="O12" s="27">
        <f t="shared" si="2"/>
        <v>6.2499999999999991</v>
      </c>
    </row>
    <row r="13" spans="1:15">
      <c r="A13" s="1" t="s">
        <v>28</v>
      </c>
      <c r="B13" s="75" t="s">
        <v>37</v>
      </c>
      <c r="C13" s="37">
        <v>0</v>
      </c>
      <c r="D13" s="26">
        <v>0</v>
      </c>
      <c r="E13" s="51">
        <v>0</v>
      </c>
      <c r="F13" s="64">
        <f t="shared" si="0"/>
        <v>0</v>
      </c>
      <c r="G13" s="37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7">
        <v>0.33333333333333331</v>
      </c>
      <c r="N13" s="27">
        <f t="shared" si="1"/>
        <v>0.33333333333333331</v>
      </c>
      <c r="O13" s="27">
        <f t="shared" si="2"/>
        <v>0.33333333333333331</v>
      </c>
    </row>
    <row r="14" spans="1:15">
      <c r="A14" s="1" t="s">
        <v>28</v>
      </c>
      <c r="B14" s="75" t="s">
        <v>38</v>
      </c>
      <c r="C14" s="37">
        <v>0</v>
      </c>
      <c r="D14" s="26">
        <v>0</v>
      </c>
      <c r="E14" s="51">
        <v>0</v>
      </c>
      <c r="F14" s="64">
        <f t="shared" si="0"/>
        <v>0</v>
      </c>
      <c r="G14" s="37">
        <v>0</v>
      </c>
      <c r="H14" s="26">
        <v>0</v>
      </c>
      <c r="I14" s="26">
        <v>0.79166666666666663</v>
      </c>
      <c r="J14" s="26">
        <v>0</v>
      </c>
      <c r="K14" s="26">
        <v>0</v>
      </c>
      <c r="L14" s="26">
        <v>0.29166666666666669</v>
      </c>
      <c r="M14" s="27">
        <v>0</v>
      </c>
      <c r="N14" s="27">
        <f t="shared" si="1"/>
        <v>1.0833333333333333</v>
      </c>
      <c r="O14" s="27">
        <f t="shared" si="2"/>
        <v>1.0833333333333333</v>
      </c>
    </row>
    <row r="15" spans="1:15">
      <c r="A15" s="1" t="s">
        <v>28</v>
      </c>
      <c r="B15" s="75" t="s">
        <v>39</v>
      </c>
      <c r="C15" s="37">
        <v>0</v>
      </c>
      <c r="D15" s="26">
        <v>0</v>
      </c>
      <c r="E15" s="51">
        <v>0.33333333333333331</v>
      </c>
      <c r="F15" s="64">
        <f t="shared" si="0"/>
        <v>0.33333333333333331</v>
      </c>
      <c r="G15" s="37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7">
        <v>0</v>
      </c>
      <c r="N15" s="27">
        <f t="shared" si="1"/>
        <v>0</v>
      </c>
      <c r="O15" s="27">
        <f t="shared" si="2"/>
        <v>0.33333333333333331</v>
      </c>
    </row>
    <row r="16" spans="1:15">
      <c r="A16" s="1" t="s">
        <v>28</v>
      </c>
      <c r="B16" s="76" t="s">
        <v>40</v>
      </c>
      <c r="C16" s="38">
        <v>0.125</v>
      </c>
      <c r="D16" s="10">
        <v>0</v>
      </c>
      <c r="E16" s="52">
        <v>0</v>
      </c>
      <c r="F16" s="65">
        <f t="shared" si="0"/>
        <v>0.125</v>
      </c>
      <c r="G16" s="38">
        <v>1.125</v>
      </c>
      <c r="H16" s="10">
        <v>3.7083333333333335</v>
      </c>
      <c r="I16" s="10">
        <v>3.2083333333333335</v>
      </c>
      <c r="J16" s="10">
        <v>0.70833333333333337</v>
      </c>
      <c r="K16" s="10">
        <v>0.95833333333333337</v>
      </c>
      <c r="L16" s="10">
        <v>0.66666666666666663</v>
      </c>
      <c r="M16" s="11">
        <v>0.70833333333333337</v>
      </c>
      <c r="N16" s="11">
        <f t="shared" si="1"/>
        <v>11.083333333333336</v>
      </c>
      <c r="O16" s="11">
        <f t="shared" si="2"/>
        <v>11.208333333333336</v>
      </c>
    </row>
    <row r="17" spans="1:15">
      <c r="A17" s="1" t="s">
        <v>28</v>
      </c>
      <c r="B17" s="77" t="s">
        <v>41</v>
      </c>
      <c r="C17" s="39">
        <v>35</v>
      </c>
      <c r="D17" s="14">
        <v>16</v>
      </c>
      <c r="E17" s="53">
        <v>19.5</v>
      </c>
      <c r="F17" s="66"/>
      <c r="G17" s="39">
        <v>28</v>
      </c>
      <c r="H17" s="14">
        <v>20</v>
      </c>
      <c r="I17" s="14">
        <v>12</v>
      </c>
      <c r="J17" s="14">
        <v>8</v>
      </c>
      <c r="K17" s="14">
        <v>2</v>
      </c>
      <c r="L17" s="14">
        <v>6</v>
      </c>
      <c r="M17" s="15">
        <v>0</v>
      </c>
      <c r="N17" s="15"/>
      <c r="O17" s="15"/>
    </row>
    <row r="18" spans="1:15">
      <c r="A18" s="1" t="s">
        <v>28</v>
      </c>
      <c r="B18" s="78" t="s">
        <v>42</v>
      </c>
      <c r="C18" s="28">
        <v>370000</v>
      </c>
      <c r="D18" s="18">
        <v>360000</v>
      </c>
      <c r="E18" s="54">
        <v>180000</v>
      </c>
      <c r="F18" s="67">
        <f t="shared" si="0"/>
        <v>910000</v>
      </c>
      <c r="G18" s="28">
        <v>187000</v>
      </c>
      <c r="H18" s="18">
        <v>187000</v>
      </c>
      <c r="I18" s="18">
        <v>182000</v>
      </c>
      <c r="J18" s="18">
        <v>182000</v>
      </c>
      <c r="K18" s="18">
        <v>182000</v>
      </c>
      <c r="L18" s="18">
        <v>175000</v>
      </c>
      <c r="M18" s="19">
        <v>175000</v>
      </c>
      <c r="N18" s="19">
        <f t="shared" si="1"/>
        <v>1270000</v>
      </c>
      <c r="O18" s="19">
        <f t="shared" si="2"/>
        <v>2180000</v>
      </c>
    </row>
    <row r="19" spans="1:15">
      <c r="A19" s="1" t="s">
        <v>28</v>
      </c>
      <c r="B19" s="75" t="s">
        <v>43</v>
      </c>
      <c r="C19" s="40">
        <v>0</v>
      </c>
      <c r="D19" s="20">
        <v>0</v>
      </c>
      <c r="E19" s="55">
        <v>0</v>
      </c>
      <c r="F19" s="68">
        <f t="shared" si="0"/>
        <v>0</v>
      </c>
      <c r="G19" s="40">
        <v>5000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1">
        <v>0</v>
      </c>
      <c r="N19" s="21">
        <f t="shared" si="1"/>
        <v>5000</v>
      </c>
      <c r="O19" s="21">
        <f t="shared" si="2"/>
        <v>5000</v>
      </c>
    </row>
    <row r="20" spans="1:15">
      <c r="A20" s="1" t="s">
        <v>28</v>
      </c>
      <c r="B20" s="75" t="s">
        <v>44</v>
      </c>
      <c r="C20" s="40">
        <v>0</v>
      </c>
      <c r="D20" s="20">
        <v>0</v>
      </c>
      <c r="E20" s="55">
        <v>6000</v>
      </c>
      <c r="F20" s="68">
        <f t="shared" si="0"/>
        <v>6000</v>
      </c>
      <c r="G20" s="40">
        <v>6000</v>
      </c>
      <c r="H20" s="20">
        <v>10000</v>
      </c>
      <c r="I20" s="20">
        <v>0</v>
      </c>
      <c r="J20" s="20">
        <v>0</v>
      </c>
      <c r="K20" s="20">
        <v>0</v>
      </c>
      <c r="L20" s="20">
        <v>0</v>
      </c>
      <c r="M20" s="21">
        <v>0</v>
      </c>
      <c r="N20" s="21">
        <f t="shared" si="1"/>
        <v>16000</v>
      </c>
      <c r="O20" s="21">
        <f t="shared" si="2"/>
        <v>22000</v>
      </c>
    </row>
    <row r="21" spans="1:15">
      <c r="A21" s="1" t="s">
        <v>28</v>
      </c>
      <c r="B21" s="75" t="s">
        <v>45</v>
      </c>
      <c r="C21" s="40">
        <v>0</v>
      </c>
      <c r="D21" s="20">
        <v>0</v>
      </c>
      <c r="E21" s="55">
        <v>0</v>
      </c>
      <c r="F21" s="68">
        <f t="shared" si="0"/>
        <v>0</v>
      </c>
      <c r="G21" s="40">
        <v>3500</v>
      </c>
      <c r="H21" s="20">
        <v>3500</v>
      </c>
      <c r="I21" s="20">
        <v>3500</v>
      </c>
      <c r="J21" s="20">
        <v>3500</v>
      </c>
      <c r="K21" s="20">
        <v>3500</v>
      </c>
      <c r="L21" s="20">
        <v>0</v>
      </c>
      <c r="M21" s="21">
        <v>0</v>
      </c>
      <c r="N21" s="21">
        <f t="shared" si="1"/>
        <v>17500</v>
      </c>
      <c r="O21" s="21">
        <f t="shared" si="2"/>
        <v>17500</v>
      </c>
    </row>
    <row r="22" spans="1:15">
      <c r="A22" s="1" t="s">
        <v>28</v>
      </c>
      <c r="B22" s="75" t="s">
        <v>46</v>
      </c>
      <c r="C22" s="40">
        <v>0</v>
      </c>
      <c r="D22" s="20">
        <v>0</v>
      </c>
      <c r="E22" s="55">
        <v>0</v>
      </c>
      <c r="F22" s="68">
        <f t="shared" si="0"/>
        <v>0</v>
      </c>
      <c r="G22" s="40">
        <v>0</v>
      </c>
      <c r="H22" s="20">
        <v>7600</v>
      </c>
      <c r="I22" s="20">
        <v>0</v>
      </c>
      <c r="J22" s="20">
        <v>0</v>
      </c>
      <c r="K22" s="20">
        <v>0</v>
      </c>
      <c r="L22" s="20">
        <v>0</v>
      </c>
      <c r="M22" s="21">
        <v>0</v>
      </c>
      <c r="N22" s="21">
        <f t="shared" si="1"/>
        <v>7600</v>
      </c>
      <c r="O22" s="21">
        <f t="shared" si="2"/>
        <v>7600</v>
      </c>
    </row>
    <row r="23" spans="1:15">
      <c r="A23" s="1" t="s">
        <v>28</v>
      </c>
      <c r="B23" s="75" t="s">
        <v>34</v>
      </c>
      <c r="C23" s="40">
        <v>0</v>
      </c>
      <c r="D23" s="20">
        <v>0</v>
      </c>
      <c r="E23" s="55">
        <v>7965</v>
      </c>
      <c r="F23" s="68">
        <f t="shared" si="0"/>
        <v>7965</v>
      </c>
      <c r="G23" s="40">
        <v>60360</v>
      </c>
      <c r="H23" s="20">
        <v>17138</v>
      </c>
      <c r="I23" s="20">
        <v>33336</v>
      </c>
      <c r="J23" s="20">
        <v>59727</v>
      </c>
      <c r="K23" s="20">
        <v>56949</v>
      </c>
      <c r="L23" s="20">
        <v>32750</v>
      </c>
      <c r="M23" s="21">
        <v>40610</v>
      </c>
      <c r="N23" s="21">
        <f t="shared" si="1"/>
        <v>300870</v>
      </c>
      <c r="O23" s="21">
        <f t="shared" si="2"/>
        <v>308835</v>
      </c>
    </row>
    <row r="24" spans="1:15">
      <c r="A24" s="1" t="s">
        <v>28</v>
      </c>
      <c r="B24" s="75" t="s">
        <v>47</v>
      </c>
      <c r="C24" s="40">
        <v>0</v>
      </c>
      <c r="D24" s="20">
        <v>0</v>
      </c>
      <c r="E24" s="55">
        <v>32680</v>
      </c>
      <c r="F24" s="68">
        <f t="shared" si="0"/>
        <v>32680</v>
      </c>
      <c r="G24" s="40">
        <v>48870</v>
      </c>
      <c r="H24" s="20">
        <v>57188</v>
      </c>
      <c r="I24" s="20">
        <v>40500</v>
      </c>
      <c r="J24" s="20">
        <v>61500</v>
      </c>
      <c r="K24" s="20">
        <v>45000</v>
      </c>
      <c r="L24" s="20">
        <v>22640</v>
      </c>
      <c r="M24" s="21">
        <v>26885</v>
      </c>
      <c r="N24" s="21">
        <f t="shared" si="1"/>
        <v>302583</v>
      </c>
      <c r="O24" s="21">
        <f t="shared" si="2"/>
        <v>335263</v>
      </c>
    </row>
    <row r="25" spans="1:15">
      <c r="A25" s="1" t="s">
        <v>28</v>
      </c>
      <c r="B25" s="75" t="s">
        <v>48</v>
      </c>
      <c r="C25" s="40">
        <v>0</v>
      </c>
      <c r="D25" s="20">
        <v>0</v>
      </c>
      <c r="E25" s="55">
        <v>0</v>
      </c>
      <c r="F25" s="68">
        <f t="shared" si="0"/>
        <v>0</v>
      </c>
      <c r="G25" s="40">
        <v>32580</v>
      </c>
      <c r="H25" s="20">
        <v>42050</v>
      </c>
      <c r="I25" s="20">
        <v>55500</v>
      </c>
      <c r="J25" s="20">
        <v>15000</v>
      </c>
      <c r="K25" s="20">
        <v>27000</v>
      </c>
      <c r="L25" s="20">
        <v>19810</v>
      </c>
      <c r="M25" s="21">
        <v>36790</v>
      </c>
      <c r="N25" s="21">
        <f t="shared" si="1"/>
        <v>228730</v>
      </c>
      <c r="O25" s="21">
        <f t="shared" si="2"/>
        <v>228730</v>
      </c>
    </row>
    <row r="26" spans="1:15">
      <c r="A26" s="1" t="s">
        <v>28</v>
      </c>
      <c r="B26" s="75" t="s">
        <v>49</v>
      </c>
      <c r="C26" s="40">
        <v>0</v>
      </c>
      <c r="D26" s="20">
        <v>0</v>
      </c>
      <c r="E26" s="55">
        <v>0</v>
      </c>
      <c r="F26" s="68">
        <f t="shared" si="0"/>
        <v>0</v>
      </c>
      <c r="G26" s="4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1">
        <v>2936</v>
      </c>
      <c r="N26" s="21">
        <f t="shared" si="1"/>
        <v>2936</v>
      </c>
      <c r="O26" s="21">
        <f t="shared" si="2"/>
        <v>2936</v>
      </c>
    </row>
    <row r="27" spans="1:15">
      <c r="A27" s="1" t="s">
        <v>28</v>
      </c>
      <c r="B27" s="75" t="s">
        <v>50</v>
      </c>
      <c r="C27" s="40">
        <v>0</v>
      </c>
      <c r="D27" s="20">
        <v>0</v>
      </c>
      <c r="E27" s="55">
        <v>0</v>
      </c>
      <c r="F27" s="68">
        <f t="shared" si="0"/>
        <v>0</v>
      </c>
      <c r="G27" s="40">
        <v>0</v>
      </c>
      <c r="H27" s="20">
        <v>0</v>
      </c>
      <c r="I27" s="20">
        <v>7391</v>
      </c>
      <c r="J27" s="20">
        <v>0</v>
      </c>
      <c r="K27" s="20">
        <v>0</v>
      </c>
      <c r="L27" s="20">
        <v>2569</v>
      </c>
      <c r="M27" s="21">
        <v>0</v>
      </c>
      <c r="N27" s="21">
        <f t="shared" si="1"/>
        <v>9960</v>
      </c>
      <c r="O27" s="21">
        <f t="shared" si="2"/>
        <v>9960</v>
      </c>
    </row>
    <row r="28" spans="1:15">
      <c r="A28" s="1" t="s">
        <v>28</v>
      </c>
      <c r="B28" s="75" t="s">
        <v>39</v>
      </c>
      <c r="C28" s="40">
        <v>0</v>
      </c>
      <c r="D28" s="20">
        <v>0</v>
      </c>
      <c r="E28" s="55">
        <v>10192</v>
      </c>
      <c r="F28" s="68">
        <f t="shared" si="0"/>
        <v>10192</v>
      </c>
      <c r="G28" s="4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1">
        <v>0</v>
      </c>
      <c r="N28" s="21">
        <f t="shared" si="1"/>
        <v>0</v>
      </c>
      <c r="O28" s="21">
        <f t="shared" si="2"/>
        <v>10192</v>
      </c>
    </row>
    <row r="29" spans="1:15">
      <c r="A29" s="1" t="s">
        <v>28</v>
      </c>
      <c r="B29" s="76" t="s">
        <v>40</v>
      </c>
      <c r="C29" s="41">
        <v>1662</v>
      </c>
      <c r="D29" s="12">
        <v>0</v>
      </c>
      <c r="E29" s="56">
        <v>0</v>
      </c>
      <c r="F29" s="69">
        <f t="shared" si="0"/>
        <v>1662</v>
      </c>
      <c r="G29" s="41">
        <v>8154</v>
      </c>
      <c r="H29" s="12">
        <v>27768</v>
      </c>
      <c r="I29" s="12">
        <v>21406</v>
      </c>
      <c r="J29" s="12">
        <v>4726</v>
      </c>
      <c r="K29" s="12">
        <v>6394</v>
      </c>
      <c r="L29" s="12">
        <v>4192</v>
      </c>
      <c r="M29" s="13">
        <v>4454</v>
      </c>
      <c r="N29" s="13">
        <f t="shared" si="1"/>
        <v>77094</v>
      </c>
      <c r="O29" s="13">
        <f t="shared" si="2"/>
        <v>78756</v>
      </c>
    </row>
    <row r="30" spans="1:15">
      <c r="A30" s="1" t="s">
        <v>28</v>
      </c>
      <c r="B30" s="77" t="s">
        <v>51</v>
      </c>
      <c r="C30" s="42">
        <v>371662</v>
      </c>
      <c r="D30" s="16">
        <v>360000</v>
      </c>
      <c r="E30" s="57">
        <v>236837</v>
      </c>
      <c r="F30" s="70">
        <f t="shared" si="0"/>
        <v>968499</v>
      </c>
      <c r="G30" s="42">
        <v>351464</v>
      </c>
      <c r="H30" s="16">
        <v>352244</v>
      </c>
      <c r="I30" s="16">
        <v>343633</v>
      </c>
      <c r="J30" s="16">
        <v>326453</v>
      </c>
      <c r="K30" s="16">
        <v>320843</v>
      </c>
      <c r="L30" s="16">
        <v>256961</v>
      </c>
      <c r="M30" s="17">
        <v>286675</v>
      </c>
      <c r="N30" s="17">
        <f t="shared" si="1"/>
        <v>2238273</v>
      </c>
      <c r="O30" s="17">
        <f t="shared" si="2"/>
        <v>3206772</v>
      </c>
    </row>
    <row r="31" spans="1:15">
      <c r="A31" s="1" t="s">
        <v>28</v>
      </c>
      <c r="B31" s="78" t="s">
        <v>52</v>
      </c>
      <c r="C31" s="28">
        <v>6668</v>
      </c>
      <c r="D31" s="18">
        <v>16414</v>
      </c>
      <c r="E31" s="54">
        <v>565</v>
      </c>
      <c r="F31" s="67">
        <f t="shared" si="0"/>
        <v>23647</v>
      </c>
      <c r="G31" s="28">
        <v>9618</v>
      </c>
      <c r="H31" s="18">
        <v>2668</v>
      </c>
      <c r="I31" s="18">
        <v>2463</v>
      </c>
      <c r="J31" s="18">
        <v>7387</v>
      </c>
      <c r="K31" s="18">
        <v>1129</v>
      </c>
      <c r="L31" s="18">
        <v>5899</v>
      </c>
      <c r="M31" s="19">
        <v>8977</v>
      </c>
      <c r="N31" s="19">
        <f t="shared" si="1"/>
        <v>38141</v>
      </c>
      <c r="O31" s="19">
        <f t="shared" si="2"/>
        <v>61788</v>
      </c>
    </row>
    <row r="32" spans="1:15">
      <c r="A32" s="1" t="s">
        <v>28</v>
      </c>
      <c r="B32" s="76" t="s">
        <v>53</v>
      </c>
      <c r="C32" s="41">
        <v>6668</v>
      </c>
      <c r="D32" s="12">
        <v>16414</v>
      </c>
      <c r="E32" s="56">
        <v>565</v>
      </c>
      <c r="F32" s="69">
        <f t="shared" si="0"/>
        <v>23647</v>
      </c>
      <c r="G32" s="41">
        <v>9618</v>
      </c>
      <c r="H32" s="12">
        <v>2668</v>
      </c>
      <c r="I32" s="12">
        <v>2463</v>
      </c>
      <c r="J32" s="12">
        <v>7387</v>
      </c>
      <c r="K32" s="12">
        <v>1129</v>
      </c>
      <c r="L32" s="12">
        <v>5899</v>
      </c>
      <c r="M32" s="13">
        <v>8977</v>
      </c>
      <c r="N32" s="13">
        <f t="shared" si="1"/>
        <v>38141</v>
      </c>
      <c r="O32" s="13">
        <f t="shared" si="2"/>
        <v>61788</v>
      </c>
    </row>
    <row r="33" spans="1:15">
      <c r="A33" s="1" t="s">
        <v>28</v>
      </c>
      <c r="B33" s="77" t="s">
        <v>54</v>
      </c>
      <c r="C33" s="42">
        <v>378330</v>
      </c>
      <c r="D33" s="16">
        <v>376414</v>
      </c>
      <c r="E33" s="57">
        <v>237402</v>
      </c>
      <c r="F33" s="70">
        <f t="shared" si="0"/>
        <v>992146</v>
      </c>
      <c r="G33" s="42">
        <v>361082</v>
      </c>
      <c r="H33" s="16">
        <v>354912</v>
      </c>
      <c r="I33" s="16">
        <v>346096</v>
      </c>
      <c r="J33" s="16">
        <v>333840</v>
      </c>
      <c r="K33" s="16">
        <v>321972</v>
      </c>
      <c r="L33" s="16">
        <v>262860</v>
      </c>
      <c r="M33" s="17">
        <v>295652</v>
      </c>
      <c r="N33" s="17">
        <f t="shared" si="1"/>
        <v>2276414</v>
      </c>
      <c r="O33" s="17">
        <f t="shared" si="2"/>
        <v>3268560</v>
      </c>
    </row>
    <row r="34" spans="1:15">
      <c r="A34" s="1" t="s">
        <v>28</v>
      </c>
      <c r="B34" s="78" t="s">
        <v>55</v>
      </c>
      <c r="C34" s="28">
        <v>19380</v>
      </c>
      <c r="D34" s="18">
        <v>19380</v>
      </c>
      <c r="E34" s="54">
        <v>11220</v>
      </c>
      <c r="F34" s="67">
        <f t="shared" si="0"/>
        <v>49980</v>
      </c>
      <c r="G34" s="28">
        <v>18360</v>
      </c>
      <c r="H34" s="18">
        <v>15300</v>
      </c>
      <c r="I34" s="18">
        <v>16320</v>
      </c>
      <c r="J34" s="18">
        <v>15300</v>
      </c>
      <c r="K34" s="18">
        <v>17340</v>
      </c>
      <c r="L34" s="18">
        <v>13260</v>
      </c>
      <c r="M34" s="19">
        <v>13260</v>
      </c>
      <c r="N34" s="19">
        <f t="shared" si="1"/>
        <v>109140</v>
      </c>
      <c r="O34" s="19">
        <f t="shared" si="2"/>
        <v>159120</v>
      </c>
    </row>
    <row r="35" spans="1:15">
      <c r="A35" s="1" t="s">
        <v>28</v>
      </c>
      <c r="B35" s="75" t="s">
        <v>56</v>
      </c>
      <c r="C35" s="40">
        <v>3420</v>
      </c>
      <c r="D35" s="20">
        <v>3420</v>
      </c>
      <c r="E35" s="55">
        <v>0</v>
      </c>
      <c r="F35" s="68">
        <f t="shared" si="0"/>
        <v>6840</v>
      </c>
      <c r="G35" s="40">
        <v>3240</v>
      </c>
      <c r="H35" s="20">
        <v>2700</v>
      </c>
      <c r="I35" s="20">
        <v>2880</v>
      </c>
      <c r="J35" s="20">
        <v>2700</v>
      </c>
      <c r="K35" s="20">
        <v>3060</v>
      </c>
      <c r="L35" s="20">
        <v>2340</v>
      </c>
      <c r="M35" s="21">
        <v>2340</v>
      </c>
      <c r="N35" s="21">
        <f t="shared" si="1"/>
        <v>19260</v>
      </c>
      <c r="O35" s="21">
        <f t="shared" si="2"/>
        <v>26100</v>
      </c>
    </row>
    <row r="36" spans="1:15">
      <c r="A36" s="1" t="s">
        <v>28</v>
      </c>
      <c r="B36" s="75" t="s">
        <v>57</v>
      </c>
      <c r="C36" s="40">
        <v>34770</v>
      </c>
      <c r="D36" s="20">
        <v>34770</v>
      </c>
      <c r="E36" s="55">
        <v>20130</v>
      </c>
      <c r="F36" s="68">
        <f t="shared" si="0"/>
        <v>89670</v>
      </c>
      <c r="G36" s="40">
        <v>32940</v>
      </c>
      <c r="H36" s="20">
        <v>27450</v>
      </c>
      <c r="I36" s="20">
        <v>29280</v>
      </c>
      <c r="J36" s="20">
        <v>27450</v>
      </c>
      <c r="K36" s="20">
        <v>31110</v>
      </c>
      <c r="L36" s="20">
        <v>23790</v>
      </c>
      <c r="M36" s="21">
        <v>23790</v>
      </c>
      <c r="N36" s="21">
        <f t="shared" si="1"/>
        <v>195810</v>
      </c>
      <c r="O36" s="21">
        <f t="shared" si="2"/>
        <v>285480</v>
      </c>
    </row>
    <row r="37" spans="1:15">
      <c r="A37" s="1" t="s">
        <v>28</v>
      </c>
      <c r="B37" s="76" t="s">
        <v>58</v>
      </c>
      <c r="C37" s="41">
        <v>2270</v>
      </c>
      <c r="D37" s="12">
        <v>2258</v>
      </c>
      <c r="E37" s="56">
        <v>1424</v>
      </c>
      <c r="F37" s="69">
        <f t="shared" si="0"/>
        <v>5952</v>
      </c>
      <c r="G37" s="41">
        <v>2166</v>
      </c>
      <c r="H37" s="12">
        <v>2129</v>
      </c>
      <c r="I37" s="12">
        <v>2077</v>
      </c>
      <c r="J37" s="12">
        <v>2003</v>
      </c>
      <c r="K37" s="12">
        <v>1932</v>
      </c>
      <c r="L37" s="12">
        <v>1577</v>
      </c>
      <c r="M37" s="13">
        <v>1774</v>
      </c>
      <c r="N37" s="13">
        <f t="shared" si="1"/>
        <v>13658</v>
      </c>
      <c r="O37" s="13">
        <f t="shared" si="2"/>
        <v>19610</v>
      </c>
    </row>
    <row r="38" spans="1:15">
      <c r="A38" s="1" t="s">
        <v>28</v>
      </c>
      <c r="B38" s="77" t="s">
        <v>59</v>
      </c>
      <c r="C38" s="42">
        <v>59840</v>
      </c>
      <c r="D38" s="16">
        <v>59828</v>
      </c>
      <c r="E38" s="57">
        <v>32774</v>
      </c>
      <c r="F38" s="70">
        <f t="shared" si="0"/>
        <v>152442</v>
      </c>
      <c r="G38" s="42">
        <v>56706</v>
      </c>
      <c r="H38" s="16">
        <v>47579</v>
      </c>
      <c r="I38" s="16">
        <v>50557</v>
      </c>
      <c r="J38" s="16">
        <v>47453</v>
      </c>
      <c r="K38" s="16">
        <v>53442</v>
      </c>
      <c r="L38" s="16">
        <v>40967</v>
      </c>
      <c r="M38" s="17">
        <v>41164</v>
      </c>
      <c r="N38" s="17">
        <f t="shared" si="1"/>
        <v>337868</v>
      </c>
      <c r="O38" s="17">
        <f t="shared" si="2"/>
        <v>490310</v>
      </c>
    </row>
    <row r="39" spans="1:15">
      <c r="A39" s="1" t="s">
        <v>28</v>
      </c>
      <c r="B39" s="78" t="s">
        <v>60</v>
      </c>
      <c r="C39" s="28">
        <v>9350</v>
      </c>
      <c r="D39" s="18">
        <v>8390</v>
      </c>
      <c r="E39" s="54">
        <v>4910</v>
      </c>
      <c r="F39" s="67">
        <f t="shared" si="0"/>
        <v>22650</v>
      </c>
      <c r="G39" s="28">
        <v>3300</v>
      </c>
      <c r="H39" s="18">
        <v>5300</v>
      </c>
      <c r="I39" s="18">
        <v>8090</v>
      </c>
      <c r="J39" s="18">
        <v>7590</v>
      </c>
      <c r="K39" s="18">
        <v>5560</v>
      </c>
      <c r="L39" s="18">
        <v>3720</v>
      </c>
      <c r="M39" s="19">
        <v>6390</v>
      </c>
      <c r="N39" s="19">
        <f t="shared" si="1"/>
        <v>39950</v>
      </c>
      <c r="O39" s="19">
        <f t="shared" si="2"/>
        <v>62600</v>
      </c>
    </row>
    <row r="40" spans="1:15">
      <c r="A40" s="1" t="s">
        <v>28</v>
      </c>
      <c r="B40" s="76" t="s">
        <v>61</v>
      </c>
      <c r="C40" s="41">
        <v>19600</v>
      </c>
      <c r="D40" s="12">
        <v>20400</v>
      </c>
      <c r="E40" s="56">
        <v>8400</v>
      </c>
      <c r="F40" s="69">
        <f t="shared" si="0"/>
        <v>48400</v>
      </c>
      <c r="G40" s="41">
        <v>2900</v>
      </c>
      <c r="H40" s="12">
        <v>9400</v>
      </c>
      <c r="I40" s="12">
        <v>11000</v>
      </c>
      <c r="J40" s="12">
        <v>10500</v>
      </c>
      <c r="K40" s="12">
        <v>6800</v>
      </c>
      <c r="L40" s="12">
        <v>0</v>
      </c>
      <c r="M40" s="13">
        <v>0</v>
      </c>
      <c r="N40" s="13">
        <f t="shared" si="1"/>
        <v>40600</v>
      </c>
      <c r="O40" s="13">
        <f t="shared" si="2"/>
        <v>89000</v>
      </c>
    </row>
    <row r="41" spans="1:15">
      <c r="A41" s="1" t="s">
        <v>28</v>
      </c>
      <c r="B41" s="77" t="s">
        <v>62</v>
      </c>
      <c r="C41" s="42">
        <v>88790</v>
      </c>
      <c r="D41" s="16">
        <v>88618</v>
      </c>
      <c r="E41" s="57">
        <v>46084</v>
      </c>
      <c r="F41" s="70">
        <f t="shared" si="0"/>
        <v>223492</v>
      </c>
      <c r="G41" s="42">
        <v>62906</v>
      </c>
      <c r="H41" s="16">
        <v>62279</v>
      </c>
      <c r="I41" s="16">
        <v>69647</v>
      </c>
      <c r="J41" s="16">
        <v>65543</v>
      </c>
      <c r="K41" s="16">
        <v>65802</v>
      </c>
      <c r="L41" s="16">
        <v>44687</v>
      </c>
      <c r="M41" s="17">
        <v>47554</v>
      </c>
      <c r="N41" s="17">
        <f t="shared" si="1"/>
        <v>418418</v>
      </c>
      <c r="O41" s="17">
        <f t="shared" si="2"/>
        <v>641910</v>
      </c>
    </row>
    <row r="42" spans="1:15">
      <c r="A42" s="1" t="s">
        <v>28</v>
      </c>
      <c r="B42" s="77" t="s">
        <v>63</v>
      </c>
      <c r="C42" s="42">
        <v>311822</v>
      </c>
      <c r="D42" s="16">
        <v>300172</v>
      </c>
      <c r="E42" s="57">
        <v>204063</v>
      </c>
      <c r="F42" s="70">
        <f t="shared" si="0"/>
        <v>816057</v>
      </c>
      <c r="G42" s="42">
        <v>294758</v>
      </c>
      <c r="H42" s="16">
        <v>304665</v>
      </c>
      <c r="I42" s="16">
        <v>293076</v>
      </c>
      <c r="J42" s="16">
        <v>279000</v>
      </c>
      <c r="K42" s="16">
        <v>267401</v>
      </c>
      <c r="L42" s="16">
        <v>215994</v>
      </c>
      <c r="M42" s="17">
        <v>245511</v>
      </c>
      <c r="N42" s="17">
        <f t="shared" si="1"/>
        <v>1900405</v>
      </c>
      <c r="O42" s="17">
        <f t="shared" si="2"/>
        <v>2716462</v>
      </c>
    </row>
    <row r="43" spans="1:15">
      <c r="A43" s="1" t="s">
        <v>28</v>
      </c>
      <c r="B43" s="77" t="s">
        <v>64</v>
      </c>
      <c r="C43" s="42">
        <v>289540</v>
      </c>
      <c r="D43" s="16">
        <v>287796</v>
      </c>
      <c r="E43" s="57">
        <v>191318</v>
      </c>
      <c r="F43" s="70">
        <f t="shared" si="0"/>
        <v>768654</v>
      </c>
      <c r="G43" s="42">
        <v>298176</v>
      </c>
      <c r="H43" s="16">
        <v>292633</v>
      </c>
      <c r="I43" s="16">
        <v>276449</v>
      </c>
      <c r="J43" s="16">
        <v>268297</v>
      </c>
      <c r="K43" s="16">
        <v>256170</v>
      </c>
      <c r="L43" s="16">
        <v>218173</v>
      </c>
      <c r="M43" s="17">
        <v>248098</v>
      </c>
      <c r="N43" s="17">
        <f t="shared" si="1"/>
        <v>1857996</v>
      </c>
      <c r="O43" s="17">
        <f t="shared" si="2"/>
        <v>2626650</v>
      </c>
    </row>
    <row r="44" spans="1:15">
      <c r="A44" s="1" t="s">
        <v>28</v>
      </c>
      <c r="B44" s="77" t="s">
        <v>65</v>
      </c>
      <c r="C44" s="42">
        <v>289540</v>
      </c>
      <c r="D44" s="16">
        <v>287796</v>
      </c>
      <c r="E44" s="57">
        <v>191318</v>
      </c>
      <c r="F44" s="70">
        <f t="shared" si="0"/>
        <v>768654</v>
      </c>
      <c r="G44" s="42">
        <v>298176</v>
      </c>
      <c r="H44" s="16">
        <v>292633</v>
      </c>
      <c r="I44" s="16">
        <v>276449</v>
      </c>
      <c r="J44" s="16">
        <v>268297</v>
      </c>
      <c r="K44" s="16">
        <v>256170</v>
      </c>
      <c r="L44" s="16">
        <v>218173</v>
      </c>
      <c r="M44" s="17">
        <v>248098</v>
      </c>
      <c r="N44" s="17">
        <f t="shared" si="1"/>
        <v>1857996</v>
      </c>
      <c r="O44" s="17">
        <f t="shared" si="2"/>
        <v>2626650</v>
      </c>
    </row>
    <row r="45" spans="1:15">
      <c r="A45" s="1" t="s">
        <v>28</v>
      </c>
      <c r="B45" s="77" t="s">
        <v>66</v>
      </c>
      <c r="C45" s="42">
        <v>0</v>
      </c>
      <c r="D45" s="16">
        <v>0</v>
      </c>
      <c r="E45" s="57">
        <v>0</v>
      </c>
      <c r="F45" s="70"/>
      <c r="G45" s="42">
        <v>3</v>
      </c>
      <c r="H45" s="16">
        <v>2</v>
      </c>
      <c r="I45" s="16">
        <v>0</v>
      </c>
      <c r="J45" s="16">
        <v>0</v>
      </c>
      <c r="K45" s="16">
        <v>1</v>
      </c>
      <c r="L45" s="16">
        <v>1</v>
      </c>
      <c r="M45" s="17">
        <v>0</v>
      </c>
      <c r="N45" s="17"/>
      <c r="O45" s="17"/>
    </row>
    <row r="46" spans="1:15">
      <c r="A46" s="1" t="s">
        <v>28</v>
      </c>
      <c r="B46" s="77" t="s">
        <v>67</v>
      </c>
      <c r="C46" s="43" t="s">
        <v>68</v>
      </c>
      <c r="D46" s="31" t="s">
        <v>68</v>
      </c>
      <c r="E46" s="58" t="s">
        <v>68</v>
      </c>
      <c r="F46" s="71"/>
      <c r="G46" s="43" t="s">
        <v>68</v>
      </c>
      <c r="H46" s="31" t="s">
        <v>68</v>
      </c>
      <c r="I46" s="31" t="s">
        <v>68</v>
      </c>
      <c r="J46" s="31" t="s">
        <v>68</v>
      </c>
      <c r="K46" s="31" t="s">
        <v>68</v>
      </c>
      <c r="L46" s="31" t="s">
        <v>68</v>
      </c>
      <c r="M46" s="32" t="s">
        <v>68</v>
      </c>
      <c r="N46" s="32"/>
      <c r="O46" s="32"/>
    </row>
    <row r="47" spans="1:15" ht="19.5" thickBot="1">
      <c r="A47" s="1" t="s">
        <v>28</v>
      </c>
      <c r="B47" s="79" t="s">
        <v>69</v>
      </c>
      <c r="C47" s="44">
        <v>9350</v>
      </c>
      <c r="D47" s="29">
        <v>8390</v>
      </c>
      <c r="E47" s="59">
        <v>4910</v>
      </c>
      <c r="F47" s="5">
        <f t="shared" si="0"/>
        <v>22650</v>
      </c>
      <c r="G47" s="44">
        <v>3300</v>
      </c>
      <c r="H47" s="29">
        <v>5300</v>
      </c>
      <c r="I47" s="29">
        <v>8090</v>
      </c>
      <c r="J47" s="29">
        <v>7590</v>
      </c>
      <c r="K47" s="29">
        <v>5560</v>
      </c>
      <c r="L47" s="29">
        <v>3720</v>
      </c>
      <c r="M47" s="30">
        <v>6390</v>
      </c>
      <c r="N47" s="30">
        <f t="shared" si="1"/>
        <v>39950</v>
      </c>
      <c r="O47" s="30">
        <f t="shared" si="2"/>
        <v>62600</v>
      </c>
    </row>
  </sheetData>
  <phoneticPr fontId="4"/>
  <pageMargins left="0.31496062992125984" right="0.31496062992125984" top="0.35433070866141736" bottom="0.35433070866141736" header="0.11811023622047245" footer="0.19685039370078741"/>
  <pageSetup paperSize="12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2025-04-04T01:49:49Z</dcterms:created>
  <dcterms:modified xsi:type="dcterms:W3CDTF">2025-10-06T00:00:34Z</dcterms:modified>
  <cp:category/>
  <cp:contentStatus/>
</cp:coreProperties>
</file>