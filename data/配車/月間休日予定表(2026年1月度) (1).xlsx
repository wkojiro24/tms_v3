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akamatsu\若林運送 Dropbox\電帳法以外\F.配車（営業本部）\小名浜営業所\【小名浜】配車_2025年度\【小名浜】勤務予定表関連_2025年度\"/>
    </mc:Choice>
  </mc:AlternateContent>
  <xr:revisionPtr revIDLastSave="0" documentId="13_ncr:1_{CA0B8E48-BB67-4B39-9864-249DE202B16D}" xr6:coauthVersionLast="47" xr6:coauthVersionMax="47" xr10:uidLastSave="{00000000-0000-0000-0000-000000000000}"/>
  <bookViews>
    <workbookView xWindow="-90" yWindow="0" windowWidth="6710" windowHeight="11370" xr2:uid="{00000000-000D-0000-FFFF-FFFF00000000}"/>
  </bookViews>
  <sheets>
    <sheet name="月間 " sheetId="19" r:id="rId1"/>
    <sheet name="３月月間(乗務員用）" sheetId="21" state="hidden" r:id="rId2"/>
    <sheet name="マスタ" sheetId="12" r:id="rId3"/>
    <sheet name="Sheet2" sheetId="20" r:id="rId4"/>
  </sheets>
  <definedNames>
    <definedName name="_xlnm._FilterDatabase" localSheetId="3" hidden="1">Sheet2!$A$1:$K$28</definedName>
    <definedName name="_xlnm._FilterDatabase" localSheetId="0" hidden="1">'月間 '!$A$18:$AP$53</definedName>
    <definedName name="_xlnm.Print_Area" localSheetId="0">'月間 '!$A$1:$AM$53</definedName>
    <definedName name="ツ">'月間 '!$X$21</definedName>
    <definedName name="祝日リスト">マスタ!$C$5:$C$25</definedName>
    <definedName name="津">'月間 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" i="19" l="1"/>
  <c r="AK43" i="19"/>
  <c r="AJ43" i="19" s="1"/>
  <c r="D9" i="19"/>
  <c r="D10" i="19" s="1"/>
  <c r="AK29" i="19"/>
  <c r="AJ29" i="19" s="1"/>
  <c r="AK15" i="19"/>
  <c r="AJ15" i="19" s="1"/>
  <c r="AK25" i="19" l="1"/>
  <c r="AJ25" i="19" s="1"/>
  <c r="AK42" i="19"/>
  <c r="AJ42" i="19" s="1"/>
  <c r="AK27" i="19"/>
  <c r="AJ27" i="19" s="1"/>
  <c r="AK26" i="19"/>
  <c r="AK28" i="19"/>
  <c r="AJ28" i="19" s="1"/>
  <c r="AM37" i="19"/>
  <c r="AK37" i="19"/>
  <c r="AJ37" i="19" s="1"/>
  <c r="AL37" i="19" l="1"/>
  <c r="AK13" i="19"/>
  <c r="AK12" i="19"/>
  <c r="AK11" i="19"/>
  <c r="AM34" i="19" l="1"/>
  <c r="AK34" i="19"/>
  <c r="AJ34" i="19" s="1"/>
  <c r="AL34" i="19" l="1"/>
  <c r="AK51" i="19"/>
  <c r="AJ51" i="19" s="1"/>
  <c r="AK50" i="19"/>
  <c r="AJ50" i="19" s="1"/>
  <c r="E9" i="19"/>
  <c r="E10" i="19" s="1"/>
  <c r="F9" i="19" l="1"/>
  <c r="AK52" i="19"/>
  <c r="AK49" i="19"/>
  <c r="AK48" i="19"/>
  <c r="AK47" i="19"/>
  <c r="AK46" i="19"/>
  <c r="AK45" i="19"/>
  <c r="AJ45" i="19" s="1"/>
  <c r="AK44" i="19"/>
  <c r="AK40" i="19"/>
  <c r="AK39" i="19"/>
  <c r="AK38" i="19"/>
  <c r="AK36" i="19"/>
  <c r="AK35" i="19"/>
  <c r="AK33" i="19"/>
  <c r="AJ33" i="19" s="1"/>
  <c r="AK32" i="19"/>
  <c r="AK31" i="19"/>
  <c r="AK30" i="19"/>
  <c r="AJ11" i="19"/>
  <c r="AK41" i="19"/>
  <c r="AJ26" i="19"/>
  <c r="AK24" i="19"/>
  <c r="AK23" i="19"/>
  <c r="AK22" i="19"/>
  <c r="AK21" i="19"/>
  <c r="AK20" i="19"/>
  <c r="AK19" i="19"/>
  <c r="AK18" i="19"/>
  <c r="AK16" i="19"/>
  <c r="AJ16" i="19" s="1"/>
  <c r="AK14" i="19"/>
  <c r="AM11" i="19"/>
  <c r="G9" i="19" l="1"/>
  <c r="F10" i="19"/>
  <c r="AL11" i="19"/>
  <c r="AM40" i="19"/>
  <c r="AM39" i="19"/>
  <c r="AM38" i="19"/>
  <c r="AM36" i="19"/>
  <c r="AM35" i="19"/>
  <c r="AM33" i="19"/>
  <c r="AL33" i="19" s="1"/>
  <c r="AM32" i="19"/>
  <c r="AM31" i="19"/>
  <c r="AM30" i="19"/>
  <c r="AM13" i="19"/>
  <c r="AM12" i="19"/>
  <c r="AM38" i="21"/>
  <c r="AL38" i="21" s="1"/>
  <c r="AM37" i="21"/>
  <c r="AL37" i="21" s="1"/>
  <c r="AM36" i="21"/>
  <c r="AL36" i="21" s="1"/>
  <c r="AM35" i="21"/>
  <c r="AL35" i="21" s="1"/>
  <c r="AM34" i="21"/>
  <c r="AL34" i="21" s="1"/>
  <c r="AM33" i="21"/>
  <c r="AL33" i="21" s="1"/>
  <c r="AM32" i="21"/>
  <c r="AL32" i="21" s="1"/>
  <c r="H9" i="19" l="1"/>
  <c r="G10" i="19"/>
  <c r="E1" i="21"/>
  <c r="H10" i="19" l="1"/>
  <c r="I9" i="19"/>
  <c r="J9" i="19" s="1"/>
  <c r="Q28" i="21"/>
  <c r="AG11" i="21"/>
  <c r="AD16" i="21"/>
  <c r="AD15" i="21"/>
  <c r="S11" i="21"/>
  <c r="X11" i="21"/>
  <c r="R22" i="21"/>
  <c r="Q22" i="21"/>
  <c r="P22" i="21"/>
  <c r="K16" i="21"/>
  <c r="J16" i="21"/>
  <c r="I16" i="21"/>
  <c r="P16" i="21"/>
  <c r="U1" i="21"/>
  <c r="K21" i="21"/>
  <c r="J21" i="21"/>
  <c r="AB29" i="21"/>
  <c r="J10" i="19" l="1"/>
  <c r="K9" i="19"/>
  <c r="I10" i="19"/>
  <c r="AI29" i="21"/>
  <c r="AI28" i="21"/>
  <c r="AI27" i="21"/>
  <c r="AI26" i="21"/>
  <c r="AI25" i="21"/>
  <c r="AI24" i="21"/>
  <c r="AI23" i="21"/>
  <c r="AI22" i="21"/>
  <c r="AI21" i="21"/>
  <c r="AI20" i="21"/>
  <c r="AI19" i="21"/>
  <c r="AI18" i="21"/>
  <c r="AI17" i="21"/>
  <c r="AI16" i="21"/>
  <c r="AI15" i="21"/>
  <c r="AI14" i="21"/>
  <c r="AI13" i="21"/>
  <c r="AI12" i="21"/>
  <c r="AI11" i="21"/>
  <c r="J30" i="21"/>
  <c r="I1" i="21"/>
  <c r="AI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1" i="21"/>
  <c r="K31" i="21"/>
  <c r="J31" i="21"/>
  <c r="I31" i="21"/>
  <c r="H31" i="21"/>
  <c r="G31" i="21"/>
  <c r="F31" i="21"/>
  <c r="E31" i="21"/>
  <c r="D31" i="21"/>
  <c r="L30" i="21"/>
  <c r="K30" i="21"/>
  <c r="I30" i="21"/>
  <c r="H30" i="21"/>
  <c r="G30" i="21"/>
  <c r="F30" i="21"/>
  <c r="E30" i="21"/>
  <c r="D30" i="21"/>
  <c r="L9" i="19" l="1"/>
  <c r="K10" i="19"/>
  <c r="AM30" i="21"/>
  <c r="AM31" i="21"/>
  <c r="S28" i="21"/>
  <c r="AA27" i="21"/>
  <c r="AK31" i="21"/>
  <c r="AK30" i="21"/>
  <c r="AJ24" i="19"/>
  <c r="D26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T11" i="21"/>
  <c r="U11" i="21"/>
  <c r="V11" i="21"/>
  <c r="W11" i="21"/>
  <c r="Y11" i="21"/>
  <c r="Z11" i="21"/>
  <c r="AA11" i="21"/>
  <c r="AB11" i="21"/>
  <c r="AC11" i="21"/>
  <c r="AD11" i="21"/>
  <c r="AE11" i="21"/>
  <c r="AF11" i="21"/>
  <c r="AH11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E15" i="21"/>
  <c r="AF15" i="21"/>
  <c r="AG15" i="21"/>
  <c r="AH15" i="21"/>
  <c r="E16" i="21"/>
  <c r="F16" i="21"/>
  <c r="G16" i="21"/>
  <c r="H16" i="21"/>
  <c r="L16" i="21"/>
  <c r="M16" i="21"/>
  <c r="N16" i="21"/>
  <c r="O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E16" i="21"/>
  <c r="AF16" i="21"/>
  <c r="AG16" i="21"/>
  <c r="AH16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E21" i="21"/>
  <c r="F21" i="21"/>
  <c r="G21" i="21"/>
  <c r="H21" i="21"/>
  <c r="I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E22" i="21"/>
  <c r="F22" i="21"/>
  <c r="G22" i="21"/>
  <c r="H22" i="21"/>
  <c r="I22" i="21"/>
  <c r="J22" i="21"/>
  <c r="K22" i="21"/>
  <c r="L22" i="21"/>
  <c r="M22" i="21"/>
  <c r="N22" i="21"/>
  <c r="O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B27" i="21"/>
  <c r="AC27" i="21"/>
  <c r="AD27" i="21"/>
  <c r="AE27" i="21"/>
  <c r="AF27" i="21"/>
  <c r="AG27" i="21"/>
  <c r="AH27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R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C29" i="21"/>
  <c r="AD29" i="21"/>
  <c r="AE29" i="21"/>
  <c r="AF29" i="21"/>
  <c r="AG29" i="21"/>
  <c r="AH29" i="21"/>
  <c r="D27" i="21"/>
  <c r="D28" i="21"/>
  <c r="D29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11" i="21"/>
  <c r="D9" i="21"/>
  <c r="AJ49" i="19"/>
  <c r="AJ48" i="19"/>
  <c r="AJ46" i="19"/>
  <c r="AJ44" i="19"/>
  <c r="AJ41" i="19"/>
  <c r="L10" i="19" l="1"/>
  <c r="M9" i="19"/>
  <c r="AM13" i="21"/>
  <c r="AM14" i="21"/>
  <c r="AM11" i="21"/>
  <c r="AM12" i="21"/>
  <c r="E9" i="21"/>
  <c r="E10" i="21" s="1"/>
  <c r="D10" i="21"/>
  <c r="AK19" i="21"/>
  <c r="AJ19" i="21" s="1"/>
  <c r="AK23" i="21"/>
  <c r="AJ23" i="21" s="1"/>
  <c r="AK13" i="21"/>
  <c r="AJ13" i="21" s="1"/>
  <c r="AK15" i="21"/>
  <c r="AJ15" i="21" s="1"/>
  <c r="AK28" i="21"/>
  <c r="AJ28" i="21" s="1"/>
  <c r="AK24" i="21"/>
  <c r="AJ24" i="21" s="1"/>
  <c r="AK27" i="21"/>
  <c r="AJ27" i="21" s="1"/>
  <c r="AK29" i="21"/>
  <c r="AJ29" i="21" s="1"/>
  <c r="AK12" i="21"/>
  <c r="AJ12" i="21" s="1"/>
  <c r="AK26" i="21"/>
  <c r="AJ26" i="21" s="1"/>
  <c r="AK11" i="21"/>
  <c r="AJ11" i="21" s="1"/>
  <c r="AK25" i="21"/>
  <c r="AJ25" i="21" s="1"/>
  <c r="AK22" i="21"/>
  <c r="AJ22" i="21" s="1"/>
  <c r="AK20" i="21"/>
  <c r="AJ20" i="21" s="1"/>
  <c r="AK18" i="21"/>
  <c r="AJ18" i="21" s="1"/>
  <c r="AK17" i="21"/>
  <c r="AJ17" i="21" s="1"/>
  <c r="AK16" i="21"/>
  <c r="AJ16" i="21" s="1"/>
  <c r="AK21" i="21"/>
  <c r="AJ21" i="21" s="1"/>
  <c r="AK14" i="21"/>
  <c r="AJ14" i="21" s="1"/>
  <c r="M10" i="19" l="1"/>
  <c r="N9" i="19"/>
  <c r="AL14" i="21"/>
  <c r="AL12" i="21"/>
  <c r="AL13" i="21"/>
  <c r="F9" i="21"/>
  <c r="F10" i="21" s="1"/>
  <c r="AL11" i="21"/>
  <c r="AJ30" i="21"/>
  <c r="AL30" i="21" s="1"/>
  <c r="AJ31" i="21"/>
  <c r="AL31" i="21" s="1"/>
  <c r="O9" i="19" l="1"/>
  <c r="N10" i="19"/>
  <c r="G9" i="21"/>
  <c r="G10" i="21" s="1"/>
  <c r="AJ38" i="19"/>
  <c r="AL38" i="19" s="1"/>
  <c r="AJ30" i="19"/>
  <c r="AL30" i="19" s="1"/>
  <c r="AJ35" i="19"/>
  <c r="AL35" i="19" s="1"/>
  <c r="AJ40" i="19"/>
  <c r="AL40" i="19" s="1"/>
  <c r="AJ23" i="19"/>
  <c r="AJ36" i="19"/>
  <c r="AL36" i="19" s="1"/>
  <c r="AJ39" i="19"/>
  <c r="AL39" i="19" s="1"/>
  <c r="AJ18" i="19"/>
  <c r="AJ19" i="19"/>
  <c r="AJ21" i="19"/>
  <c r="AJ22" i="19"/>
  <c r="AJ31" i="19"/>
  <c r="AL31" i="19" s="1"/>
  <c r="AJ20" i="19"/>
  <c r="AJ32" i="19"/>
  <c r="AL32" i="19" s="1"/>
  <c r="O10" i="19" l="1"/>
  <c r="P9" i="19"/>
  <c r="H9" i="21"/>
  <c r="H10" i="21" s="1"/>
  <c r="AJ14" i="19"/>
  <c r="AJ13" i="19"/>
  <c r="AL13" i="19" s="1"/>
  <c r="AJ12" i="19"/>
  <c r="AL12" i="19" s="1"/>
  <c r="P10" i="19" l="1"/>
  <c r="Q9" i="19"/>
  <c r="I9" i="21"/>
  <c r="I10" i="21" s="1"/>
  <c r="Q10" i="19" l="1"/>
  <c r="R9" i="19"/>
  <c r="J9" i="21"/>
  <c r="K9" i="21" s="1"/>
  <c r="K10" i="21" s="1"/>
  <c r="S9" i="19" l="1"/>
  <c r="R10" i="19"/>
  <c r="J10" i="21"/>
  <c r="L9" i="21"/>
  <c r="L10" i="21" s="1"/>
  <c r="S10" i="19" l="1"/>
  <c r="T9" i="19"/>
  <c r="M9" i="21"/>
  <c r="M10" i="21" s="1"/>
  <c r="T10" i="19" l="1"/>
  <c r="N9" i="21"/>
  <c r="N10" i="21" s="1"/>
  <c r="U10" i="19" l="1"/>
  <c r="V9" i="19"/>
  <c r="O9" i="21"/>
  <c r="O10" i="21" s="1"/>
  <c r="V10" i="19" l="1"/>
  <c r="W9" i="19"/>
  <c r="P9" i="21"/>
  <c r="P10" i="21" s="1"/>
  <c r="X9" i="19" l="1"/>
  <c r="W10" i="19"/>
  <c r="Q9" i="21"/>
  <c r="Q10" i="21" s="1"/>
  <c r="X10" i="19" l="1"/>
  <c r="Y9" i="19"/>
  <c r="R9" i="21"/>
  <c r="R10" i="21" s="1"/>
  <c r="Y10" i="19" l="1"/>
  <c r="Z9" i="19"/>
  <c r="S9" i="21"/>
  <c r="S10" i="21" s="1"/>
  <c r="AA9" i="19" l="1"/>
  <c r="Z10" i="19"/>
  <c r="T9" i="21"/>
  <c r="T10" i="21" s="1"/>
  <c r="AB9" i="19" l="1"/>
  <c r="AA10" i="19"/>
  <c r="U9" i="21"/>
  <c r="U10" i="21" s="1"/>
  <c r="AB10" i="19" l="1"/>
  <c r="AC9" i="19"/>
  <c r="V9" i="21"/>
  <c r="V10" i="21" s="1"/>
  <c r="AD9" i="19" l="1"/>
  <c r="AC10" i="19"/>
  <c r="W9" i="21"/>
  <c r="W10" i="21" s="1"/>
  <c r="AD10" i="19" l="1"/>
  <c r="AE9" i="19"/>
  <c r="X9" i="21"/>
  <c r="X10" i="21" s="1"/>
  <c r="AF9" i="19" l="1"/>
  <c r="AE10" i="19"/>
  <c r="Y9" i="21"/>
  <c r="Y10" i="21" s="1"/>
  <c r="AG9" i="19" l="1"/>
  <c r="AF10" i="19"/>
  <c r="Z9" i="21"/>
  <c r="Z10" i="21" s="1"/>
  <c r="AH9" i="19" l="1"/>
  <c r="AH10" i="19" s="1"/>
  <c r="AG10" i="19"/>
  <c r="AA9" i="21"/>
  <c r="AA10" i="21" s="1"/>
  <c r="AB9" i="21" l="1"/>
  <c r="AB10" i="21" s="1"/>
  <c r="AC9" i="21" l="1"/>
  <c r="AC10" i="21" s="1"/>
  <c r="AD9" i="21" l="1"/>
  <c r="AD10" i="21" s="1"/>
  <c r="AE9" i="21" l="1"/>
  <c r="AE10" i="21" s="1"/>
  <c r="AF9" i="21" l="1"/>
  <c r="AF10" i="21" s="1"/>
  <c r="AG9" i="21" l="1"/>
  <c r="AG10" i="21" s="1"/>
  <c r="AH9" i="21" l="1"/>
  <c r="AH10" i="21" s="1"/>
  <c r="AJ52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wakamatsu</author>
  </authors>
  <commentList>
    <comment ref="N27" authorId="0" shapeId="0" xr:uid="{10CB2A59-7222-472B-8E31-393C058390D8}">
      <text>
        <r>
          <rPr>
            <b/>
            <sz val="22"/>
            <color indexed="81"/>
            <rFont val="MS P ゴシック"/>
            <family val="3"/>
            <charset val="128"/>
          </rPr>
          <t>AM終わり希望</t>
        </r>
      </text>
    </comment>
  </commentList>
</comments>
</file>

<file path=xl/sharedStrings.xml><?xml version="1.0" encoding="utf-8"?>
<sst xmlns="http://schemas.openxmlformats.org/spreadsheetml/2006/main" count="447" uniqueCount="180">
  <si>
    <t>松本　誠治</t>
    <rPh sb="0" eb="2">
      <t>マツモト</t>
    </rPh>
    <rPh sb="3" eb="5">
      <t>セイジ</t>
    </rPh>
    <phoneticPr fontId="1"/>
  </si>
  <si>
    <t>苛性</t>
    <rPh sb="0" eb="2">
      <t>カセイ</t>
    </rPh>
    <phoneticPr fontId="1"/>
  </si>
  <si>
    <t>吉田　哲司</t>
    <rPh sb="0" eb="2">
      <t>ヨシダ</t>
    </rPh>
    <rPh sb="3" eb="5">
      <t>テツジ</t>
    </rPh>
    <phoneticPr fontId="1"/>
  </si>
  <si>
    <t>塩酸</t>
    <rPh sb="0" eb="2">
      <t>エンサン</t>
    </rPh>
    <phoneticPr fontId="1"/>
  </si>
  <si>
    <t>氏名</t>
    <rPh sb="0" eb="2">
      <t>シメイ</t>
    </rPh>
    <phoneticPr fontId="1"/>
  </si>
  <si>
    <t>＊　毎週の調整は、木曜日ＡＭに再報告します。</t>
    <rPh sb="2" eb="3">
      <t>マイ</t>
    </rPh>
    <rPh sb="3" eb="4">
      <t>シュウ</t>
    </rPh>
    <rPh sb="5" eb="7">
      <t>チョウセイ</t>
    </rPh>
    <rPh sb="9" eb="10">
      <t>モク</t>
    </rPh>
    <rPh sb="10" eb="12">
      <t>ヨウビ</t>
    </rPh>
    <rPh sb="15" eb="16">
      <t>サイ</t>
    </rPh>
    <rPh sb="16" eb="18">
      <t>ホウコク</t>
    </rPh>
    <phoneticPr fontId="1"/>
  </si>
  <si>
    <t>乗務員からのクレハ運輸㈱の配車調整は原則行わないこと。</t>
    <rPh sb="0" eb="3">
      <t>ジョウムイン</t>
    </rPh>
    <rPh sb="9" eb="11">
      <t>ウンユ</t>
    </rPh>
    <rPh sb="13" eb="15">
      <t>ハイシャ</t>
    </rPh>
    <rPh sb="15" eb="17">
      <t>チョウセイ</t>
    </rPh>
    <rPh sb="18" eb="20">
      <t>ゲンソク</t>
    </rPh>
    <rPh sb="20" eb="21">
      <t>オコナ</t>
    </rPh>
    <phoneticPr fontId="1"/>
  </si>
  <si>
    <t>社休</t>
    <rPh sb="0" eb="1">
      <t>シャ</t>
    </rPh>
    <rPh sb="1" eb="2">
      <t>キュウ</t>
    </rPh>
    <phoneticPr fontId="1"/>
  </si>
  <si>
    <t>法定</t>
    <rPh sb="0" eb="2">
      <t>ホウテイ</t>
    </rPh>
    <phoneticPr fontId="1"/>
  </si>
  <si>
    <t>祝日</t>
    <rPh sb="0" eb="2">
      <t>シュクジツ</t>
    </rPh>
    <phoneticPr fontId="1"/>
  </si>
  <si>
    <t>備　　考</t>
    <rPh sb="0" eb="1">
      <t>ビ</t>
    </rPh>
    <rPh sb="3" eb="4">
      <t>コウ</t>
    </rPh>
    <phoneticPr fontId="1"/>
  </si>
  <si>
    <t>フリー</t>
    <phoneticPr fontId="1"/>
  </si>
  <si>
    <t>修理</t>
    <rPh sb="0" eb="2">
      <t>シュウリ</t>
    </rPh>
    <phoneticPr fontId="1"/>
  </si>
  <si>
    <t>車検</t>
    <rPh sb="0" eb="2">
      <t>シャケン</t>
    </rPh>
    <phoneticPr fontId="1"/>
  </si>
  <si>
    <t>若林運送㈱　</t>
    <rPh sb="0" eb="2">
      <t>ワカバヤシ</t>
    </rPh>
    <rPh sb="2" eb="4">
      <t>ウンソウ</t>
    </rPh>
    <phoneticPr fontId="1"/>
  </si>
  <si>
    <t>年</t>
    <rPh sb="0" eb="1">
      <t>ネン</t>
    </rPh>
    <phoneticPr fontId="1"/>
  </si>
  <si>
    <t>月</t>
    <rPh sb="0" eb="1">
      <t>ガツ</t>
    </rPh>
    <phoneticPr fontId="1"/>
  </si>
  <si>
    <t>休日出勤予定表</t>
    <rPh sb="0" eb="4">
      <t>キュウジツシュッキン</t>
    </rPh>
    <rPh sb="4" eb="7">
      <t>ヨテイヒョウ</t>
    </rPh>
    <phoneticPr fontId="1"/>
  </si>
  <si>
    <t>時点</t>
    <rPh sb="0" eb="2">
      <t>ジテン</t>
    </rPh>
    <phoneticPr fontId="1"/>
  </si>
  <si>
    <t>元日</t>
    <rPh sb="0" eb="2">
      <t>ガンジツ</t>
    </rPh>
    <phoneticPr fontId="1"/>
  </si>
  <si>
    <t>成人の日</t>
    <rPh sb="0" eb="2">
      <t>セイジン</t>
    </rPh>
    <rPh sb="3" eb="4">
      <t>ヒ</t>
    </rPh>
    <phoneticPr fontId="1"/>
  </si>
  <si>
    <t>建国記念日</t>
    <rPh sb="0" eb="5">
      <t>ケンコクキネンヒ</t>
    </rPh>
    <phoneticPr fontId="1"/>
  </si>
  <si>
    <t>天皇誕生日</t>
    <rPh sb="0" eb="5">
      <t>テンノウタンジョウビ</t>
    </rPh>
    <phoneticPr fontId="1"/>
  </si>
  <si>
    <t>春分の日</t>
    <rPh sb="0" eb="2">
      <t>シュンブン</t>
    </rPh>
    <rPh sb="3" eb="4">
      <t>ヒ</t>
    </rPh>
    <phoneticPr fontId="1"/>
  </si>
  <si>
    <t>昭和の日</t>
    <rPh sb="0" eb="2">
      <t>ショウワ</t>
    </rPh>
    <rPh sb="3" eb="4">
      <t>ヒ</t>
    </rPh>
    <phoneticPr fontId="1"/>
  </si>
  <si>
    <t>憲法記念日</t>
    <rPh sb="0" eb="5">
      <t>ケンポウキネンビ</t>
    </rPh>
    <phoneticPr fontId="1"/>
  </si>
  <si>
    <t>みどりの日</t>
    <rPh sb="4" eb="5">
      <t>ヒ</t>
    </rPh>
    <phoneticPr fontId="1"/>
  </si>
  <si>
    <t>こどもの日</t>
    <rPh sb="4" eb="5">
      <t>ヒ</t>
    </rPh>
    <phoneticPr fontId="1"/>
  </si>
  <si>
    <t>海の日</t>
    <rPh sb="0" eb="1">
      <t>ウミ</t>
    </rPh>
    <rPh sb="2" eb="3">
      <t>ヒ</t>
    </rPh>
    <phoneticPr fontId="1"/>
  </si>
  <si>
    <t>山の日</t>
    <rPh sb="0" eb="1">
      <t>ヤマ</t>
    </rPh>
    <rPh sb="2" eb="3">
      <t>ヒ</t>
    </rPh>
    <phoneticPr fontId="1"/>
  </si>
  <si>
    <t>敬老の日</t>
    <rPh sb="0" eb="2">
      <t>ケイロウ</t>
    </rPh>
    <rPh sb="3" eb="4">
      <t>ヒ</t>
    </rPh>
    <phoneticPr fontId="1"/>
  </si>
  <si>
    <t>秋分の日</t>
    <rPh sb="0" eb="2">
      <t>シュウブン</t>
    </rPh>
    <rPh sb="3" eb="4">
      <t>ヒ</t>
    </rPh>
    <phoneticPr fontId="1"/>
  </si>
  <si>
    <t>スポーツの日</t>
    <rPh sb="5" eb="6">
      <t>ヒ</t>
    </rPh>
    <phoneticPr fontId="1"/>
  </si>
  <si>
    <t>文化の日</t>
    <rPh sb="0" eb="2">
      <t>ブンカ</t>
    </rPh>
    <rPh sb="3" eb="4">
      <t>ヒ</t>
    </rPh>
    <phoneticPr fontId="1"/>
  </si>
  <si>
    <t>勤労感謝の日</t>
    <rPh sb="0" eb="4">
      <t>キンロウカンシャ</t>
    </rPh>
    <rPh sb="5" eb="6">
      <t>ヒ</t>
    </rPh>
    <phoneticPr fontId="1"/>
  </si>
  <si>
    <t>祝日リスト</t>
    <rPh sb="0" eb="2">
      <t>シュクジツ</t>
    </rPh>
    <phoneticPr fontId="1"/>
  </si>
  <si>
    <t>✕</t>
    <phoneticPr fontId="1"/>
  </si>
  <si>
    <t>開放</t>
    <rPh sb="0" eb="2">
      <t>カイホウ</t>
    </rPh>
    <phoneticPr fontId="1"/>
  </si>
  <si>
    <t>休車</t>
    <rPh sb="0" eb="2">
      <t>キュウシャ</t>
    </rPh>
    <phoneticPr fontId="1"/>
  </si>
  <si>
    <t>配送のみで宵積みなし</t>
    <rPh sb="0" eb="2">
      <t>ハイソウ</t>
    </rPh>
    <rPh sb="5" eb="7">
      <t>ヨイヅ</t>
    </rPh>
    <phoneticPr fontId="1"/>
  </si>
  <si>
    <t>オーダーがない</t>
    <phoneticPr fontId="1"/>
  </si>
  <si>
    <t>出荷なし</t>
    <rPh sb="0" eb="2">
      <t>シュッカ</t>
    </rPh>
    <phoneticPr fontId="1"/>
  </si>
  <si>
    <t>発注なし</t>
    <rPh sb="0" eb="2">
      <t>ハッチュウ</t>
    </rPh>
    <phoneticPr fontId="1"/>
  </si>
  <si>
    <t>月カウント</t>
    <rPh sb="0" eb="1">
      <t>ゲツ</t>
    </rPh>
    <phoneticPr fontId="1"/>
  </si>
  <si>
    <t>凡例</t>
    <rPh sb="0" eb="2">
      <t>ボンレイ</t>
    </rPh>
    <phoneticPr fontId="1"/>
  </si>
  <si>
    <t>出勤可</t>
    <rPh sb="0" eb="2">
      <t>シュッキン</t>
    </rPh>
    <rPh sb="2" eb="3">
      <t>カ</t>
    </rPh>
    <phoneticPr fontId="1"/>
  </si>
  <si>
    <t>洗浄</t>
    <rPh sb="0" eb="2">
      <t>センジョウ</t>
    </rPh>
    <phoneticPr fontId="1"/>
  </si>
  <si>
    <t>振替休日</t>
    <rPh sb="0" eb="2">
      <t>フリカエ</t>
    </rPh>
    <rPh sb="2" eb="4">
      <t>キュウジツ</t>
    </rPh>
    <phoneticPr fontId="1"/>
  </si>
  <si>
    <t>菊地　秀和</t>
    <rPh sb="0" eb="2">
      <t>キクチ</t>
    </rPh>
    <rPh sb="3" eb="5">
      <t>ヒデカズ</t>
    </rPh>
    <phoneticPr fontId="1"/>
  </si>
  <si>
    <t>研修</t>
    <rPh sb="0" eb="2">
      <t>ケンシュウ</t>
    </rPh>
    <phoneticPr fontId="1"/>
  </si>
  <si>
    <t>宵積のみ</t>
    <rPh sb="0" eb="1">
      <t>ヨイ</t>
    </rPh>
    <rPh sb="1" eb="2">
      <t>ツミ</t>
    </rPh>
    <phoneticPr fontId="1"/>
  </si>
  <si>
    <t>齋藤　秀行</t>
    <rPh sb="0" eb="2">
      <t>サイトウ</t>
    </rPh>
    <rPh sb="3" eb="5">
      <t>ヒデユキ</t>
    </rPh>
    <phoneticPr fontId="1"/>
  </si>
  <si>
    <t>故障</t>
    <rPh sb="0" eb="2">
      <t>コショウ</t>
    </rPh>
    <phoneticPr fontId="1"/>
  </si>
  <si>
    <t>氏　名</t>
    <rPh sb="0" eb="1">
      <t>シ</t>
    </rPh>
    <rPh sb="2" eb="3">
      <t>メイ</t>
    </rPh>
    <phoneticPr fontId="33"/>
  </si>
  <si>
    <t>回収日(質問票)</t>
    <rPh sb="0" eb="3">
      <t>カイシュウビ</t>
    </rPh>
    <rPh sb="4" eb="7">
      <t>シツモンヒョウ</t>
    </rPh>
    <phoneticPr fontId="33"/>
  </si>
  <si>
    <t>備　考</t>
    <rPh sb="0" eb="1">
      <t>び</t>
    </rPh>
    <rPh sb="2" eb="3">
      <t>こう</t>
    </rPh>
    <phoneticPr fontId="34" type="Hiragana" alignment="distributed"/>
  </si>
  <si>
    <t>渡邊　浩司</t>
    <rPh sb="0" eb="2">
      <t>わたなべ</t>
    </rPh>
    <rPh sb="3" eb="5">
      <t>こうじ</t>
    </rPh>
    <phoneticPr fontId="34" type="Hiragana" alignment="distributed"/>
  </si>
  <si>
    <t>予約時間　：　9：00</t>
    <rPh sb="0" eb="4">
      <t>よやくじかん</t>
    </rPh>
    <phoneticPr fontId="34" type="Hiragana" alignment="distributed"/>
  </si>
  <si>
    <t>山口　豊</t>
    <rPh sb="0" eb="2">
      <t>やまぐち</t>
    </rPh>
    <rPh sb="3" eb="4">
      <t>ゆたか</t>
    </rPh>
    <phoneticPr fontId="34" type="Hiragana" alignment="distributed"/>
  </si>
  <si>
    <t>予約時間　：　9：20</t>
    <rPh sb="0" eb="4">
      <t>よやくじかん</t>
    </rPh>
    <phoneticPr fontId="34" type="Hiragana" alignment="distributed"/>
  </si>
  <si>
    <t>小沼　康</t>
    <rPh sb="0" eb="2">
      <t>こぬま</t>
    </rPh>
    <rPh sb="3" eb="4">
      <t>やすし</t>
    </rPh>
    <phoneticPr fontId="34" type="Hiragana" alignment="distributed"/>
  </si>
  <si>
    <t>予約時間　：　9：00</t>
    <rPh sb="0" eb="2">
      <t>よやく</t>
    </rPh>
    <rPh sb="2" eb="4">
      <t>じかん</t>
    </rPh>
    <phoneticPr fontId="34" type="Hiragana" alignment="distributed"/>
  </si>
  <si>
    <t>吉田　哲司</t>
    <rPh sb="0" eb="2">
      <t>よしだ</t>
    </rPh>
    <rPh sb="3" eb="5">
      <t>てつじ</t>
    </rPh>
    <phoneticPr fontId="34" type="Hiragana" alignment="distributed"/>
  </si>
  <si>
    <t>鵜沼　芳昭</t>
    <rPh sb="0" eb="2">
      <t>うぬま</t>
    </rPh>
    <rPh sb="3" eb="5">
      <t>よしあき</t>
    </rPh>
    <phoneticPr fontId="34" type="Hiragana" alignment="distributed"/>
  </si>
  <si>
    <t>予約時間　：　8：40</t>
    <rPh sb="0" eb="2">
      <t>よやく</t>
    </rPh>
    <rPh sb="2" eb="4">
      <t>じかん</t>
    </rPh>
    <phoneticPr fontId="34" type="Hiragana" alignment="distributed"/>
  </si>
  <si>
    <t>菊地　秀和</t>
    <rPh sb="0" eb="2">
      <t>きくち</t>
    </rPh>
    <rPh sb="3" eb="5">
      <t>ひでかず</t>
    </rPh>
    <phoneticPr fontId="34" type="Hiragana" alignment="distributed"/>
  </si>
  <si>
    <t>渡邉　進一</t>
    <rPh sb="0" eb="2">
      <t>わたなべ</t>
    </rPh>
    <rPh sb="3" eb="5">
      <t>しんいち</t>
    </rPh>
    <phoneticPr fontId="34" type="Hiragana" alignment="distributed"/>
  </si>
  <si>
    <t>小林　啓一</t>
    <rPh sb="0" eb="2">
      <t>こばやし</t>
    </rPh>
    <rPh sb="3" eb="5">
      <t>けいいち</t>
    </rPh>
    <phoneticPr fontId="34" type="Hiragana" alignment="distributed"/>
  </si>
  <si>
    <t>予約時間　：　9：40</t>
    <rPh sb="0" eb="2">
      <t>よやく</t>
    </rPh>
    <rPh sb="2" eb="4">
      <t>じかん</t>
    </rPh>
    <phoneticPr fontId="34" type="Hiragana" alignment="distributed"/>
  </si>
  <si>
    <t>鈴木　浩明</t>
    <rPh sb="0" eb="2">
      <t>すずき</t>
    </rPh>
    <rPh sb="3" eb="5">
      <t>ひろあき</t>
    </rPh>
    <phoneticPr fontId="34" type="Hiragana" alignment="distributed"/>
  </si>
  <si>
    <t>齋藤　健一</t>
    <rPh sb="0" eb="2">
      <t>さいとう</t>
    </rPh>
    <rPh sb="3" eb="5">
      <t>けんいち</t>
    </rPh>
    <phoneticPr fontId="34" type="Hiragana" alignment="distributed"/>
  </si>
  <si>
    <t>斎藤　秀行</t>
    <rPh sb="0" eb="2">
      <t>さいとう</t>
    </rPh>
    <rPh sb="3" eb="5">
      <t>ひでゆき</t>
    </rPh>
    <phoneticPr fontId="34" type="Hiragana" alignment="distributed"/>
  </si>
  <si>
    <t>予約時間　：　8：30</t>
    <rPh sb="0" eb="4">
      <t>よやくじかん</t>
    </rPh>
    <phoneticPr fontId="34" type="Hiragana" alignment="distributed"/>
  </si>
  <si>
    <t>荒木　正朋</t>
    <rPh sb="0" eb="2">
      <t>あらき</t>
    </rPh>
    <rPh sb="3" eb="5">
      <t>まさとも</t>
    </rPh>
    <phoneticPr fontId="34" type="Hiragana" alignment="distributed"/>
  </si>
  <si>
    <t>予約時間　：　8：40</t>
    <rPh sb="0" eb="4">
      <t>よやくじかん</t>
    </rPh>
    <phoneticPr fontId="34" type="Hiragana" alignment="distributed"/>
  </si>
  <si>
    <t>味戸　隆典</t>
    <rPh sb="0" eb="2">
      <t>あじと</t>
    </rPh>
    <rPh sb="3" eb="5">
      <t>たかのり</t>
    </rPh>
    <phoneticPr fontId="34" type="Hiragana" alignment="distributed"/>
  </si>
  <si>
    <t>大平　正勝</t>
    <rPh sb="0" eb="2">
      <t>おおひら</t>
    </rPh>
    <rPh sb="3" eb="5">
      <t>まさかつ</t>
    </rPh>
    <phoneticPr fontId="34" type="Hiragana" alignment="distributed"/>
  </si>
  <si>
    <t>松本　正巳</t>
    <rPh sb="0" eb="2">
      <t>まつもと</t>
    </rPh>
    <rPh sb="3" eb="5">
      <t>まさみ</t>
    </rPh>
    <phoneticPr fontId="34" type="Hiragana" alignment="distributed"/>
  </si>
  <si>
    <t>渡邊　敏男</t>
    <rPh sb="0" eb="2">
      <t>わたなべ</t>
    </rPh>
    <rPh sb="3" eb="5">
      <t>としお</t>
    </rPh>
    <phoneticPr fontId="34" type="Hiragana" alignment="distributed"/>
  </si>
  <si>
    <t>松本　誠治</t>
    <rPh sb="0" eb="2">
      <t>まつもと</t>
    </rPh>
    <rPh sb="3" eb="5">
      <t>せいじ</t>
    </rPh>
    <phoneticPr fontId="34" type="Hiragana" alignment="distributed"/>
  </si>
  <si>
    <t>渡邊　晃弘</t>
    <rPh sb="0" eb="2">
      <t>わたなべ</t>
    </rPh>
    <rPh sb="3" eb="5">
      <t>あきひろ</t>
    </rPh>
    <phoneticPr fontId="34" type="Hiragana" alignment="distributed"/>
  </si>
  <si>
    <t>下山田　英治</t>
    <rPh sb="0" eb="3">
      <t>しもやまだ</t>
    </rPh>
    <rPh sb="4" eb="6">
      <t>えいじ</t>
    </rPh>
    <phoneticPr fontId="34" type="Hiragana" alignment="distributed"/>
  </si>
  <si>
    <t>金山　岳夫</t>
    <rPh sb="0" eb="2">
      <t>かなやま</t>
    </rPh>
    <rPh sb="3" eb="4">
      <t>たけ</t>
    </rPh>
    <rPh sb="4" eb="5">
      <t>お</t>
    </rPh>
    <phoneticPr fontId="34" type="Hiragana" alignment="distributed"/>
  </si>
  <si>
    <t>若松　美宏</t>
    <rPh sb="0" eb="2">
      <t>わかまつ</t>
    </rPh>
    <rPh sb="3" eb="5">
      <t>みつひろ</t>
    </rPh>
    <phoneticPr fontId="34" type="Hiragana" alignment="distributed"/>
  </si>
  <si>
    <t>佐原　三夫</t>
    <rPh sb="0" eb="2">
      <t>さはら</t>
    </rPh>
    <rPh sb="3" eb="5">
      <t>みつお</t>
    </rPh>
    <phoneticPr fontId="34" type="Hiragana" alignment="distributed"/>
  </si>
  <si>
    <t>瀬野尾　勉</t>
    <rPh sb="0" eb="2">
      <t>せの</t>
    </rPh>
    <rPh sb="2" eb="3">
      <t>お</t>
    </rPh>
    <rPh sb="4" eb="5">
      <t>つとむ</t>
    </rPh>
    <phoneticPr fontId="34" type="Hiragana" alignment="distributed"/>
  </si>
  <si>
    <t>鈴木　富雄</t>
    <rPh sb="0" eb="2">
      <t>すずき</t>
    </rPh>
    <rPh sb="3" eb="5">
      <t>とみお</t>
    </rPh>
    <phoneticPr fontId="34" type="Hiragana" alignment="distributed"/>
  </si>
  <si>
    <t>神永　香織</t>
    <rPh sb="0" eb="2">
      <t>かみなが</t>
    </rPh>
    <rPh sb="3" eb="5">
      <t>かおり</t>
    </rPh>
    <phoneticPr fontId="34" type="Hiragana" alignment="distributed"/>
  </si>
  <si>
    <t>鈴木　紀子</t>
    <rPh sb="0" eb="2">
      <t>すずき</t>
    </rPh>
    <rPh sb="3" eb="5">
      <t>のりこ</t>
    </rPh>
    <phoneticPr fontId="34" type="Hiragana" alignment="distributed"/>
  </si>
  <si>
    <t>雲藤　順</t>
    <rPh sb="0" eb="2">
      <t>うんどう</t>
    </rPh>
    <rPh sb="3" eb="4">
      <t>すなお</t>
    </rPh>
    <phoneticPr fontId="34" type="Hiragana" alignment="distributed"/>
  </si>
  <si>
    <t>健康診断</t>
    <rPh sb="0" eb="2">
      <t>ケンコウ</t>
    </rPh>
    <rPh sb="2" eb="4">
      <t>シンダン</t>
    </rPh>
    <phoneticPr fontId="1"/>
  </si>
  <si>
    <t>＊｢荷卸しのみ｣､｢出荷なし｣､｢発注なし｣､｢宵済みのみ｣を稼働日カウント</t>
    <rPh sb="2" eb="4">
      <t>ニオロ</t>
    </rPh>
    <rPh sb="10" eb="12">
      <t>シュッカ</t>
    </rPh>
    <rPh sb="17" eb="19">
      <t>ハッチュウ</t>
    </rPh>
    <rPh sb="24" eb="26">
      <t>ヨイズ</t>
    </rPh>
    <rPh sb="31" eb="33">
      <t>カドウ</t>
    </rPh>
    <rPh sb="33" eb="34">
      <t>ビ</t>
    </rPh>
    <phoneticPr fontId="1"/>
  </si>
  <si>
    <r>
      <t>＊　毎週　水曜までに翌月のおおよその出勤できない日（　</t>
    </r>
    <r>
      <rPr>
        <b/>
        <sz val="24"/>
        <color rgb="FFFF0000"/>
        <rFont val="Segoe UI Symbol"/>
        <family val="2"/>
      </rPr>
      <t>✕</t>
    </r>
    <r>
      <rPr>
        <b/>
        <sz val="24"/>
        <color rgb="FFFF0000"/>
        <rFont val="游ゴシック"/>
        <family val="2"/>
        <charset val="128"/>
        <scheme val="minor"/>
      </rPr>
      <t>　）を記入してください。</t>
    </r>
    <rPh sb="2" eb="4">
      <t>マイシュウ</t>
    </rPh>
    <rPh sb="5" eb="7">
      <t>スイヨウ</t>
    </rPh>
    <rPh sb="10" eb="12">
      <t>ヨクゲツ</t>
    </rPh>
    <rPh sb="18" eb="20">
      <t>シュッキン</t>
    </rPh>
    <rPh sb="24" eb="25">
      <t>ヒ</t>
    </rPh>
    <rPh sb="31" eb="33">
      <t>キニュウ</t>
    </rPh>
    <phoneticPr fontId="1"/>
  </si>
  <si>
    <t>＊　翌月の休日予定は最終週の木曜ＡＭに報告する。</t>
    <rPh sb="2" eb="4">
      <t>ヨクゲツ</t>
    </rPh>
    <rPh sb="5" eb="7">
      <t>キュウジツ</t>
    </rPh>
    <rPh sb="7" eb="9">
      <t>ヨテイ</t>
    </rPh>
    <rPh sb="10" eb="12">
      <t>サイシュウ</t>
    </rPh>
    <rPh sb="12" eb="13">
      <t>シュウ</t>
    </rPh>
    <rPh sb="14" eb="16">
      <t>モクヨウ</t>
    </rPh>
    <rPh sb="19" eb="21">
      <t>ホウコク</t>
    </rPh>
    <phoneticPr fontId="1"/>
  </si>
  <si>
    <t>塩酸</t>
    <rPh sb="0" eb="2">
      <t>エンサン</t>
    </rPh>
    <phoneticPr fontId="1"/>
  </si>
  <si>
    <t>【係長】鈴木　浩明</t>
    <rPh sb="1" eb="3">
      <t>カカリチョウ</t>
    </rPh>
    <rPh sb="4" eb="6">
      <t>スズキ</t>
    </rPh>
    <phoneticPr fontId="1"/>
  </si>
  <si>
    <t>【班長】鵜沼　芳昭</t>
    <rPh sb="1" eb="3">
      <t>ハンチョウ</t>
    </rPh>
    <rPh sb="4" eb="6">
      <t>ウヌマ</t>
    </rPh>
    <rPh sb="7" eb="8">
      <t>ヨシ</t>
    </rPh>
    <rPh sb="8" eb="9">
      <t>アキ</t>
    </rPh>
    <phoneticPr fontId="1"/>
  </si>
  <si>
    <t>【班長】渡邊　浩司</t>
    <rPh sb="1" eb="3">
      <t>ハンチョウ</t>
    </rPh>
    <rPh sb="4" eb="6">
      <t>ワタナベ</t>
    </rPh>
    <rPh sb="7" eb="9">
      <t>コウジ</t>
    </rPh>
    <phoneticPr fontId="1"/>
  </si>
  <si>
    <t>渡邉　進一</t>
    <rPh sb="0" eb="2">
      <t>ワタナベ</t>
    </rPh>
    <rPh sb="3" eb="5">
      <t>シンイチ</t>
    </rPh>
    <phoneticPr fontId="1"/>
  </si>
  <si>
    <t>苛性</t>
    <rPh sb="0" eb="2">
      <t>カセイ</t>
    </rPh>
    <phoneticPr fontId="1"/>
  </si>
  <si>
    <t>【班長】味戸　隆典</t>
    <rPh sb="1" eb="3">
      <t>ハンチョウ</t>
    </rPh>
    <rPh sb="4" eb="6">
      <t>アジト</t>
    </rPh>
    <rPh sb="7" eb="9">
      <t>タカノリ</t>
    </rPh>
    <phoneticPr fontId="1"/>
  </si>
  <si>
    <t>薬品</t>
    <rPh sb="0" eb="2">
      <t>ヤクヒン</t>
    </rPh>
    <phoneticPr fontId="1"/>
  </si>
  <si>
    <t>【班長】小沼　康</t>
    <rPh sb="1" eb="3">
      <t>ハンチョウ</t>
    </rPh>
    <rPh sb="4" eb="6">
      <t>コヌマ</t>
    </rPh>
    <rPh sb="7" eb="8">
      <t>ヤスシ</t>
    </rPh>
    <phoneticPr fontId="1"/>
  </si>
  <si>
    <t>【係長】雲藤　順</t>
    <rPh sb="1" eb="3">
      <t>カカリチョウ</t>
    </rPh>
    <rPh sb="4" eb="6">
      <t>ウンドウ</t>
    </rPh>
    <rPh sb="7" eb="8">
      <t>スナオ</t>
    </rPh>
    <phoneticPr fontId="1"/>
  </si>
  <si>
    <t>バンド
油</t>
    <rPh sb="4" eb="5">
      <t>アブラ</t>
    </rPh>
    <phoneticPr fontId="1"/>
  </si>
  <si>
    <t>神永　香織</t>
    <rPh sb="0" eb="2">
      <t>カミナガ</t>
    </rPh>
    <rPh sb="3" eb="5">
      <t>カオリ</t>
    </rPh>
    <phoneticPr fontId="1"/>
  </si>
  <si>
    <t>渡邊　晃弘</t>
    <rPh sb="0" eb="2">
      <t>ワタナベ</t>
    </rPh>
    <rPh sb="3" eb="5">
      <t>アキヒロ</t>
    </rPh>
    <phoneticPr fontId="1"/>
  </si>
  <si>
    <t>5486　(仙台）</t>
    <rPh sb="6" eb="8">
      <t>センダイ</t>
    </rPh>
    <phoneticPr fontId="1"/>
  </si>
  <si>
    <t>休</t>
    <rPh sb="0" eb="1">
      <t>ヤス</t>
    </rPh>
    <phoneticPr fontId="1"/>
  </si>
  <si>
    <t>【700】小林　啓一</t>
    <rPh sb="5" eb="7">
      <t>コバヤシ</t>
    </rPh>
    <rPh sb="8" eb="10">
      <t>ケイイチ</t>
    </rPh>
    <phoneticPr fontId="1"/>
  </si>
  <si>
    <t>【1693】鈴木　富雄</t>
    <rPh sb="6" eb="8">
      <t>スズキ</t>
    </rPh>
    <rPh sb="9" eb="11">
      <t>トミオ</t>
    </rPh>
    <phoneticPr fontId="1"/>
  </si>
  <si>
    <t>【3640】大平　正勝</t>
    <rPh sb="6" eb="8">
      <t>オオヒラ</t>
    </rPh>
    <rPh sb="9" eb="11">
      <t>マサカツ</t>
    </rPh>
    <phoneticPr fontId="1"/>
  </si>
  <si>
    <t>【643】荒木　正朋</t>
    <rPh sb="5" eb="7">
      <t>アラキ</t>
    </rPh>
    <rPh sb="8" eb="10">
      <t>マサトモ</t>
    </rPh>
    <phoneticPr fontId="1"/>
  </si>
  <si>
    <t>【1136】山口　豊</t>
    <rPh sb="6" eb="8">
      <t>ヤマグチ</t>
    </rPh>
    <rPh sb="9" eb="10">
      <t>ユタカ</t>
    </rPh>
    <phoneticPr fontId="1"/>
  </si>
  <si>
    <t>【154】齋藤　健一</t>
    <rPh sb="5" eb="7">
      <t>サイトウ</t>
    </rPh>
    <rPh sb="8" eb="10">
      <t>ケンイチ</t>
    </rPh>
    <phoneticPr fontId="1"/>
  </si>
  <si>
    <r>
      <rPr>
        <b/>
        <vertAlign val="subscript"/>
        <sz val="28"/>
        <color rgb="FFFF0000"/>
        <rFont val="游ゴシック"/>
        <family val="3"/>
        <charset val="128"/>
        <scheme val="minor"/>
      </rPr>
      <t>※　休日予定を配車で入れました。</t>
    </r>
    <r>
      <rPr>
        <b/>
        <sz val="28"/>
        <color rgb="FFFF0000"/>
        <rFont val="游ゴシック"/>
        <family val="3"/>
        <charset val="128"/>
        <scheme val="minor"/>
      </rPr>
      <t xml:space="preserve">
★　</t>
    </r>
    <r>
      <rPr>
        <b/>
        <sz val="28"/>
        <rFont val="游ゴシック"/>
        <family val="3"/>
        <charset val="128"/>
        <scheme val="minor"/>
      </rPr>
      <t>必要な</t>
    </r>
    <r>
      <rPr>
        <b/>
        <sz val="28"/>
        <color rgb="FFFF0000"/>
        <rFont val="游ゴシック"/>
        <family val="3"/>
        <charset val="128"/>
        <scheme val="minor"/>
      </rPr>
      <t>休日変更は、修正記載し</t>
    </r>
    <r>
      <rPr>
        <b/>
        <sz val="28"/>
        <rFont val="游ゴシック"/>
        <family val="3"/>
        <charset val="128"/>
        <scheme val="minor"/>
      </rPr>
      <t>配車へ連絡をお願いします。</t>
    </r>
    <rPh sb="2" eb="4">
      <t>キュウジツ</t>
    </rPh>
    <rPh sb="4" eb="6">
      <t>ヨテイ</t>
    </rPh>
    <rPh sb="7" eb="9">
      <t>ハイシャ</t>
    </rPh>
    <rPh sb="10" eb="11">
      <t>イ</t>
    </rPh>
    <rPh sb="19" eb="21">
      <t>ヒツヨウ</t>
    </rPh>
    <rPh sb="22" eb="24">
      <t>キュウジツ</t>
    </rPh>
    <rPh sb="24" eb="26">
      <t>ヘンコウ</t>
    </rPh>
    <rPh sb="28" eb="30">
      <t>シュウセイ</t>
    </rPh>
    <rPh sb="30" eb="32">
      <t>キサイ</t>
    </rPh>
    <rPh sb="33" eb="35">
      <t>ハイシャ</t>
    </rPh>
    <rPh sb="36" eb="38">
      <t>レンラク</t>
    </rPh>
    <rPh sb="40" eb="41">
      <t>ネガ</t>
    </rPh>
    <phoneticPr fontId="1"/>
  </si>
  <si>
    <t>ヘルプ①：齋藤（秀）</t>
    <rPh sb="5" eb="7">
      <t>サイトウ</t>
    </rPh>
    <rPh sb="8" eb="9">
      <t>ヒデ</t>
    </rPh>
    <phoneticPr fontId="1"/>
  </si>
  <si>
    <t>ヘルプ②：味戸</t>
    <rPh sb="5" eb="7">
      <t>アジト</t>
    </rPh>
    <phoneticPr fontId="1"/>
  </si>
  <si>
    <r>
      <t>生産日：</t>
    </r>
    <r>
      <rPr>
        <b/>
        <sz val="18"/>
        <color rgb="FFFF0000"/>
        <rFont val="游ゴシック"/>
        <family val="3"/>
        <charset val="128"/>
        <scheme val="minor"/>
      </rPr>
      <t>赤字</t>
    </r>
    <r>
      <rPr>
        <sz val="18"/>
        <color theme="1"/>
        <rFont val="游ゴシック"/>
        <family val="3"/>
        <charset val="128"/>
        <scheme val="minor"/>
      </rPr>
      <t xml:space="preserve">
V-009納入：⑬　⑫</t>
    </r>
    <r>
      <rPr>
        <b/>
        <sz val="18"/>
        <color rgb="FF7030A0"/>
        <rFont val="游ゴシック"/>
        <family val="3"/>
        <charset val="128"/>
        <scheme val="minor"/>
      </rPr>
      <t xml:space="preserve">
</t>
    </r>
    <r>
      <rPr>
        <sz val="18"/>
        <color theme="1"/>
        <rFont val="游ゴシック"/>
        <family val="3"/>
        <charset val="128"/>
        <scheme val="minor"/>
      </rPr>
      <t>プロセス(福島ゴム）：</t>
    </r>
    <r>
      <rPr>
        <b/>
        <sz val="18"/>
        <color rgb="FF00B050"/>
        <rFont val="游ゴシック"/>
        <family val="3"/>
        <charset val="128"/>
        <scheme val="minor"/>
      </rPr>
      <t>緑字</t>
    </r>
    <r>
      <rPr>
        <sz val="18"/>
        <color theme="1"/>
        <rFont val="游ゴシック"/>
        <family val="3"/>
        <charset val="128"/>
        <scheme val="minor"/>
      </rPr>
      <t xml:space="preserve">
</t>
    </r>
    <rPh sb="0" eb="3">
      <t>セイサンビ</t>
    </rPh>
    <rPh sb="4" eb="6">
      <t>アカジ</t>
    </rPh>
    <rPh sb="24" eb="26">
      <t>フクシマ</t>
    </rPh>
    <rPh sb="30" eb="31">
      <t>ミドリ</t>
    </rPh>
    <rPh sb="31" eb="32">
      <t>ジムラサキジ</t>
    </rPh>
    <phoneticPr fontId="1"/>
  </si>
  <si>
    <t>メルク②</t>
    <phoneticPr fontId="1"/>
  </si>
  <si>
    <t>ＪＸ</t>
    <phoneticPr fontId="1"/>
  </si>
  <si>
    <t>プロセス</t>
    <phoneticPr fontId="1"/>
  </si>
  <si>
    <t>895（仙台）</t>
    <rPh sb="4" eb="6">
      <t>センダイ</t>
    </rPh>
    <phoneticPr fontId="1"/>
  </si>
  <si>
    <r>
      <rPr>
        <b/>
        <sz val="48"/>
        <rFont val="游ゴシック"/>
        <family val="3"/>
        <charset val="128"/>
        <scheme val="minor"/>
      </rPr>
      <t>緊急を除く、</t>
    </r>
    <r>
      <rPr>
        <b/>
        <sz val="48"/>
        <color rgb="FFFF0000"/>
        <rFont val="游ゴシック"/>
        <family val="3"/>
        <charset val="128"/>
        <scheme val="minor"/>
      </rPr>
      <t>休日予定を月末まで</t>
    </r>
    <r>
      <rPr>
        <b/>
        <sz val="48"/>
        <rFont val="游ゴシック"/>
        <family val="3"/>
        <charset val="128"/>
        <scheme val="minor"/>
      </rPr>
      <t>に記入下さい。</t>
    </r>
    <rPh sb="0" eb="2">
      <t>キンキュウ</t>
    </rPh>
    <rPh sb="3" eb="4">
      <t>ノゾ</t>
    </rPh>
    <rPh sb="6" eb="8">
      <t>キュウジツ</t>
    </rPh>
    <rPh sb="8" eb="10">
      <t>ヨテイ</t>
    </rPh>
    <rPh sb="11" eb="13">
      <t>ゲツマツ</t>
    </rPh>
    <rPh sb="16" eb="18">
      <t>キニュウ</t>
    </rPh>
    <rPh sb="18" eb="19">
      <t>クダ</t>
    </rPh>
    <phoneticPr fontId="1"/>
  </si>
  <si>
    <t>振替休日</t>
    <rPh sb="0" eb="2">
      <t>フリカエ</t>
    </rPh>
    <rPh sb="2" eb="4">
      <t>キュウジツ</t>
    </rPh>
    <phoneticPr fontId="1"/>
  </si>
  <si>
    <t>クレハ</t>
    <phoneticPr fontId="1"/>
  </si>
  <si>
    <t>稼働</t>
    <rPh sb="0" eb="2">
      <t>カドウ</t>
    </rPh>
    <phoneticPr fontId="1"/>
  </si>
  <si>
    <t>読替分</t>
    <rPh sb="0" eb="2">
      <t>ヨミカエ</t>
    </rPh>
    <rPh sb="2" eb="3">
      <t>ブン</t>
    </rPh>
    <phoneticPr fontId="1"/>
  </si>
  <si>
    <t>1447（小名浜）</t>
    <rPh sb="5" eb="8">
      <t>オナハマ</t>
    </rPh>
    <phoneticPr fontId="1"/>
  </si>
  <si>
    <t>1447（仙台）</t>
    <rPh sb="5" eb="7">
      <t>センダイ</t>
    </rPh>
    <phoneticPr fontId="1"/>
  </si>
  <si>
    <t>休車
休日</t>
    <rPh sb="0" eb="1">
      <t>キュウ</t>
    </rPh>
    <rPh sb="1" eb="2">
      <t>シャ</t>
    </rPh>
    <rPh sb="3" eb="5">
      <t>キュウジツ</t>
    </rPh>
    <phoneticPr fontId="1"/>
  </si>
  <si>
    <t>読替休日</t>
    <rPh sb="0" eb="2">
      <t>ヨミカエ</t>
    </rPh>
    <rPh sb="2" eb="4">
      <t>キュウジツ</t>
    </rPh>
    <phoneticPr fontId="1"/>
  </si>
  <si>
    <t>若林</t>
    <rPh sb="0" eb="2">
      <t>ワカバヤシ</t>
    </rPh>
    <phoneticPr fontId="1"/>
  </si>
  <si>
    <t>【2401】荒木　正朋</t>
    <rPh sb="6" eb="8">
      <t>アラキ</t>
    </rPh>
    <rPh sb="9" eb="11">
      <t>マサトモ</t>
    </rPh>
    <phoneticPr fontId="1"/>
  </si>
  <si>
    <t>山口　豊　</t>
    <rPh sb="0" eb="2">
      <t>ヤマグチ</t>
    </rPh>
    <rPh sb="3" eb="4">
      <t>ユタカ</t>
    </rPh>
    <phoneticPr fontId="1"/>
  </si>
  <si>
    <t>鵜沼　芳昭</t>
    <rPh sb="0" eb="2">
      <t>ウヌマ</t>
    </rPh>
    <rPh sb="3" eb="5">
      <t>ヨシアキ</t>
    </rPh>
    <phoneticPr fontId="1"/>
  </si>
  <si>
    <t>齋藤　健一</t>
    <rPh sb="0" eb="2">
      <t>サイトウ</t>
    </rPh>
    <rPh sb="3" eb="5">
      <t>ケンイチ</t>
    </rPh>
    <phoneticPr fontId="1"/>
  </si>
  <si>
    <t>苛性
ﾊﾞﾝﾄﾞ油</t>
    <rPh sb="0" eb="2">
      <t>カセイ</t>
    </rPh>
    <rPh sb="8" eb="9">
      <t>アブラ</t>
    </rPh>
    <phoneticPr fontId="1"/>
  </si>
  <si>
    <t>＊　毎週　水曜までに翌月のおおよその出勤できない日（　✕　）を記入してください。</t>
    <rPh sb="2" eb="4">
      <t>マイシュウ</t>
    </rPh>
    <rPh sb="5" eb="7">
      <t>スイヨウ</t>
    </rPh>
    <rPh sb="10" eb="12">
      <t>ヨクゲツ</t>
    </rPh>
    <rPh sb="18" eb="20">
      <t>シュッキン</t>
    </rPh>
    <rPh sb="24" eb="25">
      <t>ヒ</t>
    </rPh>
    <rPh sb="31" eb="33">
      <t>キニュウ</t>
    </rPh>
    <phoneticPr fontId="1"/>
  </si>
  <si>
    <t xml:space="preserve">休日は、休日予定の記入と所長・配車担当へ諸休暇願提出と併せて必ず連絡をお願いします。
</t>
    <rPh sb="0" eb="2">
      <t>キュウジツ</t>
    </rPh>
    <rPh sb="4" eb="6">
      <t>キュウジツ</t>
    </rPh>
    <rPh sb="6" eb="8">
      <t>ヨテイ</t>
    </rPh>
    <rPh sb="9" eb="11">
      <t>キニュウ</t>
    </rPh>
    <rPh sb="12" eb="14">
      <t>ショチョウ</t>
    </rPh>
    <rPh sb="15" eb="17">
      <t>ハイシャ</t>
    </rPh>
    <rPh sb="17" eb="19">
      <t>タントウ</t>
    </rPh>
    <rPh sb="20" eb="21">
      <t>ショ</t>
    </rPh>
    <rPh sb="21" eb="23">
      <t>キュウカ</t>
    </rPh>
    <rPh sb="23" eb="24">
      <t>ネガイ</t>
    </rPh>
    <rPh sb="24" eb="26">
      <t>テイシュツ</t>
    </rPh>
    <rPh sb="27" eb="28">
      <t>アワ</t>
    </rPh>
    <rPh sb="30" eb="31">
      <t>カナラ</t>
    </rPh>
    <rPh sb="32" eb="34">
      <t>レンラク</t>
    </rPh>
    <rPh sb="36" eb="37">
      <t>ネガ</t>
    </rPh>
    <phoneticPr fontId="1"/>
  </si>
  <si>
    <r>
      <rPr>
        <b/>
        <vertAlign val="subscript"/>
        <sz val="28"/>
        <rFont val="游ゴシック"/>
        <family val="3"/>
        <charset val="128"/>
        <scheme val="minor"/>
      </rPr>
      <t>※　休日予定を配車で入れました。</t>
    </r>
    <r>
      <rPr>
        <b/>
        <sz val="28"/>
        <rFont val="游ゴシック"/>
        <family val="3"/>
        <charset val="128"/>
        <scheme val="minor"/>
      </rPr>
      <t xml:space="preserve">
★　必要な休日変更は、修正記載し配車へ連絡をお願いします。</t>
    </r>
    <rPh sb="2" eb="4">
      <t>キュウジツ</t>
    </rPh>
    <rPh sb="4" eb="6">
      <t>ヨテイ</t>
    </rPh>
    <rPh sb="7" eb="9">
      <t>ハイシャ</t>
    </rPh>
    <rPh sb="10" eb="11">
      <t>イ</t>
    </rPh>
    <rPh sb="19" eb="21">
      <t>ヒツヨウ</t>
    </rPh>
    <rPh sb="22" eb="24">
      <t>キュウジツ</t>
    </rPh>
    <rPh sb="24" eb="26">
      <t>ヘンコウ</t>
    </rPh>
    <rPh sb="28" eb="30">
      <t>シュウセイ</t>
    </rPh>
    <rPh sb="30" eb="32">
      <t>キサイ</t>
    </rPh>
    <rPh sb="33" eb="35">
      <t>ハイシャ</t>
    </rPh>
    <rPh sb="36" eb="38">
      <t>レンラク</t>
    </rPh>
    <rPh sb="40" eb="41">
      <t>ネガ</t>
    </rPh>
    <phoneticPr fontId="1"/>
  </si>
  <si>
    <r>
      <t>生産日：</t>
    </r>
    <r>
      <rPr>
        <b/>
        <sz val="18"/>
        <rFont val="游ゴシック"/>
        <family val="3"/>
        <charset val="128"/>
        <scheme val="minor"/>
      </rPr>
      <t xml:space="preserve">赤字　原町出荷：青
</t>
    </r>
    <r>
      <rPr>
        <sz val="18"/>
        <rFont val="游ゴシック"/>
        <family val="3"/>
        <charset val="128"/>
        <scheme val="minor"/>
      </rPr>
      <t>V-009納入：⑬　⑫</t>
    </r>
    <r>
      <rPr>
        <b/>
        <sz val="18"/>
        <rFont val="游ゴシック"/>
        <family val="3"/>
        <charset val="128"/>
        <scheme val="minor"/>
      </rPr>
      <t xml:space="preserve">
</t>
    </r>
    <r>
      <rPr>
        <sz val="18"/>
        <rFont val="游ゴシック"/>
        <family val="3"/>
        <charset val="128"/>
        <scheme val="minor"/>
      </rPr>
      <t>プロセス(福島ゴム）：</t>
    </r>
    <r>
      <rPr>
        <b/>
        <sz val="18"/>
        <rFont val="游ゴシック"/>
        <family val="3"/>
        <charset val="128"/>
        <scheme val="minor"/>
      </rPr>
      <t>緑字　黒✖：要請休</t>
    </r>
    <r>
      <rPr>
        <sz val="18"/>
        <rFont val="游ゴシック"/>
        <family val="3"/>
        <charset val="128"/>
        <scheme val="minor"/>
      </rPr>
      <t xml:space="preserve">
</t>
    </r>
    <rPh sb="0" eb="3">
      <t>セイサンビ</t>
    </rPh>
    <rPh sb="4" eb="6">
      <t>アカジ</t>
    </rPh>
    <rPh sb="7" eb="9">
      <t>ハラマチ</t>
    </rPh>
    <rPh sb="9" eb="11">
      <t>シュッカ</t>
    </rPh>
    <rPh sb="12" eb="13">
      <t>アオ</t>
    </rPh>
    <rPh sb="30" eb="32">
      <t>フクシマ</t>
    </rPh>
    <rPh sb="36" eb="37">
      <t>ミドリ</t>
    </rPh>
    <rPh sb="37" eb="38">
      <t>ジムラサキジ</t>
    </rPh>
    <rPh sb="39" eb="40">
      <t>クロ</t>
    </rPh>
    <rPh sb="42" eb="44">
      <t>ヨウセイ</t>
    </rPh>
    <rPh sb="44" eb="45">
      <t>キュウ</t>
    </rPh>
    <phoneticPr fontId="1"/>
  </si>
  <si>
    <t>✕</t>
  </si>
  <si>
    <t>⑬</t>
    <phoneticPr fontId="1"/>
  </si>
  <si>
    <t>⑫</t>
    <phoneticPr fontId="1"/>
  </si>
  <si>
    <t>✕</t>
    <phoneticPr fontId="1"/>
  </si>
  <si>
    <t>眼病療養中</t>
    <rPh sb="0" eb="2">
      <t>ガンビョウ</t>
    </rPh>
    <rPh sb="2" eb="5">
      <t>リョウヨウチュウ</t>
    </rPh>
    <phoneticPr fontId="1"/>
  </si>
  <si>
    <t>1/5通院</t>
    <rPh sb="3" eb="5">
      <t>ツウイン</t>
    </rPh>
    <phoneticPr fontId="1"/>
  </si>
  <si>
    <t>渡邊(浩)</t>
    <rPh sb="0" eb="2">
      <t>ワタナベ</t>
    </rPh>
    <rPh sb="3" eb="4">
      <t>ヒロ</t>
    </rPh>
    <phoneticPr fontId="1"/>
  </si>
  <si>
    <t>バンド</t>
    <phoneticPr fontId="1"/>
  </si>
  <si>
    <t>【新人】小玉　美香</t>
    <rPh sb="1" eb="3">
      <t>シンジン</t>
    </rPh>
    <rPh sb="4" eb="6">
      <t>コダマ</t>
    </rPh>
    <rPh sb="7" eb="9">
      <t>ミカ</t>
    </rPh>
    <phoneticPr fontId="1"/>
  </si>
  <si>
    <t>整備</t>
    <rPh sb="0" eb="2">
      <t>セイビ</t>
    </rPh>
    <phoneticPr fontId="1"/>
  </si>
  <si>
    <t>巡回</t>
    <rPh sb="0" eb="2">
      <t>ジュンカイ</t>
    </rPh>
    <phoneticPr fontId="1"/>
  </si>
  <si>
    <t>鵜沼</t>
    <rPh sb="0" eb="2">
      <t>ウヌマ</t>
    </rPh>
    <phoneticPr fontId="1"/>
  </si>
  <si>
    <t>1/8係長・班長会議</t>
    <rPh sb="3" eb="5">
      <t>カカリチョウ</t>
    </rPh>
    <rPh sb="6" eb="10">
      <t>ハンチョウカイギ</t>
    </rPh>
    <phoneticPr fontId="1"/>
  </si>
  <si>
    <t>1/8係長・班長会議</t>
    <rPh sb="1" eb="10">
      <t>･8カカリチョウ･ハンチョウカイギ</t>
    </rPh>
    <phoneticPr fontId="1"/>
  </si>
  <si>
    <t>【3640】小林　啓一</t>
    <rPh sb="6" eb="8">
      <t>コバヤシ</t>
    </rPh>
    <rPh sb="9" eb="11">
      <t>ケイイチ</t>
    </rPh>
    <phoneticPr fontId="1"/>
  </si>
  <si>
    <t>【700】渡邉　進一　</t>
    <rPh sb="5" eb="7">
      <t>ワタナベ</t>
    </rPh>
    <rPh sb="8" eb="10">
      <t>シンイチ</t>
    </rPh>
    <phoneticPr fontId="1"/>
  </si>
  <si>
    <t>塩酸
苛性</t>
    <rPh sb="0" eb="2">
      <t>エンサン</t>
    </rPh>
    <rPh sb="3" eb="5">
      <t>カセイ</t>
    </rPh>
    <phoneticPr fontId="1"/>
  </si>
  <si>
    <t>バンド
塩酸</t>
    <rPh sb="4" eb="6">
      <t>エンサン</t>
    </rPh>
    <phoneticPr fontId="1"/>
  </si>
  <si>
    <t>全種</t>
    <rPh sb="0" eb="2">
      <t>ゼンシュ</t>
    </rPh>
    <phoneticPr fontId="1"/>
  </si>
  <si>
    <t>1/9入社・1/13AM検診・PM適正</t>
    <rPh sb="3" eb="5">
      <t>ニュウシャ</t>
    </rPh>
    <rPh sb="12" eb="14">
      <t>ケンシン</t>
    </rPh>
    <rPh sb="17" eb="19">
      <t>テキセイ</t>
    </rPh>
    <phoneticPr fontId="1"/>
  </si>
  <si>
    <t>教育</t>
    <rPh sb="0" eb="2">
      <t>キョウイク</t>
    </rPh>
    <phoneticPr fontId="1"/>
  </si>
  <si>
    <t>検診
適正</t>
    <rPh sb="0" eb="2">
      <t>ケンシン</t>
    </rPh>
    <rPh sb="3" eb="5">
      <t>テキセイ</t>
    </rPh>
    <phoneticPr fontId="1"/>
  </si>
  <si>
    <t>✕</t>
    <phoneticPr fontId="1"/>
  </si>
  <si>
    <t>✕</t>
    <phoneticPr fontId="1"/>
  </si>
  <si>
    <t>✕</t>
    <phoneticPr fontId="1"/>
  </si>
  <si>
    <t>1/5日通院</t>
    <rPh sb="3" eb="4">
      <t>ヒ</t>
    </rPh>
    <rPh sb="4" eb="6">
      <t>ツウイン</t>
    </rPh>
    <phoneticPr fontId="1"/>
  </si>
  <si>
    <t>✕</t>
    <phoneticPr fontId="1"/>
  </si>
  <si>
    <t>✕</t>
    <phoneticPr fontId="1"/>
  </si>
  <si>
    <t>✕</t>
    <phoneticPr fontId="1"/>
  </si>
  <si>
    <t>1/6修理点検(ｴﾝｼﾞﾝﾁｪｯｸﾗﾝﾌﾟ異常)</t>
    <rPh sb="3" eb="5">
      <t>シュウリ</t>
    </rPh>
    <rPh sb="5" eb="7">
      <t>テンケン</t>
    </rPh>
    <rPh sb="21" eb="23">
      <t>イジョウ</t>
    </rPh>
    <phoneticPr fontId="1"/>
  </si>
  <si>
    <t>整備</t>
    <rPh sb="0" eb="2">
      <t>セイビ</t>
    </rPh>
    <phoneticPr fontId="1"/>
  </si>
  <si>
    <t>巡回</t>
    <rPh sb="0" eb="2">
      <t>ジュンカイ</t>
    </rPh>
    <phoneticPr fontId="1"/>
  </si>
  <si>
    <t>渡邊</t>
    <rPh sb="0" eb="2">
      <t>ワタナベ</t>
    </rPh>
    <phoneticPr fontId="1"/>
  </si>
  <si>
    <t>1/9係長・班長会議</t>
    <rPh sb="3" eb="5">
      <t>カカリチョウ</t>
    </rPh>
    <rPh sb="6" eb="8">
      <t>ハンチョウ</t>
    </rPh>
    <rPh sb="8" eb="10">
      <t>カイギ</t>
    </rPh>
    <phoneticPr fontId="1"/>
  </si>
  <si>
    <t>1/9以降見極め(金山室長)/1/13見極め</t>
    <rPh sb="3" eb="5">
      <t>イコウ</t>
    </rPh>
    <rPh sb="5" eb="7">
      <t>ミキワ</t>
    </rPh>
    <rPh sb="9" eb="11">
      <t>カナヤマ</t>
    </rPh>
    <rPh sb="11" eb="13">
      <t>シツチョウ</t>
    </rPh>
    <rPh sb="19" eb="21">
      <t>ミキワ</t>
    </rPh>
    <phoneticPr fontId="1"/>
  </si>
  <si>
    <t>✕</t>
    <phoneticPr fontId="1"/>
  </si>
  <si>
    <t>✕</t>
    <phoneticPr fontId="1"/>
  </si>
  <si>
    <t>✕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</si>
</sst>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m/d;@"/>
    <numFmt numFmtId="177" formatCode="d&quot;日&quot;"/>
    <numFmt numFmtId="178" formatCode="m&quot;月&quot;d&quot;日&quot;;@"/>
    <numFmt numFmtId="179" formatCode="0;[Red]0"/>
    <numFmt numFmtId="180" formatCode="m"/>
  </numFmts>
  <fonts count="7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6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b/>
      <sz val="24"/>
      <color rgb="FFFF0000"/>
      <name val="游ゴシック"/>
      <family val="3"/>
      <charset val="128"/>
      <scheme val="minor"/>
    </font>
    <font>
      <sz val="24"/>
      <color theme="1"/>
      <name val="游ゴシック"/>
      <family val="3"/>
      <charset val="128"/>
      <scheme val="minor"/>
    </font>
    <font>
      <b/>
      <u/>
      <sz val="11"/>
      <color rgb="FFFF0000"/>
      <name val="游ゴシック"/>
      <family val="3"/>
      <charset val="128"/>
      <scheme val="minor"/>
    </font>
    <font>
      <u/>
      <sz val="11"/>
      <color theme="1"/>
      <name val="游ゴシック"/>
      <family val="3"/>
      <charset val="128"/>
      <scheme val="minor"/>
    </font>
    <font>
      <b/>
      <sz val="24"/>
      <name val="游ゴシック"/>
      <family val="3"/>
      <charset val="128"/>
      <scheme val="minor"/>
    </font>
    <font>
      <u/>
      <sz val="11"/>
      <name val="游ゴシック"/>
      <family val="3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18"/>
      <color theme="1"/>
      <name val="游ゴシック"/>
      <family val="2"/>
      <charset val="128"/>
      <scheme val="minor"/>
    </font>
    <font>
      <u/>
      <sz val="36"/>
      <color theme="1"/>
      <name val="游ゴシック"/>
      <family val="2"/>
      <charset val="128"/>
      <scheme val="minor"/>
    </font>
    <font>
      <b/>
      <sz val="14"/>
      <color rgb="FFFF0000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6"/>
      <name val="游ゴシック"/>
      <family val="2"/>
      <charset val="128"/>
      <scheme val="minor"/>
    </font>
    <font>
      <sz val="26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4"/>
      <color rgb="FFFF0000"/>
      <name val="ＭＳ Ｐ明朝"/>
      <family val="1"/>
      <charset val="128"/>
    </font>
    <font>
      <sz val="12"/>
      <color theme="1"/>
      <name val="ＭＳ Ｐゴシック"/>
      <family val="2"/>
      <charset val="128"/>
    </font>
    <font>
      <b/>
      <u/>
      <sz val="36"/>
      <color theme="1"/>
      <name val="游ゴシック"/>
      <family val="3"/>
      <charset val="128"/>
      <scheme val="minor"/>
    </font>
    <font>
      <b/>
      <sz val="26"/>
      <color rgb="FFFF0000"/>
      <name val="游ゴシック"/>
      <family val="3"/>
      <charset val="128"/>
      <scheme val="minor"/>
    </font>
    <font>
      <b/>
      <sz val="26"/>
      <color theme="1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b/>
      <sz val="18"/>
      <color rgb="FFFF0000"/>
      <name val="游ゴシック"/>
      <family val="3"/>
      <charset val="128"/>
      <scheme val="minor"/>
    </font>
    <font>
      <b/>
      <sz val="18"/>
      <color rgb="FFFF0000"/>
      <name val="Segoe UI Symbol"/>
      <family val="3"/>
    </font>
    <font>
      <b/>
      <sz val="18"/>
      <color theme="9"/>
      <name val="游ゴシック"/>
      <family val="3"/>
      <charset val="128"/>
      <scheme val="minor"/>
    </font>
    <font>
      <b/>
      <sz val="18"/>
      <name val="游ゴシック"/>
      <family val="3"/>
      <charset val="128"/>
      <scheme val="minor"/>
    </font>
    <font>
      <sz val="11"/>
      <color theme="1"/>
      <name val="ＭＳ Ｐ明朝"/>
      <family val="2"/>
      <charset val="128"/>
    </font>
    <font>
      <sz val="6"/>
      <name val="ＭＳ Ｐ明朝"/>
      <family val="2"/>
      <charset val="128"/>
    </font>
    <font>
      <sz val="8"/>
      <name val="ＭＳ Ｐ明朝"/>
      <family val="2"/>
      <charset val="128"/>
    </font>
    <font>
      <b/>
      <sz val="22"/>
      <name val="游ゴシック"/>
      <family val="3"/>
      <charset val="128"/>
      <scheme val="minor"/>
    </font>
    <font>
      <b/>
      <sz val="24"/>
      <color rgb="FFFF0000"/>
      <name val="游ゴシック"/>
      <family val="2"/>
      <charset val="128"/>
      <scheme val="minor"/>
    </font>
    <font>
      <b/>
      <sz val="24"/>
      <color rgb="FFFF0000"/>
      <name val="Segoe UI Symbol"/>
      <family val="2"/>
    </font>
    <font>
      <b/>
      <sz val="18"/>
      <name val="Segoe UI Symbol"/>
      <family val="3"/>
    </font>
    <font>
      <b/>
      <sz val="14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8"/>
      <color rgb="FF00B050"/>
      <name val="游ゴシック"/>
      <family val="3"/>
      <charset val="128"/>
      <scheme val="minor"/>
    </font>
    <font>
      <b/>
      <sz val="18"/>
      <color theme="4"/>
      <name val="游ゴシック"/>
      <family val="3"/>
      <charset val="128"/>
      <scheme val="minor"/>
    </font>
    <font>
      <b/>
      <sz val="18"/>
      <color theme="4"/>
      <name val="Segoe UI Symbol"/>
      <family val="3"/>
    </font>
    <font>
      <b/>
      <sz val="28"/>
      <color rgb="FFFF0000"/>
      <name val="游ゴシック"/>
      <family val="3"/>
      <charset val="128"/>
      <scheme val="minor"/>
    </font>
    <font>
      <b/>
      <vertAlign val="subscript"/>
      <sz val="28"/>
      <color rgb="FFFF0000"/>
      <name val="游ゴシック"/>
      <family val="3"/>
      <charset val="128"/>
      <scheme val="minor"/>
    </font>
    <font>
      <b/>
      <sz val="28"/>
      <name val="游ゴシック"/>
      <family val="3"/>
      <charset val="128"/>
      <scheme val="minor"/>
    </font>
    <font>
      <b/>
      <sz val="18"/>
      <color rgb="FF7030A0"/>
      <name val="游ゴシック"/>
      <family val="3"/>
      <charset val="128"/>
      <scheme val="minor"/>
    </font>
    <font>
      <b/>
      <sz val="48"/>
      <color rgb="FFFF0000"/>
      <name val="游ゴシック"/>
      <family val="3"/>
      <charset val="128"/>
      <scheme val="minor"/>
    </font>
    <font>
      <b/>
      <sz val="48"/>
      <name val="游ゴシック"/>
      <family val="3"/>
      <charset val="128"/>
      <scheme val="minor"/>
    </font>
    <font>
      <b/>
      <sz val="10"/>
      <color rgb="FFFF0000"/>
      <name val="游ゴシック"/>
      <family val="3"/>
      <charset val="128"/>
      <scheme val="minor"/>
    </font>
    <font>
      <b/>
      <sz val="16"/>
      <color rgb="FFFF0000"/>
      <name val="游ゴシック"/>
      <family val="3"/>
      <charset val="128"/>
      <scheme val="minor"/>
    </font>
    <font>
      <b/>
      <sz val="12"/>
      <color rgb="FFFF0000"/>
      <name val="游ゴシック"/>
      <family val="3"/>
      <charset val="128"/>
      <scheme val="minor"/>
    </font>
    <font>
      <sz val="18"/>
      <name val="游ゴシック"/>
      <family val="3"/>
      <charset val="128"/>
      <scheme val="minor"/>
    </font>
    <font>
      <sz val="16"/>
      <name val="游ゴシック"/>
      <family val="3"/>
      <charset val="128"/>
      <scheme val="minor"/>
    </font>
    <font>
      <b/>
      <sz val="26"/>
      <name val="游ゴシック"/>
      <family val="3"/>
      <charset val="128"/>
      <scheme val="minor"/>
    </font>
    <font>
      <b/>
      <sz val="20"/>
      <name val="游ゴシック"/>
      <family val="3"/>
      <charset val="128"/>
      <scheme val="minor"/>
    </font>
    <font>
      <b/>
      <u/>
      <sz val="36"/>
      <name val="游ゴシック"/>
      <family val="3"/>
      <charset val="128"/>
      <scheme val="minor"/>
    </font>
    <font>
      <u/>
      <sz val="36"/>
      <name val="游ゴシック"/>
      <family val="3"/>
      <charset val="128"/>
      <scheme val="minor"/>
    </font>
    <font>
      <b/>
      <u/>
      <sz val="11"/>
      <name val="游ゴシック"/>
      <family val="3"/>
      <charset val="128"/>
      <scheme val="minor"/>
    </font>
    <font>
      <b/>
      <u/>
      <sz val="26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vertAlign val="subscript"/>
      <sz val="28"/>
      <name val="游ゴシック"/>
      <family val="3"/>
      <charset val="128"/>
      <scheme val="minor"/>
    </font>
    <font>
      <sz val="2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b/>
      <sz val="20"/>
      <color rgb="FFFF0000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b/>
      <sz val="22"/>
      <color indexed="81"/>
      <name val="MS P 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229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/>
      <right/>
      <top style="double">
        <color rgb="FFFF0000"/>
      </top>
      <bottom/>
      <diagonal/>
    </border>
    <border>
      <left/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ck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double">
        <color rgb="FFFF0000"/>
      </left>
      <right/>
      <top/>
      <bottom style="medium">
        <color auto="1"/>
      </bottom>
      <diagonal/>
    </border>
    <border>
      <left/>
      <right/>
      <top/>
      <bottom style="double">
        <color rgb="FFFF0000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indexed="64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indexed="64"/>
      </bottom>
      <diagonal/>
    </border>
    <border>
      <left/>
      <right/>
      <top style="hair">
        <color auto="1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double">
        <color indexed="64"/>
      </bottom>
      <diagonal/>
    </border>
    <border>
      <left style="hair">
        <color auto="1"/>
      </left>
      <right/>
      <top style="hair">
        <color auto="1"/>
      </top>
      <bottom style="double">
        <color indexed="64"/>
      </bottom>
      <diagonal/>
    </border>
    <border>
      <left style="thick">
        <color auto="1"/>
      </left>
      <right style="medium">
        <color auto="1"/>
      </right>
      <top/>
      <bottom style="double">
        <color indexed="64"/>
      </bottom>
      <diagonal/>
    </border>
    <border>
      <left style="mediumDashed">
        <color auto="1"/>
      </left>
      <right/>
      <top style="mediumDashed">
        <color auto="1"/>
      </top>
      <bottom style="thin">
        <color auto="1"/>
      </bottom>
      <diagonal/>
    </border>
    <border>
      <left/>
      <right/>
      <top style="mediumDashed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Dashed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mediumDashed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mediumDashed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Dashed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mediumDashed">
        <color auto="1"/>
      </bottom>
      <diagonal/>
    </border>
    <border>
      <left style="hair">
        <color auto="1"/>
      </left>
      <right style="medium">
        <color auto="1"/>
      </right>
      <top/>
      <bottom style="mediumDashed">
        <color auto="1"/>
      </bottom>
      <diagonal/>
    </border>
    <border>
      <left style="thick">
        <color auto="1"/>
      </left>
      <right style="medium">
        <color auto="1"/>
      </right>
      <top/>
      <bottom style="mediumDashed">
        <color auto="1"/>
      </bottom>
      <diagonal/>
    </border>
    <border>
      <left/>
      <right style="thin">
        <color auto="1"/>
      </right>
      <top style="mediumDashed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Dashed">
        <color auto="1"/>
      </top>
      <bottom style="thin">
        <color auto="1"/>
      </bottom>
      <diagonal/>
    </border>
    <border>
      <left style="medium">
        <color auto="1"/>
      </left>
      <right style="mediumDashed">
        <color auto="1"/>
      </right>
      <top style="mediumDashed">
        <color auto="1"/>
      </top>
      <bottom style="thin">
        <color auto="1"/>
      </bottom>
      <diagonal/>
    </border>
    <border>
      <left style="mediumDashed">
        <color auto="1"/>
      </left>
      <right/>
      <top style="thin">
        <color auto="1"/>
      </top>
      <bottom style="mediumDashed">
        <color auto="1"/>
      </bottom>
      <diagonal/>
    </border>
    <border>
      <left/>
      <right style="thin">
        <color auto="1"/>
      </right>
      <top style="thin">
        <color auto="1"/>
      </top>
      <bottom style="mediumDashed">
        <color auto="1"/>
      </bottom>
      <diagonal/>
    </border>
    <border>
      <left style="thin">
        <color auto="1"/>
      </left>
      <right style="medium">
        <color auto="1"/>
      </right>
      <top/>
      <bottom style="mediumDashed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Dashed">
        <color auto="1"/>
      </bottom>
      <diagonal/>
    </border>
    <border>
      <left style="thick">
        <color auto="1"/>
      </left>
      <right style="medium">
        <color auto="1"/>
      </right>
      <top style="thin">
        <color auto="1"/>
      </top>
      <bottom style="mediumDashed">
        <color auto="1"/>
      </bottom>
      <diagonal/>
    </border>
    <border>
      <left style="medium">
        <color auto="1"/>
      </left>
      <right style="mediumDashed">
        <color auto="1"/>
      </right>
      <top style="thin">
        <color auto="1"/>
      </top>
      <bottom style="mediumDashed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double">
        <color indexed="64"/>
      </bottom>
      <diagonal/>
    </border>
    <border>
      <left style="medium">
        <color auto="1"/>
      </left>
      <right/>
      <top style="mediumDashed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Dashed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/>
      <diagonal/>
    </border>
    <border>
      <left style="medium">
        <color auto="1"/>
      </left>
      <right style="thick">
        <color auto="1"/>
      </right>
      <top style="thin">
        <color auto="1"/>
      </top>
      <bottom style="double">
        <color auto="1"/>
      </bottom>
      <diagonal/>
    </border>
    <border diagonalUp="1">
      <left style="thick">
        <color auto="1"/>
      </left>
      <right style="medium">
        <color auto="1"/>
      </right>
      <top style="double">
        <color auto="1"/>
      </top>
      <bottom style="thin">
        <color auto="1"/>
      </bottom>
      <diagonal style="thin">
        <color auto="1"/>
      </diagonal>
    </border>
    <border diagonalUp="1">
      <left style="medium">
        <color auto="1"/>
      </left>
      <right style="thick">
        <color auto="1"/>
      </right>
      <top style="double">
        <color auto="1"/>
      </top>
      <bottom style="thin">
        <color auto="1"/>
      </bottom>
      <diagonal style="thin">
        <color auto="1"/>
      </diagonal>
    </border>
    <border diagonalUp="1">
      <left style="thick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ck">
        <color auto="1"/>
      </left>
      <right style="medium">
        <color auto="1"/>
      </right>
      <top style="thin">
        <color auto="1"/>
      </top>
      <bottom style="double">
        <color auto="1"/>
      </bottom>
      <diagonal style="thin">
        <color auto="1"/>
      </diagonal>
    </border>
    <border diagonalUp="1">
      <left style="medium">
        <color auto="1"/>
      </left>
      <right style="thick">
        <color auto="1"/>
      </right>
      <top style="thin">
        <color auto="1"/>
      </top>
      <bottom style="double">
        <color auto="1"/>
      </bottom>
      <diagonal style="thin">
        <color auto="1"/>
      </diagonal>
    </border>
    <border>
      <left style="medium">
        <color auto="1"/>
      </left>
      <right style="thick">
        <color auto="1"/>
      </right>
      <top style="hair">
        <color auto="1"/>
      </top>
      <bottom style="thin">
        <color indexed="64"/>
      </bottom>
      <diagonal/>
    </border>
    <border>
      <left style="medium">
        <color auto="1"/>
      </left>
      <right style="thick">
        <color auto="1"/>
      </right>
      <top/>
      <bottom/>
      <diagonal/>
    </border>
    <border>
      <left style="medium">
        <color auto="1"/>
      </left>
      <right style="thick">
        <color auto="1"/>
      </right>
      <top style="mediumDashed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mediumDashed">
        <color auto="1"/>
      </bottom>
      <diagonal/>
    </border>
    <border diagonalUp="1">
      <left style="thick">
        <color auto="1"/>
      </left>
      <right style="medium">
        <color auto="1"/>
      </right>
      <top/>
      <bottom style="medium">
        <color auto="1"/>
      </bottom>
      <diagonal style="thin">
        <color auto="1"/>
      </diagonal>
    </border>
    <border diagonalUp="1">
      <left style="medium">
        <color auto="1"/>
      </left>
      <right style="thick">
        <color auto="1"/>
      </right>
      <top/>
      <bottom style="medium">
        <color auto="1"/>
      </bottom>
      <diagonal style="thin">
        <color auto="1"/>
      </diagonal>
    </border>
    <border diagonalUp="1">
      <left style="thick">
        <color auto="1"/>
      </left>
      <right style="medium">
        <color auto="1"/>
      </right>
      <top style="medium">
        <color auto="1"/>
      </top>
      <bottom style="thin">
        <color auto="1"/>
      </bottom>
      <diagonal style="thin">
        <color auto="1"/>
      </diagonal>
    </border>
    <border diagonalUp="1">
      <left style="medium">
        <color auto="1"/>
      </left>
      <right style="thick">
        <color auto="1"/>
      </right>
      <top style="medium">
        <color auto="1"/>
      </top>
      <bottom style="thin">
        <color auto="1"/>
      </bottom>
      <diagonal style="thin">
        <color auto="1"/>
      </diagonal>
    </border>
    <border diagonalUp="1">
      <left style="thick">
        <color auto="1"/>
      </left>
      <right style="medium">
        <color auto="1"/>
      </right>
      <top/>
      <bottom style="thin">
        <color auto="1"/>
      </bottom>
      <diagonal style="thin">
        <color auto="1"/>
      </diagonal>
    </border>
    <border diagonalUp="1">
      <left style="medium">
        <color auto="1"/>
      </left>
      <right style="thick">
        <color auto="1"/>
      </right>
      <top/>
      <bottom style="thin">
        <color auto="1"/>
      </bottom>
      <diagonal style="thin">
        <color auto="1"/>
      </diagonal>
    </border>
    <border diagonalUp="1">
      <left style="thick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medium">
        <color auto="1"/>
      </left>
      <right style="thick">
        <color auto="1"/>
      </right>
      <top style="thin">
        <color auto="1"/>
      </top>
      <bottom/>
      <diagonal style="thin">
        <color auto="1"/>
      </diagonal>
    </border>
    <border>
      <left/>
      <right/>
      <top style="double">
        <color auto="1"/>
      </top>
      <bottom/>
      <diagonal/>
    </border>
    <border>
      <left/>
      <right/>
      <top style="double">
        <color auto="1"/>
      </top>
      <bottom style="medium">
        <color auto="1"/>
      </bottom>
      <diagonal/>
    </border>
    <border diagonalUp="1">
      <left style="medium">
        <color auto="1"/>
      </left>
      <right style="medium">
        <color auto="1"/>
      </right>
      <top style="double">
        <color auto="1"/>
      </top>
      <bottom style="thin">
        <color auto="1"/>
      </bottom>
      <diagonal style="thin">
        <color auto="1"/>
      </diagonal>
    </border>
    <border diagonalUp="1">
      <left style="medium">
        <color auto="1"/>
      </left>
      <right style="medium">
        <color auto="1"/>
      </right>
      <top/>
      <bottom style="thin">
        <color auto="1"/>
      </bottom>
      <diagonal style="thin">
        <color auto="1"/>
      </diagonal>
    </border>
    <border diagonalUp="1"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medium">
        <color auto="1"/>
      </left>
      <right style="medium">
        <color auto="1"/>
      </right>
      <top style="thin">
        <color auto="1"/>
      </top>
      <bottom style="double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/>
      <right/>
      <top style="thin">
        <color auto="1"/>
      </top>
      <bottom style="mediumDashed">
        <color auto="1"/>
      </bottom>
      <diagonal/>
    </border>
    <border>
      <left style="mediumDashed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double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ed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Dashed">
        <color auto="1"/>
      </bottom>
      <diagonal/>
    </border>
    <border>
      <left style="double">
        <color auto="1"/>
      </left>
      <right style="thin">
        <color auto="1"/>
      </right>
      <top style="mediumDash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ed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mediumDashed">
        <color auto="1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 diagonalUp="1">
      <left style="double">
        <color auto="1"/>
      </left>
      <right style="thin">
        <color auto="1"/>
      </right>
      <top style="thin">
        <color auto="1"/>
      </top>
      <bottom style="mediumDashed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mediumDashed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hair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 style="double">
        <color auto="1"/>
      </left>
      <right/>
      <top style="medium">
        <color auto="1"/>
      </top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 style="medium">
        <color indexed="64"/>
      </left>
      <right/>
      <top style="double">
        <color auto="1"/>
      </top>
      <bottom style="medium">
        <color auto="1"/>
      </bottom>
      <diagonal/>
    </border>
    <border>
      <left/>
      <right style="medium">
        <color indexed="64"/>
      </right>
      <top style="double">
        <color auto="1"/>
      </top>
      <bottom style="medium">
        <color auto="1"/>
      </bottom>
      <diagonal/>
    </border>
    <border>
      <left style="medium">
        <color indexed="64"/>
      </left>
      <right style="medium">
        <color auto="1"/>
      </right>
      <top style="thick">
        <color auto="1"/>
      </top>
      <bottom/>
      <diagonal/>
    </border>
    <border diagonalUp="1">
      <left style="medium">
        <color indexed="64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medium">
        <color indexed="64"/>
      </left>
      <right style="medium">
        <color auto="1"/>
      </right>
      <top style="medium">
        <color auto="1"/>
      </top>
      <bottom/>
      <diagonal style="thin">
        <color auto="1"/>
      </diagonal>
    </border>
    <border diagonalUp="1">
      <left style="medium">
        <color indexed="64"/>
      </left>
      <right style="medium">
        <color auto="1"/>
      </right>
      <top/>
      <bottom/>
      <diagonal style="thin">
        <color auto="1"/>
      </diagonal>
    </border>
    <border diagonalUp="1">
      <left/>
      <right/>
      <top style="medium">
        <color auto="1"/>
      </top>
      <bottom/>
      <diagonal style="thin">
        <color auto="1"/>
      </diagonal>
    </border>
    <border diagonalUp="1">
      <left/>
      <right/>
      <top style="thin">
        <color indexed="64"/>
      </top>
      <bottom style="thin">
        <color indexed="64"/>
      </bottom>
      <diagonal style="thin">
        <color auto="1"/>
      </diagonal>
    </border>
    <border diagonalUp="1">
      <left style="medium">
        <color auto="1"/>
      </left>
      <right style="medium">
        <color auto="1"/>
      </right>
      <top/>
      <bottom style="double">
        <color auto="1"/>
      </bottom>
      <diagonal style="thin">
        <color auto="1"/>
      </diagonal>
    </border>
    <border diagonalUp="1">
      <left style="double">
        <color auto="1"/>
      </left>
      <right style="thin">
        <color auto="1"/>
      </right>
      <top style="thin">
        <color auto="1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double">
        <color auto="1"/>
      </right>
      <top style="thin">
        <color auto="1"/>
      </top>
      <bottom style="thin">
        <color indexed="64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mediumDashed">
        <color auto="1"/>
      </bottom>
      <diagonal/>
    </border>
    <border>
      <left/>
      <right style="double">
        <color auto="1"/>
      </right>
      <top style="thin">
        <color auto="1"/>
      </top>
      <bottom style="mediumDashed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 diagonalUp="1"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 style="thin">
        <color auto="1"/>
      </diagonal>
    </border>
  </borders>
  <cellStyleXfs count="2">
    <xf numFmtId="0" fontId="0" fillId="0" borderId="0">
      <alignment vertical="center"/>
    </xf>
    <xf numFmtId="0" fontId="32" fillId="0" borderId="0">
      <alignment vertical="center"/>
    </xf>
  </cellStyleXfs>
  <cellXfs count="670">
    <xf numFmtId="0" fontId="0" fillId="0" borderId="0" xfId="0">
      <alignment vertical="center"/>
    </xf>
    <xf numFmtId="0" fontId="6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177" fontId="21" fillId="0" borderId="20" xfId="0" applyNumberFormat="1" applyFont="1" applyBorder="1" applyAlignment="1">
      <alignment horizontal="center" vertical="center"/>
    </xf>
    <xf numFmtId="177" fontId="21" fillId="0" borderId="21" xfId="0" applyNumberFormat="1" applyFont="1" applyBorder="1" applyAlignment="1">
      <alignment horizontal="center" vertical="center"/>
    </xf>
    <xf numFmtId="177" fontId="21" fillId="0" borderId="30" xfId="0" applyNumberFormat="1" applyFont="1" applyBorder="1" applyAlignment="1">
      <alignment horizontal="center" vertical="center"/>
    </xf>
    <xf numFmtId="178" fontId="0" fillId="0" borderId="0" xfId="0" applyNumberFormat="1">
      <alignment vertical="center"/>
    </xf>
    <xf numFmtId="178" fontId="0" fillId="0" borderId="27" xfId="0" applyNumberFormat="1" applyBorder="1">
      <alignment vertical="center"/>
    </xf>
    <xf numFmtId="14" fontId="0" fillId="0" borderId="27" xfId="0" applyNumberFormat="1" applyBorder="1">
      <alignment vertical="center"/>
    </xf>
    <xf numFmtId="177" fontId="0" fillId="0" borderId="0" xfId="0" applyNumberFormat="1">
      <alignment vertical="center"/>
    </xf>
    <xf numFmtId="0" fontId="7" fillId="2" borderId="16" xfId="0" applyFont="1" applyFill="1" applyBorder="1" applyAlignment="1">
      <alignment horizontal="center" vertical="center"/>
    </xf>
    <xf numFmtId="0" fontId="22" fillId="2" borderId="33" xfId="0" applyFont="1" applyFill="1" applyBorder="1" applyAlignment="1">
      <alignment horizontal="center" vertical="center" wrapText="1"/>
    </xf>
    <xf numFmtId="177" fontId="21" fillId="2" borderId="30" xfId="0" applyNumberFormat="1" applyFont="1" applyFill="1" applyBorder="1" applyAlignment="1">
      <alignment horizontal="center" vertical="center"/>
    </xf>
    <xf numFmtId="0" fontId="0" fillId="0" borderId="27" xfId="0" applyBorder="1">
      <alignment vertical="center"/>
    </xf>
    <xf numFmtId="177" fontId="21" fillId="2" borderId="20" xfId="0" applyNumberFormat="1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22" fillId="2" borderId="34" xfId="0" applyFont="1" applyFill="1" applyBorder="1" applyAlignment="1">
      <alignment horizontal="left" vertical="top" wrapText="1"/>
    </xf>
    <xf numFmtId="177" fontId="21" fillId="0" borderId="45" xfId="0" applyNumberFormat="1" applyFont="1" applyBorder="1" applyAlignment="1">
      <alignment horizontal="center" vertical="center"/>
    </xf>
    <xf numFmtId="177" fontId="21" fillId="2" borderId="52" xfId="0" applyNumberFormat="1" applyFont="1" applyFill="1" applyBorder="1" applyAlignment="1">
      <alignment horizontal="center" vertical="center"/>
    </xf>
    <xf numFmtId="0" fontId="32" fillId="0" borderId="0" xfId="1">
      <alignment vertical="center"/>
    </xf>
    <xf numFmtId="178" fontId="32" fillId="0" borderId="0" xfId="1" applyNumberFormat="1">
      <alignment vertical="center"/>
    </xf>
    <xf numFmtId="0" fontId="0" fillId="0" borderId="0" xfId="0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alignment vertical="center"/>
      <protection locked="0"/>
    </xf>
    <xf numFmtId="0" fontId="4" fillId="0" borderId="0" xfId="0" applyFo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2" fillId="0" borderId="0" xfId="0" applyFont="1" applyProtection="1">
      <alignment vertical="center"/>
      <protection locked="0"/>
    </xf>
    <xf numFmtId="0" fontId="24" fillId="0" borderId="0" xfId="0" applyFont="1" applyAlignment="1" applyProtection="1">
      <alignment horizontal="left" vertical="center"/>
      <protection locked="0"/>
    </xf>
    <xf numFmtId="0" fontId="16" fillId="0" borderId="0" xfId="0" applyFont="1" applyProtection="1">
      <alignment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24" fillId="0" borderId="0" xfId="0" applyFont="1" applyProtection="1">
      <alignment vertical="center"/>
      <protection locked="0"/>
    </xf>
    <xf numFmtId="0" fontId="11" fillId="0" borderId="0" xfId="0" applyFo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7" fillId="0" borderId="36" xfId="0" applyFont="1" applyBorder="1" applyAlignment="1" applyProtection="1">
      <alignment horizontal="center" vertical="center" wrapText="1"/>
      <protection locked="0"/>
    </xf>
    <xf numFmtId="0" fontId="17" fillId="3" borderId="27" xfId="0" applyFont="1" applyFill="1" applyBorder="1" applyProtection="1">
      <alignment vertical="center"/>
      <protection locked="0"/>
    </xf>
    <xf numFmtId="0" fontId="17" fillId="5" borderId="27" xfId="0" applyFont="1" applyFill="1" applyBorder="1" applyProtection="1">
      <alignment vertical="center"/>
      <protection locked="0"/>
    </xf>
    <xf numFmtId="0" fontId="17" fillId="4" borderId="27" xfId="0" applyFont="1" applyFill="1" applyBorder="1" applyProtection="1">
      <alignment vertical="center"/>
      <protection locked="0"/>
    </xf>
    <xf numFmtId="0" fontId="17" fillId="0" borderId="0" xfId="0" applyFont="1" applyProtection="1">
      <alignment vertical="center"/>
      <protection locked="0"/>
    </xf>
    <xf numFmtId="0" fontId="9" fillId="0" borderId="0" xfId="0" applyFont="1" applyProtection="1">
      <alignment vertical="center"/>
      <protection locked="0"/>
    </xf>
    <xf numFmtId="0" fontId="12" fillId="0" borderId="25" xfId="0" applyFont="1" applyBorder="1" applyProtection="1">
      <alignment vertical="center"/>
      <protection locked="0"/>
    </xf>
    <xf numFmtId="0" fontId="12" fillId="0" borderId="0" xfId="0" applyFont="1" applyProtection="1">
      <alignment vertical="center"/>
      <protection locked="0"/>
    </xf>
    <xf numFmtId="0" fontId="27" fillId="0" borderId="57" xfId="0" applyFont="1" applyBorder="1" applyProtection="1">
      <alignment vertical="center"/>
      <protection locked="0"/>
    </xf>
    <xf numFmtId="0" fontId="27" fillId="0" borderId="2" xfId="0" applyFont="1" applyBorder="1" applyProtection="1">
      <alignment vertical="center"/>
      <protection locked="0"/>
    </xf>
    <xf numFmtId="0" fontId="6" fillId="0" borderId="0" xfId="0" applyFo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177" fontId="21" fillId="0" borderId="52" xfId="0" applyNumberFormat="1" applyFont="1" applyBorder="1" applyAlignment="1">
      <alignment horizontal="center" vertical="center"/>
    </xf>
    <xf numFmtId="177" fontId="39" fillId="0" borderId="21" xfId="0" applyNumberFormat="1" applyFont="1" applyBorder="1" applyAlignment="1">
      <alignment horizontal="center" vertical="center"/>
    </xf>
    <xf numFmtId="0" fontId="31" fillId="7" borderId="8" xfId="0" applyFont="1" applyFill="1" applyBorder="1" applyAlignment="1">
      <alignment horizontal="center" vertical="center" shrinkToFit="1"/>
    </xf>
    <xf numFmtId="0" fontId="31" fillId="0" borderId="7" xfId="0" applyFont="1" applyBorder="1" applyAlignment="1">
      <alignment horizontal="center" vertical="center" shrinkToFit="1"/>
    </xf>
    <xf numFmtId="0" fontId="31" fillId="0" borderId="8" xfId="0" applyFont="1" applyBorder="1" applyAlignment="1">
      <alignment horizontal="center" vertical="center" shrinkToFit="1"/>
    </xf>
    <xf numFmtId="0" fontId="31" fillId="0" borderId="9" xfId="0" applyFont="1" applyBorder="1" applyAlignment="1">
      <alignment horizontal="center" vertical="center" shrinkToFit="1"/>
    </xf>
    <xf numFmtId="0" fontId="7" fillId="2" borderId="74" xfId="0" applyFont="1" applyFill="1" applyBorder="1" applyAlignment="1">
      <alignment horizontal="center" vertical="center"/>
    </xf>
    <xf numFmtId="0" fontId="7" fillId="2" borderId="77" xfId="0" applyFont="1" applyFill="1" applyBorder="1" applyAlignment="1">
      <alignment horizontal="center" vertical="center"/>
    </xf>
    <xf numFmtId="0" fontId="31" fillId="3" borderId="5" xfId="0" applyFont="1" applyFill="1" applyBorder="1" applyAlignment="1">
      <alignment horizontal="center" vertical="center" shrinkToFit="1"/>
    </xf>
    <xf numFmtId="0" fontId="31" fillId="6" borderId="7" xfId="0" applyFont="1" applyFill="1" applyBorder="1" applyAlignment="1">
      <alignment horizontal="center" vertical="center" shrinkToFit="1"/>
    </xf>
    <xf numFmtId="0" fontId="31" fillId="6" borderId="8" xfId="0" applyFont="1" applyFill="1" applyBorder="1" applyAlignment="1">
      <alignment horizontal="center" vertical="center" shrinkToFit="1"/>
    </xf>
    <xf numFmtId="0" fontId="40" fillId="2" borderId="14" xfId="0" applyFont="1" applyFill="1" applyBorder="1" applyAlignment="1">
      <alignment horizontal="center" vertical="center" wrapText="1"/>
    </xf>
    <xf numFmtId="0" fontId="31" fillId="6" borderId="41" xfId="0" applyFont="1" applyFill="1" applyBorder="1" applyAlignment="1">
      <alignment horizontal="center" vertical="center" shrinkToFit="1"/>
    </xf>
    <xf numFmtId="0" fontId="31" fillId="0" borderId="2" xfId="0" applyFont="1" applyBorder="1" applyAlignment="1">
      <alignment horizontal="center" vertical="center" shrinkToFit="1"/>
    </xf>
    <xf numFmtId="0" fontId="31" fillId="0" borderId="40" xfId="0" applyFont="1" applyBorder="1" applyAlignment="1">
      <alignment horizontal="center" vertical="center" shrinkToFit="1"/>
    </xf>
    <xf numFmtId="0" fontId="31" fillId="2" borderId="40" xfId="0" applyFont="1" applyFill="1" applyBorder="1" applyAlignment="1">
      <alignment horizontal="center" vertical="center" shrinkToFit="1"/>
    </xf>
    <xf numFmtId="0" fontId="31" fillId="0" borderId="28" xfId="0" applyFont="1" applyBorder="1" applyAlignment="1">
      <alignment horizontal="center" vertical="center" shrinkToFit="1"/>
    </xf>
    <xf numFmtId="0" fontId="31" fillId="6" borderId="40" xfId="0" applyFont="1" applyFill="1" applyBorder="1" applyAlignment="1">
      <alignment horizontal="center" vertical="center" shrinkToFit="1"/>
    </xf>
    <xf numFmtId="0" fontId="28" fillId="0" borderId="7" xfId="0" applyFont="1" applyBorder="1" applyAlignment="1">
      <alignment horizontal="center" vertical="center" shrinkToFit="1"/>
    </xf>
    <xf numFmtId="179" fontId="26" fillId="0" borderId="11" xfId="0" applyNumberFormat="1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2" fillId="2" borderId="34" xfId="0" applyFont="1" applyFill="1" applyBorder="1" applyAlignment="1">
      <alignment horizontal="center" vertical="top" wrapText="1"/>
    </xf>
    <xf numFmtId="179" fontId="26" fillId="0" borderId="4" xfId="0" applyNumberFormat="1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56" fontId="22" fillId="2" borderId="35" xfId="0" applyNumberFormat="1" applyFont="1" applyFill="1" applyBorder="1" applyAlignment="1">
      <alignment horizontal="center" vertical="top" wrapText="1"/>
    </xf>
    <xf numFmtId="179" fontId="26" fillId="0" borderId="44" xfId="0" applyNumberFormat="1" applyFont="1" applyBorder="1" applyAlignment="1">
      <alignment horizontal="center" vertical="center"/>
    </xf>
    <xf numFmtId="0" fontId="25" fillId="0" borderId="44" xfId="0" applyFont="1" applyBorder="1" applyAlignment="1">
      <alignment horizontal="center" vertical="center"/>
    </xf>
    <xf numFmtId="0" fontId="22" fillId="2" borderId="80" xfId="0" applyFont="1" applyFill="1" applyBorder="1" applyAlignment="1">
      <alignment horizontal="center" vertical="top" wrapText="1"/>
    </xf>
    <xf numFmtId="179" fontId="26" fillId="0" borderId="73" xfId="0" applyNumberFormat="1" applyFont="1" applyBorder="1" applyAlignment="1">
      <alignment horizontal="center" vertical="center"/>
    </xf>
    <xf numFmtId="0" fontId="25" fillId="0" borderId="73" xfId="0" applyFont="1" applyBorder="1" applyAlignment="1">
      <alignment horizontal="center" vertical="center"/>
    </xf>
    <xf numFmtId="179" fontId="26" fillId="0" borderId="43" xfId="0" applyNumberFormat="1" applyFont="1" applyBorder="1" applyAlignment="1">
      <alignment horizontal="center" vertical="center"/>
    </xf>
    <xf numFmtId="0" fontId="25" fillId="0" borderId="43" xfId="0" applyFont="1" applyBorder="1" applyAlignment="1">
      <alignment horizontal="center" vertical="center"/>
    </xf>
    <xf numFmtId="0" fontId="22" fillId="2" borderId="34" xfId="0" applyFont="1" applyFill="1" applyBorder="1" applyAlignment="1">
      <alignment horizontal="center" vertical="center" wrapText="1"/>
    </xf>
    <xf numFmtId="0" fontId="40" fillId="2" borderId="18" xfId="0" applyFont="1" applyFill="1" applyBorder="1" applyAlignment="1">
      <alignment horizontal="center" vertical="center" wrapText="1"/>
    </xf>
    <xf numFmtId="0" fontId="31" fillId="3" borderId="17" xfId="0" applyFont="1" applyFill="1" applyBorder="1" applyAlignment="1">
      <alignment horizontal="center" vertical="center" shrinkToFit="1"/>
    </xf>
    <xf numFmtId="0" fontId="31" fillId="3" borderId="48" xfId="0" applyFont="1" applyFill="1" applyBorder="1" applyAlignment="1">
      <alignment horizontal="center" vertical="center" shrinkToFit="1"/>
    </xf>
    <xf numFmtId="0" fontId="28" fillId="0" borderId="40" xfId="0" applyFont="1" applyBorder="1" applyAlignment="1">
      <alignment horizontal="center" vertical="center" shrinkToFit="1"/>
    </xf>
    <xf numFmtId="56" fontId="22" fillId="2" borderId="32" xfId="0" applyNumberFormat="1" applyFont="1" applyFill="1" applyBorder="1" applyAlignment="1">
      <alignment horizontal="center" vertical="top" wrapText="1"/>
    </xf>
    <xf numFmtId="179" fontId="26" fillId="0" borderId="17" xfId="0" applyNumberFormat="1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18" fillId="0" borderId="85" xfId="0" applyFont="1" applyBorder="1" applyAlignment="1">
      <alignment horizontal="center" vertical="center"/>
    </xf>
    <xf numFmtId="0" fontId="18" fillId="0" borderId="86" xfId="0" applyFont="1" applyBorder="1" applyAlignment="1">
      <alignment horizontal="center" vertical="center"/>
    </xf>
    <xf numFmtId="0" fontId="18" fillId="0" borderId="87" xfId="0" applyFont="1" applyBorder="1" applyAlignment="1">
      <alignment horizontal="center" vertical="center"/>
    </xf>
    <xf numFmtId="0" fontId="18" fillId="2" borderId="86" xfId="0" applyFont="1" applyFill="1" applyBorder="1" applyAlignment="1">
      <alignment horizontal="center" vertical="center"/>
    </xf>
    <xf numFmtId="0" fontId="18" fillId="0" borderId="88" xfId="0" applyFont="1" applyBorder="1" applyAlignment="1">
      <alignment horizontal="center" vertical="center"/>
    </xf>
    <xf numFmtId="0" fontId="18" fillId="0" borderId="89" xfId="0" applyFont="1" applyBorder="1" applyAlignment="1">
      <alignment horizontal="center" vertical="center"/>
    </xf>
    <xf numFmtId="0" fontId="18" fillId="2" borderId="87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 shrinkToFit="1"/>
    </xf>
    <xf numFmtId="0" fontId="42" fillId="0" borderId="8" xfId="0" applyFont="1" applyBorder="1" applyAlignment="1">
      <alignment horizontal="center" vertical="center" shrinkToFit="1"/>
    </xf>
    <xf numFmtId="0" fontId="42" fillId="3" borderId="6" xfId="0" applyFont="1" applyFill="1" applyBorder="1" applyAlignment="1">
      <alignment horizontal="center" vertical="center" shrinkToFit="1"/>
    </xf>
    <xf numFmtId="0" fontId="42" fillId="3" borderId="5" xfId="0" applyFont="1" applyFill="1" applyBorder="1" applyAlignment="1">
      <alignment horizontal="center" vertical="center" shrinkToFit="1"/>
    </xf>
    <xf numFmtId="0" fontId="42" fillId="0" borderId="9" xfId="0" applyFont="1" applyBorder="1" applyAlignment="1">
      <alignment horizontal="center" vertical="center" shrinkToFit="1"/>
    </xf>
    <xf numFmtId="0" fontId="42" fillId="0" borderId="28" xfId="0" applyFont="1" applyBorder="1" applyAlignment="1">
      <alignment horizontal="center" vertical="center" wrapText="1" shrinkToFit="1"/>
    </xf>
    <xf numFmtId="0" fontId="42" fillId="7" borderId="28" xfId="0" applyFont="1" applyFill="1" applyBorder="1" applyAlignment="1">
      <alignment horizontal="center" vertical="center" shrinkToFit="1"/>
    </xf>
    <xf numFmtId="0" fontId="42" fillId="0" borderId="2" xfId="0" applyFont="1" applyBorder="1" applyAlignment="1">
      <alignment horizontal="center" vertical="center" shrinkToFit="1"/>
    </xf>
    <xf numFmtId="0" fontId="43" fillId="6" borderId="8" xfId="0" applyFont="1" applyFill="1" applyBorder="1" applyAlignment="1">
      <alignment horizontal="center" vertical="center" shrinkToFit="1"/>
    </xf>
    <xf numFmtId="0" fontId="29" fillId="0" borderId="7" xfId="0" applyFont="1" applyBorder="1" applyAlignment="1">
      <alignment horizontal="center" vertical="center" shrinkToFit="1"/>
    </xf>
    <xf numFmtId="0" fontId="28" fillId="0" borderId="2" xfId="0" applyFont="1" applyBorder="1" applyAlignment="1">
      <alignment horizontal="center" vertical="center" shrinkToFit="1"/>
    </xf>
    <xf numFmtId="0" fontId="42" fillId="3" borderId="4" xfId="0" applyFont="1" applyFill="1" applyBorder="1" applyAlignment="1">
      <alignment horizontal="center" vertical="center" shrinkToFit="1"/>
    </xf>
    <xf numFmtId="179" fontId="26" fillId="0" borderId="96" xfId="0" applyNumberFormat="1" applyFont="1" applyBorder="1" applyAlignment="1">
      <alignment horizontal="center" vertical="center"/>
    </xf>
    <xf numFmtId="0" fontId="31" fillId="6" borderId="13" xfId="0" applyFont="1" applyFill="1" applyBorder="1" applyAlignment="1">
      <alignment horizontal="center" vertical="center" shrinkToFit="1"/>
    </xf>
    <xf numFmtId="0" fontId="7" fillId="2" borderId="101" xfId="0" applyFont="1" applyFill="1" applyBorder="1" applyAlignment="1">
      <alignment horizontal="center" vertical="center"/>
    </xf>
    <xf numFmtId="0" fontId="31" fillId="6" borderId="93" xfId="0" applyFont="1" applyFill="1" applyBorder="1" applyAlignment="1">
      <alignment horizontal="center" vertical="center" shrinkToFit="1"/>
    </xf>
    <xf numFmtId="0" fontId="25" fillId="0" borderId="102" xfId="0" applyFont="1" applyBorder="1" applyAlignment="1">
      <alignment horizontal="center" vertical="center"/>
    </xf>
    <xf numFmtId="0" fontId="7" fillId="2" borderId="105" xfId="0" applyFont="1" applyFill="1" applyBorder="1" applyAlignment="1">
      <alignment horizontal="center" vertical="center"/>
    </xf>
    <xf numFmtId="179" fontId="26" fillId="0" borderId="106" xfId="0" applyNumberFormat="1" applyFont="1" applyBorder="1" applyAlignment="1">
      <alignment horizontal="center" vertical="center"/>
    </xf>
    <xf numFmtId="0" fontId="25" fillId="0" borderId="108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 shrinkToFit="1"/>
    </xf>
    <xf numFmtId="0" fontId="39" fillId="0" borderId="10" xfId="0" applyFont="1" applyBorder="1" applyAlignment="1">
      <alignment horizontal="center" vertical="center" shrinkToFit="1"/>
    </xf>
    <xf numFmtId="0" fontId="29" fillId="0" borderId="10" xfId="0" applyFont="1" applyBorder="1" applyAlignment="1">
      <alignment horizontal="center" vertical="center" shrinkToFit="1"/>
    </xf>
    <xf numFmtId="0" fontId="29" fillId="0" borderId="5" xfId="0" applyFont="1" applyBorder="1" applyAlignment="1">
      <alignment horizontal="center" vertical="center" shrinkToFit="1"/>
    </xf>
    <xf numFmtId="0" fontId="7" fillId="2" borderId="15" xfId="0" applyFont="1" applyFill="1" applyBorder="1" applyAlignment="1">
      <alignment horizontal="center" vertical="center"/>
    </xf>
    <xf numFmtId="0" fontId="22" fillId="2" borderId="35" xfId="0" applyFont="1" applyFill="1" applyBorder="1" applyAlignment="1">
      <alignment horizontal="center" vertical="top" wrapText="1"/>
    </xf>
    <xf numFmtId="0" fontId="40" fillId="2" borderId="65" xfId="0" applyFont="1" applyFill="1" applyBorder="1" applyAlignment="1">
      <alignment horizontal="center" vertical="center" wrapText="1"/>
    </xf>
    <xf numFmtId="0" fontId="22" fillId="2" borderId="113" xfId="0" applyFont="1" applyFill="1" applyBorder="1" applyAlignment="1">
      <alignment horizontal="center" vertical="top" wrapText="1"/>
    </xf>
    <xf numFmtId="179" fontId="26" fillId="0" borderId="109" xfId="0" applyNumberFormat="1" applyFont="1" applyBorder="1" applyAlignment="1">
      <alignment horizontal="center" vertical="center"/>
    </xf>
    <xf numFmtId="0" fontId="25" fillId="0" borderId="109" xfId="0" applyFont="1" applyBorder="1" applyAlignment="1">
      <alignment horizontal="center" vertical="center"/>
    </xf>
    <xf numFmtId="0" fontId="42" fillId="0" borderId="51" xfId="0" applyFont="1" applyBorder="1" applyAlignment="1">
      <alignment horizontal="center" vertical="center" shrinkToFit="1"/>
    </xf>
    <xf numFmtId="31" fontId="15" fillId="0" borderId="0" xfId="0" applyNumberFormat="1" applyFont="1" applyProtection="1">
      <alignment vertical="center"/>
      <protection locked="0"/>
    </xf>
    <xf numFmtId="0" fontId="38" fillId="6" borderId="7" xfId="0" applyFont="1" applyFill="1" applyBorder="1" applyAlignment="1">
      <alignment horizontal="center" vertical="center" shrinkToFit="1"/>
    </xf>
    <xf numFmtId="0" fontId="28" fillId="6" borderId="13" xfId="0" applyFont="1" applyFill="1" applyBorder="1" applyAlignment="1">
      <alignment horizontal="center" vertical="center" shrinkToFit="1"/>
    </xf>
    <xf numFmtId="0" fontId="28" fillId="6" borderId="78" xfId="0" applyFont="1" applyFill="1" applyBorder="1" applyAlignment="1">
      <alignment horizontal="center" vertical="center" shrinkToFit="1"/>
    </xf>
    <xf numFmtId="0" fontId="31" fillId="6" borderId="111" xfId="0" applyFont="1" applyFill="1" applyBorder="1" applyAlignment="1">
      <alignment horizontal="center" vertical="center" shrinkToFit="1"/>
    </xf>
    <xf numFmtId="0" fontId="31" fillId="3" borderId="59" xfId="0" applyFont="1" applyFill="1" applyBorder="1" applyAlignment="1">
      <alignment horizontal="center" vertical="center" shrinkToFit="1"/>
    </xf>
    <xf numFmtId="0" fontId="28" fillId="3" borderId="79" xfId="0" applyFont="1" applyFill="1" applyBorder="1" applyAlignment="1">
      <alignment horizontal="center" vertical="center" shrinkToFit="1"/>
    </xf>
    <xf numFmtId="0" fontId="29" fillId="3" borderId="46" xfId="0" applyFont="1" applyFill="1" applyBorder="1" applyAlignment="1">
      <alignment horizontal="center" vertical="center" shrinkToFit="1"/>
    </xf>
    <xf numFmtId="0" fontId="31" fillId="3" borderId="46" xfId="0" applyFont="1" applyFill="1" applyBorder="1" applyAlignment="1">
      <alignment horizontal="center" vertical="center" shrinkToFit="1"/>
    </xf>
    <xf numFmtId="0" fontId="28" fillId="3" borderId="6" xfId="0" applyFont="1" applyFill="1" applyBorder="1" applyAlignment="1">
      <alignment horizontal="center" vertical="center" shrinkToFit="1"/>
    </xf>
    <xf numFmtId="0" fontId="28" fillId="3" borderId="46" xfId="0" applyFont="1" applyFill="1" applyBorder="1" applyAlignment="1">
      <alignment horizontal="center" vertical="center" shrinkToFit="1"/>
    </xf>
    <xf numFmtId="0" fontId="31" fillId="3" borderId="6" xfId="0" applyFont="1" applyFill="1" applyBorder="1" applyAlignment="1">
      <alignment horizontal="center" vertical="center" shrinkToFit="1"/>
    </xf>
    <xf numFmtId="0" fontId="31" fillId="3" borderId="47" xfId="0" applyFont="1" applyFill="1" applyBorder="1" applyAlignment="1">
      <alignment horizontal="center" vertical="center" shrinkToFit="1"/>
    </xf>
    <xf numFmtId="0" fontId="28" fillId="3" borderId="98" xfId="0" applyFont="1" applyFill="1" applyBorder="1" applyAlignment="1">
      <alignment horizontal="center" vertical="center" shrinkToFit="1"/>
    </xf>
    <xf numFmtId="0" fontId="28" fillId="3" borderId="59" xfId="0" applyFont="1" applyFill="1" applyBorder="1" applyAlignment="1">
      <alignment horizontal="center" vertical="center" shrinkToFit="1"/>
    </xf>
    <xf numFmtId="0" fontId="28" fillId="3" borderId="94" xfId="0" applyFont="1" applyFill="1" applyBorder="1" applyAlignment="1">
      <alignment horizontal="center" vertical="center" shrinkToFit="1"/>
    </xf>
    <xf numFmtId="0" fontId="38" fillId="3" borderId="46" xfId="0" applyFont="1" applyFill="1" applyBorder="1" applyAlignment="1">
      <alignment horizontal="center" vertical="center" shrinkToFit="1"/>
    </xf>
    <xf numFmtId="0" fontId="31" fillId="2" borderId="38" xfId="0" applyFont="1" applyFill="1" applyBorder="1" applyAlignment="1">
      <alignment horizontal="center" vertical="center" shrinkToFit="1"/>
    </xf>
    <xf numFmtId="0" fontId="31" fillId="2" borderId="7" xfId="0" applyFont="1" applyFill="1" applyBorder="1" applyAlignment="1">
      <alignment horizontal="center" vertical="center" shrinkToFit="1"/>
    </xf>
    <xf numFmtId="0" fontId="31" fillId="6" borderId="97" xfId="0" applyFont="1" applyFill="1" applyBorder="1" applyAlignment="1">
      <alignment horizontal="center" vertical="center" shrinkToFit="1"/>
    </xf>
    <xf numFmtId="0" fontId="28" fillId="6" borderId="41" xfId="0" applyFont="1" applyFill="1" applyBorder="1" applyAlignment="1">
      <alignment horizontal="center" vertical="center" shrinkToFit="1"/>
    </xf>
    <xf numFmtId="0" fontId="28" fillId="6" borderId="111" xfId="0" applyFont="1" applyFill="1" applyBorder="1" applyAlignment="1">
      <alignment horizontal="center" vertical="center" shrinkToFit="1"/>
    </xf>
    <xf numFmtId="0" fontId="22" fillId="2" borderId="42" xfId="0" applyFont="1" applyFill="1" applyBorder="1" applyAlignment="1">
      <alignment horizontal="left" vertical="top" wrapText="1"/>
    </xf>
    <xf numFmtId="0" fontId="22" fillId="2" borderId="33" xfId="0" applyFont="1" applyFill="1" applyBorder="1" applyAlignment="1">
      <alignment horizontal="left" vertical="top" wrapText="1"/>
    </xf>
    <xf numFmtId="177" fontId="21" fillId="0" borderId="115" xfId="0" applyNumberFormat="1" applyFont="1" applyBorder="1" applyAlignment="1">
      <alignment horizontal="center" vertical="center"/>
    </xf>
    <xf numFmtId="0" fontId="18" fillId="0" borderId="116" xfId="0" applyFont="1" applyBorder="1" applyAlignment="1">
      <alignment horizontal="center" vertical="center"/>
    </xf>
    <xf numFmtId="0" fontId="38" fillId="3" borderId="59" xfId="0" applyFont="1" applyFill="1" applyBorder="1" applyAlignment="1">
      <alignment horizontal="center" vertical="center" shrinkToFit="1"/>
    </xf>
    <xf numFmtId="0" fontId="38" fillId="3" borderId="79" xfId="0" applyFont="1" applyFill="1" applyBorder="1" applyAlignment="1">
      <alignment horizontal="center" vertical="center" shrinkToFit="1"/>
    </xf>
    <xf numFmtId="0" fontId="28" fillId="3" borderId="112" xfId="0" applyFont="1" applyFill="1" applyBorder="1" applyAlignment="1">
      <alignment horizontal="center" vertical="center" shrinkToFit="1"/>
    </xf>
    <xf numFmtId="0" fontId="22" fillId="2" borderId="33" xfId="0" applyFont="1" applyFill="1" applyBorder="1" applyAlignment="1">
      <alignment horizontal="center" vertical="top" wrapText="1"/>
    </xf>
    <xf numFmtId="0" fontId="38" fillId="3" borderId="98" xfId="0" applyFont="1" applyFill="1" applyBorder="1" applyAlignment="1">
      <alignment horizontal="center" vertical="center" shrinkToFit="1"/>
    </xf>
    <xf numFmtId="0" fontId="22" fillId="2" borderId="107" xfId="0" applyFont="1" applyFill="1" applyBorder="1" applyAlignment="1">
      <alignment horizontal="center" vertical="top" wrapText="1"/>
    </xf>
    <xf numFmtId="56" fontId="22" fillId="2" borderId="35" xfId="0" applyNumberFormat="1" applyFont="1" applyFill="1" applyBorder="1" applyAlignment="1">
      <alignment horizontal="left" vertical="top" wrapText="1"/>
    </xf>
    <xf numFmtId="0" fontId="22" fillId="2" borderId="95" xfId="0" applyFont="1" applyFill="1" applyBorder="1" applyAlignment="1">
      <alignment horizontal="left" vertical="top" wrapText="1"/>
    </xf>
    <xf numFmtId="0" fontId="31" fillId="2" borderId="12" xfId="0" applyFont="1" applyFill="1" applyBorder="1" applyAlignment="1">
      <alignment horizontal="center" vertical="center" shrinkToFit="1"/>
    </xf>
    <xf numFmtId="0" fontId="31" fillId="2" borderId="60" xfId="0" applyFont="1" applyFill="1" applyBorder="1" applyAlignment="1">
      <alignment horizontal="center" vertical="center" shrinkToFit="1"/>
    </xf>
    <xf numFmtId="0" fontId="38" fillId="2" borderId="60" xfId="0" applyFont="1" applyFill="1" applyBorder="1" applyAlignment="1">
      <alignment horizontal="center" vertical="center" shrinkToFit="1"/>
    </xf>
    <xf numFmtId="0" fontId="31" fillId="2" borderId="71" xfId="0" applyFont="1" applyFill="1" applyBorder="1" applyAlignment="1">
      <alignment horizontal="center" vertical="center" shrinkToFit="1"/>
    </xf>
    <xf numFmtId="0" fontId="31" fillId="2" borderId="75" xfId="0" applyFont="1" applyFill="1" applyBorder="1" applyAlignment="1">
      <alignment horizontal="center" vertical="center" shrinkToFit="1"/>
    </xf>
    <xf numFmtId="0" fontId="31" fillId="2" borderId="117" xfId="0" applyFont="1" applyFill="1" applyBorder="1" applyAlignment="1">
      <alignment horizontal="center" vertical="center" shrinkToFit="1"/>
    </xf>
    <xf numFmtId="0" fontId="31" fillId="2" borderId="118" xfId="0" applyFont="1" applyFill="1" applyBorder="1" applyAlignment="1">
      <alignment horizontal="center" vertical="center" shrinkToFit="1"/>
    </xf>
    <xf numFmtId="0" fontId="31" fillId="2" borderId="66" xfId="0" applyFont="1" applyFill="1" applyBorder="1" applyAlignment="1">
      <alignment horizontal="center" vertical="center" shrinkToFit="1"/>
    </xf>
    <xf numFmtId="0" fontId="31" fillId="2" borderId="64" xfId="0" applyFont="1" applyFill="1" applyBorder="1" applyAlignment="1">
      <alignment horizontal="center" vertical="center" shrinkToFit="1"/>
    </xf>
    <xf numFmtId="0" fontId="38" fillId="2" borderId="13" xfId="0" applyFont="1" applyFill="1" applyBorder="1" applyAlignment="1">
      <alignment horizontal="center" vertical="center" shrinkToFit="1"/>
    </xf>
    <xf numFmtId="0" fontId="38" fillId="2" borderId="78" xfId="0" applyFont="1" applyFill="1" applyBorder="1" applyAlignment="1">
      <alignment horizontal="center" vertical="center" shrinkToFit="1"/>
    </xf>
    <xf numFmtId="0" fontId="38" fillId="2" borderId="41" xfId="0" applyFont="1" applyFill="1" applyBorder="1" applyAlignment="1">
      <alignment horizontal="center" vertical="center" shrinkToFit="1"/>
    </xf>
    <xf numFmtId="0" fontId="38" fillId="2" borderId="93" xfId="0" applyFont="1" applyFill="1" applyBorder="1" applyAlignment="1">
      <alignment horizontal="center" vertical="center" shrinkToFit="1"/>
    </xf>
    <xf numFmtId="0" fontId="38" fillId="2" borderId="97" xfId="0" applyFont="1" applyFill="1" applyBorder="1" applyAlignment="1">
      <alignment horizontal="center" vertical="center" shrinkToFit="1"/>
    </xf>
    <xf numFmtId="0" fontId="38" fillId="2" borderId="111" xfId="0" applyFont="1" applyFill="1" applyBorder="1" applyAlignment="1">
      <alignment horizontal="center" vertical="center" shrinkToFit="1"/>
    </xf>
    <xf numFmtId="0" fontId="38" fillId="3" borderId="94" xfId="0" applyFont="1" applyFill="1" applyBorder="1" applyAlignment="1">
      <alignment horizontal="center" vertical="center" shrinkToFit="1"/>
    </xf>
    <xf numFmtId="0" fontId="38" fillId="3" borderId="112" xfId="0" applyFont="1" applyFill="1" applyBorder="1" applyAlignment="1">
      <alignment horizontal="center" vertical="center" shrinkToFit="1"/>
    </xf>
    <xf numFmtId="0" fontId="30" fillId="2" borderId="7" xfId="0" applyFont="1" applyFill="1" applyBorder="1" applyAlignment="1">
      <alignment horizontal="center" vertical="center" shrinkToFit="1"/>
    </xf>
    <xf numFmtId="0" fontId="28" fillId="2" borderId="60" xfId="0" applyFont="1" applyFill="1" applyBorder="1" applyAlignment="1">
      <alignment horizontal="center" vertical="center" shrinkToFit="1"/>
    </xf>
    <xf numFmtId="0" fontId="29" fillId="2" borderId="60" xfId="0" applyFont="1" applyFill="1" applyBorder="1" applyAlignment="1">
      <alignment horizontal="center" vertical="center" shrinkToFit="1"/>
    </xf>
    <xf numFmtId="0" fontId="28" fillId="2" borderId="38" xfId="0" applyFont="1" applyFill="1" applyBorder="1" applyAlignment="1">
      <alignment horizontal="center" vertical="center" shrinkToFit="1"/>
    </xf>
    <xf numFmtId="0" fontId="28" fillId="2" borderId="7" xfId="0" applyFont="1" applyFill="1" applyBorder="1" applyAlignment="1">
      <alignment horizontal="center" vertical="center" shrinkToFit="1"/>
    </xf>
    <xf numFmtId="0" fontId="29" fillId="2" borderId="78" xfId="0" applyFont="1" applyFill="1" applyBorder="1" applyAlignment="1">
      <alignment horizontal="center" vertical="center" shrinkToFit="1"/>
    </xf>
    <xf numFmtId="0" fontId="28" fillId="2" borderId="12" xfId="0" applyFont="1" applyFill="1" applyBorder="1" applyAlignment="1">
      <alignment horizontal="center" vertical="center" shrinkToFit="1"/>
    </xf>
    <xf numFmtId="0" fontId="27" fillId="0" borderId="0" xfId="0" applyFont="1" applyProtection="1">
      <alignment vertical="center"/>
      <protection locked="0"/>
    </xf>
    <xf numFmtId="179" fontId="26" fillId="8" borderId="29" xfId="0" applyNumberFormat="1" applyFont="1" applyFill="1" applyBorder="1" applyAlignment="1">
      <alignment horizontal="center" vertical="center"/>
    </xf>
    <xf numFmtId="0" fontId="25" fillId="8" borderId="124" xfId="0" applyFont="1" applyFill="1" applyBorder="1" applyAlignment="1">
      <alignment horizontal="center" vertical="center"/>
    </xf>
    <xf numFmtId="179" fontId="26" fillId="8" borderId="34" xfId="0" applyNumberFormat="1" applyFont="1" applyFill="1" applyBorder="1" applyAlignment="1">
      <alignment horizontal="center" vertical="center"/>
    </xf>
    <xf numFmtId="0" fontId="25" fillId="8" borderId="125" xfId="0" applyFont="1" applyFill="1" applyBorder="1" applyAlignment="1">
      <alignment horizontal="center" vertical="center"/>
    </xf>
    <xf numFmtId="179" fontId="26" fillId="8" borderId="42" xfId="0" applyNumberFormat="1" applyFont="1" applyFill="1" applyBorder="1" applyAlignment="1">
      <alignment horizontal="center" vertical="center"/>
    </xf>
    <xf numFmtId="0" fontId="25" fillId="8" borderId="126" xfId="0" applyFont="1" applyFill="1" applyBorder="1" applyAlignment="1">
      <alignment horizontal="center" vertical="center"/>
    </xf>
    <xf numFmtId="179" fontId="26" fillId="8" borderId="53" xfId="0" applyNumberFormat="1" applyFont="1" applyFill="1" applyBorder="1" applyAlignment="1">
      <alignment horizontal="center" vertical="center"/>
    </xf>
    <xf numFmtId="0" fontId="25" fillId="8" borderId="127" xfId="0" applyFont="1" applyFill="1" applyBorder="1" applyAlignment="1">
      <alignment horizontal="center" vertical="center"/>
    </xf>
    <xf numFmtId="179" fontId="26" fillId="0" borderId="128" xfId="0" applyNumberFormat="1" applyFont="1" applyBorder="1" applyAlignment="1">
      <alignment horizontal="center" vertical="center"/>
    </xf>
    <xf numFmtId="0" fontId="25" fillId="0" borderId="129" xfId="0" applyFont="1" applyBorder="1" applyAlignment="1">
      <alignment horizontal="center" vertical="center"/>
    </xf>
    <xf numFmtId="179" fontId="26" fillId="0" borderId="130" xfId="0" applyNumberFormat="1" applyFont="1" applyBorder="1" applyAlignment="1">
      <alignment horizontal="center" vertical="center"/>
    </xf>
    <xf numFmtId="0" fontId="25" fillId="0" borderId="131" xfId="0" applyFont="1" applyBorder="1" applyAlignment="1">
      <alignment horizontal="center" vertical="center"/>
    </xf>
    <xf numFmtId="179" fontId="26" fillId="0" borderId="132" xfId="0" applyNumberFormat="1" applyFont="1" applyBorder="1" applyAlignment="1">
      <alignment horizontal="center" vertical="center"/>
    </xf>
    <xf numFmtId="0" fontId="25" fillId="0" borderId="133" xfId="0" applyFont="1" applyBorder="1" applyAlignment="1">
      <alignment horizontal="center" vertical="center"/>
    </xf>
    <xf numFmtId="179" fontId="26" fillId="8" borderId="33" xfId="0" applyNumberFormat="1" applyFont="1" applyFill="1" applyBorder="1" applyAlignment="1">
      <alignment horizontal="center" vertical="center"/>
    </xf>
    <xf numFmtId="0" fontId="25" fillId="8" borderId="134" xfId="0" applyFont="1" applyFill="1" applyBorder="1" applyAlignment="1">
      <alignment horizontal="center" vertical="center"/>
    </xf>
    <xf numFmtId="0" fontId="25" fillId="8" borderId="135" xfId="0" applyFont="1" applyFill="1" applyBorder="1" applyAlignment="1">
      <alignment horizontal="center" vertical="center"/>
    </xf>
    <xf numFmtId="179" fontId="26" fillId="8" borderId="95" xfId="0" applyNumberFormat="1" applyFont="1" applyFill="1" applyBorder="1" applyAlignment="1">
      <alignment horizontal="center" vertical="center"/>
    </xf>
    <xf numFmtId="0" fontId="25" fillId="8" borderId="136" xfId="0" applyFont="1" applyFill="1" applyBorder="1" applyAlignment="1">
      <alignment horizontal="center" vertical="center"/>
    </xf>
    <xf numFmtId="179" fontId="26" fillId="8" borderId="99" xfId="0" applyNumberFormat="1" applyFont="1" applyFill="1" applyBorder="1" applyAlignment="1">
      <alignment horizontal="center" vertical="center"/>
    </xf>
    <xf numFmtId="0" fontId="25" fillId="8" borderId="137" xfId="0" applyFont="1" applyFill="1" applyBorder="1" applyAlignment="1">
      <alignment horizontal="center" vertical="center"/>
    </xf>
    <xf numFmtId="179" fontId="26" fillId="0" borderId="138" xfId="0" applyNumberFormat="1" applyFont="1" applyBorder="1" applyAlignment="1">
      <alignment horizontal="center" vertical="center"/>
    </xf>
    <xf numFmtId="0" fontId="25" fillId="0" borderId="139" xfId="0" applyFont="1" applyBorder="1" applyAlignment="1">
      <alignment horizontal="center" vertical="center"/>
    </xf>
    <xf numFmtId="179" fontId="26" fillId="8" borderId="140" xfId="0" applyNumberFormat="1" applyFont="1" applyFill="1" applyBorder="1" applyAlignment="1">
      <alignment horizontal="center" vertical="center"/>
    </xf>
    <xf numFmtId="0" fontId="25" fillId="8" borderId="141" xfId="0" applyFont="1" applyFill="1" applyBorder="1" applyAlignment="1">
      <alignment horizontal="center" vertical="center"/>
    </xf>
    <xf numFmtId="179" fontId="26" fillId="8" borderId="142" xfId="0" applyNumberFormat="1" applyFont="1" applyFill="1" applyBorder="1" applyAlignment="1">
      <alignment horizontal="center" vertical="center"/>
    </xf>
    <xf numFmtId="0" fontId="25" fillId="8" borderId="143" xfId="0" applyFont="1" applyFill="1" applyBorder="1" applyAlignment="1">
      <alignment horizontal="center" vertical="center"/>
    </xf>
    <xf numFmtId="179" fontId="26" fillId="8" borderId="130" xfId="0" applyNumberFormat="1" applyFont="1" applyFill="1" applyBorder="1" applyAlignment="1">
      <alignment horizontal="center" vertical="center"/>
    </xf>
    <xf numFmtId="0" fontId="25" fillId="8" borderId="131" xfId="0" applyFont="1" applyFill="1" applyBorder="1" applyAlignment="1">
      <alignment horizontal="center" vertical="center"/>
    </xf>
    <xf numFmtId="179" fontId="26" fillId="8" borderId="144" xfId="0" applyNumberFormat="1" applyFont="1" applyFill="1" applyBorder="1" applyAlignment="1">
      <alignment horizontal="center" vertical="center"/>
    </xf>
    <xf numFmtId="0" fontId="25" fillId="8" borderId="145" xfId="0" applyFont="1" applyFill="1" applyBorder="1" applyAlignment="1">
      <alignment horizontal="center" vertical="center"/>
    </xf>
    <xf numFmtId="0" fontId="31" fillId="8" borderId="27" xfId="0" applyFont="1" applyFill="1" applyBorder="1" applyAlignment="1">
      <alignment horizontal="center" vertical="center" wrapText="1" shrinkToFit="1"/>
    </xf>
    <xf numFmtId="0" fontId="31" fillId="5" borderId="176" xfId="0" applyFont="1" applyFill="1" applyBorder="1" applyAlignment="1">
      <alignment horizontal="center" vertical="center" shrinkToFit="1"/>
    </xf>
    <xf numFmtId="0" fontId="31" fillId="8" borderId="176" xfId="0" applyFont="1" applyFill="1" applyBorder="1" applyAlignment="1">
      <alignment horizontal="center" vertical="center" shrinkToFit="1"/>
    </xf>
    <xf numFmtId="0" fontId="31" fillId="8" borderId="27" xfId="0" applyFont="1" applyFill="1" applyBorder="1" applyAlignment="1">
      <alignment horizontal="center" vertical="center" shrinkToFit="1"/>
    </xf>
    <xf numFmtId="0" fontId="31" fillId="8" borderId="190" xfId="0" applyFont="1" applyFill="1" applyBorder="1" applyAlignment="1">
      <alignment horizontal="center" vertical="center" shrinkToFit="1"/>
    </xf>
    <xf numFmtId="0" fontId="31" fillId="3" borderId="27" xfId="0" applyFont="1" applyFill="1" applyBorder="1" applyAlignment="1">
      <alignment horizontal="center" vertical="center" shrinkToFit="1"/>
    </xf>
    <xf numFmtId="0" fontId="31" fillId="3" borderId="27" xfId="0" applyFont="1" applyFill="1" applyBorder="1" applyAlignment="1">
      <alignment horizontal="center" vertical="center" wrapText="1" shrinkToFit="1"/>
    </xf>
    <xf numFmtId="0" fontId="31" fillId="3" borderId="190" xfId="0" applyFont="1" applyFill="1" applyBorder="1" applyAlignment="1">
      <alignment horizontal="center" vertical="center" shrinkToFit="1"/>
    </xf>
    <xf numFmtId="0" fontId="31" fillId="3" borderId="176" xfId="0" applyFont="1" applyFill="1" applyBorder="1" applyAlignment="1">
      <alignment horizontal="center" vertical="center" shrinkToFit="1"/>
    </xf>
    <xf numFmtId="177" fontId="21" fillId="3" borderId="152" xfId="0" applyNumberFormat="1" applyFont="1" applyFill="1" applyBorder="1" applyAlignment="1">
      <alignment horizontal="center" vertical="center"/>
    </xf>
    <xf numFmtId="177" fontId="21" fillId="5" borderId="152" xfId="0" applyNumberFormat="1" applyFont="1" applyFill="1" applyBorder="1" applyAlignment="1">
      <alignment horizontal="center" vertical="center"/>
    </xf>
    <xf numFmtId="0" fontId="31" fillId="5" borderId="27" xfId="0" applyFont="1" applyFill="1" applyBorder="1" applyAlignment="1">
      <alignment horizontal="center" vertical="center" wrapText="1" shrinkToFit="1"/>
    </xf>
    <xf numFmtId="0" fontId="31" fillId="5" borderId="27" xfId="0" applyFont="1" applyFill="1" applyBorder="1" applyAlignment="1">
      <alignment horizontal="center" vertical="center" shrinkToFit="1"/>
    </xf>
    <xf numFmtId="0" fontId="31" fillId="5" borderId="174" xfId="0" applyFont="1" applyFill="1" applyBorder="1" applyAlignment="1">
      <alignment horizontal="center" vertical="center" shrinkToFit="1"/>
    </xf>
    <xf numFmtId="0" fontId="31" fillId="5" borderId="190" xfId="0" applyFont="1" applyFill="1" applyBorder="1" applyAlignment="1">
      <alignment horizontal="center" vertical="center" shrinkToFit="1"/>
    </xf>
    <xf numFmtId="0" fontId="31" fillId="5" borderId="178" xfId="0" applyFont="1" applyFill="1" applyBorder="1" applyAlignment="1">
      <alignment horizontal="center" vertical="center" shrinkToFit="1"/>
    </xf>
    <xf numFmtId="0" fontId="31" fillId="5" borderId="171" xfId="0" applyFont="1" applyFill="1" applyBorder="1" applyAlignment="1">
      <alignment horizontal="center" vertical="center" shrinkToFit="1"/>
    </xf>
    <xf numFmtId="0" fontId="31" fillId="9" borderId="27" xfId="0" applyFont="1" applyFill="1" applyBorder="1" applyAlignment="1">
      <alignment horizontal="center" vertical="center" shrinkToFit="1"/>
    </xf>
    <xf numFmtId="0" fontId="51" fillId="8" borderId="27" xfId="0" applyFont="1" applyFill="1" applyBorder="1" applyAlignment="1">
      <alignment horizontal="center" vertical="center" shrinkToFit="1"/>
    </xf>
    <xf numFmtId="0" fontId="56" fillId="5" borderId="195" xfId="0" applyFont="1" applyFill="1" applyBorder="1" applyAlignment="1">
      <alignment horizontal="center" vertical="center"/>
    </xf>
    <xf numFmtId="0" fontId="56" fillId="3" borderId="195" xfId="0" applyFont="1" applyFill="1" applyBorder="1" applyAlignment="1">
      <alignment horizontal="center" vertical="center"/>
    </xf>
    <xf numFmtId="0" fontId="54" fillId="2" borderId="202" xfId="0" applyFont="1" applyFill="1" applyBorder="1" applyAlignment="1">
      <alignment horizontal="center" vertical="center" wrapText="1"/>
    </xf>
    <xf numFmtId="0" fontId="31" fillId="3" borderId="171" xfId="0" applyFont="1" applyFill="1" applyBorder="1" applyAlignment="1">
      <alignment horizontal="center" vertical="center" shrinkToFit="1"/>
    </xf>
    <xf numFmtId="0" fontId="12" fillId="0" borderId="72" xfId="0" applyFont="1" applyBorder="1" applyProtection="1">
      <alignment vertical="center"/>
      <protection locked="0"/>
    </xf>
    <xf numFmtId="0" fontId="12" fillId="0" borderId="162" xfId="0" applyFont="1" applyBorder="1" applyProtection="1">
      <alignment vertical="center"/>
      <protection locked="0"/>
    </xf>
    <xf numFmtId="0" fontId="54" fillId="2" borderId="158" xfId="0" applyFont="1" applyFill="1" applyBorder="1" applyAlignment="1">
      <alignment horizontal="center" vertical="center" wrapText="1"/>
    </xf>
    <xf numFmtId="0" fontId="31" fillId="8" borderId="170" xfId="0" applyFont="1" applyFill="1" applyBorder="1" applyAlignment="1">
      <alignment horizontal="center" vertical="center" shrinkToFit="1"/>
    </xf>
    <xf numFmtId="0" fontId="31" fillId="3" borderId="178" xfId="0" applyFont="1" applyFill="1" applyBorder="1" applyAlignment="1">
      <alignment horizontal="center" vertical="center" shrinkToFit="1"/>
    </xf>
    <xf numFmtId="0" fontId="31" fillId="3" borderId="174" xfId="0" applyFont="1" applyFill="1" applyBorder="1" applyAlignment="1">
      <alignment horizontal="center" vertical="center" shrinkToFit="1"/>
    </xf>
    <xf numFmtId="0" fontId="31" fillId="5" borderId="201" xfId="0" applyFont="1" applyFill="1" applyBorder="1" applyAlignment="1">
      <alignment horizontal="center" vertical="center" shrinkToFit="1"/>
    </xf>
    <xf numFmtId="0" fontId="31" fillId="5" borderId="170" xfId="0" applyFont="1" applyFill="1" applyBorder="1" applyAlignment="1">
      <alignment horizontal="center" vertical="center" shrinkToFit="1"/>
    </xf>
    <xf numFmtId="0" fontId="31" fillId="3" borderId="170" xfId="0" applyFont="1" applyFill="1" applyBorder="1" applyAlignment="1">
      <alignment horizontal="center" vertical="center" shrinkToFit="1"/>
    </xf>
    <xf numFmtId="0" fontId="31" fillId="9" borderId="170" xfId="0" applyFont="1" applyFill="1" applyBorder="1" applyAlignment="1">
      <alignment horizontal="center" vertical="center" shrinkToFit="1"/>
    </xf>
    <xf numFmtId="0" fontId="31" fillId="9" borderId="171" xfId="0" applyFont="1" applyFill="1" applyBorder="1" applyAlignment="1">
      <alignment horizontal="center" vertical="center" shrinkToFit="1"/>
    </xf>
    <xf numFmtId="0" fontId="31" fillId="10" borderId="27" xfId="0" applyFont="1" applyFill="1" applyBorder="1" applyAlignment="1">
      <alignment horizontal="center" vertical="center" shrinkToFit="1"/>
    </xf>
    <xf numFmtId="0" fontId="28" fillId="10" borderId="174" xfId="0" applyFont="1" applyFill="1" applyBorder="1" applyAlignment="1">
      <alignment horizontal="center" vertical="center" shrinkToFit="1"/>
    </xf>
    <xf numFmtId="0" fontId="28" fillId="10" borderId="27" xfId="0" applyFont="1" applyFill="1" applyBorder="1" applyAlignment="1">
      <alignment horizontal="center" vertical="center" shrinkToFit="1"/>
    </xf>
    <xf numFmtId="0" fontId="31" fillId="3" borderId="201" xfId="0" applyFont="1" applyFill="1" applyBorder="1" applyAlignment="1">
      <alignment horizontal="center" vertical="center" shrinkToFit="1"/>
    </xf>
    <xf numFmtId="0" fontId="57" fillId="0" borderId="0" xfId="0" applyFont="1" applyAlignment="1" applyProtection="1">
      <alignment horizontal="left" vertical="center"/>
      <protection locked="0"/>
    </xf>
    <xf numFmtId="0" fontId="58" fillId="0" borderId="0" xfId="0" applyFont="1" applyProtection="1">
      <alignment vertical="center"/>
      <protection locked="0"/>
    </xf>
    <xf numFmtId="0" fontId="59" fillId="0" borderId="0" xfId="0" applyFont="1" applyAlignment="1" applyProtection="1">
      <alignment horizontal="center" vertical="center"/>
      <protection locked="0"/>
    </xf>
    <xf numFmtId="0" fontId="57" fillId="0" borderId="0" xfId="0" applyFont="1" applyProtection="1">
      <alignment vertical="center"/>
      <protection locked="0"/>
    </xf>
    <xf numFmtId="0" fontId="13" fillId="0" borderId="0" xfId="0" applyFont="1" applyProtection="1">
      <alignment vertical="center"/>
      <protection locked="0"/>
    </xf>
    <xf numFmtId="0" fontId="46" fillId="0" borderId="0" xfId="0" applyFont="1" applyProtection="1">
      <alignment vertical="center"/>
      <protection locked="0"/>
    </xf>
    <xf numFmtId="0" fontId="60" fillId="0" borderId="0" xfId="0" applyFont="1" applyAlignment="1" applyProtection="1">
      <alignment horizontal="right" vertical="center"/>
      <protection locked="0"/>
    </xf>
    <xf numFmtId="0" fontId="61" fillId="0" borderId="0" xfId="0" applyFont="1" applyProtection="1">
      <alignment vertical="center"/>
      <protection locked="0"/>
    </xf>
    <xf numFmtId="0" fontId="5" fillId="0" borderId="0" xfId="0" applyFont="1" applyProtection="1">
      <alignment vertical="center"/>
      <protection locked="0"/>
    </xf>
    <xf numFmtId="0" fontId="39" fillId="0" borderId="36" xfId="0" applyFont="1" applyBorder="1" applyAlignment="1" applyProtection="1">
      <alignment horizontal="center" vertical="center" wrapText="1"/>
      <protection locked="0"/>
    </xf>
    <xf numFmtId="0" fontId="39" fillId="3" borderId="27" xfId="0" applyFont="1" applyFill="1" applyBorder="1" applyProtection="1">
      <alignment vertical="center"/>
      <protection locked="0"/>
    </xf>
    <xf numFmtId="0" fontId="39" fillId="5" borderId="27" xfId="0" applyFont="1" applyFill="1" applyBorder="1" applyProtection="1">
      <alignment vertical="center"/>
      <protection locked="0"/>
    </xf>
    <xf numFmtId="0" fontId="39" fillId="4" borderId="27" xfId="0" applyFont="1" applyFill="1" applyBorder="1" applyProtection="1">
      <alignment vertical="center"/>
      <protection locked="0"/>
    </xf>
    <xf numFmtId="0" fontId="39" fillId="0" borderId="0" xfId="0" applyFont="1" applyProtection="1">
      <alignment vertical="center"/>
      <protection locked="0"/>
    </xf>
    <xf numFmtId="31" fontId="53" fillId="0" borderId="0" xfId="0" applyNumberFormat="1" applyFont="1" applyAlignment="1" applyProtection="1">
      <alignment vertical="center" shrinkToFit="1"/>
      <protection locked="0"/>
    </xf>
    <xf numFmtId="0" fontId="5" fillId="0" borderId="72" xfId="0" applyFont="1" applyBorder="1" applyProtection="1">
      <alignment vertical="center"/>
      <protection locked="0"/>
    </xf>
    <xf numFmtId="0" fontId="5" fillId="0" borderId="162" xfId="0" applyFont="1" applyBorder="1" applyProtection="1">
      <alignment vertical="center"/>
      <protection locked="0"/>
    </xf>
    <xf numFmtId="0" fontId="63" fillId="0" borderId="72" xfId="0" applyFont="1" applyBorder="1" applyProtection="1">
      <alignment vertical="center"/>
      <protection locked="0"/>
    </xf>
    <xf numFmtId="0" fontId="63" fillId="0" borderId="162" xfId="0" applyFont="1" applyBorder="1" applyProtection="1">
      <alignment vertical="center"/>
      <protection locked="0"/>
    </xf>
    <xf numFmtId="0" fontId="63" fillId="0" borderId="0" xfId="0" applyFont="1" applyProtection="1">
      <alignment vertical="center"/>
      <protection locked="0"/>
    </xf>
    <xf numFmtId="0" fontId="12" fillId="0" borderId="57" xfId="0" applyFont="1" applyBorder="1" applyProtection="1">
      <alignment vertical="center"/>
      <protection locked="0"/>
    </xf>
    <xf numFmtId="0" fontId="12" fillId="0" borderId="2" xfId="0" applyFont="1" applyBorder="1" applyProtection="1">
      <alignment vertical="center"/>
      <protection locked="0"/>
    </xf>
    <xf numFmtId="0" fontId="12" fillId="0" borderId="1" xfId="0" applyFont="1" applyBorder="1" applyProtection="1">
      <alignment vertical="center"/>
      <protection locked="0"/>
    </xf>
    <xf numFmtId="0" fontId="64" fillId="0" borderId="0" xfId="0" applyFont="1" applyProtection="1">
      <alignment vertical="center"/>
      <protection locked="0"/>
    </xf>
    <xf numFmtId="0" fontId="64" fillId="0" borderId="199" xfId="0" applyFont="1" applyBorder="1" applyProtection="1">
      <alignment vertical="center"/>
      <protection locked="0"/>
    </xf>
    <xf numFmtId="0" fontId="21" fillId="8" borderId="178" xfId="0" applyFont="1" applyFill="1" applyBorder="1" applyAlignment="1">
      <alignment horizontal="center" vertical="center" wrapText="1" shrinkToFit="1"/>
    </xf>
    <xf numFmtId="0" fontId="21" fillId="5" borderId="178" xfId="0" applyFont="1" applyFill="1" applyBorder="1" applyAlignment="1">
      <alignment horizontal="center" vertical="center" wrapText="1" shrinkToFit="1"/>
    </xf>
    <xf numFmtId="0" fontId="21" fillId="3" borderId="178" xfId="0" applyFont="1" applyFill="1" applyBorder="1" applyAlignment="1">
      <alignment horizontal="center" vertical="center" wrapText="1" shrinkToFit="1"/>
    </xf>
    <xf numFmtId="179" fontId="55" fillId="8" borderId="11" xfId="0" applyNumberFormat="1" applyFont="1" applyFill="1" applyBorder="1" applyAlignment="1">
      <alignment horizontal="center" vertical="center"/>
    </xf>
    <xf numFmtId="0" fontId="55" fillId="8" borderId="66" xfId="0" applyFont="1" applyFill="1" applyBorder="1" applyAlignment="1">
      <alignment horizontal="center" vertical="center"/>
    </xf>
    <xf numFmtId="0" fontId="55" fillId="8" borderId="11" xfId="0" applyFont="1" applyFill="1" applyBorder="1" applyAlignment="1">
      <alignment horizontal="center" vertical="center"/>
    </xf>
    <xf numFmtId="179" fontId="55" fillId="8" borderId="4" xfId="0" applyNumberFormat="1" applyFont="1" applyFill="1" applyBorder="1" applyAlignment="1">
      <alignment horizontal="center" vertical="center"/>
    </xf>
    <xf numFmtId="0" fontId="55" fillId="8" borderId="60" xfId="0" applyFont="1" applyFill="1" applyBorder="1" applyAlignment="1">
      <alignment horizontal="center" vertical="center"/>
    </xf>
    <xf numFmtId="0" fontId="55" fillId="8" borderId="4" xfId="0" applyFont="1" applyFill="1" applyBorder="1" applyAlignment="1">
      <alignment horizontal="center" vertical="center"/>
    </xf>
    <xf numFmtId="0" fontId="31" fillId="8" borderId="170" xfId="0" applyFont="1" applyFill="1" applyBorder="1" applyAlignment="1">
      <alignment horizontal="center" vertical="center" wrapText="1" shrinkToFit="1"/>
    </xf>
    <xf numFmtId="0" fontId="31" fillId="8" borderId="171" xfId="0" applyFont="1" applyFill="1" applyBorder="1" applyAlignment="1">
      <alignment horizontal="center" vertical="center" wrapText="1" shrinkToFit="1"/>
    </xf>
    <xf numFmtId="179" fontId="55" fillId="8" borderId="54" xfId="0" applyNumberFormat="1" applyFont="1" applyFill="1" applyBorder="1" applyAlignment="1">
      <alignment horizontal="center" vertical="center"/>
    </xf>
    <xf numFmtId="0" fontId="55" fillId="8" borderId="61" xfId="0" applyFont="1" applyFill="1" applyBorder="1" applyAlignment="1">
      <alignment horizontal="center" vertical="center"/>
    </xf>
    <xf numFmtId="0" fontId="55" fillId="8" borderId="54" xfId="0" applyFont="1" applyFill="1" applyBorder="1" applyAlignment="1">
      <alignment horizontal="center" vertical="center"/>
    </xf>
    <xf numFmtId="0" fontId="54" fillId="2" borderId="157" xfId="0" applyFont="1" applyFill="1" applyBorder="1" applyAlignment="1">
      <alignment horizontal="center" vertical="center"/>
    </xf>
    <xf numFmtId="179" fontId="55" fillId="0" borderId="11" xfId="0" applyNumberFormat="1" applyFont="1" applyBorder="1" applyAlignment="1">
      <alignment horizontal="center" vertical="center"/>
    </xf>
    <xf numFmtId="0" fontId="55" fillId="0" borderId="66" xfId="0" applyFont="1" applyBorder="1" applyAlignment="1">
      <alignment horizontal="center" vertical="center"/>
    </xf>
    <xf numFmtId="179" fontId="55" fillId="0" borderId="148" xfId="0" applyNumberFormat="1" applyFont="1" applyBorder="1" applyAlignment="1">
      <alignment horizontal="center" vertical="center"/>
    </xf>
    <xf numFmtId="0" fontId="55" fillId="0" borderId="148" xfId="0" applyFont="1" applyBorder="1" applyAlignment="1">
      <alignment horizontal="center" vertical="center"/>
    </xf>
    <xf numFmtId="0" fontId="55" fillId="0" borderId="71" xfId="0" applyFont="1" applyBorder="1" applyAlignment="1">
      <alignment horizontal="center" vertical="center"/>
    </xf>
    <xf numFmtId="179" fontId="55" fillId="0" borderId="210" xfId="0" applyNumberFormat="1" applyFont="1" applyBorder="1" applyAlignment="1">
      <alignment horizontal="center" vertical="center"/>
    </xf>
    <xf numFmtId="0" fontId="55" fillId="0" borderId="210" xfId="0" applyFont="1" applyBorder="1" applyAlignment="1">
      <alignment horizontal="center" vertical="center"/>
    </xf>
    <xf numFmtId="0" fontId="54" fillId="2" borderId="160" xfId="0" applyFont="1" applyFill="1" applyBorder="1" applyAlignment="1">
      <alignment horizontal="center" vertical="center"/>
    </xf>
    <xf numFmtId="0" fontId="55" fillId="0" borderId="61" xfId="0" applyFont="1" applyBorder="1" applyAlignment="1">
      <alignment horizontal="center" vertical="center"/>
    </xf>
    <xf numFmtId="179" fontId="55" fillId="0" borderId="151" xfId="0" applyNumberFormat="1" applyFont="1" applyBorder="1" applyAlignment="1">
      <alignment horizontal="center" vertical="center"/>
    </xf>
    <xf numFmtId="0" fontId="55" fillId="0" borderId="151" xfId="0" applyFont="1" applyBorder="1" applyAlignment="1">
      <alignment horizontal="center" vertical="center"/>
    </xf>
    <xf numFmtId="179" fontId="55" fillId="0" borderId="147" xfId="0" applyNumberFormat="1" applyFont="1" applyBorder="1" applyAlignment="1">
      <alignment horizontal="center" vertical="center"/>
    </xf>
    <xf numFmtId="179" fontId="55" fillId="5" borderId="147" xfId="0" applyNumberFormat="1" applyFont="1" applyFill="1" applyBorder="1" applyAlignment="1">
      <alignment horizontal="center" vertical="center"/>
    </xf>
    <xf numFmtId="179" fontId="55" fillId="3" borderId="147" xfId="0" applyNumberFormat="1" applyFont="1" applyFill="1" applyBorder="1" applyAlignment="1">
      <alignment horizontal="center" vertical="center"/>
    </xf>
    <xf numFmtId="179" fontId="55" fillId="0" borderId="207" xfId="0" applyNumberFormat="1" applyFont="1" applyBorder="1" applyAlignment="1">
      <alignment horizontal="center" vertical="center"/>
    </xf>
    <xf numFmtId="0" fontId="55" fillId="0" borderId="208" xfId="0" applyFont="1" applyBorder="1" applyAlignment="1">
      <alignment horizontal="center" vertical="center"/>
    </xf>
    <xf numFmtId="0" fontId="54" fillId="2" borderId="155" xfId="0" applyFont="1" applyFill="1" applyBorder="1" applyAlignment="1">
      <alignment horizontal="center" vertical="center"/>
    </xf>
    <xf numFmtId="179" fontId="55" fillId="0" borderId="68" xfId="0" applyNumberFormat="1" applyFont="1" applyBorder="1" applyAlignment="1">
      <alignment horizontal="center" vertical="center"/>
    </xf>
    <xf numFmtId="0" fontId="55" fillId="0" borderId="19" xfId="0" applyFont="1" applyBorder="1" applyAlignment="1">
      <alignment horizontal="center" vertical="center"/>
    </xf>
    <xf numFmtId="179" fontId="55" fillId="0" borderId="213" xfId="0" applyNumberFormat="1" applyFont="1" applyBorder="1" applyAlignment="1">
      <alignment horizontal="center" vertical="center"/>
    </xf>
    <xf numFmtId="0" fontId="55" fillId="0" borderId="211" xfId="0" applyFont="1" applyBorder="1" applyAlignment="1">
      <alignment horizontal="center" vertical="center"/>
    </xf>
    <xf numFmtId="0" fontId="54" fillId="2" borderId="158" xfId="0" applyFont="1" applyFill="1" applyBorder="1" applyAlignment="1">
      <alignment horizontal="center" vertical="center"/>
    </xf>
    <xf numFmtId="179" fontId="55" fillId="0" borderId="60" xfId="0" applyNumberFormat="1" applyFont="1" applyBorder="1" applyAlignment="1">
      <alignment horizontal="center" vertical="center"/>
    </xf>
    <xf numFmtId="0" fontId="55" fillId="0" borderId="4" xfId="0" applyFont="1" applyBorder="1" applyAlignment="1">
      <alignment horizontal="center" vertical="center"/>
    </xf>
    <xf numFmtId="179" fontId="55" fillId="0" borderId="214" xfId="0" applyNumberFormat="1" applyFont="1" applyBorder="1" applyAlignment="1">
      <alignment horizontal="center" vertical="center"/>
    </xf>
    <xf numFmtId="0" fontId="55" fillId="0" borderId="150" xfId="0" applyFont="1" applyBorder="1" applyAlignment="1">
      <alignment horizontal="center" vertical="center"/>
    </xf>
    <xf numFmtId="0" fontId="64" fillId="0" borderId="67" xfId="0" applyFont="1" applyBorder="1" applyProtection="1">
      <alignment vertical="center"/>
      <protection locked="0"/>
    </xf>
    <xf numFmtId="0" fontId="64" fillId="0" borderId="27" xfId="0" applyFont="1" applyBorder="1" applyProtection="1">
      <alignment vertical="center"/>
      <protection locked="0"/>
    </xf>
    <xf numFmtId="0" fontId="65" fillId="2" borderId="158" xfId="0" applyFont="1" applyFill="1" applyBorder="1" applyAlignment="1">
      <alignment horizontal="center" vertical="center" wrapText="1"/>
    </xf>
    <xf numFmtId="0" fontId="54" fillId="2" borderId="72" xfId="0" applyFont="1" applyFill="1" applyBorder="1">
      <alignment vertical="center"/>
    </xf>
    <xf numFmtId="0" fontId="54" fillId="2" borderId="0" xfId="0" applyFont="1" applyFill="1">
      <alignment vertical="center"/>
    </xf>
    <xf numFmtId="179" fontId="55" fillId="0" borderId="72" xfId="0" applyNumberFormat="1" applyFont="1" applyBorder="1" applyAlignment="1">
      <alignment horizontal="center" vertical="center"/>
    </xf>
    <xf numFmtId="0" fontId="55" fillId="0" borderId="212" xfId="0" applyFont="1" applyBorder="1" applyAlignment="1">
      <alignment horizontal="center" vertical="center"/>
    </xf>
    <xf numFmtId="179" fontId="55" fillId="0" borderId="10" xfId="0" applyNumberFormat="1" applyFont="1" applyBorder="1" applyAlignment="1">
      <alignment horizontal="center" vertical="center"/>
    </xf>
    <xf numFmtId="0" fontId="64" fillId="0" borderId="10" xfId="0" applyFont="1" applyBorder="1" applyProtection="1">
      <alignment vertical="center"/>
      <protection locked="0"/>
    </xf>
    <xf numFmtId="179" fontId="55" fillId="0" borderId="81" xfId="0" applyNumberFormat="1" applyFont="1" applyBorder="1" applyAlignment="1">
      <alignment horizontal="center" vertical="center"/>
    </xf>
    <xf numFmtId="0" fontId="55" fillId="0" borderId="84" xfId="0" applyFont="1" applyBorder="1" applyAlignment="1">
      <alignment horizontal="center" vertical="center"/>
    </xf>
    <xf numFmtId="179" fontId="55" fillId="0" borderId="199" xfId="0" applyNumberFormat="1" applyFont="1" applyBorder="1" applyAlignment="1">
      <alignment horizontal="center" vertical="center"/>
    </xf>
    <xf numFmtId="0" fontId="55" fillId="8" borderId="71" xfId="0" applyFont="1" applyFill="1" applyBorder="1" applyAlignment="1">
      <alignment horizontal="center" vertical="center"/>
    </xf>
    <xf numFmtId="0" fontId="55" fillId="8" borderId="44" xfId="0" applyFont="1" applyFill="1" applyBorder="1" applyAlignment="1">
      <alignment horizontal="center" vertical="center"/>
    </xf>
    <xf numFmtId="179" fontId="55" fillId="8" borderId="106" xfId="0" applyNumberFormat="1" applyFont="1" applyFill="1" applyBorder="1" applyAlignment="1">
      <alignment horizontal="center" vertical="center"/>
    </xf>
    <xf numFmtId="0" fontId="55" fillId="8" borderId="118" xfId="0" applyFont="1" applyFill="1" applyBorder="1" applyAlignment="1">
      <alignment horizontal="center" vertical="center"/>
    </xf>
    <xf numFmtId="179" fontId="55" fillId="8" borderId="43" xfId="0" applyNumberFormat="1" applyFont="1" applyFill="1" applyBorder="1" applyAlignment="1">
      <alignment horizontal="center" vertical="center"/>
    </xf>
    <xf numFmtId="0" fontId="55" fillId="8" borderId="43" xfId="0" applyFont="1" applyFill="1" applyBorder="1" applyAlignment="1">
      <alignment horizontal="center" vertical="center"/>
    </xf>
    <xf numFmtId="179" fontId="55" fillId="8" borderId="96" xfId="0" applyNumberFormat="1" applyFont="1" applyFill="1" applyBorder="1" applyAlignment="1">
      <alignment horizontal="center" vertical="center"/>
    </xf>
    <xf numFmtId="0" fontId="55" fillId="8" borderId="117" xfId="0" applyFont="1" applyFill="1" applyBorder="1" applyAlignment="1">
      <alignment horizontal="center" vertical="center"/>
    </xf>
    <xf numFmtId="0" fontId="55" fillId="8" borderId="96" xfId="0" applyFont="1" applyFill="1" applyBorder="1" applyAlignment="1">
      <alignment horizontal="center" vertical="center"/>
    </xf>
    <xf numFmtId="0" fontId="55" fillId="8" borderId="106" xfId="0" applyFont="1" applyFill="1" applyBorder="1" applyAlignment="1">
      <alignment horizontal="center" vertical="center"/>
    </xf>
    <xf numFmtId="179" fontId="55" fillId="0" borderId="215" xfId="0" applyNumberFormat="1" applyFont="1" applyBorder="1" applyAlignment="1">
      <alignment horizontal="center" vertical="center"/>
    </xf>
    <xf numFmtId="0" fontId="55" fillId="0" borderId="215" xfId="0" applyFont="1" applyBorder="1" applyAlignment="1">
      <alignment horizontal="center" vertical="center"/>
    </xf>
    <xf numFmtId="179" fontId="55" fillId="8" borderId="149" xfId="0" applyNumberFormat="1" applyFont="1" applyFill="1" applyBorder="1" applyAlignment="1">
      <alignment horizontal="center" vertical="center"/>
    </xf>
    <xf numFmtId="0" fontId="55" fillId="8" borderId="149" xfId="0" applyFont="1" applyFill="1" applyBorder="1" applyAlignment="1">
      <alignment horizontal="center" vertical="center"/>
    </xf>
    <xf numFmtId="179" fontId="55" fillId="8" borderId="150" xfId="0" applyNumberFormat="1" applyFont="1" applyFill="1" applyBorder="1" applyAlignment="1">
      <alignment horizontal="center" vertical="center"/>
    </xf>
    <xf numFmtId="0" fontId="55" fillId="8" borderId="150" xfId="0" applyFont="1" applyFill="1" applyBorder="1" applyAlignment="1">
      <alignment horizontal="center" vertical="center"/>
    </xf>
    <xf numFmtId="179" fontId="55" fillId="8" borderId="44" xfId="0" applyNumberFormat="1" applyFont="1" applyFill="1" applyBorder="1" applyAlignment="1">
      <alignment horizontal="center" vertical="center"/>
    </xf>
    <xf numFmtId="179" fontId="55" fillId="8" borderId="210" xfId="0" applyNumberFormat="1" applyFont="1" applyFill="1" applyBorder="1" applyAlignment="1">
      <alignment horizontal="center" vertical="center"/>
    </xf>
    <xf numFmtId="0" fontId="55" fillId="8" borderId="210" xfId="0" applyFont="1" applyFill="1" applyBorder="1" applyAlignment="1">
      <alignment horizontal="center" vertical="center"/>
    </xf>
    <xf numFmtId="0" fontId="61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20" fillId="0" borderId="72" xfId="0" applyFont="1" applyBorder="1" applyProtection="1">
      <alignment vertical="center"/>
      <protection locked="0"/>
    </xf>
    <xf numFmtId="0" fontId="20" fillId="0" borderId="0" xfId="0" applyFont="1" applyProtection="1">
      <alignment vertical="center"/>
      <protection locked="0"/>
    </xf>
    <xf numFmtId="0" fontId="20" fillId="0" borderId="162" xfId="0" applyFont="1" applyBorder="1" applyProtection="1">
      <alignment vertical="center"/>
      <protection locked="0"/>
    </xf>
    <xf numFmtId="0" fontId="28" fillId="10" borderId="176" xfId="0" applyFont="1" applyFill="1" applyBorder="1" applyAlignment="1">
      <alignment horizontal="center" vertical="center" shrinkToFit="1"/>
    </xf>
    <xf numFmtId="0" fontId="28" fillId="8" borderId="176" xfId="0" applyFont="1" applyFill="1" applyBorder="1" applyAlignment="1">
      <alignment horizontal="center" vertical="center" shrinkToFit="1"/>
    </xf>
    <xf numFmtId="0" fontId="28" fillId="8" borderId="167" xfId="0" applyFont="1" applyFill="1" applyBorder="1" applyAlignment="1">
      <alignment horizontal="center" vertical="center" shrinkToFit="1"/>
    </xf>
    <xf numFmtId="0" fontId="28" fillId="3" borderId="27" xfId="0" applyFont="1" applyFill="1" applyBorder="1" applyAlignment="1">
      <alignment horizontal="center" vertical="center" shrinkToFit="1"/>
    </xf>
    <xf numFmtId="0" fontId="31" fillId="10" borderId="176" xfId="0" applyFont="1" applyFill="1" applyBorder="1" applyAlignment="1">
      <alignment horizontal="center" vertical="center" shrinkToFit="1"/>
    </xf>
    <xf numFmtId="0" fontId="31" fillId="10" borderId="201" xfId="0" applyFont="1" applyFill="1" applyBorder="1" applyAlignment="1">
      <alignment horizontal="center" vertical="center" shrinkToFit="1"/>
    </xf>
    <xf numFmtId="0" fontId="28" fillId="8" borderId="27" xfId="0" applyFont="1" applyFill="1" applyBorder="1" applyAlignment="1">
      <alignment horizontal="center" vertical="center" shrinkToFit="1"/>
    </xf>
    <xf numFmtId="0" fontId="28" fillId="5" borderId="27" xfId="0" applyFont="1" applyFill="1" applyBorder="1" applyAlignment="1">
      <alignment horizontal="center" vertical="center" shrinkToFit="1"/>
    </xf>
    <xf numFmtId="0" fontId="51" fillId="8" borderId="178" xfId="0" applyFont="1" applyFill="1" applyBorder="1" applyAlignment="1">
      <alignment horizontal="center" vertical="center" wrapText="1" shrinkToFit="1"/>
    </xf>
    <xf numFmtId="0" fontId="51" fillId="5" borderId="178" xfId="0" applyFont="1" applyFill="1" applyBorder="1" applyAlignment="1">
      <alignment horizontal="center" vertical="center" wrapText="1" shrinkToFit="1"/>
    </xf>
    <xf numFmtId="0" fontId="28" fillId="5" borderId="176" xfId="0" applyFont="1" applyFill="1" applyBorder="1" applyAlignment="1">
      <alignment horizontal="center" vertical="center" shrinkToFit="1"/>
    </xf>
    <xf numFmtId="0" fontId="28" fillId="3" borderId="176" xfId="0" applyFont="1" applyFill="1" applyBorder="1" applyAlignment="1">
      <alignment horizontal="center" vertical="center" shrinkToFit="1"/>
    </xf>
    <xf numFmtId="0" fontId="28" fillId="3" borderId="178" xfId="0" applyFont="1" applyFill="1" applyBorder="1" applyAlignment="1">
      <alignment horizontal="center" vertical="center" shrinkToFit="1"/>
    </xf>
    <xf numFmtId="0" fontId="28" fillId="5" borderId="167" xfId="0" applyFont="1" applyFill="1" applyBorder="1" applyAlignment="1">
      <alignment horizontal="center" vertical="center" shrinkToFit="1"/>
    </xf>
    <xf numFmtId="0" fontId="28" fillId="3" borderId="167" xfId="0" applyFont="1" applyFill="1" applyBorder="1" applyAlignment="1">
      <alignment horizontal="center" vertical="center" shrinkToFit="1"/>
    </xf>
    <xf numFmtId="0" fontId="28" fillId="3" borderId="181" xfId="0" applyFont="1" applyFill="1" applyBorder="1" applyAlignment="1">
      <alignment horizontal="center" vertical="center" shrinkToFit="1"/>
    </xf>
    <xf numFmtId="0" fontId="28" fillId="5" borderId="181" xfId="0" applyFont="1" applyFill="1" applyBorder="1" applyAlignment="1">
      <alignment horizontal="center" vertical="center" shrinkToFit="1"/>
    </xf>
    <xf numFmtId="0" fontId="28" fillId="5" borderId="184" xfId="0" applyFont="1" applyFill="1" applyBorder="1" applyAlignment="1">
      <alignment horizontal="center" vertical="center" shrinkToFit="1"/>
    </xf>
    <xf numFmtId="0" fontId="28" fillId="3" borderId="184" xfId="0" applyFont="1" applyFill="1" applyBorder="1" applyAlignment="1">
      <alignment horizontal="center" vertical="center" shrinkToFit="1"/>
    </xf>
    <xf numFmtId="0" fontId="28" fillId="8" borderId="181" xfId="0" applyFont="1" applyFill="1" applyBorder="1" applyAlignment="1">
      <alignment horizontal="center" vertical="center" shrinkToFit="1"/>
    </xf>
    <xf numFmtId="0" fontId="28" fillId="8" borderId="170" xfId="0" applyFont="1" applyFill="1" applyBorder="1" applyAlignment="1">
      <alignment horizontal="center" vertical="center" wrapText="1" shrinkToFit="1"/>
    </xf>
    <xf numFmtId="0" fontId="31" fillId="0" borderId="174" xfId="0" applyFont="1" applyBorder="1" applyAlignment="1">
      <alignment horizontal="center" vertical="center" shrinkToFit="1"/>
    </xf>
    <xf numFmtId="0" fontId="31" fillId="0" borderId="27" xfId="0" applyFont="1" applyBorder="1" applyAlignment="1">
      <alignment horizontal="center" vertical="center" shrinkToFit="1"/>
    </xf>
    <xf numFmtId="0" fontId="31" fillId="0" borderId="176" xfId="0" applyFont="1" applyBorder="1" applyAlignment="1">
      <alignment horizontal="center" vertical="center" shrinkToFit="1"/>
    </xf>
    <xf numFmtId="0" fontId="31" fillId="0" borderId="201" xfId="0" applyFont="1" applyBorder="1" applyAlignment="1">
      <alignment horizontal="center" vertical="center" shrinkToFit="1"/>
    </xf>
    <xf numFmtId="0" fontId="31" fillId="0" borderId="178" xfId="0" applyFont="1" applyBorder="1" applyAlignment="1">
      <alignment horizontal="center" vertical="center" shrinkToFit="1"/>
    </xf>
    <xf numFmtId="0" fontId="28" fillId="0" borderId="27" xfId="0" applyFont="1" applyBorder="1" applyAlignment="1">
      <alignment horizontal="center" vertical="center" shrinkToFit="1"/>
    </xf>
    <xf numFmtId="0" fontId="31" fillId="0" borderId="171" xfId="0" applyFont="1" applyBorder="1" applyAlignment="1">
      <alignment horizontal="center" vertical="center" shrinkToFit="1"/>
    </xf>
    <xf numFmtId="56" fontId="17" fillId="0" borderId="12" xfId="0" applyNumberFormat="1" applyFont="1" applyBorder="1" applyAlignment="1">
      <alignment vertical="center" wrapText="1"/>
    </xf>
    <xf numFmtId="56" fontId="4" fillId="0" borderId="10" xfId="0" applyNumberFormat="1" applyFont="1" applyBorder="1" applyAlignment="1">
      <alignment vertical="top" wrapText="1"/>
    </xf>
    <xf numFmtId="0" fontId="31" fillId="0" borderId="170" xfId="0" applyFont="1" applyBorder="1" applyAlignment="1">
      <alignment horizontal="center" vertical="center" shrinkToFit="1"/>
    </xf>
    <xf numFmtId="0" fontId="17" fillId="0" borderId="56" xfId="0" applyFont="1" applyBorder="1" applyAlignment="1">
      <alignment vertical="center" wrapText="1"/>
    </xf>
    <xf numFmtId="0" fontId="17" fillId="0" borderId="64" xfId="0" applyFont="1" applyBorder="1" applyAlignment="1">
      <alignment vertical="center" wrapText="1"/>
    </xf>
    <xf numFmtId="0" fontId="31" fillId="0" borderId="36" xfId="0" applyFont="1" applyBorder="1" applyAlignment="1">
      <alignment horizontal="center" vertical="center" shrinkToFit="1"/>
    </xf>
    <xf numFmtId="56" fontId="17" fillId="0" borderId="0" xfId="0" applyNumberFormat="1" applyFont="1" applyAlignment="1">
      <alignment vertical="center" wrapText="1"/>
    </xf>
    <xf numFmtId="56" fontId="17" fillId="0" borderId="56" xfId="0" applyNumberFormat="1" applyFont="1" applyBorder="1" applyAlignment="1">
      <alignment vertical="center" wrapText="1"/>
    </xf>
    <xf numFmtId="179" fontId="25" fillId="0" borderId="147" xfId="0" applyNumberFormat="1" applyFont="1" applyBorder="1" applyAlignment="1">
      <alignment horizontal="center" vertical="center"/>
    </xf>
    <xf numFmtId="0" fontId="28" fillId="0" borderId="201" xfId="0" applyFont="1" applyBorder="1" applyAlignment="1">
      <alignment horizontal="center" vertical="center" shrinkToFit="1"/>
    </xf>
    <xf numFmtId="0" fontId="17" fillId="0" borderId="203" xfId="0" applyFont="1" applyBorder="1" applyAlignment="1">
      <alignment vertical="center" wrapText="1"/>
    </xf>
    <xf numFmtId="0" fontId="31" fillId="0" borderId="67" xfId="0" applyFont="1" applyBorder="1" applyAlignment="1">
      <alignment horizontal="center" vertical="center" shrinkToFit="1"/>
    </xf>
    <xf numFmtId="0" fontId="17" fillId="0" borderId="204" xfId="0" applyFont="1" applyBorder="1" applyAlignment="1">
      <alignment vertical="center" wrapText="1"/>
    </xf>
    <xf numFmtId="56" fontId="17" fillId="0" borderId="204" xfId="0" applyNumberFormat="1" applyFont="1" applyBorder="1" applyAlignment="1">
      <alignment vertical="center" wrapText="1"/>
    </xf>
    <xf numFmtId="0" fontId="31" fillId="0" borderId="221" xfId="0" applyFont="1" applyBorder="1" applyAlignment="1">
      <alignment horizontal="center" vertical="center" shrinkToFit="1"/>
    </xf>
    <xf numFmtId="0" fontId="28" fillId="0" borderId="178" xfId="0" applyFont="1" applyBorder="1" applyAlignment="1">
      <alignment horizontal="center" vertical="center" shrinkToFit="1"/>
    </xf>
    <xf numFmtId="56" fontId="17" fillId="0" borderId="205" xfId="0" applyNumberFormat="1" applyFont="1" applyBorder="1" applyAlignment="1">
      <alignment vertical="center" wrapText="1"/>
    </xf>
    <xf numFmtId="0" fontId="50" fillId="0" borderId="204" xfId="0" applyFont="1" applyBorder="1" applyAlignment="1">
      <alignment vertical="center" wrapText="1"/>
    </xf>
    <xf numFmtId="0" fontId="56" fillId="0" borderId="27" xfId="0" applyFont="1" applyBorder="1" applyAlignment="1">
      <alignment horizontal="center" vertical="center" shrinkToFit="1"/>
    </xf>
    <xf numFmtId="0" fontId="52" fillId="0" borderId="204" xfId="0" applyFont="1" applyBorder="1" applyAlignment="1">
      <alignment vertical="center" wrapText="1"/>
    </xf>
    <xf numFmtId="0" fontId="31" fillId="0" borderId="222" xfId="0" applyFont="1" applyBorder="1" applyAlignment="1">
      <alignment horizontal="center" vertical="center" shrinkToFit="1"/>
    </xf>
    <xf numFmtId="0" fontId="31" fillId="0" borderId="82" xfId="0" applyFont="1" applyBorder="1" applyAlignment="1">
      <alignment horizontal="center" vertical="center" shrinkToFit="1"/>
    </xf>
    <xf numFmtId="0" fontId="52" fillId="0" borderId="206" xfId="0" applyFont="1" applyBorder="1" applyAlignment="1">
      <alignment vertical="center" wrapText="1"/>
    </xf>
    <xf numFmtId="0" fontId="17" fillId="0" borderId="12" xfId="0" applyFont="1" applyBorder="1" applyAlignment="1">
      <alignment vertical="center" wrapText="1"/>
    </xf>
    <xf numFmtId="0" fontId="17" fillId="0" borderId="55" xfId="0" applyFont="1" applyBorder="1" applyAlignment="1">
      <alignment vertical="center" wrapText="1"/>
    </xf>
    <xf numFmtId="56" fontId="4" fillId="0" borderId="10" xfId="0" applyNumberFormat="1" applyFont="1" applyBorder="1" applyAlignment="1">
      <alignment vertical="center" wrapText="1"/>
    </xf>
    <xf numFmtId="56" fontId="17" fillId="0" borderId="55" xfId="0" applyNumberFormat="1" applyFont="1" applyBorder="1" applyAlignment="1">
      <alignment vertical="center" wrapText="1"/>
    </xf>
    <xf numFmtId="56" fontId="17" fillId="0" borderId="92" xfId="0" applyNumberFormat="1" applyFont="1" applyBorder="1" applyAlignment="1">
      <alignment vertical="center" wrapText="1"/>
    </xf>
    <xf numFmtId="56" fontId="50" fillId="0" borderId="10" xfId="0" applyNumberFormat="1" applyFont="1" applyBorder="1" applyAlignment="1">
      <alignment vertical="center" wrapText="1" shrinkToFit="1"/>
    </xf>
    <xf numFmtId="56" fontId="50" fillId="0" borderId="153" xfId="0" applyNumberFormat="1" applyFont="1" applyBorder="1" applyAlignment="1">
      <alignment vertical="center" wrapText="1" shrinkToFit="1"/>
    </xf>
    <xf numFmtId="56" fontId="17" fillId="0" borderId="10" xfId="0" applyNumberFormat="1" applyFont="1" applyBorder="1" applyAlignment="1">
      <alignment vertical="center" shrinkToFit="1"/>
    </xf>
    <xf numFmtId="0" fontId="17" fillId="0" borderId="10" xfId="0" applyFont="1" applyBorder="1" applyAlignment="1">
      <alignment vertical="center" wrapText="1"/>
    </xf>
    <xf numFmtId="0" fontId="17" fillId="0" borderId="3" xfId="0" applyFont="1" applyBorder="1" applyAlignment="1">
      <alignment vertical="center" wrapText="1"/>
    </xf>
    <xf numFmtId="177" fontId="21" fillId="0" borderId="152" xfId="0" applyNumberFormat="1" applyFont="1" applyBorder="1" applyAlignment="1">
      <alignment horizontal="center" vertical="center"/>
    </xf>
    <xf numFmtId="0" fontId="56" fillId="0" borderId="195" xfId="0" applyFont="1" applyBorder="1" applyAlignment="1">
      <alignment horizontal="center" vertical="center"/>
    </xf>
    <xf numFmtId="177" fontId="21" fillId="9" borderId="163" xfId="0" applyNumberFormat="1" applyFont="1" applyFill="1" applyBorder="1" applyAlignment="1">
      <alignment horizontal="center" vertical="center"/>
    </xf>
    <xf numFmtId="0" fontId="56" fillId="9" borderId="197" xfId="0" applyFont="1" applyFill="1" applyBorder="1" applyAlignment="1">
      <alignment horizontal="center" vertical="center"/>
    </xf>
    <xf numFmtId="0" fontId="31" fillId="9" borderId="165" xfId="0" applyFont="1" applyFill="1" applyBorder="1" applyAlignment="1">
      <alignment horizontal="center" vertical="center" shrinkToFit="1"/>
    </xf>
    <xf numFmtId="0" fontId="31" fillId="9" borderId="177" xfId="0" applyFont="1" applyFill="1" applyBorder="1" applyAlignment="1">
      <alignment horizontal="center" vertical="center" shrinkToFit="1"/>
    </xf>
    <xf numFmtId="179" fontId="55" fillId="9" borderId="146" xfId="0" applyNumberFormat="1" applyFont="1" applyFill="1" applyBorder="1" applyAlignment="1">
      <alignment horizontal="center" vertical="center"/>
    </xf>
    <xf numFmtId="0" fontId="31" fillId="9" borderId="188" xfId="0" applyFont="1" applyFill="1" applyBorder="1" applyAlignment="1">
      <alignment horizontal="center" vertical="center" shrinkToFit="1"/>
    </xf>
    <xf numFmtId="0" fontId="31" fillId="9" borderId="196" xfId="0" applyFont="1" applyFill="1" applyBorder="1" applyAlignment="1">
      <alignment horizontal="center" vertical="center" shrinkToFit="1"/>
    </xf>
    <xf numFmtId="0" fontId="31" fillId="9" borderId="169" xfId="0" applyFont="1" applyFill="1" applyBorder="1" applyAlignment="1">
      <alignment horizontal="center" vertical="center" shrinkToFit="1"/>
    </xf>
    <xf numFmtId="0" fontId="28" fillId="9" borderId="165" xfId="0" applyFont="1" applyFill="1" applyBorder="1" applyAlignment="1">
      <alignment horizontal="center" vertical="center" shrinkToFit="1"/>
    </xf>
    <xf numFmtId="0" fontId="31" fillId="9" borderId="165" xfId="0" applyFont="1" applyFill="1" applyBorder="1" applyAlignment="1">
      <alignment horizontal="center" vertical="center" wrapText="1" shrinkToFit="1"/>
    </xf>
    <xf numFmtId="0" fontId="41" fillId="9" borderId="165" xfId="0" applyFont="1" applyFill="1" applyBorder="1" applyAlignment="1">
      <alignment horizontal="center" vertical="center" wrapText="1" shrinkToFit="1"/>
    </xf>
    <xf numFmtId="0" fontId="31" fillId="9" borderId="189" xfId="0" applyFont="1" applyFill="1" applyBorder="1" applyAlignment="1">
      <alignment horizontal="center" vertical="center" shrinkToFit="1"/>
    </xf>
    <xf numFmtId="0" fontId="21" fillId="3" borderId="27" xfId="0" applyFont="1" applyFill="1" applyBorder="1" applyAlignment="1">
      <alignment horizontal="center" vertical="center" wrapText="1" shrinkToFit="1"/>
    </xf>
    <xf numFmtId="179" fontId="55" fillId="3" borderId="2" xfId="0" applyNumberFormat="1" applyFont="1" applyFill="1" applyBorder="1" applyAlignment="1">
      <alignment horizontal="center" vertical="center"/>
    </xf>
    <xf numFmtId="0" fontId="41" fillId="3" borderId="27" xfId="0" applyFont="1" applyFill="1" applyBorder="1" applyAlignment="1">
      <alignment horizontal="center" vertical="center" wrapText="1" shrinkToFit="1"/>
    </xf>
    <xf numFmtId="177" fontId="21" fillId="9" borderId="152" xfId="0" applyNumberFormat="1" applyFont="1" applyFill="1" applyBorder="1" applyAlignment="1">
      <alignment horizontal="center" vertical="center"/>
    </xf>
    <xf numFmtId="0" fontId="56" fillId="9" borderId="195" xfId="0" applyFont="1" applyFill="1" applyBorder="1" applyAlignment="1">
      <alignment horizontal="center" vertical="center"/>
    </xf>
    <xf numFmtId="0" fontId="21" fillId="9" borderId="178" xfId="0" applyFont="1" applyFill="1" applyBorder="1" applyAlignment="1">
      <alignment horizontal="center" vertical="center" wrapText="1" shrinkToFit="1"/>
    </xf>
    <xf numFmtId="0" fontId="28" fillId="9" borderId="27" xfId="0" applyFont="1" applyFill="1" applyBorder="1" applyAlignment="1">
      <alignment horizontal="center" vertical="center" shrinkToFit="1"/>
    </xf>
    <xf numFmtId="0" fontId="31" fillId="9" borderId="174" xfId="0" applyFont="1" applyFill="1" applyBorder="1" applyAlignment="1">
      <alignment horizontal="center" vertical="center" shrinkToFit="1"/>
    </xf>
    <xf numFmtId="0" fontId="31" fillId="9" borderId="176" xfId="0" applyFont="1" applyFill="1" applyBorder="1" applyAlignment="1">
      <alignment horizontal="center" vertical="center" shrinkToFit="1"/>
    </xf>
    <xf numFmtId="179" fontId="55" fillId="9" borderId="147" xfId="0" applyNumberFormat="1" applyFont="1" applyFill="1" applyBorder="1" applyAlignment="1">
      <alignment horizontal="center" vertical="center"/>
    </xf>
    <xf numFmtId="0" fontId="28" fillId="9" borderId="176" xfId="0" applyFont="1" applyFill="1" applyBorder="1" applyAlignment="1">
      <alignment horizontal="center" vertical="center" shrinkToFit="1"/>
    </xf>
    <xf numFmtId="0" fontId="31" fillId="9" borderId="27" xfId="0" applyFont="1" applyFill="1" applyBorder="1" applyAlignment="1">
      <alignment horizontal="center" vertical="center" wrapText="1" shrinkToFit="1"/>
    </xf>
    <xf numFmtId="0" fontId="51" fillId="5" borderId="27" xfId="0" applyFont="1" applyFill="1" applyBorder="1" applyAlignment="1">
      <alignment horizontal="center" vertical="center" shrinkToFit="1"/>
    </xf>
    <xf numFmtId="0" fontId="41" fillId="5" borderId="27" xfId="0" applyFont="1" applyFill="1" applyBorder="1" applyAlignment="1">
      <alignment horizontal="center" vertical="center" wrapText="1" shrinkToFit="1"/>
    </xf>
    <xf numFmtId="0" fontId="31" fillId="5" borderId="157" xfId="0" applyFont="1" applyFill="1" applyBorder="1" applyAlignment="1">
      <alignment horizontal="center" vertical="center" shrinkToFit="1"/>
    </xf>
    <xf numFmtId="0" fontId="31" fillId="5" borderId="159" xfId="0" applyFont="1" applyFill="1" applyBorder="1" applyAlignment="1">
      <alignment horizontal="center" vertical="center" shrinkToFit="1"/>
    </xf>
    <xf numFmtId="0" fontId="31" fillId="5" borderId="155" xfId="0" applyFont="1" applyFill="1" applyBorder="1" applyAlignment="1">
      <alignment horizontal="center" vertical="center" shrinkToFit="1"/>
    </xf>
    <xf numFmtId="0" fontId="31" fillId="5" borderId="158" xfId="0" applyFont="1" applyFill="1" applyBorder="1" applyAlignment="1">
      <alignment horizontal="center" vertical="center" shrinkToFit="1"/>
    </xf>
    <xf numFmtId="0" fontId="31" fillId="5" borderId="202" xfId="0" applyFont="1" applyFill="1" applyBorder="1" applyAlignment="1">
      <alignment horizontal="center" vertical="center" shrinkToFit="1"/>
    </xf>
    <xf numFmtId="177" fontId="21" fillId="5" borderId="164" xfId="0" applyNumberFormat="1" applyFont="1" applyFill="1" applyBorder="1" applyAlignment="1">
      <alignment horizontal="center" vertical="center"/>
    </xf>
    <xf numFmtId="0" fontId="56" fillId="5" borderId="198" xfId="0" applyFont="1" applyFill="1" applyBorder="1" applyAlignment="1">
      <alignment horizontal="center" vertical="center"/>
    </xf>
    <xf numFmtId="0" fontId="21" fillId="5" borderId="187" xfId="0" applyFont="1" applyFill="1" applyBorder="1" applyAlignment="1">
      <alignment horizontal="center" vertical="center" wrapText="1" shrinkToFit="1"/>
    </xf>
    <xf numFmtId="0" fontId="21" fillId="5" borderId="166" xfId="0" applyFont="1" applyFill="1" applyBorder="1" applyAlignment="1">
      <alignment horizontal="center" vertical="center" shrinkToFit="1"/>
    </xf>
    <xf numFmtId="0" fontId="28" fillId="5" borderId="223" xfId="0" applyFont="1" applyFill="1" applyBorder="1" applyAlignment="1">
      <alignment horizontal="center" vertical="center" shrinkToFit="1"/>
    </xf>
    <xf numFmtId="0" fontId="31" fillId="5" borderId="175" xfId="0" applyFont="1" applyFill="1" applyBorder="1" applyAlignment="1">
      <alignment horizontal="center" vertical="center" shrinkToFit="1"/>
    </xf>
    <xf numFmtId="0" fontId="31" fillId="5" borderId="179" xfId="0" applyFont="1" applyFill="1" applyBorder="1" applyAlignment="1">
      <alignment horizontal="center" vertical="center" shrinkToFit="1"/>
    </xf>
    <xf numFmtId="0" fontId="31" fillId="5" borderId="161" xfId="0" applyFont="1" applyFill="1" applyBorder="1" applyAlignment="1">
      <alignment horizontal="center" vertical="center" shrinkToFit="1"/>
    </xf>
    <xf numFmtId="0" fontId="31" fillId="5" borderId="166" xfId="0" applyFont="1" applyFill="1" applyBorder="1" applyAlignment="1">
      <alignment horizontal="center" vertical="center" shrinkToFit="1"/>
    </xf>
    <xf numFmtId="0" fontId="28" fillId="5" borderId="185" xfId="0" applyFont="1" applyFill="1" applyBorder="1" applyAlignment="1">
      <alignment horizontal="center" vertical="center" shrinkToFit="1"/>
    </xf>
    <xf numFmtId="0" fontId="28" fillId="5" borderId="166" xfId="0" applyFont="1" applyFill="1" applyBorder="1" applyAlignment="1">
      <alignment horizontal="center" vertical="center" shrinkToFit="1"/>
    </xf>
    <xf numFmtId="0" fontId="31" fillId="5" borderId="166" xfId="0" applyFont="1" applyFill="1" applyBorder="1" applyAlignment="1">
      <alignment horizontal="center" vertical="center" wrapText="1" shrinkToFit="1"/>
    </xf>
    <xf numFmtId="0" fontId="31" fillId="5" borderId="192" xfId="0" applyFont="1" applyFill="1" applyBorder="1" applyAlignment="1">
      <alignment horizontal="center" vertical="center" shrinkToFit="1"/>
    </xf>
    <xf numFmtId="0" fontId="28" fillId="8" borderId="170" xfId="0" applyFont="1" applyFill="1" applyBorder="1" applyAlignment="1">
      <alignment horizontal="center" vertical="center" shrinkToFit="1"/>
    </xf>
    <xf numFmtId="0" fontId="28" fillId="8" borderId="184" xfId="0" applyFont="1" applyFill="1" applyBorder="1" applyAlignment="1">
      <alignment horizontal="center" vertical="center" shrinkToFit="1"/>
    </xf>
    <xf numFmtId="0" fontId="31" fillId="8" borderId="191" xfId="0" applyFont="1" applyFill="1" applyBorder="1" applyAlignment="1">
      <alignment horizontal="center" vertical="center" shrinkToFit="1"/>
    </xf>
    <xf numFmtId="0" fontId="51" fillId="3" borderId="178" xfId="0" applyFont="1" applyFill="1" applyBorder="1" applyAlignment="1">
      <alignment horizontal="center" vertical="center" wrapText="1" shrinkToFit="1"/>
    </xf>
    <xf numFmtId="0" fontId="28" fillId="3" borderId="170" xfId="0" applyFont="1" applyFill="1" applyBorder="1" applyAlignment="1">
      <alignment horizontal="center" vertical="center" wrapText="1" shrinkToFit="1"/>
    </xf>
    <xf numFmtId="0" fontId="28" fillId="5" borderId="170" xfId="0" applyFont="1" applyFill="1" applyBorder="1" applyAlignment="1">
      <alignment horizontal="center" vertical="center" shrinkToFit="1"/>
    </xf>
    <xf numFmtId="0" fontId="54" fillId="2" borderId="66" xfId="0" applyFont="1" applyFill="1" applyBorder="1">
      <alignment vertical="center"/>
    </xf>
    <xf numFmtId="0" fontId="54" fillId="2" borderId="36" xfId="0" applyFont="1" applyFill="1" applyBorder="1">
      <alignment vertical="center"/>
    </xf>
    <xf numFmtId="0" fontId="66" fillId="2" borderId="159" xfId="0" applyFont="1" applyFill="1" applyBorder="1" applyAlignment="1">
      <alignment horizontal="center" vertical="center" wrapText="1"/>
    </xf>
    <xf numFmtId="0" fontId="17" fillId="0" borderId="224" xfId="0" applyFont="1" applyBorder="1" applyAlignment="1">
      <alignment vertical="center" wrapText="1"/>
    </xf>
    <xf numFmtId="179" fontId="55" fillId="0" borderId="149" xfId="0" applyNumberFormat="1" applyFont="1" applyBorder="1" applyAlignment="1">
      <alignment horizontal="center" vertical="center"/>
    </xf>
    <xf numFmtId="0" fontId="55" fillId="0" borderId="149" xfId="0" applyFont="1" applyBorder="1" applyAlignment="1">
      <alignment horizontal="center" vertical="center"/>
    </xf>
    <xf numFmtId="0" fontId="66" fillId="2" borderId="158" xfId="0" applyFont="1" applyFill="1" applyBorder="1" applyAlignment="1">
      <alignment horizontal="center" vertical="center" wrapText="1"/>
    </xf>
    <xf numFmtId="179" fontId="55" fillId="0" borderId="4" xfId="0" applyNumberFormat="1" applyFont="1" applyBorder="1" applyAlignment="1">
      <alignment horizontal="center" vertical="center"/>
    </xf>
    <xf numFmtId="179" fontId="55" fillId="0" borderId="150" xfId="0" applyNumberFormat="1" applyFont="1" applyBorder="1" applyAlignment="1">
      <alignment horizontal="center" vertical="center"/>
    </xf>
    <xf numFmtId="0" fontId="17" fillId="0" borderId="199" xfId="0" applyFont="1" applyBorder="1" applyAlignment="1">
      <alignment vertical="center" wrapText="1"/>
    </xf>
    <xf numFmtId="0" fontId="66" fillId="2" borderId="172" xfId="0" applyFont="1" applyFill="1" applyBorder="1" applyAlignment="1">
      <alignment horizontal="center" vertical="center" wrapText="1"/>
    </xf>
    <xf numFmtId="0" fontId="31" fillId="0" borderId="228" xfId="0" applyFont="1" applyBorder="1" applyAlignment="1">
      <alignment horizontal="center" vertical="center" shrinkToFit="1"/>
    </xf>
    <xf numFmtId="0" fontId="28" fillId="0" borderId="228" xfId="0" applyFont="1" applyBorder="1" applyAlignment="1">
      <alignment horizontal="center" vertical="center" shrinkToFit="1"/>
    </xf>
    <xf numFmtId="0" fontId="68" fillId="0" borderId="27" xfId="0" applyFont="1" applyBorder="1" applyAlignment="1">
      <alignment horizontal="center" vertical="center" shrinkToFit="1"/>
    </xf>
    <xf numFmtId="0" fontId="28" fillId="9" borderId="196" xfId="0" applyFont="1" applyFill="1" applyBorder="1" applyAlignment="1">
      <alignment horizontal="center" vertical="center" wrapText="1" shrinkToFit="1"/>
    </xf>
    <xf numFmtId="0" fontId="28" fillId="9" borderId="169" xfId="0" applyFont="1" applyFill="1" applyBorder="1" applyAlignment="1">
      <alignment horizontal="center" vertical="center" wrapText="1" shrinkToFit="1"/>
    </xf>
    <xf numFmtId="0" fontId="51" fillId="8" borderId="170" xfId="0" applyFont="1" applyFill="1" applyBorder="1" applyAlignment="1">
      <alignment horizontal="center" vertical="center" wrapText="1" shrinkToFit="1"/>
    </xf>
    <xf numFmtId="0" fontId="68" fillId="9" borderId="173" xfId="0" applyFont="1" applyFill="1" applyBorder="1" applyAlignment="1">
      <alignment horizontal="center" vertical="center" shrinkToFit="1"/>
    </xf>
    <xf numFmtId="0" fontId="28" fillId="9" borderId="177" xfId="0" applyFont="1" applyFill="1" applyBorder="1" applyAlignment="1">
      <alignment horizontal="center" vertical="center" shrinkToFit="1"/>
    </xf>
    <xf numFmtId="0" fontId="67" fillId="8" borderId="27" xfId="0" applyFont="1" applyFill="1" applyBorder="1" applyAlignment="1">
      <alignment horizontal="center" vertical="center" shrinkToFit="1"/>
    </xf>
    <xf numFmtId="0" fontId="31" fillId="9" borderId="227" xfId="0" applyFont="1" applyFill="1" applyBorder="1" applyAlignment="1">
      <alignment horizontal="center" vertical="center" shrinkToFit="1"/>
    </xf>
    <xf numFmtId="0" fontId="31" fillId="3" borderId="228" xfId="0" applyFont="1" applyFill="1" applyBorder="1" applyAlignment="1">
      <alignment horizontal="center" vertical="center" shrinkToFit="1"/>
    </xf>
    <xf numFmtId="0" fontId="31" fillId="5" borderId="228" xfId="0" applyFont="1" applyFill="1" applyBorder="1" applyAlignment="1">
      <alignment horizontal="center" vertical="center" shrinkToFit="1"/>
    </xf>
    <xf numFmtId="0" fontId="69" fillId="2" borderId="159" xfId="0" applyFont="1" applyFill="1" applyBorder="1" applyAlignment="1">
      <alignment horizontal="center" vertical="center" wrapText="1"/>
    </xf>
    <xf numFmtId="179" fontId="55" fillId="0" borderId="54" xfId="0" applyNumberFormat="1" applyFont="1" applyBorder="1" applyAlignment="1">
      <alignment horizontal="center" vertical="center"/>
    </xf>
    <xf numFmtId="0" fontId="55" fillId="0" borderId="54" xfId="0" applyFont="1" applyBorder="1" applyAlignment="1">
      <alignment horizontal="center" vertical="center"/>
    </xf>
    <xf numFmtId="0" fontId="28" fillId="5" borderId="179" xfId="0" applyFont="1" applyFill="1" applyBorder="1" applyAlignment="1">
      <alignment horizontal="center" vertical="center" shrinkToFit="1"/>
    </xf>
    <xf numFmtId="0" fontId="28" fillId="9" borderId="216" xfId="0" applyFont="1" applyFill="1" applyBorder="1" applyAlignment="1">
      <alignment horizontal="center" vertical="center" shrinkToFit="1"/>
    </xf>
    <xf numFmtId="0" fontId="28" fillId="3" borderId="217" xfId="0" applyFont="1" applyFill="1" applyBorder="1" applyAlignment="1">
      <alignment horizontal="center" vertical="center" shrinkToFit="1"/>
    </xf>
    <xf numFmtId="0" fontId="28" fillId="5" borderId="217" xfId="0" applyFont="1" applyFill="1" applyBorder="1" applyAlignment="1">
      <alignment horizontal="center" vertical="center" shrinkToFit="1"/>
    </xf>
    <xf numFmtId="0" fontId="28" fillId="8" borderId="217" xfId="0" applyFont="1" applyFill="1" applyBorder="1" applyAlignment="1">
      <alignment horizontal="center" vertical="center" shrinkToFit="1"/>
    </xf>
    <xf numFmtId="0" fontId="28" fillId="9" borderId="217" xfId="0" applyFont="1" applyFill="1" applyBorder="1" applyAlignment="1">
      <alignment horizontal="center" vertical="center" shrinkToFit="1"/>
    </xf>
    <xf numFmtId="0" fontId="28" fillId="5" borderId="218" xfId="0" applyFont="1" applyFill="1" applyBorder="1" applyAlignment="1">
      <alignment horizontal="center" vertical="center" shrinkToFit="1"/>
    </xf>
    <xf numFmtId="0" fontId="28" fillId="5" borderId="168" xfId="0" applyFont="1" applyFill="1" applyBorder="1" applyAlignment="1">
      <alignment horizontal="center" vertical="center" shrinkToFit="1"/>
    </xf>
    <xf numFmtId="0" fontId="28" fillId="9" borderId="180" xfId="0" applyFont="1" applyFill="1" applyBorder="1" applyAlignment="1">
      <alignment horizontal="center" vertical="center" shrinkToFit="1"/>
    </xf>
    <xf numFmtId="0" fontId="28" fillId="9" borderId="181" xfId="0" applyFont="1" applyFill="1" applyBorder="1" applyAlignment="1">
      <alignment horizontal="center" vertical="center" shrinkToFit="1"/>
    </xf>
    <xf numFmtId="0" fontId="28" fillId="5" borderId="182" xfId="0" applyFont="1" applyFill="1" applyBorder="1" applyAlignment="1">
      <alignment horizontal="center" vertical="center" shrinkToFit="1"/>
    </xf>
    <xf numFmtId="0" fontId="28" fillId="9" borderId="183" xfId="0" applyFont="1" applyFill="1" applyBorder="1" applyAlignment="1">
      <alignment horizontal="center" vertical="center" shrinkToFit="1"/>
    </xf>
    <xf numFmtId="0" fontId="28" fillId="3" borderId="27" xfId="0" applyFont="1" applyFill="1" applyBorder="1" applyAlignment="1">
      <alignment horizontal="center" vertical="center" wrapText="1" shrinkToFit="1"/>
    </xf>
    <xf numFmtId="0" fontId="28" fillId="8" borderId="27" xfId="0" applyFont="1" applyFill="1" applyBorder="1" applyAlignment="1">
      <alignment horizontal="center" vertical="center" wrapText="1" shrinkToFit="1"/>
    </xf>
    <xf numFmtId="0" fontId="50" fillId="9" borderId="193" xfId="0" applyFont="1" applyFill="1" applyBorder="1" applyAlignment="1">
      <alignment horizontal="center" vertical="center" wrapText="1" shrinkToFit="1"/>
    </xf>
    <xf numFmtId="0" fontId="28" fillId="3" borderId="194" xfId="0" applyFont="1" applyFill="1" applyBorder="1" applyAlignment="1">
      <alignment horizontal="center" vertical="center" wrapText="1" shrinkToFit="1"/>
    </xf>
    <xf numFmtId="0" fontId="28" fillId="5" borderId="194" xfId="0" applyFont="1" applyFill="1" applyBorder="1" applyAlignment="1">
      <alignment horizontal="center" vertical="center" shrinkToFit="1"/>
    </xf>
    <xf numFmtId="0" fontId="28" fillId="3" borderId="194" xfId="0" applyFont="1" applyFill="1" applyBorder="1" applyAlignment="1">
      <alignment horizontal="center" vertical="center" shrinkToFit="1"/>
    </xf>
    <xf numFmtId="0" fontId="28" fillId="8" borderId="194" xfId="0" applyFont="1" applyFill="1" applyBorder="1" applyAlignment="1">
      <alignment horizontal="center" vertical="center" shrinkToFit="1"/>
    </xf>
    <xf numFmtId="0" fontId="50" fillId="8" borderId="194" xfId="0" applyFont="1" applyFill="1" applyBorder="1" applyAlignment="1">
      <alignment horizontal="center" vertical="center" wrapText="1" shrinkToFit="1"/>
    </xf>
    <xf numFmtId="0" fontId="28" fillId="9" borderId="194" xfId="0" applyFont="1" applyFill="1" applyBorder="1" applyAlignment="1">
      <alignment horizontal="center" vertical="center" shrinkToFit="1"/>
    </xf>
    <xf numFmtId="0" fontId="28" fillId="8" borderId="178" xfId="0" applyFont="1" applyFill="1" applyBorder="1" applyAlignment="1">
      <alignment horizontal="center" vertical="center" shrinkToFit="1"/>
    </xf>
    <xf numFmtId="0" fontId="28" fillId="9" borderId="167" xfId="0" applyFont="1" applyFill="1" applyBorder="1" applyAlignment="1">
      <alignment horizontal="center" vertical="center" shrinkToFit="1"/>
    </xf>
    <xf numFmtId="0" fontId="31" fillId="10" borderId="67" xfId="0" applyFont="1" applyFill="1" applyBorder="1" applyAlignment="1">
      <alignment horizontal="center" vertical="center" shrinkToFit="1"/>
    </xf>
    <xf numFmtId="0" fontId="68" fillId="10" borderId="171" xfId="0" applyFont="1" applyFill="1" applyBorder="1" applyAlignment="1">
      <alignment horizontal="center" vertical="center" shrinkToFit="1"/>
    </xf>
    <xf numFmtId="0" fontId="31" fillId="10" borderId="82" xfId="0" applyFont="1" applyFill="1" applyBorder="1" applyAlignment="1">
      <alignment horizontal="center" vertical="center" shrinkToFit="1"/>
    </xf>
    <xf numFmtId="0" fontId="31" fillId="10" borderId="171" xfId="0" applyFont="1" applyFill="1" applyBorder="1" applyAlignment="1">
      <alignment horizontal="center" vertical="center" shrinkToFit="1"/>
    </xf>
    <xf numFmtId="0" fontId="68" fillId="0" borderId="176" xfId="0" applyFont="1" applyBorder="1" applyAlignment="1">
      <alignment horizontal="center" vertical="center" shrinkToFit="1"/>
    </xf>
    <xf numFmtId="0" fontId="68" fillId="3" borderId="176" xfId="0" applyFont="1" applyFill="1" applyBorder="1" applyAlignment="1">
      <alignment horizontal="center" vertical="center" shrinkToFit="1"/>
    </xf>
    <xf numFmtId="0" fontId="28" fillId="10" borderId="171" xfId="0" applyFont="1" applyFill="1" applyBorder="1" applyAlignment="1">
      <alignment horizontal="center" vertical="center" shrinkToFit="1"/>
    </xf>
    <xf numFmtId="0" fontId="50" fillId="10" borderId="171" xfId="0" applyFont="1" applyFill="1" applyBorder="1" applyAlignment="1">
      <alignment horizontal="center" vertical="center" wrapText="1" shrinkToFit="1"/>
    </xf>
    <xf numFmtId="0" fontId="17" fillId="0" borderId="5" xfId="0" applyFont="1" applyBorder="1" applyAlignment="1">
      <alignment vertical="center" wrapText="1"/>
    </xf>
    <xf numFmtId="0" fontId="31" fillId="10" borderId="159" xfId="0" applyFont="1" applyFill="1" applyBorder="1" applyAlignment="1">
      <alignment horizontal="center" vertical="center" shrinkToFit="1"/>
    </xf>
    <xf numFmtId="0" fontId="31" fillId="10" borderId="155" xfId="0" applyFont="1" applyFill="1" applyBorder="1" applyAlignment="1">
      <alignment horizontal="center" vertical="center" shrinkToFit="1"/>
    </xf>
    <xf numFmtId="0" fontId="31" fillId="0" borderId="114" xfId="0" applyFont="1" applyBorder="1" applyAlignment="1">
      <alignment horizontal="center" vertical="center" shrinkToFit="1"/>
    </xf>
    <xf numFmtId="0" fontId="31" fillId="0" borderId="69" xfId="0" applyFont="1" applyBorder="1" applyAlignment="1">
      <alignment horizontal="center" vertical="center" shrinkToFit="1"/>
    </xf>
    <xf numFmtId="0" fontId="51" fillId="3" borderId="176" xfId="0" applyFont="1" applyFill="1" applyBorder="1" applyAlignment="1">
      <alignment horizontal="center" vertical="center" wrapText="1" shrinkToFit="1"/>
    </xf>
    <xf numFmtId="0" fontId="28" fillId="3" borderId="170" xfId="0" applyFont="1" applyFill="1" applyBorder="1" applyAlignment="1">
      <alignment horizontal="center" vertical="center" shrinkToFit="1"/>
    </xf>
    <xf numFmtId="0" fontId="28" fillId="5" borderId="174" xfId="0" applyFont="1" applyFill="1" applyBorder="1" applyAlignment="1">
      <alignment horizontal="center" vertical="center" shrinkToFit="1"/>
    </xf>
    <xf numFmtId="0" fontId="56" fillId="3" borderId="27" xfId="0" applyFont="1" applyFill="1" applyBorder="1" applyAlignment="1">
      <alignment horizontal="center" vertical="center" shrinkToFit="1"/>
    </xf>
    <xf numFmtId="0" fontId="28" fillId="5" borderId="158" xfId="0" applyFont="1" applyFill="1" applyBorder="1" applyAlignment="1">
      <alignment horizontal="center" vertical="center" shrinkToFit="1"/>
    </xf>
    <xf numFmtId="0" fontId="31" fillId="9" borderId="178" xfId="0" applyFont="1" applyFill="1" applyBorder="1" applyAlignment="1">
      <alignment horizontal="center" vertical="center" shrinkToFit="1"/>
    </xf>
    <xf numFmtId="0" fontId="28" fillId="5" borderId="161" xfId="0" applyFont="1" applyFill="1" applyBorder="1" applyAlignment="1">
      <alignment horizontal="center" vertical="center" shrinkToFit="1"/>
    </xf>
    <xf numFmtId="0" fontId="28" fillId="9" borderId="225" xfId="0" applyFont="1" applyFill="1" applyBorder="1" applyAlignment="1">
      <alignment horizontal="center" vertical="center" shrinkToFit="1"/>
    </xf>
    <xf numFmtId="0" fontId="28" fillId="5" borderId="178" xfId="0" applyFont="1" applyFill="1" applyBorder="1" applyAlignment="1">
      <alignment horizontal="center" vertical="center" shrinkToFit="1"/>
    </xf>
    <xf numFmtId="0" fontId="28" fillId="5" borderId="159" xfId="0" applyFont="1" applyFill="1" applyBorder="1" applyAlignment="1">
      <alignment horizontal="center" vertical="center" shrinkToFit="1"/>
    </xf>
    <xf numFmtId="0" fontId="28" fillId="5" borderId="171" xfId="0" applyFont="1" applyFill="1" applyBorder="1" applyAlignment="1">
      <alignment horizontal="center" vertical="center" shrinkToFit="1"/>
    </xf>
    <xf numFmtId="0" fontId="28" fillId="9" borderId="171" xfId="0" applyFont="1" applyFill="1" applyBorder="1" applyAlignment="1">
      <alignment horizontal="center" vertical="center" shrinkToFit="1"/>
    </xf>
    <xf numFmtId="0" fontId="28" fillId="5" borderId="202" xfId="0" applyFont="1" applyFill="1" applyBorder="1" applyAlignment="1">
      <alignment horizontal="center" vertical="center" shrinkToFit="1"/>
    </xf>
    <xf numFmtId="0" fontId="28" fillId="5" borderId="186" xfId="0" applyFont="1" applyFill="1" applyBorder="1" applyAlignment="1">
      <alignment horizontal="center" vertical="center" shrinkToFit="1"/>
    </xf>
    <xf numFmtId="0" fontId="29" fillId="5" borderId="158" xfId="0" applyFont="1" applyFill="1" applyBorder="1" applyAlignment="1">
      <alignment horizontal="center" vertical="center" shrinkToFit="1"/>
    </xf>
    <xf numFmtId="0" fontId="29" fillId="8" borderId="184" xfId="0" applyFont="1" applyFill="1" applyBorder="1" applyAlignment="1">
      <alignment horizontal="center" vertical="center" shrinkToFit="1"/>
    </xf>
    <xf numFmtId="0" fontId="29" fillId="5" borderId="27" xfId="0" applyFont="1" applyFill="1" applyBorder="1" applyAlignment="1">
      <alignment horizontal="center" vertical="center" shrinkToFit="1"/>
    </xf>
    <xf numFmtId="0" fontId="54" fillId="2" borderId="61" xfId="0" applyFont="1" applyFill="1" applyBorder="1" applyAlignment="1">
      <alignment horizontal="center" vertical="center"/>
    </xf>
    <xf numFmtId="0" fontId="54" fillId="2" borderId="226" xfId="0" applyFont="1" applyFill="1" applyBorder="1" applyAlignment="1">
      <alignment horizontal="center" vertical="center"/>
    </xf>
    <xf numFmtId="0" fontId="46" fillId="0" borderId="50" xfId="0" applyFont="1" applyBorder="1" applyAlignment="1" applyProtection="1">
      <alignment horizontal="left" vertical="top" wrapText="1"/>
      <protection locked="0"/>
    </xf>
    <xf numFmtId="0" fontId="46" fillId="0" borderId="37" xfId="0" applyFont="1" applyBorder="1" applyAlignment="1" applyProtection="1">
      <alignment horizontal="left" vertical="top" wrapText="1"/>
      <protection locked="0"/>
    </xf>
    <xf numFmtId="0" fontId="20" fillId="0" borderId="49" xfId="0" applyFont="1" applyBorder="1" applyAlignment="1" applyProtection="1">
      <alignment horizontal="center" vertical="center"/>
      <protection locked="0"/>
    </xf>
    <xf numFmtId="0" fontId="20" fillId="0" borderId="37" xfId="0" applyFont="1" applyBorder="1" applyAlignment="1" applyProtection="1">
      <alignment horizontal="center" vertical="center"/>
      <protection locked="0"/>
    </xf>
    <xf numFmtId="0" fontId="53" fillId="8" borderId="71" xfId="0" applyFont="1" applyFill="1" applyBorder="1" applyAlignment="1">
      <alignment horizontal="center" vertical="center" wrapText="1"/>
    </xf>
    <xf numFmtId="0" fontId="53" fillId="8" borderId="55" xfId="0" applyFont="1" applyFill="1" applyBorder="1" applyAlignment="1">
      <alignment horizontal="center" vertical="center" wrapText="1"/>
    </xf>
    <xf numFmtId="0" fontId="20" fillId="0" borderId="209" xfId="0" applyFont="1" applyBorder="1" applyAlignment="1">
      <alignment horizontal="center" vertical="center" shrinkToFit="1"/>
    </xf>
    <xf numFmtId="0" fontId="20" fillId="0" borderId="17" xfId="0" applyFont="1" applyBorder="1" applyAlignment="1">
      <alignment horizontal="center" vertical="center" shrinkToFit="1"/>
    </xf>
    <xf numFmtId="0" fontId="53" fillId="8" borderId="60" xfId="0" applyFont="1" applyFill="1" applyBorder="1" applyAlignment="1">
      <alignment horizontal="center" vertical="center"/>
    </xf>
    <xf numFmtId="0" fontId="53" fillId="8" borderId="10" xfId="0" applyFont="1" applyFill="1" applyBorder="1" applyAlignment="1">
      <alignment horizontal="center" vertical="center"/>
    </xf>
    <xf numFmtId="0" fontId="53" fillId="0" borderId="155" xfId="0" applyFont="1" applyBorder="1" applyAlignment="1">
      <alignment horizontal="center" vertical="center"/>
    </xf>
    <xf numFmtId="0" fontId="53" fillId="0" borderId="156" xfId="0" applyFont="1" applyBorder="1" applyAlignment="1">
      <alignment horizontal="center" vertical="center"/>
    </xf>
    <xf numFmtId="176" fontId="55" fillId="0" borderId="200" xfId="0" applyNumberFormat="1" applyFont="1" applyBorder="1" applyAlignment="1">
      <alignment horizontal="center" vertical="center" wrapText="1"/>
    </xf>
    <xf numFmtId="176" fontId="55" fillId="0" borderId="2" xfId="0" applyNumberFormat="1" applyFont="1" applyBorder="1" applyAlignment="1">
      <alignment horizontal="center" vertical="center" wrapText="1"/>
    </xf>
    <xf numFmtId="0" fontId="54" fillId="0" borderId="68" xfId="0" applyFont="1" applyBorder="1" applyAlignment="1">
      <alignment horizontal="center" vertical="center" wrapText="1" shrinkToFit="1"/>
    </xf>
    <xf numFmtId="0" fontId="54" fillId="0" borderId="1" xfId="0" applyFont="1" applyBorder="1" applyAlignment="1">
      <alignment horizontal="center" vertical="center" wrapText="1" shrinkToFit="1"/>
    </xf>
    <xf numFmtId="0" fontId="20" fillId="0" borderId="19" xfId="0" applyFont="1" applyBorder="1" applyAlignment="1">
      <alignment horizontal="center" vertical="center" wrapText="1" shrinkToFit="1"/>
    </xf>
    <xf numFmtId="0" fontId="20" fillId="0" borderId="17" xfId="0" applyFont="1" applyBorder="1" applyAlignment="1">
      <alignment horizontal="center" vertical="center" wrapText="1" shrinkToFit="1"/>
    </xf>
    <xf numFmtId="0" fontId="53" fillId="8" borderId="66" xfId="0" applyFont="1" applyFill="1" applyBorder="1" applyAlignment="1">
      <alignment horizontal="center" vertical="center"/>
    </xf>
    <xf numFmtId="0" fontId="53" fillId="8" borderId="12" xfId="0" applyFont="1" applyFill="1" applyBorder="1" applyAlignment="1">
      <alignment horizontal="center" vertical="center"/>
    </xf>
    <xf numFmtId="0" fontId="35" fillId="0" borderId="25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8" borderId="61" xfId="0" applyFont="1" applyFill="1" applyBorder="1" applyAlignment="1">
      <alignment horizontal="center" vertical="center"/>
    </xf>
    <xf numFmtId="0" fontId="53" fillId="8" borderId="56" xfId="0" applyFont="1" applyFill="1" applyBorder="1" applyAlignment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58" xfId="0" applyFont="1" applyBorder="1" applyAlignment="1" applyProtection="1">
      <alignment horizontal="center" vertical="center"/>
      <protection locked="0"/>
    </xf>
    <xf numFmtId="178" fontId="57" fillId="0" borderId="0" xfId="0" applyNumberFormat="1" applyFont="1" applyAlignment="1" applyProtection="1">
      <alignment horizontal="center" vertical="center"/>
      <protection locked="0"/>
    </xf>
    <xf numFmtId="0" fontId="46" fillId="0" borderId="22" xfId="0" applyFont="1" applyBorder="1" applyAlignment="1" applyProtection="1">
      <alignment horizontal="center" vertical="center" wrapText="1"/>
      <protection locked="0"/>
    </xf>
    <xf numFmtId="0" fontId="46" fillId="0" borderId="23" xfId="0" applyFont="1" applyBorder="1" applyAlignment="1" applyProtection="1">
      <alignment horizontal="center" vertical="center" wrapText="1"/>
      <protection locked="0"/>
    </xf>
    <xf numFmtId="0" fontId="46" fillId="0" borderId="24" xfId="0" applyFont="1" applyBorder="1" applyAlignment="1" applyProtection="1">
      <alignment horizontal="center" vertical="center" wrapText="1"/>
      <protection locked="0"/>
    </xf>
    <xf numFmtId="0" fontId="46" fillId="0" borderId="25" xfId="0" applyFont="1" applyBorder="1" applyAlignment="1" applyProtection="1">
      <alignment horizontal="center" vertical="center" wrapText="1"/>
      <protection locked="0"/>
    </xf>
    <xf numFmtId="0" fontId="46" fillId="0" borderId="0" xfId="0" applyFont="1" applyAlignment="1" applyProtection="1">
      <alignment horizontal="center" vertical="center" wrapText="1"/>
      <protection locked="0"/>
    </xf>
    <xf numFmtId="0" fontId="46" fillId="0" borderId="26" xfId="0" applyFont="1" applyBorder="1" applyAlignment="1" applyProtection="1">
      <alignment horizontal="center" vertical="center" wrapText="1"/>
      <protection locked="0"/>
    </xf>
    <xf numFmtId="0" fontId="57" fillId="0" borderId="0" xfId="0" applyFont="1" applyProtection="1">
      <alignment vertical="center"/>
      <protection locked="0"/>
    </xf>
    <xf numFmtId="180" fontId="57" fillId="0" borderId="0" xfId="0" applyNumberFormat="1" applyFont="1" applyProtection="1">
      <alignment vertical="center"/>
      <protection locked="0"/>
    </xf>
    <xf numFmtId="0" fontId="53" fillId="0" borderId="68" xfId="0" applyFont="1" applyBorder="1" applyAlignment="1">
      <alignment horizontal="center" vertical="center"/>
    </xf>
    <xf numFmtId="0" fontId="53" fillId="0" borderId="69" xfId="0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53" fillId="0" borderId="70" xfId="0" applyFont="1" applyBorder="1" applyAlignment="1">
      <alignment horizontal="center" vertical="center"/>
    </xf>
    <xf numFmtId="0" fontId="53" fillId="0" borderId="49" xfId="0" applyFont="1" applyBorder="1" applyAlignment="1" applyProtection="1">
      <alignment horizontal="left" vertical="top" wrapText="1"/>
      <protection locked="0"/>
    </xf>
    <xf numFmtId="0" fontId="53" fillId="0" borderId="50" xfId="0" applyFont="1" applyBorder="1" applyAlignment="1" applyProtection="1">
      <alignment horizontal="left" vertical="top" wrapText="1"/>
      <protection locked="0"/>
    </xf>
    <xf numFmtId="0" fontId="53" fillId="8" borderId="62" xfId="0" applyFont="1" applyFill="1" applyBorder="1" applyAlignment="1">
      <alignment horizontal="center" vertical="center"/>
    </xf>
    <xf numFmtId="0" fontId="53" fillId="8" borderId="3" xfId="0" applyFont="1" applyFill="1" applyBorder="1" applyAlignment="1">
      <alignment horizontal="center" vertical="center"/>
    </xf>
    <xf numFmtId="0" fontId="54" fillId="2" borderId="60" xfId="0" applyFont="1" applyFill="1" applyBorder="1">
      <alignment vertical="center"/>
    </xf>
    <xf numFmtId="0" fontId="54" fillId="2" borderId="10" xfId="0" applyFont="1" applyFill="1" applyBorder="1">
      <alignment vertical="center"/>
    </xf>
    <xf numFmtId="0" fontId="31" fillId="8" borderId="219" xfId="0" applyFont="1" applyFill="1" applyBorder="1" applyAlignment="1">
      <alignment horizontal="center" vertical="center"/>
    </xf>
    <xf numFmtId="0" fontId="31" fillId="8" borderId="153" xfId="0" applyFont="1" applyFill="1" applyBorder="1" applyAlignment="1">
      <alignment horizontal="center" vertical="center"/>
    </xf>
    <xf numFmtId="0" fontId="31" fillId="8" borderId="220" xfId="0" applyFont="1" applyFill="1" applyBorder="1" applyAlignment="1">
      <alignment horizontal="center" vertical="center"/>
    </xf>
    <xf numFmtId="0" fontId="54" fillId="2" borderId="67" xfId="0" applyFont="1" applyFill="1" applyBorder="1">
      <alignment vertical="center"/>
    </xf>
    <xf numFmtId="0" fontId="54" fillId="2" borderId="27" xfId="0" applyFont="1" applyFill="1" applyBorder="1">
      <alignment vertical="center"/>
    </xf>
    <xf numFmtId="0" fontId="53" fillId="8" borderId="71" xfId="0" applyFont="1" applyFill="1" applyBorder="1" applyAlignment="1">
      <alignment horizontal="center" vertical="center"/>
    </xf>
    <xf numFmtId="0" fontId="53" fillId="8" borderId="55" xfId="0" applyFont="1" applyFill="1" applyBorder="1" applyAlignment="1">
      <alignment horizontal="center" vertical="center"/>
    </xf>
    <xf numFmtId="0" fontId="53" fillId="8" borderId="60" xfId="0" applyFont="1" applyFill="1" applyBorder="1" applyAlignment="1">
      <alignment horizontal="center" vertical="center" wrapText="1"/>
    </xf>
    <xf numFmtId="0" fontId="53" fillId="8" borderId="10" xfId="0" applyFont="1" applyFill="1" applyBorder="1" applyAlignment="1">
      <alignment horizontal="center" vertical="center" wrapText="1"/>
    </xf>
    <xf numFmtId="0" fontId="53" fillId="8" borderId="66" xfId="0" applyFont="1" applyFill="1" applyBorder="1" applyAlignment="1">
      <alignment horizontal="center" vertical="center" wrapText="1"/>
    </xf>
    <xf numFmtId="0" fontId="53" fillId="8" borderId="12" xfId="0" applyFont="1" applyFill="1" applyBorder="1" applyAlignment="1">
      <alignment horizontal="center" vertical="center" wrapText="1"/>
    </xf>
    <xf numFmtId="0" fontId="53" fillId="8" borderId="154" xfId="0" applyFont="1" applyFill="1" applyBorder="1" applyAlignment="1">
      <alignment horizontal="center" vertical="center"/>
    </xf>
    <xf numFmtId="0" fontId="53" fillId="8" borderId="91" xfId="0" applyFont="1" applyFill="1" applyBorder="1" applyAlignment="1">
      <alignment horizontal="center" vertical="center"/>
    </xf>
    <xf numFmtId="0" fontId="53" fillId="8" borderId="92" xfId="0" applyFont="1" applyFill="1" applyBorder="1" applyAlignment="1">
      <alignment horizontal="center" vertical="center"/>
    </xf>
    <xf numFmtId="0" fontId="54" fillId="2" borderId="81" xfId="0" applyFont="1" applyFill="1" applyBorder="1">
      <alignment vertical="center"/>
    </xf>
    <xf numFmtId="0" fontId="54" fillId="2" borderId="82" xfId="0" applyFont="1" applyFill="1" applyBorder="1">
      <alignment vertical="center"/>
    </xf>
    <xf numFmtId="0" fontId="54" fillId="2" borderId="63" xfId="0" applyFont="1" applyFill="1" applyBorder="1">
      <alignment vertical="center"/>
    </xf>
    <xf numFmtId="0" fontId="54" fillId="2" borderId="114" xfId="0" applyFont="1" applyFill="1" applyBorder="1">
      <alignment vertical="center"/>
    </xf>
    <xf numFmtId="0" fontId="54" fillId="2" borderId="60" xfId="0" applyFont="1" applyFill="1" applyBorder="1" applyAlignment="1">
      <alignment horizontal="right" vertical="center"/>
    </xf>
    <xf numFmtId="0" fontId="54" fillId="2" borderId="10" xfId="0" applyFont="1" applyFill="1" applyBorder="1" applyAlignment="1">
      <alignment horizontal="right" vertical="center"/>
    </xf>
    <xf numFmtId="0" fontId="54" fillId="2" borderId="71" xfId="0" applyFont="1" applyFill="1" applyBorder="1" applyAlignment="1">
      <alignment horizontal="right" vertical="center"/>
    </xf>
    <xf numFmtId="0" fontId="54" fillId="2" borderId="55" xfId="0" applyFont="1" applyFill="1" applyBorder="1" applyAlignment="1">
      <alignment horizontal="right" vertical="center"/>
    </xf>
    <xf numFmtId="0" fontId="54" fillId="2" borderId="68" xfId="0" applyFont="1" applyFill="1" applyBorder="1">
      <alignment vertical="center"/>
    </xf>
    <xf numFmtId="0" fontId="54" fillId="2" borderId="200" xfId="0" applyFont="1" applyFill="1" applyBorder="1">
      <alignment vertical="center"/>
    </xf>
    <xf numFmtId="0" fontId="2" fillId="0" borderId="119" xfId="0" applyFont="1" applyBorder="1" applyAlignment="1" applyProtection="1">
      <alignment horizontal="center" vertical="center"/>
      <protection locked="0"/>
    </xf>
    <xf numFmtId="0" fontId="2" fillId="0" borderId="120" xfId="0" applyFont="1" applyBorder="1" applyAlignment="1" applyProtection="1">
      <alignment horizontal="center" vertical="center"/>
      <protection locked="0"/>
    </xf>
    <xf numFmtId="0" fontId="2" fillId="0" borderId="121" xfId="0" applyFont="1" applyBorder="1" applyAlignment="1">
      <alignment horizontal="center" vertical="center" shrinkToFit="1"/>
    </xf>
    <xf numFmtId="0" fontId="2" fillId="0" borderId="32" xfId="0" applyFont="1" applyBorder="1" applyAlignment="1">
      <alignment horizontal="center" vertical="center" shrinkToFit="1"/>
    </xf>
    <xf numFmtId="0" fontId="2" fillId="0" borderId="122" xfId="0" applyFont="1" applyBorder="1" applyAlignment="1">
      <alignment horizontal="center" vertical="center" shrinkToFit="1"/>
    </xf>
    <xf numFmtId="0" fontId="2" fillId="0" borderId="123" xfId="0" applyFont="1" applyBorder="1" applyAlignment="1">
      <alignment horizontal="center" vertical="center" shrinkToFit="1"/>
    </xf>
    <xf numFmtId="0" fontId="7" fillId="2" borderId="1" xfId="0" applyFont="1" applyFill="1" applyBorder="1">
      <alignment vertical="center"/>
    </xf>
    <xf numFmtId="0" fontId="7" fillId="2" borderId="2" xfId="0" applyFont="1" applyFill="1" applyBorder="1">
      <alignment vertical="center"/>
    </xf>
    <xf numFmtId="0" fontId="14" fillId="0" borderId="49" xfId="0" applyFont="1" applyBorder="1" applyAlignment="1" applyProtection="1">
      <alignment horizontal="left" vertical="top" wrapText="1"/>
      <protection locked="0"/>
    </xf>
    <xf numFmtId="0" fontId="14" fillId="0" borderId="50" xfId="0" applyFont="1" applyBorder="1" applyAlignment="1" applyProtection="1">
      <alignment horizontal="left" vertical="top" wrapText="1"/>
      <protection locked="0"/>
    </xf>
    <xf numFmtId="0" fontId="7" fillId="2" borderId="60" xfId="0" applyFont="1" applyFill="1" applyBorder="1">
      <alignment vertical="center"/>
    </xf>
    <xf numFmtId="0" fontId="7" fillId="2" borderId="67" xfId="0" applyFont="1" applyFill="1" applyBorder="1">
      <alignment vertical="center"/>
    </xf>
    <xf numFmtId="0" fontId="48" fillId="0" borderId="50" xfId="0" applyFont="1" applyBorder="1" applyAlignment="1" applyProtection="1">
      <alignment horizontal="center" vertical="center" wrapText="1"/>
      <protection locked="0"/>
    </xf>
    <xf numFmtId="0" fontId="48" fillId="0" borderId="37" xfId="0" applyFont="1" applyBorder="1" applyAlignment="1" applyProtection="1">
      <alignment horizontal="center" vertical="center" wrapText="1"/>
      <protection locked="0"/>
    </xf>
    <xf numFmtId="0" fontId="7" fillId="2" borderId="63" xfId="0" applyFont="1" applyFill="1" applyBorder="1">
      <alignment vertical="center"/>
    </xf>
    <xf numFmtId="0" fontId="7" fillId="2" borderId="64" xfId="0" applyFont="1" applyFill="1" applyBorder="1">
      <alignment vertical="center"/>
    </xf>
    <xf numFmtId="0" fontId="7" fillId="2" borderId="10" xfId="0" applyFont="1" applyFill="1" applyBorder="1">
      <alignment vertical="center"/>
    </xf>
    <xf numFmtId="0" fontId="7" fillId="2" borderId="71" xfId="0" applyFont="1" applyFill="1" applyBorder="1">
      <alignment vertical="center"/>
    </xf>
    <xf numFmtId="0" fontId="7" fillId="2" borderId="110" xfId="0" applyFont="1" applyFill="1" applyBorder="1">
      <alignment vertical="center"/>
    </xf>
    <xf numFmtId="0" fontId="7" fillId="2" borderId="66" xfId="0" applyFont="1" applyFill="1" applyBorder="1">
      <alignment vertical="center"/>
    </xf>
    <xf numFmtId="0" fontId="7" fillId="2" borderId="36" xfId="0" applyFont="1" applyFill="1" applyBorder="1">
      <alignment vertical="center"/>
    </xf>
    <xf numFmtId="0" fontId="7" fillId="2" borderId="12" xfId="0" applyFont="1" applyFill="1" applyBorder="1">
      <alignment vertical="center"/>
    </xf>
    <xf numFmtId="0" fontId="7" fillId="2" borderId="103" xfId="0" applyFont="1" applyFill="1" applyBorder="1">
      <alignment vertical="center"/>
    </xf>
    <xf numFmtId="0" fontId="7" fillId="2" borderId="104" xfId="0" applyFont="1" applyFill="1" applyBorder="1">
      <alignment vertical="center"/>
    </xf>
    <xf numFmtId="0" fontId="7" fillId="2" borderId="72" xfId="0" applyFont="1" applyFill="1" applyBorder="1">
      <alignment vertical="center"/>
    </xf>
    <xf numFmtId="0" fontId="7" fillId="2" borderId="0" xfId="0" applyFont="1" applyFill="1">
      <alignment vertical="center"/>
    </xf>
    <xf numFmtId="0" fontId="7" fillId="2" borderId="91" xfId="0" applyFont="1" applyFill="1" applyBorder="1">
      <alignment vertical="center"/>
    </xf>
    <xf numFmtId="0" fontId="7" fillId="2" borderId="100" xfId="0" applyFont="1" applyFill="1" applyBorder="1">
      <alignment vertical="center"/>
    </xf>
    <xf numFmtId="0" fontId="7" fillId="2" borderId="55" xfId="0" applyFont="1" applyFill="1" applyBorder="1">
      <alignment vertical="center"/>
    </xf>
    <xf numFmtId="0" fontId="7" fillId="2" borderId="75" xfId="0" applyFont="1" applyFill="1" applyBorder="1">
      <alignment vertical="center"/>
    </xf>
    <xf numFmtId="0" fontId="7" fillId="2" borderId="76" xfId="0" applyFont="1" applyFill="1" applyBorder="1">
      <alignment vertical="center"/>
    </xf>
    <xf numFmtId="0" fontId="14" fillId="0" borderId="39" xfId="0" applyFont="1" applyBorder="1" applyAlignment="1">
      <alignment horizontal="center" vertical="center"/>
    </xf>
    <xf numFmtId="0" fontId="14" fillId="0" borderId="83" xfId="0" applyFont="1" applyBorder="1" applyAlignment="1">
      <alignment horizontal="center" vertical="center"/>
    </xf>
    <xf numFmtId="176" fontId="19" fillId="2" borderId="31" xfId="0" applyNumberFormat="1" applyFont="1" applyFill="1" applyBorder="1" applyAlignment="1">
      <alignment horizontal="center" vertical="center" wrapText="1"/>
    </xf>
    <xf numFmtId="176" fontId="20" fillId="2" borderId="90" xfId="0" applyNumberFormat="1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 shrinkToFit="1"/>
    </xf>
    <xf numFmtId="0" fontId="2" fillId="0" borderId="84" xfId="0" applyFont="1" applyBorder="1" applyAlignment="1">
      <alignment horizontal="center" vertical="center" wrapText="1" shrinkToFit="1"/>
    </xf>
    <xf numFmtId="0" fontId="24" fillId="0" borderId="0" xfId="0" applyFont="1" applyProtection="1">
      <alignment vertical="center"/>
      <protection locked="0"/>
    </xf>
    <xf numFmtId="180" fontId="24" fillId="0" borderId="0" xfId="0" applyNumberFormat="1" applyFont="1" applyProtection="1">
      <alignment vertical="center"/>
      <protection locked="0"/>
    </xf>
    <xf numFmtId="178" fontId="24" fillId="0" borderId="0" xfId="0" applyNumberFormat="1" applyFont="1" applyAlignment="1" applyProtection="1">
      <alignment horizontal="center" vertical="center"/>
      <protection locked="0"/>
    </xf>
    <xf numFmtId="0" fontId="36" fillId="0" borderId="0" xfId="0" applyFont="1" applyAlignment="1" applyProtection="1">
      <alignment horizontal="center" vertical="center"/>
      <protection locked="0"/>
    </xf>
    <xf numFmtId="0" fontId="36" fillId="0" borderId="58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44" fillId="0" borderId="22" xfId="0" applyFont="1" applyBorder="1" applyAlignment="1" applyProtection="1">
      <alignment horizontal="center" vertical="center" wrapText="1"/>
      <protection locked="0"/>
    </xf>
    <xf numFmtId="0" fontId="44" fillId="0" borderId="23" xfId="0" applyFont="1" applyBorder="1" applyAlignment="1" applyProtection="1">
      <alignment horizontal="center" vertical="center" wrapText="1"/>
      <protection locked="0"/>
    </xf>
    <xf numFmtId="0" fontId="44" fillId="0" borderId="24" xfId="0" applyFont="1" applyBorder="1" applyAlignment="1" applyProtection="1">
      <alignment horizontal="center" vertical="center" wrapText="1"/>
      <protection locked="0"/>
    </xf>
    <xf numFmtId="0" fontId="44" fillId="0" borderId="25" xfId="0" applyFont="1" applyBorder="1" applyAlignment="1" applyProtection="1">
      <alignment horizontal="center" vertical="center" wrapText="1"/>
      <protection locked="0"/>
    </xf>
    <xf numFmtId="0" fontId="44" fillId="0" borderId="0" xfId="0" applyFont="1" applyAlignment="1" applyProtection="1">
      <alignment horizontal="center" vertical="center" wrapText="1"/>
      <protection locked="0"/>
    </xf>
    <xf numFmtId="0" fontId="44" fillId="0" borderId="26" xfId="0" applyFont="1" applyBorder="1" applyAlignment="1" applyProtection="1">
      <alignment horizontal="center" vertical="center" wrapText="1"/>
      <protection locked="0"/>
    </xf>
    <xf numFmtId="0" fontId="14" fillId="0" borderId="68" xfId="0" applyFont="1" applyBorder="1" applyAlignment="1">
      <alignment horizontal="center" vertical="center"/>
    </xf>
    <xf numFmtId="0" fontId="14" fillId="0" borderId="69" xfId="0" applyFont="1" applyBorder="1" applyAlignment="1">
      <alignment horizontal="center" vertical="center"/>
    </xf>
    <xf numFmtId="0" fontId="14" fillId="0" borderId="81" xfId="0" applyFont="1" applyBorder="1" applyAlignment="1">
      <alignment horizontal="center" vertical="center"/>
    </xf>
    <xf numFmtId="0" fontId="14" fillId="0" borderId="82" xfId="0" applyFont="1" applyBorder="1" applyAlignment="1">
      <alignment horizontal="center" vertical="center"/>
    </xf>
  </cellXfs>
  <cellStyles count="2">
    <cellStyle name="標準" xfId="0" builtinId="0"/>
    <cellStyle name="標準 2" xfId="1" xr:uid="{0CF2399F-E8F1-4E59-8A40-8D1E362B361B}"/>
  </cellStyles>
  <dxfs count="15"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theme="8" tint="0.39994506668294322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theme="8" tint="0.39994506668294322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theme="8" tint="0.39994506668294322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theme="8" tint="0.39994506668294322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theme="8" tint="0.39994506668294322"/>
        </patternFill>
      </fill>
    </dxf>
  </dxfs>
  <tableStyles count="0" defaultTableStyle="TableStyleMedium2" defaultPivotStyle="PivotStyleLight16"/>
  <colors>
    <mruColors>
      <color rgb="FFFF6600"/>
      <color rgb="FFF8BC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5F807-8980-4CDB-8103-765CFFCF8753}">
  <sheetPr codeName="Sheet1">
    <pageSetUpPr fitToPage="1"/>
  </sheetPr>
  <dimension ref="A1:AP53"/>
  <sheetViews>
    <sheetView tabSelected="1" zoomScale="40" zoomScaleNormal="40" zoomScaleSheetLayoutView="50" workbookViewId="0">
      <pane xSplit="3" ySplit="10" topLeftCell="AA11" activePane="bottomRight" state="frozen"/>
      <selection pane="topRight" activeCell="D1" sqref="D1"/>
      <selection pane="bottomLeft" activeCell="A11" sqref="A11"/>
      <selection pane="bottomRight" activeCell="AC1" sqref="AC1:AC1048576"/>
    </sheetView>
  </sheetViews>
  <sheetFormatPr defaultColWidth="9" defaultRowHeight="21.75" customHeight="1" outlineLevelRow="1"/>
  <cols>
    <col min="1" max="1" width="17.5" style="26" customWidth="1"/>
    <col min="2" max="2" width="9.5" style="26" customWidth="1"/>
    <col min="3" max="3" width="9.08203125" style="26" customWidth="1"/>
    <col min="4" max="4" width="7.08203125" style="349" customWidth="1"/>
    <col min="5" max="5" width="7.5" style="260" customWidth="1"/>
    <col min="6" max="6" width="7.08203125" style="259" customWidth="1"/>
    <col min="7" max="9" width="7.08203125" style="260" customWidth="1"/>
    <col min="10" max="10" width="7.08203125" style="26" customWidth="1"/>
    <col min="11" max="11" width="7.08203125" style="349" customWidth="1"/>
    <col min="12" max="16" width="7.08203125" style="260" customWidth="1"/>
    <col min="17" max="17" width="7.5" style="26" customWidth="1"/>
    <col min="18" max="18" width="7.08203125" style="349" customWidth="1"/>
    <col min="19" max="22" width="7.08203125" style="260" customWidth="1"/>
    <col min="23" max="23" width="8" style="260" customWidth="1"/>
    <col min="24" max="25" width="7.08203125" style="349" customWidth="1"/>
    <col min="26" max="26" width="7.08203125" style="259" customWidth="1"/>
    <col min="27" max="30" width="7.08203125" style="260" customWidth="1"/>
    <col min="31" max="31" width="7.08203125" style="26" customWidth="1"/>
    <col min="32" max="33" width="7.08203125" style="349" customWidth="1"/>
    <col min="34" max="34" width="7.33203125" style="349" customWidth="1"/>
    <col min="35" max="35" width="39.5" style="350" customWidth="1"/>
    <col min="36" max="36" width="10.58203125" style="351" customWidth="1"/>
    <col min="37" max="37" width="10.58203125" style="352" customWidth="1"/>
    <col min="38" max="38" width="10.58203125" style="351" customWidth="1"/>
    <col min="39" max="39" width="10.58203125" style="353" customWidth="1"/>
    <col min="40" max="43" width="0" style="260" hidden="1" customWidth="1"/>
    <col min="44" max="16384" width="9" style="260"/>
  </cols>
  <sheetData>
    <row r="1" spans="1:39" ht="39.75" customHeight="1" thickBot="1">
      <c r="A1" s="252" t="s">
        <v>14</v>
      </c>
      <c r="C1" s="253"/>
      <c r="D1" s="254"/>
      <c r="E1" s="581">
        <v>2026</v>
      </c>
      <c r="F1" s="581"/>
      <c r="G1" s="581"/>
      <c r="H1" s="255" t="s">
        <v>15</v>
      </c>
      <c r="I1" s="582">
        <v>46023</v>
      </c>
      <c r="J1" s="582"/>
      <c r="K1" s="582"/>
      <c r="L1" s="255" t="s">
        <v>16</v>
      </c>
      <c r="M1" s="252" t="s">
        <v>17</v>
      </c>
      <c r="N1" s="252"/>
      <c r="O1" s="256"/>
      <c r="P1" s="256"/>
      <c r="Q1" s="33"/>
      <c r="R1" s="254"/>
      <c r="S1" s="257"/>
      <c r="T1" s="258"/>
      <c r="U1" s="574">
        <v>45664</v>
      </c>
      <c r="V1" s="574"/>
      <c r="W1" s="574"/>
      <c r="X1" s="574"/>
      <c r="Y1" s="255" t="s">
        <v>18</v>
      </c>
      <c r="AC1" s="261" t="s">
        <v>44</v>
      </c>
      <c r="AD1" s="262" t="s">
        <v>7</v>
      </c>
      <c r="AE1" s="263" t="s">
        <v>8</v>
      </c>
      <c r="AF1" s="264" t="s">
        <v>9</v>
      </c>
      <c r="AG1" s="265"/>
      <c r="AH1" s="254"/>
      <c r="AI1" s="266"/>
      <c r="AJ1" s="550" t="s">
        <v>132</v>
      </c>
      <c r="AK1" s="551"/>
      <c r="AL1" s="550" t="s">
        <v>125</v>
      </c>
      <c r="AM1" s="551"/>
    </row>
    <row r="2" spans="1:39" ht="15.75" hidden="1" customHeight="1">
      <c r="A2" s="572" t="s">
        <v>138</v>
      </c>
      <c r="B2" s="572"/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2"/>
      <c r="N2" s="572"/>
      <c r="O2" s="572"/>
      <c r="P2" s="572"/>
      <c r="Q2" s="572"/>
      <c r="R2" s="572"/>
      <c r="S2" s="572"/>
      <c r="T2" s="572"/>
      <c r="U2" s="572"/>
      <c r="V2" s="572"/>
      <c r="W2" s="572"/>
      <c r="X2" s="572"/>
      <c r="Y2" s="572" t="s">
        <v>6</v>
      </c>
      <c r="Z2" s="572"/>
      <c r="AA2" s="572"/>
      <c r="AB2" s="572"/>
      <c r="AC2" s="572"/>
      <c r="AD2" s="572"/>
      <c r="AE2" s="572"/>
      <c r="AF2" s="572"/>
      <c r="AG2" s="572"/>
      <c r="AH2" s="572"/>
      <c r="AI2" s="572"/>
      <c r="AJ2" s="572"/>
      <c r="AK2" s="572"/>
      <c r="AL2" s="267"/>
      <c r="AM2" s="268"/>
    </row>
    <row r="3" spans="1:39" ht="15.75" hidden="1" customHeight="1" thickBot="1">
      <c r="A3" s="573"/>
      <c r="B3" s="573"/>
      <c r="C3" s="573"/>
      <c r="D3" s="573"/>
      <c r="E3" s="573"/>
      <c r="F3" s="573"/>
      <c r="G3" s="573"/>
      <c r="H3" s="573"/>
      <c r="I3" s="573"/>
      <c r="J3" s="573"/>
      <c r="K3" s="573"/>
      <c r="L3" s="573"/>
      <c r="M3" s="573"/>
      <c r="N3" s="573"/>
      <c r="O3" s="573"/>
      <c r="P3" s="573"/>
      <c r="Q3" s="573"/>
      <c r="R3" s="573"/>
      <c r="S3" s="573"/>
      <c r="T3" s="573"/>
      <c r="U3" s="573"/>
      <c r="V3" s="573"/>
      <c r="W3" s="573"/>
      <c r="X3" s="573"/>
      <c r="Y3" s="572"/>
      <c r="Z3" s="572"/>
      <c r="AA3" s="572"/>
      <c r="AB3" s="572"/>
      <c r="AC3" s="572"/>
      <c r="AD3" s="572"/>
      <c r="AE3" s="572"/>
      <c r="AF3" s="572"/>
      <c r="AG3" s="572"/>
      <c r="AH3" s="572"/>
      <c r="AI3" s="572"/>
      <c r="AJ3" s="572"/>
      <c r="AK3" s="572"/>
      <c r="AL3" s="267"/>
      <c r="AM3" s="268"/>
    </row>
    <row r="4" spans="1:39" s="271" customFormat="1" ht="15.75" hidden="1" customHeight="1" thickTop="1">
      <c r="A4" s="575" t="s">
        <v>140</v>
      </c>
      <c r="B4" s="576"/>
      <c r="C4" s="576"/>
      <c r="D4" s="576"/>
      <c r="E4" s="576"/>
      <c r="F4" s="576"/>
      <c r="G4" s="576"/>
      <c r="H4" s="576"/>
      <c r="I4" s="576"/>
      <c r="J4" s="576"/>
      <c r="K4" s="576"/>
      <c r="L4" s="576"/>
      <c r="M4" s="576"/>
      <c r="N4" s="576"/>
      <c r="O4" s="576"/>
      <c r="P4" s="576"/>
      <c r="Q4" s="576"/>
      <c r="R4" s="576"/>
      <c r="S4" s="576"/>
      <c r="T4" s="576"/>
      <c r="U4" s="576"/>
      <c r="V4" s="576"/>
      <c r="W4" s="576"/>
      <c r="X4" s="577"/>
      <c r="Y4" s="568" t="s">
        <v>91</v>
      </c>
      <c r="Z4" s="569"/>
      <c r="AA4" s="569"/>
      <c r="AB4" s="569"/>
      <c r="AC4" s="569"/>
      <c r="AD4" s="569"/>
      <c r="AE4" s="569"/>
      <c r="AF4" s="569"/>
      <c r="AG4" s="569"/>
      <c r="AH4" s="569"/>
      <c r="AI4" s="569"/>
      <c r="AJ4" s="569"/>
      <c r="AK4" s="569"/>
      <c r="AL4" s="269"/>
      <c r="AM4" s="270"/>
    </row>
    <row r="5" spans="1:39" ht="15.75" hidden="1" customHeight="1">
      <c r="A5" s="578"/>
      <c r="B5" s="579"/>
      <c r="C5" s="579"/>
      <c r="D5" s="579"/>
      <c r="E5" s="579"/>
      <c r="F5" s="579"/>
      <c r="G5" s="579"/>
      <c r="H5" s="579"/>
      <c r="I5" s="579"/>
      <c r="J5" s="579"/>
      <c r="K5" s="579"/>
      <c r="L5" s="579"/>
      <c r="M5" s="579"/>
      <c r="N5" s="579"/>
      <c r="O5" s="579"/>
      <c r="P5" s="579"/>
      <c r="Q5" s="579"/>
      <c r="R5" s="579"/>
      <c r="S5" s="579"/>
      <c r="T5" s="579"/>
      <c r="U5" s="579"/>
      <c r="V5" s="579"/>
      <c r="W5" s="579"/>
      <c r="X5" s="580"/>
      <c r="Y5" s="568"/>
      <c r="Z5" s="569"/>
      <c r="AA5" s="569"/>
      <c r="AB5" s="569"/>
      <c r="AC5" s="569"/>
      <c r="AD5" s="569"/>
      <c r="AE5" s="569"/>
      <c r="AF5" s="569"/>
      <c r="AG5" s="569"/>
      <c r="AH5" s="569"/>
      <c r="AI5" s="569"/>
      <c r="AJ5" s="569"/>
      <c r="AK5" s="569"/>
      <c r="AL5" s="267"/>
      <c r="AM5" s="268"/>
    </row>
    <row r="6" spans="1:39" ht="15.75" hidden="1" customHeight="1">
      <c r="A6" s="578"/>
      <c r="B6" s="579"/>
      <c r="C6" s="579"/>
      <c r="D6" s="579"/>
      <c r="E6" s="579"/>
      <c r="F6" s="579"/>
      <c r="G6" s="579"/>
      <c r="H6" s="579"/>
      <c r="I6" s="579"/>
      <c r="J6" s="579"/>
      <c r="K6" s="579"/>
      <c r="L6" s="579"/>
      <c r="M6" s="579"/>
      <c r="N6" s="579"/>
      <c r="O6" s="579"/>
      <c r="P6" s="579"/>
      <c r="Q6" s="579"/>
      <c r="R6" s="579"/>
      <c r="S6" s="579"/>
      <c r="T6" s="579"/>
      <c r="U6" s="579"/>
      <c r="V6" s="579"/>
      <c r="W6" s="579"/>
      <c r="X6" s="580"/>
      <c r="Y6" s="568"/>
      <c r="Z6" s="569"/>
      <c r="AA6" s="569"/>
      <c r="AB6" s="569"/>
      <c r="AC6" s="569"/>
      <c r="AD6" s="569"/>
      <c r="AE6" s="569"/>
      <c r="AF6" s="569"/>
      <c r="AG6" s="569"/>
      <c r="AH6" s="569"/>
      <c r="AI6" s="569"/>
      <c r="AJ6" s="569"/>
      <c r="AK6" s="569"/>
      <c r="AL6" s="267"/>
      <c r="AM6" s="268"/>
    </row>
    <row r="7" spans="1:39" ht="21.75" hidden="1" customHeight="1">
      <c r="A7" s="578"/>
      <c r="B7" s="579"/>
      <c r="C7" s="579"/>
      <c r="D7" s="579"/>
      <c r="E7" s="579"/>
      <c r="F7" s="579"/>
      <c r="G7" s="579"/>
      <c r="H7" s="579"/>
      <c r="I7" s="579"/>
      <c r="J7" s="579"/>
      <c r="K7" s="579"/>
      <c r="L7" s="579"/>
      <c r="M7" s="579"/>
      <c r="N7" s="579"/>
      <c r="O7" s="579"/>
      <c r="P7" s="579"/>
      <c r="Q7" s="579"/>
      <c r="R7" s="579"/>
      <c r="S7" s="579"/>
      <c r="T7" s="579"/>
      <c r="U7" s="579"/>
      <c r="V7" s="579"/>
      <c r="W7" s="579"/>
      <c r="X7" s="580"/>
      <c r="Y7" s="40" t="s">
        <v>5</v>
      </c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237"/>
      <c r="AK7" s="41"/>
      <c r="AL7" s="237"/>
      <c r="AM7" s="238"/>
    </row>
    <row r="8" spans="1:39" ht="21.75" hidden="1" customHeight="1" thickBot="1">
      <c r="A8" s="578"/>
      <c r="B8" s="579"/>
      <c r="C8" s="579"/>
      <c r="D8" s="579"/>
      <c r="E8" s="579"/>
      <c r="F8" s="579"/>
      <c r="G8" s="579"/>
      <c r="H8" s="579"/>
      <c r="I8" s="579"/>
      <c r="J8" s="579"/>
      <c r="K8" s="579"/>
      <c r="L8" s="579"/>
      <c r="M8" s="579"/>
      <c r="N8" s="579"/>
      <c r="O8" s="579"/>
      <c r="P8" s="579"/>
      <c r="Q8" s="579"/>
      <c r="R8" s="579"/>
      <c r="S8" s="579"/>
      <c r="T8" s="579"/>
      <c r="U8" s="579"/>
      <c r="V8" s="579"/>
      <c r="W8" s="579"/>
      <c r="X8" s="580"/>
      <c r="Y8" s="272" t="s">
        <v>93</v>
      </c>
      <c r="Z8" s="273"/>
      <c r="AA8" s="273"/>
      <c r="AB8" s="273"/>
      <c r="AC8" s="273"/>
      <c r="AD8" s="273"/>
      <c r="AE8" s="273"/>
      <c r="AF8" s="273"/>
      <c r="AG8" s="273"/>
      <c r="AH8" s="273"/>
      <c r="AI8" s="273"/>
      <c r="AJ8" s="274"/>
      <c r="AK8" s="273"/>
      <c r="AL8" s="237"/>
      <c r="AM8" s="238"/>
    </row>
    <row r="9" spans="1:39" s="275" customFormat="1" ht="21.75" customHeight="1" thickTop="1">
      <c r="A9" s="583" t="s">
        <v>4</v>
      </c>
      <c r="B9" s="584"/>
      <c r="C9" s="558" t="s">
        <v>101</v>
      </c>
      <c r="D9" s="417">
        <f>I1</f>
        <v>46023</v>
      </c>
      <c r="E9" s="223">
        <f>D9+1</f>
        <v>46024</v>
      </c>
      <c r="F9" s="224">
        <f>E9+1</f>
        <v>46025</v>
      </c>
      <c r="G9" s="223">
        <f t="shared" ref="G9:S9" si="0">F9+1</f>
        <v>46026</v>
      </c>
      <c r="H9" s="415">
        <f t="shared" si="0"/>
        <v>46027</v>
      </c>
      <c r="I9" s="415">
        <f>H9+1</f>
        <v>46028</v>
      </c>
      <c r="J9" s="415">
        <f t="shared" si="0"/>
        <v>46029</v>
      </c>
      <c r="K9" s="415">
        <f t="shared" si="0"/>
        <v>46030</v>
      </c>
      <c r="L9" s="415">
        <f t="shared" si="0"/>
        <v>46031</v>
      </c>
      <c r="M9" s="415">
        <f>L9+1</f>
        <v>46032</v>
      </c>
      <c r="N9" s="224">
        <f t="shared" ref="N9" si="1">M9+1</f>
        <v>46033</v>
      </c>
      <c r="O9" s="432">
        <f t="shared" ref="O9" si="2">N9+1</f>
        <v>46034</v>
      </c>
      <c r="P9" s="415">
        <f t="shared" si="0"/>
        <v>46035</v>
      </c>
      <c r="Q9" s="415">
        <f>P9+1</f>
        <v>46036</v>
      </c>
      <c r="R9" s="415">
        <f t="shared" si="0"/>
        <v>46037</v>
      </c>
      <c r="S9" s="415">
        <f t="shared" si="0"/>
        <v>46038</v>
      </c>
      <c r="T9" s="224">
        <f t="shared" ref="T9:AG9" si="3">S9+1</f>
        <v>46039</v>
      </c>
      <c r="U9" s="223">
        <f t="shared" si="3"/>
        <v>46040</v>
      </c>
      <c r="V9" s="415">
        <f t="shared" si="3"/>
        <v>46041</v>
      </c>
      <c r="W9" s="415">
        <f t="shared" si="3"/>
        <v>46042</v>
      </c>
      <c r="X9" s="415">
        <f t="shared" si="3"/>
        <v>46043</v>
      </c>
      <c r="Y9" s="415">
        <f t="shared" si="3"/>
        <v>46044</v>
      </c>
      <c r="Z9" s="415">
        <f t="shared" si="3"/>
        <v>46045</v>
      </c>
      <c r="AA9" s="224">
        <f t="shared" si="3"/>
        <v>46046</v>
      </c>
      <c r="AB9" s="223">
        <f t="shared" si="3"/>
        <v>46047</v>
      </c>
      <c r="AC9" s="415">
        <f t="shared" si="3"/>
        <v>46048</v>
      </c>
      <c r="AD9" s="415">
        <f t="shared" si="3"/>
        <v>46049</v>
      </c>
      <c r="AE9" s="415">
        <f t="shared" si="3"/>
        <v>46050</v>
      </c>
      <c r="AF9" s="415">
        <f t="shared" si="3"/>
        <v>46051</v>
      </c>
      <c r="AG9" s="415">
        <f t="shared" si="3"/>
        <v>46052</v>
      </c>
      <c r="AH9" s="448">
        <f>AG9+1</f>
        <v>46053</v>
      </c>
      <c r="AI9" s="560" t="s">
        <v>10</v>
      </c>
      <c r="AJ9" s="564" t="s">
        <v>45</v>
      </c>
      <c r="AK9" s="562" t="s">
        <v>130</v>
      </c>
      <c r="AL9" s="554" t="s">
        <v>126</v>
      </c>
      <c r="AM9" s="554" t="s">
        <v>131</v>
      </c>
    </row>
    <row r="10" spans="1:39" s="276" customFormat="1" ht="21.75" customHeight="1" thickBot="1">
      <c r="A10" s="585"/>
      <c r="B10" s="586"/>
      <c r="C10" s="559"/>
      <c r="D10" s="418" t="str">
        <f>TEXT(D9,"　aaa")</f>
        <v xml:space="preserve"> 木</v>
      </c>
      <c r="E10" s="234" t="str">
        <f>TEXT(E9,"aaa")</f>
        <v>金</v>
      </c>
      <c r="F10" s="233" t="str">
        <f>TEXT(F9,"aaa")</f>
        <v>土</v>
      </c>
      <c r="G10" s="234" t="str">
        <f>TEXT(G9,"aaa")</f>
        <v>日</v>
      </c>
      <c r="H10" s="416" t="str">
        <f t="shared" ref="H10:S10" si="4">TEXT(H9,"aaa")</f>
        <v>月</v>
      </c>
      <c r="I10" s="416" t="str">
        <f t="shared" si="4"/>
        <v>火</v>
      </c>
      <c r="J10" s="416" t="str">
        <f t="shared" si="4"/>
        <v>水</v>
      </c>
      <c r="K10" s="416" t="str">
        <f t="shared" si="4"/>
        <v>木</v>
      </c>
      <c r="L10" s="416" t="str">
        <f t="shared" si="4"/>
        <v>金</v>
      </c>
      <c r="M10" s="416" t="str">
        <f t="shared" si="4"/>
        <v>土</v>
      </c>
      <c r="N10" s="233" t="str">
        <f t="shared" ref="N10:O10" si="5">TEXT(N9,"aaa")</f>
        <v>日</v>
      </c>
      <c r="O10" s="433" t="str">
        <f t="shared" si="5"/>
        <v>月</v>
      </c>
      <c r="P10" s="416" t="str">
        <f t="shared" si="4"/>
        <v>火</v>
      </c>
      <c r="Q10" s="416" t="str">
        <f t="shared" si="4"/>
        <v>水</v>
      </c>
      <c r="R10" s="416" t="str">
        <f t="shared" si="4"/>
        <v>木</v>
      </c>
      <c r="S10" s="416" t="str">
        <f t="shared" si="4"/>
        <v>金</v>
      </c>
      <c r="T10" s="233" t="str">
        <f t="shared" ref="T10:AH10" si="6">TEXT(T9,"aaa")</f>
        <v>土</v>
      </c>
      <c r="U10" s="234" t="str">
        <f t="shared" si="6"/>
        <v>日</v>
      </c>
      <c r="V10" s="416" t="str">
        <f t="shared" si="6"/>
        <v>月</v>
      </c>
      <c r="W10" s="416" t="str">
        <f t="shared" si="6"/>
        <v>火</v>
      </c>
      <c r="X10" s="416" t="str">
        <f t="shared" si="6"/>
        <v>水</v>
      </c>
      <c r="Y10" s="416" t="str">
        <f t="shared" si="6"/>
        <v>木</v>
      </c>
      <c r="Z10" s="416" t="str">
        <f t="shared" si="6"/>
        <v>金</v>
      </c>
      <c r="AA10" s="233" t="str">
        <f t="shared" si="6"/>
        <v>土</v>
      </c>
      <c r="AB10" s="234" t="str">
        <f t="shared" si="6"/>
        <v>日</v>
      </c>
      <c r="AC10" s="416" t="str">
        <f t="shared" si="6"/>
        <v>月</v>
      </c>
      <c r="AD10" s="416" t="str">
        <f t="shared" si="6"/>
        <v>火</v>
      </c>
      <c r="AE10" s="416" t="str">
        <f t="shared" si="6"/>
        <v>水</v>
      </c>
      <c r="AF10" s="416" t="str">
        <f t="shared" si="6"/>
        <v>木</v>
      </c>
      <c r="AG10" s="416" t="str">
        <f t="shared" si="6"/>
        <v>金</v>
      </c>
      <c r="AH10" s="449" t="str">
        <f t="shared" si="6"/>
        <v>土</v>
      </c>
      <c r="AI10" s="561"/>
      <c r="AJ10" s="565"/>
      <c r="AK10" s="563"/>
      <c r="AL10" s="555"/>
      <c r="AM10" s="555"/>
    </row>
    <row r="11" spans="1:39" s="275" customFormat="1" ht="27.75" customHeight="1" outlineLevel="1">
      <c r="A11" s="566">
        <v>18</v>
      </c>
      <c r="B11" s="567"/>
      <c r="C11" s="567"/>
      <c r="D11" s="481" t="s">
        <v>145</v>
      </c>
      <c r="E11" s="464" t="s">
        <v>145</v>
      </c>
      <c r="F11" s="363"/>
      <c r="G11" s="529" t="s">
        <v>36</v>
      </c>
      <c r="H11" s="362"/>
      <c r="I11" s="362"/>
      <c r="J11" s="362"/>
      <c r="K11" s="362" t="s">
        <v>153</v>
      </c>
      <c r="L11" s="277"/>
      <c r="M11" s="362" t="s">
        <v>145</v>
      </c>
      <c r="N11" s="278"/>
      <c r="O11" s="434"/>
      <c r="P11" s="362"/>
      <c r="Q11" s="362"/>
      <c r="R11" s="277"/>
      <c r="S11" s="277"/>
      <c r="T11" s="363"/>
      <c r="U11" s="279"/>
      <c r="V11" s="362"/>
      <c r="W11" s="362"/>
      <c r="X11" s="277"/>
      <c r="Y11" s="277"/>
      <c r="Z11" s="277"/>
      <c r="AA11" s="363" t="s">
        <v>170</v>
      </c>
      <c r="AB11" s="279"/>
      <c r="AC11" s="277"/>
      <c r="AD11" s="277"/>
      <c r="AE11" s="277"/>
      <c r="AF11" s="277"/>
      <c r="AG11" s="277"/>
      <c r="AH11" s="450"/>
      <c r="AI11" s="382"/>
      <c r="AJ11" s="280">
        <f>マスタ!$E$6-'月間 '!AK11</f>
        <v>26</v>
      </c>
      <c r="AK11" s="281">
        <f>COUNTIFS(D11:AH11,"✕")+COUNTIFS(D11:AH11,"修理")+COUNTIFS(D11:AH11,"研修")+COUNTIFS(D11:AH11,"✖")+COUNTIFS(D11:AH11,"更新")+COUNTIFS(D11:AH11,"賃貸")+COUNTIFS(D11:AH11,"準備中")</f>
        <v>5</v>
      </c>
      <c r="AL11" s="280">
        <f>AJ11+AM11</f>
        <v>26</v>
      </c>
      <c r="AM11" s="282">
        <f>COUNTIFS(D11:AH11,"✖")</f>
        <v>0</v>
      </c>
    </row>
    <row r="12" spans="1:39" s="275" customFormat="1" ht="27.75" customHeight="1" outlineLevel="1">
      <c r="A12" s="556">
        <v>1589</v>
      </c>
      <c r="B12" s="557"/>
      <c r="C12" s="557"/>
      <c r="D12" s="425" t="s">
        <v>145</v>
      </c>
      <c r="E12" s="357"/>
      <c r="F12" s="441" t="s">
        <v>145</v>
      </c>
      <c r="G12" s="429"/>
      <c r="H12" s="360" t="s">
        <v>153</v>
      </c>
      <c r="I12" s="232"/>
      <c r="J12" s="360"/>
      <c r="K12" s="217"/>
      <c r="L12" s="360" t="s">
        <v>148</v>
      </c>
      <c r="M12" s="360" t="s">
        <v>148</v>
      </c>
      <c r="N12" s="361" t="s">
        <v>145</v>
      </c>
      <c r="O12" s="435" t="s">
        <v>153</v>
      </c>
      <c r="P12" s="360" t="s">
        <v>148</v>
      </c>
      <c r="Q12" s="360"/>
      <c r="R12" s="360"/>
      <c r="S12" s="360" t="s">
        <v>153</v>
      </c>
      <c r="T12" s="441"/>
      <c r="U12" s="357"/>
      <c r="V12" s="232"/>
      <c r="W12" s="360"/>
      <c r="X12" s="360"/>
      <c r="Y12" s="360"/>
      <c r="Z12" s="360"/>
      <c r="AA12" s="441" t="s">
        <v>174</v>
      </c>
      <c r="AB12" s="357" t="s">
        <v>170</v>
      </c>
      <c r="AC12" s="232"/>
      <c r="AD12" s="360"/>
      <c r="AE12" s="217"/>
      <c r="AF12" s="360"/>
      <c r="AG12" s="217"/>
      <c r="AH12" s="451"/>
      <c r="AI12" s="383"/>
      <c r="AJ12" s="283">
        <f>マスタ!$E$6-'月間 '!AK12</f>
        <v>27</v>
      </c>
      <c r="AK12" s="284">
        <f>COUNTIFS(D12:AH12,"✕")+COUNTIFS(D12:AH12,"修理")+COUNTIFS(D12:AH12,"研修")+COUNTIFS(D12:AH12,"✖")+COUNTIFS(D12:AH12,"更新")+COUNTIFS(D12:AH12,"賃貸")+COUNTIFS(D12:AH12,"準備中")</f>
        <v>4</v>
      </c>
      <c r="AL12" s="283">
        <f>AJ12+AM12</f>
        <v>27</v>
      </c>
      <c r="AM12" s="285">
        <f>COUNTIFS(D12:AH12,"✖")</f>
        <v>0</v>
      </c>
    </row>
    <row r="13" spans="1:39" s="275" customFormat="1" ht="27.75" customHeight="1" outlineLevel="1" thickBot="1">
      <c r="A13" s="570">
        <v>1116</v>
      </c>
      <c r="B13" s="571"/>
      <c r="C13" s="571"/>
      <c r="D13" s="482" t="s">
        <v>145</v>
      </c>
      <c r="E13" s="465" t="s">
        <v>145</v>
      </c>
      <c r="F13" s="466" t="s">
        <v>145</v>
      </c>
      <c r="G13" s="530"/>
      <c r="H13" s="240"/>
      <c r="I13" s="483"/>
      <c r="J13" s="461"/>
      <c r="K13" s="240"/>
      <c r="L13" s="286"/>
      <c r="M13" s="240"/>
      <c r="N13" s="466" t="s">
        <v>145</v>
      </c>
      <c r="O13" s="246"/>
      <c r="P13" s="461"/>
      <c r="Q13" s="461"/>
      <c r="R13" s="374"/>
      <c r="S13" s="287"/>
      <c r="T13" s="244"/>
      <c r="U13" s="368"/>
      <c r="V13" s="240"/>
      <c r="W13" s="240"/>
      <c r="X13" s="461"/>
      <c r="Y13" s="286"/>
      <c r="Z13" s="286"/>
      <c r="AA13" s="244"/>
      <c r="AB13" s="530" t="s">
        <v>170</v>
      </c>
      <c r="AC13" s="240"/>
      <c r="AD13" s="240"/>
      <c r="AE13" s="461"/>
      <c r="AF13" s="240"/>
      <c r="AG13" s="461"/>
      <c r="AH13" s="452"/>
      <c r="AI13" s="385"/>
      <c r="AJ13" s="288">
        <f>マスタ!$E$6-'月間 '!AK13</f>
        <v>26</v>
      </c>
      <c r="AK13" s="289">
        <f t="shared" ref="AK13" si="7">COUNTIFS(D13:AH13,"✕")+COUNTIFS(D13:AH13,"修理")+COUNTIFS(D13:AH13,"研修")+COUNTIFS(D13:AH13,"✖")+COUNTIFS(D13:AH13,"更新")+COUNTIFS(D13:AH13,"賃貸")+COUNTIFS(D13:AH13,"準備中")</f>
        <v>5</v>
      </c>
      <c r="AL13" s="288">
        <f>AJ13+AM13</f>
        <v>26</v>
      </c>
      <c r="AM13" s="290">
        <f>COUNTIFS(D13:AH13,"✖")</f>
        <v>0</v>
      </c>
    </row>
    <row r="14" spans="1:39" s="275" customFormat="1" ht="27.75" customHeight="1" thickTop="1">
      <c r="A14" s="609" t="s">
        <v>95</v>
      </c>
      <c r="B14" s="610"/>
      <c r="C14" s="291" t="s">
        <v>94</v>
      </c>
      <c r="D14" s="484" t="s">
        <v>145</v>
      </c>
      <c r="E14" s="242" t="s">
        <v>145</v>
      </c>
      <c r="F14" s="227">
        <v>18</v>
      </c>
      <c r="G14" s="219" t="s">
        <v>36</v>
      </c>
      <c r="H14" s="375">
        <v>18</v>
      </c>
      <c r="I14" s="375">
        <v>18</v>
      </c>
      <c r="J14" s="375">
        <v>18</v>
      </c>
      <c r="K14" s="249" t="s">
        <v>152</v>
      </c>
      <c r="L14" s="375">
        <v>18</v>
      </c>
      <c r="M14" s="375" t="s">
        <v>145</v>
      </c>
      <c r="N14" s="227">
        <v>18</v>
      </c>
      <c r="O14" s="436">
        <v>18</v>
      </c>
      <c r="P14" s="375">
        <v>18</v>
      </c>
      <c r="Q14" s="375">
        <v>18</v>
      </c>
      <c r="R14" s="375">
        <v>18</v>
      </c>
      <c r="S14" s="375">
        <v>18</v>
      </c>
      <c r="T14" s="443"/>
      <c r="U14" s="242"/>
      <c r="V14" s="527">
        <v>18</v>
      </c>
      <c r="W14" s="375">
        <v>18</v>
      </c>
      <c r="X14" s="249" t="s">
        <v>173</v>
      </c>
      <c r="Y14" s="375">
        <v>18</v>
      </c>
      <c r="Z14" s="375">
        <v>18</v>
      </c>
      <c r="AA14" s="531" t="s">
        <v>170</v>
      </c>
      <c r="AB14" s="242">
        <v>18</v>
      </c>
      <c r="AC14" s="375"/>
      <c r="AD14" s="375"/>
      <c r="AE14" s="375"/>
      <c r="AF14" s="375"/>
      <c r="AG14" s="375"/>
      <c r="AH14" s="453"/>
      <c r="AI14" s="386" t="s">
        <v>175</v>
      </c>
      <c r="AJ14" s="292">
        <f>マスタ!$E$6-'月間 '!AK14</f>
        <v>26</v>
      </c>
      <c r="AK14" s="293">
        <f>COUNTIFS(C14:AH14,"✕")+COUNTIFS(C14:AH14,"修理")+COUNTIFS(C14:AH14,"車検")+COUNTIFS(C14:AH14,"研修")+COUNTIFS(D13:AH13,"✖")</f>
        <v>5</v>
      </c>
      <c r="AL14" s="294"/>
      <c r="AM14" s="295"/>
    </row>
    <row r="15" spans="1:39" s="275" customFormat="1" ht="27.75" customHeight="1">
      <c r="A15" s="611" t="s">
        <v>157</v>
      </c>
      <c r="B15" s="612"/>
      <c r="C15" s="490" t="s">
        <v>158</v>
      </c>
      <c r="D15" s="485" t="s">
        <v>145</v>
      </c>
      <c r="E15" s="222">
        <v>1589</v>
      </c>
      <c r="F15" s="358">
        <v>700</v>
      </c>
      <c r="G15" s="219">
        <v>1589</v>
      </c>
      <c r="H15" s="358">
        <v>700</v>
      </c>
      <c r="I15" s="377">
        <v>1589</v>
      </c>
      <c r="J15" s="377">
        <v>1589</v>
      </c>
      <c r="K15" s="377">
        <v>1589</v>
      </c>
      <c r="L15" s="358">
        <v>700</v>
      </c>
      <c r="M15" s="358">
        <v>700</v>
      </c>
      <c r="N15" s="364" t="s">
        <v>145</v>
      </c>
      <c r="O15" s="358">
        <v>643</v>
      </c>
      <c r="P15" s="358">
        <v>700</v>
      </c>
      <c r="Q15" s="377">
        <v>1589</v>
      </c>
      <c r="R15" s="377">
        <v>1589</v>
      </c>
      <c r="S15" s="377" t="s">
        <v>170</v>
      </c>
      <c r="T15" s="525">
        <v>700</v>
      </c>
      <c r="U15" s="357" t="s">
        <v>170</v>
      </c>
      <c r="V15" s="387">
        <v>1589</v>
      </c>
      <c r="W15" s="358">
        <v>700</v>
      </c>
      <c r="X15" s="358">
        <v>700</v>
      </c>
      <c r="Y15" s="377">
        <v>1589</v>
      </c>
      <c r="Z15" s="377">
        <v>1589</v>
      </c>
      <c r="AA15" s="358">
        <v>700</v>
      </c>
      <c r="AB15" s="365" t="s">
        <v>170</v>
      </c>
      <c r="AC15" s="377"/>
      <c r="AD15" s="377"/>
      <c r="AE15" s="379"/>
      <c r="AF15" s="376"/>
      <c r="AG15" s="379"/>
      <c r="AH15" s="454"/>
      <c r="AI15" s="388" t="s">
        <v>176</v>
      </c>
      <c r="AJ15" s="292">
        <f>マスタ!$E$6-'月間 '!AK15</f>
        <v>26</v>
      </c>
      <c r="AK15" s="296">
        <f>COUNTIFS(C15:AH15,"✕")+COUNTIFS(C15:AH15,"修理")+COUNTIFS(C15:AH15,"車検")+COUNTIFS(C15:AH15,"研修")+COUNTIFS(D15:AH15,"✖")</f>
        <v>5</v>
      </c>
      <c r="AL15" s="297"/>
      <c r="AM15" s="298"/>
    </row>
    <row r="16" spans="1:39" s="275" customFormat="1" ht="27.75" customHeight="1" thickBot="1">
      <c r="A16" s="613" t="s">
        <v>134</v>
      </c>
      <c r="B16" s="614"/>
      <c r="C16" s="299" t="s">
        <v>3</v>
      </c>
      <c r="D16" s="420" t="s">
        <v>145</v>
      </c>
      <c r="E16" s="222" t="s">
        <v>36</v>
      </c>
      <c r="F16" s="215" t="s">
        <v>145</v>
      </c>
      <c r="G16" s="222">
        <v>1116</v>
      </c>
      <c r="H16" s="377">
        <v>1116</v>
      </c>
      <c r="I16" s="377">
        <v>1116</v>
      </c>
      <c r="J16" s="377">
        <v>1116</v>
      </c>
      <c r="K16" s="377">
        <v>1116</v>
      </c>
      <c r="L16" s="377">
        <v>1116</v>
      </c>
      <c r="M16" s="377">
        <v>1116</v>
      </c>
      <c r="N16" s="364" t="s">
        <v>145</v>
      </c>
      <c r="O16" s="437">
        <v>1116</v>
      </c>
      <c r="P16" s="377">
        <v>1116</v>
      </c>
      <c r="Q16" s="377">
        <v>1116</v>
      </c>
      <c r="R16" s="377">
        <v>1116</v>
      </c>
      <c r="S16" s="377">
        <v>1116</v>
      </c>
      <c r="T16" s="444"/>
      <c r="U16" s="236"/>
      <c r="V16" s="387">
        <v>1116</v>
      </c>
      <c r="W16" s="377">
        <v>1116</v>
      </c>
      <c r="X16" s="377">
        <v>1116</v>
      </c>
      <c r="Y16" s="377">
        <v>1116</v>
      </c>
      <c r="Z16" s="377">
        <v>1116</v>
      </c>
      <c r="AA16" s="215">
        <v>1116</v>
      </c>
      <c r="AB16" s="365" t="s">
        <v>170</v>
      </c>
      <c r="AC16" s="377">
        <v>1116</v>
      </c>
      <c r="AD16" s="377">
        <v>1116</v>
      </c>
      <c r="AE16" s="384">
        <v>1116</v>
      </c>
      <c r="AF16" s="377">
        <v>1116</v>
      </c>
      <c r="AG16" s="384">
        <v>1116</v>
      </c>
      <c r="AH16" s="454">
        <v>1116</v>
      </c>
      <c r="AI16" s="389"/>
      <c r="AJ16" s="292">
        <f>マスタ!$E$6-'月間 '!AK16</f>
        <v>26</v>
      </c>
      <c r="AK16" s="300">
        <f t="shared" ref="AK16:AK27" si="8">COUNTIFS(C16:AH16,"✕")+COUNTIFS(C16:AH16,"修理")+COUNTIFS(C16:AH16,"車検")+COUNTIFS(C16:AH16,"研修")+COUNTIFS(D15:AH15,"✖")</f>
        <v>5</v>
      </c>
      <c r="AL16" s="301"/>
      <c r="AM16" s="302"/>
    </row>
    <row r="17" spans="1:40" s="275" customFormat="1" ht="27.75" customHeight="1" thickTop="1" thickBot="1">
      <c r="A17" s="303"/>
      <c r="B17" s="303"/>
      <c r="C17" s="303"/>
      <c r="D17" s="421"/>
      <c r="E17" s="305"/>
      <c r="F17" s="304"/>
      <c r="G17" s="305"/>
      <c r="H17" s="303"/>
      <c r="I17" s="303"/>
      <c r="J17" s="303"/>
      <c r="K17" s="303"/>
      <c r="L17" s="303"/>
      <c r="M17" s="303"/>
      <c r="N17" s="304"/>
      <c r="O17" s="438"/>
      <c r="P17" s="303"/>
      <c r="Q17" s="303"/>
      <c r="R17" s="303"/>
      <c r="S17" s="303"/>
      <c r="T17" s="304"/>
      <c r="U17" s="430"/>
      <c r="V17" s="303"/>
      <c r="W17" s="303"/>
      <c r="X17" s="303"/>
      <c r="Y17" s="303"/>
      <c r="Z17" s="303"/>
      <c r="AA17" s="304"/>
      <c r="AB17" s="305"/>
      <c r="AC17" s="303"/>
      <c r="AD17" s="303"/>
      <c r="AE17" s="303"/>
      <c r="AF17" s="303"/>
      <c r="AG17" s="303"/>
      <c r="AH17" s="304"/>
      <c r="AI17" s="390"/>
      <c r="AJ17" s="306"/>
      <c r="AK17" s="303"/>
      <c r="AL17" s="306"/>
      <c r="AM17" s="307"/>
    </row>
    <row r="18" spans="1:40" s="275" customFormat="1" ht="25.5" customHeight="1">
      <c r="A18" s="615" t="s">
        <v>100</v>
      </c>
      <c r="B18" s="616"/>
      <c r="C18" s="308" t="s">
        <v>99</v>
      </c>
      <c r="D18" s="422" t="s">
        <v>145</v>
      </c>
      <c r="E18" s="251" t="s">
        <v>145</v>
      </c>
      <c r="F18" s="243" t="s">
        <v>145</v>
      </c>
      <c r="G18" s="251" t="s">
        <v>145</v>
      </c>
      <c r="H18" s="359">
        <v>700</v>
      </c>
      <c r="I18" s="378">
        <v>700</v>
      </c>
      <c r="J18" s="378">
        <v>700</v>
      </c>
      <c r="K18" s="378">
        <v>700</v>
      </c>
      <c r="L18" s="359">
        <v>700</v>
      </c>
      <c r="M18" s="359">
        <v>700</v>
      </c>
      <c r="N18" s="243" t="s">
        <v>145</v>
      </c>
      <c r="O18" s="359">
        <v>643</v>
      </c>
      <c r="P18" s="359">
        <v>700</v>
      </c>
      <c r="Q18" s="378">
        <v>700</v>
      </c>
      <c r="R18" s="378">
        <v>700</v>
      </c>
      <c r="S18" s="378">
        <v>700</v>
      </c>
      <c r="T18" s="526">
        <v>700</v>
      </c>
      <c r="U18" s="251" t="s">
        <v>145</v>
      </c>
      <c r="V18" s="528">
        <v>700</v>
      </c>
      <c r="W18" s="378">
        <v>700</v>
      </c>
      <c r="X18" s="359">
        <v>700</v>
      </c>
      <c r="Y18" s="378">
        <v>700</v>
      </c>
      <c r="Z18" s="378">
        <v>700</v>
      </c>
      <c r="AA18" s="359">
        <v>700</v>
      </c>
      <c r="AB18" s="251" t="s">
        <v>145</v>
      </c>
      <c r="AC18" s="391"/>
      <c r="AD18" s="378"/>
      <c r="AE18" s="378"/>
      <c r="AF18" s="378"/>
      <c r="AG18" s="378"/>
      <c r="AH18" s="445"/>
      <c r="AI18" s="392" t="s">
        <v>154</v>
      </c>
      <c r="AJ18" s="309">
        <f>マスタ!$E$6-'月間 '!AK18</f>
        <v>24</v>
      </c>
      <c r="AK18" s="310">
        <f t="shared" si="8"/>
        <v>7</v>
      </c>
      <c r="AL18" s="311"/>
      <c r="AM18" s="312"/>
    </row>
    <row r="19" spans="1:40" s="319" customFormat="1" ht="25.5" customHeight="1">
      <c r="A19" s="597" t="s">
        <v>156</v>
      </c>
      <c r="B19" s="597"/>
      <c r="C19" s="313" t="s">
        <v>99</v>
      </c>
      <c r="D19" s="419" t="s">
        <v>145</v>
      </c>
      <c r="E19" s="219" t="s">
        <v>145</v>
      </c>
      <c r="F19" s="226" t="s">
        <v>145</v>
      </c>
      <c r="G19" s="219" t="s">
        <v>145</v>
      </c>
      <c r="H19" s="376" t="s">
        <v>164</v>
      </c>
      <c r="I19" s="376">
        <v>3640</v>
      </c>
      <c r="J19" s="376">
        <v>3640</v>
      </c>
      <c r="K19" s="376">
        <v>3640</v>
      </c>
      <c r="L19" s="376">
        <v>3640</v>
      </c>
      <c r="M19" s="376">
        <v>3640</v>
      </c>
      <c r="N19" s="361" t="s">
        <v>145</v>
      </c>
      <c r="O19" s="231">
        <v>3640</v>
      </c>
      <c r="P19" s="376">
        <v>3640</v>
      </c>
      <c r="Q19" s="376">
        <v>3640</v>
      </c>
      <c r="R19" s="376">
        <v>3640</v>
      </c>
      <c r="S19" s="376">
        <v>3640</v>
      </c>
      <c r="T19" s="446" t="s">
        <v>165</v>
      </c>
      <c r="U19" s="219">
        <v>3640</v>
      </c>
      <c r="V19" s="393">
        <v>3640</v>
      </c>
      <c r="W19" s="376">
        <v>3640</v>
      </c>
      <c r="X19" s="376">
        <v>3640</v>
      </c>
      <c r="Y19" s="376">
        <v>3640</v>
      </c>
      <c r="Z19" s="376">
        <v>3640</v>
      </c>
      <c r="AA19" s="226">
        <v>3640</v>
      </c>
      <c r="AB19" s="219" t="s">
        <v>36</v>
      </c>
      <c r="AC19" s="376"/>
      <c r="AD19" s="376"/>
      <c r="AE19" s="376"/>
      <c r="AF19" s="376"/>
      <c r="AG19" s="376"/>
      <c r="AH19" s="446"/>
      <c r="AI19" s="394" t="s">
        <v>167</v>
      </c>
      <c r="AJ19" s="314">
        <f>マスタ!$E$6-'月間 '!AK19</f>
        <v>23</v>
      </c>
      <c r="AK19" s="315">
        <f t="shared" si="8"/>
        <v>8</v>
      </c>
      <c r="AL19" s="316"/>
      <c r="AM19" s="317"/>
      <c r="AN19" s="318"/>
    </row>
    <row r="20" spans="1:40" s="319" customFormat="1" ht="25.5" hidden="1" customHeight="1">
      <c r="A20" s="597" t="s">
        <v>110</v>
      </c>
      <c r="B20" s="597"/>
      <c r="C20" s="313" t="s">
        <v>99</v>
      </c>
      <c r="D20" s="419"/>
      <c r="E20" s="219"/>
      <c r="F20" s="226"/>
      <c r="G20" s="219"/>
      <c r="H20" s="376"/>
      <c r="I20" s="376"/>
      <c r="J20" s="376"/>
      <c r="K20" s="376"/>
      <c r="L20" s="376"/>
      <c r="M20" s="376"/>
      <c r="N20" s="226"/>
      <c r="O20" s="231"/>
      <c r="P20" s="376"/>
      <c r="Q20" s="376"/>
      <c r="R20" s="376"/>
      <c r="S20" s="376"/>
      <c r="T20" s="446"/>
      <c r="U20" s="219"/>
      <c r="V20" s="393"/>
      <c r="W20" s="376"/>
      <c r="X20" s="376"/>
      <c r="Y20" s="376"/>
      <c r="Z20" s="376"/>
      <c r="AA20" s="226"/>
      <c r="AB20" s="219"/>
      <c r="AC20" s="376"/>
      <c r="AD20" s="376"/>
      <c r="AE20" s="376"/>
      <c r="AF20" s="376"/>
      <c r="AG20" s="376"/>
      <c r="AH20" s="446"/>
      <c r="AI20" s="394"/>
      <c r="AJ20" s="314">
        <f>マスタ!$E$6-'月間 '!AK20</f>
        <v>31</v>
      </c>
      <c r="AK20" s="315">
        <f t="shared" si="8"/>
        <v>0</v>
      </c>
      <c r="AL20" s="316"/>
      <c r="AM20" s="317"/>
      <c r="AN20" s="318"/>
    </row>
    <row r="21" spans="1:40" s="319" customFormat="1" ht="25.5" customHeight="1">
      <c r="A21" s="597" t="s">
        <v>111</v>
      </c>
      <c r="B21" s="597"/>
      <c r="C21" s="313" t="s">
        <v>99</v>
      </c>
      <c r="D21" s="419" t="s">
        <v>145</v>
      </c>
      <c r="E21" s="219" t="s">
        <v>142</v>
      </c>
      <c r="F21" s="226" t="s">
        <v>142</v>
      </c>
      <c r="G21" s="219" t="s">
        <v>142</v>
      </c>
      <c r="H21" s="376" t="s">
        <v>142</v>
      </c>
      <c r="I21" s="376" t="s">
        <v>142</v>
      </c>
      <c r="J21" s="376" t="s">
        <v>142</v>
      </c>
      <c r="K21" s="376" t="s">
        <v>142</v>
      </c>
      <c r="L21" s="376" t="s">
        <v>142</v>
      </c>
      <c r="M21" s="376" t="s">
        <v>142</v>
      </c>
      <c r="N21" s="226" t="s">
        <v>142</v>
      </c>
      <c r="O21" s="231" t="s">
        <v>142</v>
      </c>
      <c r="P21" s="376" t="s">
        <v>142</v>
      </c>
      <c r="Q21" s="376" t="s">
        <v>142</v>
      </c>
      <c r="R21" s="376" t="s">
        <v>142</v>
      </c>
      <c r="S21" s="376" t="s">
        <v>142</v>
      </c>
      <c r="T21" s="446" t="s">
        <v>142</v>
      </c>
      <c r="U21" s="219" t="s">
        <v>142</v>
      </c>
      <c r="V21" s="393" t="s">
        <v>142</v>
      </c>
      <c r="W21" s="376" t="s">
        <v>142</v>
      </c>
      <c r="X21" s="376" t="s">
        <v>142</v>
      </c>
      <c r="Y21" s="376" t="s">
        <v>142</v>
      </c>
      <c r="Z21" s="376" t="s">
        <v>142</v>
      </c>
      <c r="AA21" s="226" t="s">
        <v>142</v>
      </c>
      <c r="AB21" s="219" t="s">
        <v>142</v>
      </c>
      <c r="AC21" s="376" t="s">
        <v>142</v>
      </c>
      <c r="AD21" s="376" t="s">
        <v>142</v>
      </c>
      <c r="AE21" s="376" t="s">
        <v>142</v>
      </c>
      <c r="AF21" s="376" t="s">
        <v>142</v>
      </c>
      <c r="AG21" s="376" t="s">
        <v>142</v>
      </c>
      <c r="AH21" s="446" t="s">
        <v>142</v>
      </c>
      <c r="AI21" s="394" t="s">
        <v>146</v>
      </c>
      <c r="AJ21" s="314">
        <f>マスタ!$E$6-'月間 '!AK21</f>
        <v>0</v>
      </c>
      <c r="AK21" s="315">
        <f t="shared" si="8"/>
        <v>31</v>
      </c>
      <c r="AL21" s="316"/>
      <c r="AM21" s="317"/>
      <c r="AN21" s="318"/>
    </row>
    <row r="22" spans="1:40" s="319" customFormat="1" ht="25.5" customHeight="1">
      <c r="A22" s="597" t="s">
        <v>133</v>
      </c>
      <c r="B22" s="597"/>
      <c r="C22" s="313" t="s">
        <v>99</v>
      </c>
      <c r="D22" s="419" t="s">
        <v>145</v>
      </c>
      <c r="E22" s="219" t="s">
        <v>145</v>
      </c>
      <c r="F22" s="226">
        <v>2401</v>
      </c>
      <c r="G22" s="219" t="s">
        <v>145</v>
      </c>
      <c r="H22" s="376">
        <v>2401</v>
      </c>
      <c r="I22" s="376">
        <v>2401</v>
      </c>
      <c r="J22" s="376">
        <v>2401</v>
      </c>
      <c r="K22" s="376">
        <v>2401</v>
      </c>
      <c r="L22" s="376">
        <v>2401</v>
      </c>
      <c r="M22" s="380" t="s">
        <v>145</v>
      </c>
      <c r="N22" s="226">
        <v>2401</v>
      </c>
      <c r="O22" s="231">
        <v>2401</v>
      </c>
      <c r="P22" s="376">
        <v>2401</v>
      </c>
      <c r="Q22" s="400">
        <v>2401</v>
      </c>
      <c r="R22" s="376">
        <v>2401</v>
      </c>
      <c r="S22" s="376">
        <v>2401</v>
      </c>
      <c r="T22" s="446">
        <v>2401</v>
      </c>
      <c r="U22" s="532" t="s">
        <v>170</v>
      </c>
      <c r="V22" s="393">
        <v>2401</v>
      </c>
      <c r="W22" s="376">
        <v>2401</v>
      </c>
      <c r="X22" s="376">
        <v>2401</v>
      </c>
      <c r="Y22" s="376">
        <v>2401</v>
      </c>
      <c r="Z22" s="376">
        <v>2401</v>
      </c>
      <c r="AA22" s="361" t="s">
        <v>170</v>
      </c>
      <c r="AB22" s="219">
        <v>2401</v>
      </c>
      <c r="AC22" s="376"/>
      <c r="AD22" s="376"/>
      <c r="AE22" s="380"/>
      <c r="AF22" s="376"/>
      <c r="AG22" s="376"/>
      <c r="AH22" s="446"/>
      <c r="AI22" s="395"/>
      <c r="AJ22" s="314">
        <f>マスタ!$E$6-'月間 '!AK22</f>
        <v>25</v>
      </c>
      <c r="AK22" s="315">
        <f t="shared" si="8"/>
        <v>6</v>
      </c>
      <c r="AL22" s="316"/>
      <c r="AM22" s="317"/>
      <c r="AN22" s="318"/>
    </row>
    <row r="23" spans="1:40" s="319" customFormat="1" ht="25.5" customHeight="1">
      <c r="A23" s="597" t="s">
        <v>2</v>
      </c>
      <c r="B23" s="597"/>
      <c r="C23" s="313" t="s">
        <v>99</v>
      </c>
      <c r="D23" s="419" t="s">
        <v>36</v>
      </c>
      <c r="E23" s="219">
        <v>19</v>
      </c>
      <c r="F23" s="226" t="s">
        <v>145</v>
      </c>
      <c r="G23" s="241">
        <v>19</v>
      </c>
      <c r="H23" s="376">
        <v>3640</v>
      </c>
      <c r="I23" s="376">
        <v>19</v>
      </c>
      <c r="J23" s="376">
        <v>19</v>
      </c>
      <c r="K23" s="376">
        <v>19</v>
      </c>
      <c r="L23" s="376">
        <v>19</v>
      </c>
      <c r="M23" s="376">
        <v>1136</v>
      </c>
      <c r="N23" s="226">
        <v>384</v>
      </c>
      <c r="O23" s="231">
        <v>384</v>
      </c>
      <c r="P23" s="376">
        <v>384</v>
      </c>
      <c r="Q23" s="376">
        <v>384</v>
      </c>
      <c r="R23" s="376">
        <v>384</v>
      </c>
      <c r="S23" s="376">
        <v>384</v>
      </c>
      <c r="T23" s="543" t="s">
        <v>179</v>
      </c>
      <c r="U23" s="219">
        <v>384</v>
      </c>
      <c r="V23" s="393">
        <v>384</v>
      </c>
      <c r="W23" s="376">
        <v>384</v>
      </c>
      <c r="X23" s="376">
        <v>384</v>
      </c>
      <c r="Y23" s="376">
        <v>384</v>
      </c>
      <c r="Z23" s="376">
        <v>384</v>
      </c>
      <c r="AA23" s="226">
        <v>384</v>
      </c>
      <c r="AB23" s="357" t="s">
        <v>170</v>
      </c>
      <c r="AC23" s="376"/>
      <c r="AD23" s="376"/>
      <c r="AE23" s="380"/>
      <c r="AF23" s="376"/>
      <c r="AG23" s="376"/>
      <c r="AH23" s="446"/>
      <c r="AI23" s="394"/>
      <c r="AJ23" s="314">
        <f>マスタ!$E$6-'月間 '!AK23</f>
        <v>27</v>
      </c>
      <c r="AK23" s="315">
        <f t="shared" si="8"/>
        <v>4</v>
      </c>
      <c r="AL23" s="316"/>
      <c r="AM23" s="317"/>
      <c r="AN23" s="318"/>
    </row>
    <row r="24" spans="1:40" s="319" customFormat="1" ht="25.5" customHeight="1">
      <c r="A24" s="597" t="s">
        <v>48</v>
      </c>
      <c r="B24" s="597"/>
      <c r="C24" s="313" t="s">
        <v>99</v>
      </c>
      <c r="D24" s="419" t="s">
        <v>145</v>
      </c>
      <c r="E24" s="219">
        <v>384</v>
      </c>
      <c r="F24" s="226">
        <v>384</v>
      </c>
      <c r="G24" s="357" t="s">
        <v>36</v>
      </c>
      <c r="H24" s="376" t="s">
        <v>145</v>
      </c>
      <c r="I24" s="250" t="s">
        <v>172</v>
      </c>
      <c r="J24" s="376">
        <v>643</v>
      </c>
      <c r="K24" s="376"/>
      <c r="L24" s="376">
        <v>384</v>
      </c>
      <c r="M24" s="376">
        <v>384</v>
      </c>
      <c r="N24" s="361" t="s">
        <v>145</v>
      </c>
      <c r="O24" s="231">
        <v>19</v>
      </c>
      <c r="P24" s="376">
        <v>19</v>
      </c>
      <c r="Q24" s="376">
        <v>19</v>
      </c>
      <c r="R24" s="376">
        <v>19</v>
      </c>
      <c r="S24" s="376">
        <v>19</v>
      </c>
      <c r="T24" s="533" t="s">
        <v>170</v>
      </c>
      <c r="U24" s="219">
        <v>19</v>
      </c>
      <c r="V24" s="393">
        <v>19</v>
      </c>
      <c r="W24" s="376">
        <v>19</v>
      </c>
      <c r="X24" s="376">
        <v>19</v>
      </c>
      <c r="Y24" s="376">
        <v>19</v>
      </c>
      <c r="Z24" s="376">
        <v>19</v>
      </c>
      <c r="AA24" s="361" t="s">
        <v>170</v>
      </c>
      <c r="AB24" s="219">
        <v>384</v>
      </c>
      <c r="AC24" s="376"/>
      <c r="AD24" s="380"/>
      <c r="AE24" s="376"/>
      <c r="AF24" s="376"/>
      <c r="AG24" s="376"/>
      <c r="AH24" s="446"/>
      <c r="AI24" s="394" t="s">
        <v>147</v>
      </c>
      <c r="AJ24" s="314">
        <f>マスタ!$E$6-'月間 '!AK24</f>
        <v>25</v>
      </c>
      <c r="AK24" s="315">
        <f t="shared" si="8"/>
        <v>6</v>
      </c>
      <c r="AL24" s="316"/>
      <c r="AM24" s="317"/>
      <c r="AN24" s="318"/>
    </row>
    <row r="25" spans="1:40" s="319" customFormat="1" ht="25.5" customHeight="1">
      <c r="A25" s="597" t="s">
        <v>136</v>
      </c>
      <c r="B25" s="597"/>
      <c r="C25" s="320" t="s">
        <v>137</v>
      </c>
      <c r="D25" s="425" t="s">
        <v>145</v>
      </c>
      <c r="E25" s="219">
        <v>1136</v>
      </c>
      <c r="F25" s="226">
        <v>1170</v>
      </c>
      <c r="G25" s="357" t="s">
        <v>145</v>
      </c>
      <c r="H25" s="480">
        <v>1136</v>
      </c>
      <c r="I25" s="376">
        <v>1170</v>
      </c>
      <c r="J25" s="376">
        <v>1170</v>
      </c>
      <c r="K25" s="376">
        <v>1136</v>
      </c>
      <c r="L25" s="376">
        <v>1136</v>
      </c>
      <c r="M25" s="380" t="s">
        <v>145</v>
      </c>
      <c r="N25" s="226">
        <v>530</v>
      </c>
      <c r="O25" s="231">
        <v>1170</v>
      </c>
      <c r="P25" s="376">
        <v>643</v>
      </c>
      <c r="Q25" s="376">
        <v>1170</v>
      </c>
      <c r="R25" s="376">
        <v>1170</v>
      </c>
      <c r="S25" s="376">
        <v>1170</v>
      </c>
      <c r="T25" s="446">
        <v>1170</v>
      </c>
      <c r="U25" s="219" t="s">
        <v>145</v>
      </c>
      <c r="V25" s="393">
        <v>1170</v>
      </c>
      <c r="W25" s="376">
        <v>643</v>
      </c>
      <c r="X25" s="376">
        <v>643</v>
      </c>
      <c r="Y25" s="376">
        <v>643</v>
      </c>
      <c r="Z25" s="376">
        <v>643</v>
      </c>
      <c r="AA25" s="361" t="s">
        <v>170</v>
      </c>
      <c r="AB25" s="219">
        <v>643</v>
      </c>
      <c r="AC25" s="376"/>
      <c r="AD25" s="380"/>
      <c r="AE25" s="376"/>
      <c r="AF25" s="376"/>
      <c r="AG25" s="376"/>
      <c r="AH25" s="446"/>
      <c r="AI25" s="394"/>
      <c r="AJ25" s="314">
        <f>マスタ!$E$6-'月間 '!AK25</f>
        <v>26</v>
      </c>
      <c r="AK25" s="315">
        <f t="shared" ref="AK25" si="9">COUNTIFS(C25:AH25,"✕")+COUNTIFS(C25:AH25,"修理")+COUNTIFS(C25:AH25,"車検")+COUNTIFS(C25:AH25,"研修")+COUNTIFS(D24:AH24,"✖")</f>
        <v>5</v>
      </c>
      <c r="AL25" s="316"/>
      <c r="AM25" s="317"/>
      <c r="AN25" s="318"/>
    </row>
    <row r="26" spans="1:40" s="275" customFormat="1" ht="25.5" customHeight="1">
      <c r="A26" s="321" t="s">
        <v>0</v>
      </c>
      <c r="B26" s="322"/>
      <c r="C26" s="320" t="s">
        <v>137</v>
      </c>
      <c r="D26" s="423" t="s">
        <v>145</v>
      </c>
      <c r="E26" s="241" t="s">
        <v>145</v>
      </c>
      <c r="F26" s="229">
        <v>1136</v>
      </c>
      <c r="G26" s="241">
        <v>643</v>
      </c>
      <c r="H26" s="379">
        <v>643</v>
      </c>
      <c r="I26" s="379">
        <v>643</v>
      </c>
      <c r="J26" s="379" t="s">
        <v>165</v>
      </c>
      <c r="K26" s="379">
        <v>643</v>
      </c>
      <c r="L26" s="379">
        <v>643</v>
      </c>
      <c r="M26" s="376">
        <v>1170</v>
      </c>
      <c r="N26" s="229">
        <v>1136</v>
      </c>
      <c r="O26" s="534" t="s">
        <v>165</v>
      </c>
      <c r="P26" s="379">
        <v>1136</v>
      </c>
      <c r="Q26" s="379">
        <v>1136</v>
      </c>
      <c r="R26" s="379">
        <v>1136</v>
      </c>
      <c r="S26" s="379">
        <v>1136</v>
      </c>
      <c r="T26" s="535" t="s">
        <v>145</v>
      </c>
      <c r="U26" s="241">
        <v>1136</v>
      </c>
      <c r="V26" s="396">
        <v>1136</v>
      </c>
      <c r="W26" s="379">
        <v>1136</v>
      </c>
      <c r="X26" s="379">
        <v>1136</v>
      </c>
      <c r="Y26" s="379">
        <v>1170</v>
      </c>
      <c r="Z26" s="379">
        <v>1170</v>
      </c>
      <c r="AA26" s="229">
        <v>1170</v>
      </c>
      <c r="AB26" s="241" t="s">
        <v>165</v>
      </c>
      <c r="AC26" s="379"/>
      <c r="AD26" s="379"/>
      <c r="AE26" s="397"/>
      <c r="AF26" s="379"/>
      <c r="AG26" s="379"/>
      <c r="AH26" s="455"/>
      <c r="AI26" s="398"/>
      <c r="AJ26" s="323">
        <f>マスタ!$E$6-'月間 '!AK26</f>
        <v>25</v>
      </c>
      <c r="AK26" s="315">
        <f t="shared" si="8"/>
        <v>6</v>
      </c>
      <c r="AL26" s="316"/>
      <c r="AM26" s="324"/>
    </row>
    <row r="27" spans="1:40" s="319" customFormat="1" ht="25.5" customHeight="1">
      <c r="A27" s="597" t="s">
        <v>97</v>
      </c>
      <c r="B27" s="597"/>
      <c r="C27" s="313" t="s">
        <v>160</v>
      </c>
      <c r="D27" s="419" t="s">
        <v>145</v>
      </c>
      <c r="E27" s="219" t="s">
        <v>145</v>
      </c>
      <c r="F27" s="248">
        <v>700</v>
      </c>
      <c r="G27" s="219" t="s">
        <v>36</v>
      </c>
      <c r="H27" s="376">
        <v>19</v>
      </c>
      <c r="I27" s="376">
        <v>1136</v>
      </c>
      <c r="J27" s="376">
        <v>1136</v>
      </c>
      <c r="K27" s="250" t="s">
        <v>152</v>
      </c>
      <c r="L27" s="376">
        <v>1589</v>
      </c>
      <c r="M27" s="376">
        <v>1589</v>
      </c>
      <c r="N27" s="226">
        <v>700</v>
      </c>
      <c r="O27" s="231" t="s">
        <v>178</v>
      </c>
      <c r="P27" s="376">
        <v>1589</v>
      </c>
      <c r="Q27" s="376">
        <v>643</v>
      </c>
      <c r="R27" s="376">
        <v>643</v>
      </c>
      <c r="S27" s="376">
        <v>643</v>
      </c>
      <c r="T27" s="446">
        <v>643</v>
      </c>
      <c r="U27" s="357" t="s">
        <v>145</v>
      </c>
      <c r="V27" s="393">
        <v>643</v>
      </c>
      <c r="W27" s="376">
        <v>1589</v>
      </c>
      <c r="X27" s="376">
        <v>1589</v>
      </c>
      <c r="Y27" s="376">
        <v>1136</v>
      </c>
      <c r="Z27" s="376">
        <v>1136</v>
      </c>
      <c r="AA27" s="226">
        <v>1589</v>
      </c>
      <c r="AB27" s="219" t="s">
        <v>170</v>
      </c>
      <c r="AC27" s="376"/>
      <c r="AD27" s="376"/>
      <c r="AE27" s="380"/>
      <c r="AF27" s="376"/>
      <c r="AG27" s="376"/>
      <c r="AH27" s="446"/>
      <c r="AI27" s="399" t="s">
        <v>155</v>
      </c>
      <c r="AJ27" s="314">
        <f>マスタ!$E$6-'月間 '!AK27</f>
        <v>25</v>
      </c>
      <c r="AK27" s="315">
        <f t="shared" si="8"/>
        <v>6</v>
      </c>
      <c r="AL27" s="316"/>
      <c r="AM27" s="317"/>
      <c r="AN27" s="318"/>
    </row>
    <row r="28" spans="1:40" s="326" customFormat="1" ht="25.5" hidden="1" customHeight="1">
      <c r="A28" s="591"/>
      <c r="B28" s="596"/>
      <c r="C28" s="239"/>
      <c r="D28" s="419"/>
      <c r="E28" s="219"/>
      <c r="F28" s="226"/>
      <c r="G28" s="219"/>
      <c r="H28" s="376"/>
      <c r="I28" s="376"/>
      <c r="J28" s="376"/>
      <c r="K28" s="376"/>
      <c r="L28" s="376"/>
      <c r="M28" s="376"/>
      <c r="N28" s="226"/>
      <c r="O28" s="231"/>
      <c r="P28" s="376"/>
      <c r="Q28" s="376"/>
      <c r="R28" s="376"/>
      <c r="S28" s="376"/>
      <c r="T28" s="446"/>
      <c r="U28" s="219"/>
      <c r="V28" s="393"/>
      <c r="W28" s="376"/>
      <c r="X28" s="400"/>
      <c r="Y28" s="376"/>
      <c r="Z28" s="376"/>
      <c r="AA28" s="226"/>
      <c r="AB28" s="219"/>
      <c r="AC28" s="376"/>
      <c r="AD28" s="376"/>
      <c r="AE28" s="376"/>
      <c r="AF28" s="376"/>
      <c r="AG28" s="376"/>
      <c r="AH28" s="446"/>
      <c r="AI28" s="401"/>
      <c r="AJ28" s="314">
        <f>マスタ!$E$6-'月間 '!AK28</f>
        <v>31</v>
      </c>
      <c r="AK28" s="315">
        <f t="shared" ref="AK28" si="10">COUNTIFS(C28:AH28,"✕")+COUNTIFS(C28:AH28,"修理")+COUNTIFS(C28:AH28,"車検")+COUNTIFS(C28:AH28,"研修")+COUNTIFS(D27:AH27,"✖")</f>
        <v>0</v>
      </c>
      <c r="AL28" s="325"/>
      <c r="AM28" s="315"/>
    </row>
    <row r="29" spans="1:40" s="275" customFormat="1" ht="25.5" hidden="1" customHeight="1" thickBot="1">
      <c r="A29" s="607"/>
      <c r="B29" s="608"/>
      <c r="C29" s="235"/>
      <c r="D29" s="424"/>
      <c r="E29" s="245"/>
      <c r="F29" s="244"/>
      <c r="G29" s="245"/>
      <c r="H29" s="384"/>
      <c r="I29" s="402"/>
      <c r="J29" s="384"/>
      <c r="K29" s="384"/>
      <c r="L29" s="384"/>
      <c r="M29" s="384"/>
      <c r="N29" s="244"/>
      <c r="O29" s="247"/>
      <c r="P29" s="381"/>
      <c r="Q29" s="381"/>
      <c r="R29" s="381"/>
      <c r="S29" s="381"/>
      <c r="T29" s="447"/>
      <c r="U29" s="236"/>
      <c r="V29" s="403"/>
      <c r="W29" s="381"/>
      <c r="X29" s="381"/>
      <c r="Y29" s="381"/>
      <c r="Z29" s="381"/>
      <c r="AA29" s="230"/>
      <c r="AB29" s="236"/>
      <c r="AC29" s="381"/>
      <c r="AD29" s="381"/>
      <c r="AE29" s="381"/>
      <c r="AF29" s="381"/>
      <c r="AG29" s="381"/>
      <c r="AH29" s="447"/>
      <c r="AI29" s="404"/>
      <c r="AJ29" s="327">
        <f>マスタ!$E$6-'月間 '!AK29</f>
        <v>31</v>
      </c>
      <c r="AK29" s="328">
        <f t="shared" ref="AK29" si="11">COUNTIFS(C29:AH29,"✕")+COUNTIFS(C29:AH29,"修理")+COUNTIFS(C29:AH29,"車検")+COUNTIFS(C29:AH29,"研修")+COUNTIFS(D28:AH28,"✖")</f>
        <v>0</v>
      </c>
      <c r="AL29" s="329"/>
      <c r="AM29" s="328"/>
    </row>
    <row r="30" spans="1:40" s="275" customFormat="1" ht="30.75" customHeight="1" outlineLevel="1">
      <c r="A30" s="602">
        <v>700</v>
      </c>
      <c r="B30" s="603"/>
      <c r="C30" s="603"/>
      <c r="D30" s="485" t="s">
        <v>145</v>
      </c>
      <c r="E30" s="365" t="s">
        <v>145</v>
      </c>
      <c r="F30" s="364"/>
      <c r="G30" s="365" t="s">
        <v>166</v>
      </c>
      <c r="H30" s="355"/>
      <c r="I30" s="355"/>
      <c r="J30" s="355"/>
      <c r="K30" s="355"/>
      <c r="L30" s="355"/>
      <c r="M30" s="355"/>
      <c r="N30" s="364"/>
      <c r="O30" s="439" t="s">
        <v>145</v>
      </c>
      <c r="P30" s="355"/>
      <c r="Q30" s="355"/>
      <c r="R30" s="355"/>
      <c r="S30" s="355"/>
      <c r="T30" s="364"/>
      <c r="U30" s="365" t="s">
        <v>170</v>
      </c>
      <c r="V30" s="355"/>
      <c r="W30" s="355"/>
      <c r="X30" s="355"/>
      <c r="Y30" s="355"/>
      <c r="Z30" s="355"/>
      <c r="AA30" s="364"/>
      <c r="AB30" s="365" t="s">
        <v>170</v>
      </c>
      <c r="AC30" s="355"/>
      <c r="AD30" s="355"/>
      <c r="AE30" s="355"/>
      <c r="AF30" s="355"/>
      <c r="AG30" s="355"/>
      <c r="AH30" s="493"/>
      <c r="AI30" s="405"/>
      <c r="AJ30" s="280">
        <f>マスタ!$E$6-'月間 '!AK30</f>
        <v>25</v>
      </c>
      <c r="AK30" s="281">
        <f t="shared" ref="AK30:AK39" si="12">COUNTIFS(D30:AH30,"✕")+COUNTIFS(D30:AH30,"修理")+COUNTIFS(D30:AH30,"研修")+COUNTIFS(D30:AH30,"✖")+COUNTIFS(D30:AH30,"更新")</f>
        <v>6</v>
      </c>
      <c r="AL30" s="280">
        <f t="shared" ref="AL30:AL40" si="13">AJ30+AM30</f>
        <v>25</v>
      </c>
      <c r="AM30" s="282">
        <f t="shared" ref="AM30:AM39" si="14">COUNTIFS(D30:AH30,"✖")</f>
        <v>0</v>
      </c>
    </row>
    <row r="31" spans="1:40" s="275" customFormat="1" ht="30.75" hidden="1" customHeight="1" outlineLevel="1">
      <c r="A31" s="600">
        <v>1693</v>
      </c>
      <c r="B31" s="601"/>
      <c r="C31" s="601"/>
      <c r="D31" s="494"/>
      <c r="E31" s="495"/>
      <c r="F31" s="496"/>
      <c r="G31" s="495"/>
      <c r="H31" s="497"/>
      <c r="I31" s="497"/>
      <c r="J31" s="497"/>
      <c r="K31" s="497"/>
      <c r="L31" s="497"/>
      <c r="M31" s="497"/>
      <c r="N31" s="496"/>
      <c r="O31" s="498"/>
      <c r="P31" s="497"/>
      <c r="Q31" s="497"/>
      <c r="R31" s="497"/>
      <c r="S31" s="497"/>
      <c r="T31" s="496"/>
      <c r="U31" s="495"/>
      <c r="V31" s="497"/>
      <c r="W31" s="497"/>
      <c r="X31" s="497"/>
      <c r="Y31" s="497"/>
      <c r="Z31" s="497"/>
      <c r="AA31" s="496"/>
      <c r="AB31" s="495"/>
      <c r="AC31" s="497"/>
      <c r="AD31" s="497"/>
      <c r="AE31" s="497"/>
      <c r="AF31" s="497"/>
      <c r="AG31" s="497"/>
      <c r="AH31" s="499"/>
      <c r="AI31" s="406"/>
      <c r="AJ31" s="283">
        <f>マスタ!$E$6-'月間 '!AK31</f>
        <v>31</v>
      </c>
      <c r="AK31" s="330">
        <f t="shared" si="12"/>
        <v>0</v>
      </c>
      <c r="AL31" s="283">
        <f t="shared" si="13"/>
        <v>31</v>
      </c>
      <c r="AM31" s="331">
        <f t="shared" si="14"/>
        <v>0</v>
      </c>
    </row>
    <row r="32" spans="1:40" s="275" customFormat="1" ht="30.75" customHeight="1" outlineLevel="1">
      <c r="A32" s="556">
        <v>3640</v>
      </c>
      <c r="B32" s="557"/>
      <c r="C32" s="557"/>
      <c r="D32" s="425" t="s">
        <v>145</v>
      </c>
      <c r="E32" s="357" t="s">
        <v>145</v>
      </c>
      <c r="F32" s="361" t="s">
        <v>145</v>
      </c>
      <c r="G32" s="357" t="s">
        <v>145</v>
      </c>
      <c r="H32" s="360"/>
      <c r="I32" s="360"/>
      <c r="J32" s="360"/>
      <c r="K32" s="360"/>
      <c r="L32" s="360"/>
      <c r="M32" s="360"/>
      <c r="N32" s="361" t="s">
        <v>145</v>
      </c>
      <c r="O32" s="435"/>
      <c r="P32" s="360"/>
      <c r="Q32" s="360"/>
      <c r="R32" s="360"/>
      <c r="S32" s="360"/>
      <c r="T32" s="361" t="s">
        <v>170</v>
      </c>
      <c r="U32" s="357"/>
      <c r="V32" s="360"/>
      <c r="W32" s="356"/>
      <c r="X32" s="360"/>
      <c r="Y32" s="360"/>
      <c r="Z32" s="360"/>
      <c r="AA32" s="361"/>
      <c r="AB32" s="357" t="s">
        <v>170</v>
      </c>
      <c r="AC32" s="360"/>
      <c r="AD32" s="360"/>
      <c r="AE32" s="486"/>
      <c r="AF32" s="360"/>
      <c r="AG32" s="360"/>
      <c r="AH32" s="458"/>
      <c r="AI32" s="407"/>
      <c r="AJ32" s="280">
        <f>マスタ!$E$6-'月間 '!AK32</f>
        <v>24</v>
      </c>
      <c r="AK32" s="284">
        <f t="shared" si="12"/>
        <v>7</v>
      </c>
      <c r="AL32" s="280">
        <f t="shared" si="13"/>
        <v>24</v>
      </c>
      <c r="AM32" s="285">
        <f t="shared" si="14"/>
        <v>0</v>
      </c>
    </row>
    <row r="33" spans="1:42" s="275" customFormat="1" ht="32.25" customHeight="1" outlineLevel="1">
      <c r="A33" s="598">
        <v>643</v>
      </c>
      <c r="B33" s="599"/>
      <c r="C33" s="599"/>
      <c r="D33" s="425" t="s">
        <v>145</v>
      </c>
      <c r="E33" s="368" t="s">
        <v>145</v>
      </c>
      <c r="F33" s="367" t="s">
        <v>145</v>
      </c>
      <c r="G33" s="368"/>
      <c r="H33" s="356"/>
      <c r="I33" s="356"/>
      <c r="J33" s="356"/>
      <c r="K33" s="356"/>
      <c r="L33" s="356"/>
      <c r="M33" s="356" t="s">
        <v>145</v>
      </c>
      <c r="N33" s="367" t="s">
        <v>145</v>
      </c>
      <c r="O33" s="435"/>
      <c r="P33" s="356"/>
      <c r="Q33" s="356"/>
      <c r="R33" s="356"/>
      <c r="S33" s="356"/>
      <c r="T33" s="367"/>
      <c r="U33" s="368" t="s">
        <v>170</v>
      </c>
      <c r="V33" s="356"/>
      <c r="W33" s="356"/>
      <c r="X33" s="356"/>
      <c r="Y33" s="356"/>
      <c r="Z33" s="356"/>
      <c r="AA33" s="367" t="s">
        <v>170</v>
      </c>
      <c r="AB33" s="368"/>
      <c r="AC33" s="356"/>
      <c r="AD33" s="356"/>
      <c r="AE33" s="356"/>
      <c r="AF33" s="356"/>
      <c r="AG33" s="356"/>
      <c r="AH33" s="500"/>
      <c r="AI33" s="406"/>
      <c r="AJ33" s="283">
        <f>マスタ!$E$6-'月間 '!AK33</f>
        <v>24</v>
      </c>
      <c r="AK33" s="284">
        <f t="shared" si="12"/>
        <v>7</v>
      </c>
      <c r="AL33" s="283">
        <f>AJ33+AM33</f>
        <v>24</v>
      </c>
      <c r="AM33" s="285">
        <f t="shared" si="14"/>
        <v>0</v>
      </c>
    </row>
    <row r="34" spans="1:42" s="275" customFormat="1" ht="32.25" customHeight="1" outlineLevel="1" thickBot="1">
      <c r="A34" s="598">
        <v>2401</v>
      </c>
      <c r="B34" s="599"/>
      <c r="C34" s="599"/>
      <c r="D34" s="501" t="s">
        <v>145</v>
      </c>
      <c r="E34" s="369" t="s">
        <v>145</v>
      </c>
      <c r="F34" s="370"/>
      <c r="G34" s="369" t="s">
        <v>145</v>
      </c>
      <c r="H34" s="373"/>
      <c r="I34" s="373"/>
      <c r="J34" s="373"/>
      <c r="K34" s="373"/>
      <c r="L34" s="373"/>
      <c r="M34" s="373" t="s">
        <v>145</v>
      </c>
      <c r="N34" s="370"/>
      <c r="O34" s="502"/>
      <c r="P34" s="373"/>
      <c r="Q34" s="373"/>
      <c r="R34" s="373"/>
      <c r="S34" s="373"/>
      <c r="T34" s="370"/>
      <c r="U34" s="369" t="s">
        <v>170</v>
      </c>
      <c r="V34" s="373"/>
      <c r="W34" s="373"/>
      <c r="X34" s="373"/>
      <c r="Y34" s="373"/>
      <c r="Z34" s="373"/>
      <c r="AA34" s="370" t="s">
        <v>170</v>
      </c>
      <c r="AB34" s="369"/>
      <c r="AC34" s="373"/>
      <c r="AD34" s="373"/>
      <c r="AE34" s="373"/>
      <c r="AF34" s="373"/>
      <c r="AG34" s="373"/>
      <c r="AH34" s="503"/>
      <c r="AI34" s="408"/>
      <c r="AJ34" s="332">
        <f>マスタ!$E$6-'月間 '!AK34</f>
        <v>25</v>
      </c>
      <c r="AK34" s="333">
        <f t="shared" ref="AK34" si="15">COUNTIFS(D34:AH34,"✕")+COUNTIFS(D34:AH34,"修理")+COUNTIFS(D34:AH34,"研修")+COUNTIFS(D34:AH34,"✖")+COUNTIFS(D34:AH34,"更新")</f>
        <v>6</v>
      </c>
      <c r="AL34" s="334">
        <f t="shared" ref="AL34" si="16">AJ34+AM34</f>
        <v>25</v>
      </c>
      <c r="AM34" s="335">
        <f t="shared" ref="AM34" si="17">COUNTIFS(D34:AH34,"✖")</f>
        <v>0</v>
      </c>
    </row>
    <row r="35" spans="1:42" s="275" customFormat="1" ht="32.25" customHeight="1" outlineLevel="1">
      <c r="A35" s="605">
        <v>19</v>
      </c>
      <c r="B35" s="606"/>
      <c r="C35" s="606"/>
      <c r="D35" s="504" t="s">
        <v>145</v>
      </c>
      <c r="E35" s="372"/>
      <c r="F35" s="371" t="s">
        <v>145</v>
      </c>
      <c r="G35" s="372"/>
      <c r="H35" s="462"/>
      <c r="I35" s="462"/>
      <c r="J35" s="462"/>
      <c r="K35" s="462"/>
      <c r="L35" s="462"/>
      <c r="M35" s="544" t="s">
        <v>179</v>
      </c>
      <c r="N35" s="371" t="s">
        <v>145</v>
      </c>
      <c r="O35" s="435"/>
      <c r="P35" s="462"/>
      <c r="Q35" s="462"/>
      <c r="R35" s="462"/>
      <c r="S35" s="462"/>
      <c r="T35" s="371" t="s">
        <v>170</v>
      </c>
      <c r="U35" s="372"/>
      <c r="V35" s="462"/>
      <c r="W35" s="462"/>
      <c r="X35" s="462"/>
      <c r="Y35" s="462"/>
      <c r="Z35" s="462"/>
      <c r="AA35" s="371" t="s">
        <v>170</v>
      </c>
      <c r="AB35" s="372" t="s">
        <v>170</v>
      </c>
      <c r="AC35" s="462"/>
      <c r="AD35" s="360"/>
      <c r="AE35" s="462"/>
      <c r="AF35" s="462"/>
      <c r="AG35" s="462"/>
      <c r="AH35" s="457"/>
      <c r="AI35" s="409"/>
      <c r="AJ35" s="336">
        <f>マスタ!$E$6-'月間 '!AK35</f>
        <v>24</v>
      </c>
      <c r="AK35" s="337">
        <f t="shared" si="12"/>
        <v>7</v>
      </c>
      <c r="AL35" s="336">
        <f t="shared" si="13"/>
        <v>24</v>
      </c>
      <c r="AM35" s="338">
        <f t="shared" si="14"/>
        <v>0</v>
      </c>
    </row>
    <row r="36" spans="1:42" s="275" customFormat="1" ht="32.25" customHeight="1" outlineLevel="1">
      <c r="A36" s="604">
        <v>384</v>
      </c>
      <c r="B36" s="557"/>
      <c r="C36" s="557"/>
      <c r="D36" s="425" t="s">
        <v>36</v>
      </c>
      <c r="E36" s="505"/>
      <c r="F36" s="361"/>
      <c r="G36" s="357" t="s">
        <v>169</v>
      </c>
      <c r="H36" s="360" t="s">
        <v>165</v>
      </c>
      <c r="I36" s="360" t="s">
        <v>170</v>
      </c>
      <c r="J36" s="360" t="s">
        <v>177</v>
      </c>
      <c r="K36" s="360" t="s">
        <v>36</v>
      </c>
      <c r="L36" s="360"/>
      <c r="M36" s="360"/>
      <c r="N36" s="361"/>
      <c r="O36" s="435"/>
      <c r="P36" s="360"/>
      <c r="Q36" s="360"/>
      <c r="R36" s="360"/>
      <c r="S36" s="506"/>
      <c r="T36" s="545" t="s">
        <v>179</v>
      </c>
      <c r="U36" s="357"/>
      <c r="V36" s="360"/>
      <c r="W36" s="360"/>
      <c r="X36" s="360"/>
      <c r="Y36" s="360"/>
      <c r="Z36" s="506"/>
      <c r="AA36" s="361"/>
      <c r="AB36" s="357"/>
      <c r="AC36" s="360"/>
      <c r="AD36" s="360"/>
      <c r="AE36" s="360"/>
      <c r="AF36" s="360"/>
      <c r="AG36" s="506"/>
      <c r="AH36" s="458"/>
      <c r="AI36" s="410" t="s">
        <v>171</v>
      </c>
      <c r="AJ36" s="283">
        <f>マスタ!$E$6-'月間 '!AK36</f>
        <v>24</v>
      </c>
      <c r="AK36" s="284">
        <f t="shared" si="12"/>
        <v>7</v>
      </c>
      <c r="AL36" s="283">
        <f t="shared" si="13"/>
        <v>24</v>
      </c>
      <c r="AM36" s="285">
        <f t="shared" si="14"/>
        <v>0</v>
      </c>
    </row>
    <row r="37" spans="1:42" s="275" customFormat="1" ht="32.25" hidden="1" customHeight="1" outlineLevel="1" thickBot="1">
      <c r="A37" s="593">
        <v>2403</v>
      </c>
      <c r="B37" s="594"/>
      <c r="C37" s="595"/>
      <c r="D37" s="507"/>
      <c r="E37" s="508"/>
      <c r="F37" s="509"/>
      <c r="G37" s="510"/>
      <c r="H37" s="511"/>
      <c r="I37" s="511"/>
      <c r="J37" s="511"/>
      <c r="K37" s="512"/>
      <c r="L37" s="512"/>
      <c r="M37" s="511"/>
      <c r="N37" s="509"/>
      <c r="O37" s="513"/>
      <c r="P37" s="511"/>
      <c r="Q37" s="511"/>
      <c r="R37" s="512"/>
      <c r="S37" s="512"/>
      <c r="T37" s="509"/>
      <c r="U37" s="510"/>
      <c r="V37" s="511"/>
      <c r="W37" s="511"/>
      <c r="X37" s="511"/>
      <c r="Y37" s="512"/>
      <c r="Z37" s="512"/>
      <c r="AA37" s="509"/>
      <c r="AB37" s="510"/>
      <c r="AC37" s="511"/>
      <c r="AD37" s="511"/>
      <c r="AE37" s="511"/>
      <c r="AF37" s="511"/>
      <c r="AG37" s="512"/>
      <c r="AH37" s="503"/>
      <c r="AI37" s="411"/>
      <c r="AJ37" s="332">
        <f>マスタ!$E$6-'月間 '!AK37</f>
        <v>31</v>
      </c>
      <c r="AK37" s="333">
        <f t="shared" ref="AK37" si="18">COUNTIFS(D37:AH37,"✕")+COUNTIFS(D37:AH37,"修理")+COUNTIFS(D37:AH37,"研修")+COUNTIFS(D37:AH37,"✖")+COUNTIFS(D37:AH37,"更新")</f>
        <v>0</v>
      </c>
      <c r="AL37" s="332">
        <f t="shared" ref="AL37" si="19">AJ37+AM37</f>
        <v>31</v>
      </c>
      <c r="AM37" s="339">
        <f t="shared" ref="AM37" si="20">COUNTIFS(D37:AH37,"✖")</f>
        <v>0</v>
      </c>
    </row>
    <row r="38" spans="1:42" s="275" customFormat="1" ht="32.25" customHeight="1" outlineLevel="1">
      <c r="A38" s="566">
        <v>1136</v>
      </c>
      <c r="B38" s="567"/>
      <c r="C38" s="567"/>
      <c r="D38" s="485" t="s">
        <v>145</v>
      </c>
      <c r="E38" s="365"/>
      <c r="F38" s="364"/>
      <c r="G38" s="365" t="s">
        <v>145</v>
      </c>
      <c r="H38" s="355"/>
      <c r="I38" s="355"/>
      <c r="J38" s="355"/>
      <c r="K38" s="355"/>
      <c r="L38" s="355"/>
      <c r="M38" s="355"/>
      <c r="N38" s="364"/>
      <c r="O38" s="439" t="s">
        <v>165</v>
      </c>
      <c r="P38" s="355"/>
      <c r="Q38" s="355"/>
      <c r="R38" s="355"/>
      <c r="S38" s="355"/>
      <c r="T38" s="364" t="s">
        <v>170</v>
      </c>
      <c r="U38" s="365"/>
      <c r="V38" s="355"/>
      <c r="W38" s="355"/>
      <c r="X38" s="355"/>
      <c r="Y38" s="355"/>
      <c r="Z38" s="355"/>
      <c r="AA38" s="364" t="s">
        <v>170</v>
      </c>
      <c r="AB38" s="365" t="s">
        <v>170</v>
      </c>
      <c r="AC38" s="355"/>
      <c r="AD38" s="355"/>
      <c r="AE38" s="355"/>
      <c r="AF38" s="355"/>
      <c r="AG38" s="355"/>
      <c r="AH38" s="493"/>
      <c r="AI38" s="405"/>
      <c r="AJ38" s="280">
        <f>マスタ!$E$6-'月間 '!AK38</f>
        <v>25</v>
      </c>
      <c r="AK38" s="281">
        <f t="shared" si="12"/>
        <v>6</v>
      </c>
      <c r="AL38" s="280">
        <f t="shared" si="13"/>
        <v>25</v>
      </c>
      <c r="AM38" s="282">
        <f t="shared" si="14"/>
        <v>0</v>
      </c>
    </row>
    <row r="39" spans="1:42" s="275" customFormat="1" ht="32.25" hidden="1" customHeight="1" outlineLevel="1">
      <c r="A39" s="556">
        <v>154</v>
      </c>
      <c r="B39" s="557"/>
      <c r="C39" s="557"/>
      <c r="D39" s="494"/>
      <c r="E39" s="495"/>
      <c r="F39" s="496"/>
      <c r="G39" s="495"/>
      <c r="H39" s="497"/>
      <c r="I39" s="497"/>
      <c r="J39" s="497"/>
      <c r="K39" s="497"/>
      <c r="L39" s="497"/>
      <c r="M39" s="497"/>
      <c r="N39" s="496"/>
      <c r="O39" s="498"/>
      <c r="P39" s="497"/>
      <c r="Q39" s="497"/>
      <c r="R39" s="497"/>
      <c r="S39" s="497"/>
      <c r="T39" s="496"/>
      <c r="U39" s="495"/>
      <c r="V39" s="497"/>
      <c r="W39" s="497"/>
      <c r="X39" s="497"/>
      <c r="Y39" s="497"/>
      <c r="Z39" s="497"/>
      <c r="AA39" s="496"/>
      <c r="AB39" s="495"/>
      <c r="AC39" s="497"/>
      <c r="AD39" s="497"/>
      <c r="AE39" s="497"/>
      <c r="AF39" s="497"/>
      <c r="AG39" s="497"/>
      <c r="AH39" s="499"/>
      <c r="AI39" s="412"/>
      <c r="AJ39" s="280">
        <f>マスタ!$E$6-'月間 '!AK39</f>
        <v>31</v>
      </c>
      <c r="AK39" s="284">
        <f t="shared" si="12"/>
        <v>0</v>
      </c>
      <c r="AL39" s="280">
        <f t="shared" si="13"/>
        <v>31</v>
      </c>
      <c r="AM39" s="285">
        <f t="shared" si="14"/>
        <v>0</v>
      </c>
    </row>
    <row r="40" spans="1:42" s="275" customFormat="1" ht="32.25" customHeight="1" outlineLevel="1">
      <c r="A40" s="552">
        <v>1246</v>
      </c>
      <c r="B40" s="553"/>
      <c r="C40" s="553"/>
      <c r="D40" s="536" t="s">
        <v>36</v>
      </c>
      <c r="E40" s="366"/>
      <c r="F40" s="537" t="s">
        <v>36</v>
      </c>
      <c r="G40" s="366" t="s">
        <v>145</v>
      </c>
      <c r="H40" s="514"/>
      <c r="I40" s="514"/>
      <c r="J40" s="356"/>
      <c r="K40" s="356"/>
      <c r="L40" s="356"/>
      <c r="M40" s="356"/>
      <c r="N40" s="367" t="s">
        <v>145</v>
      </c>
      <c r="O40" s="515"/>
      <c r="P40" s="356"/>
      <c r="Q40" s="356"/>
      <c r="R40" s="356"/>
      <c r="S40" s="356"/>
      <c r="T40" s="367"/>
      <c r="U40" s="368" t="s">
        <v>170</v>
      </c>
      <c r="V40" s="356"/>
      <c r="W40" s="356"/>
      <c r="X40" s="356"/>
      <c r="Y40" s="356"/>
      <c r="Z40" s="356"/>
      <c r="AA40" s="367"/>
      <c r="AB40" s="368" t="s">
        <v>170</v>
      </c>
      <c r="AC40" s="356"/>
      <c r="AD40" s="356"/>
      <c r="AE40" s="356"/>
      <c r="AF40" s="356"/>
      <c r="AG40" s="356"/>
      <c r="AH40" s="500"/>
      <c r="AI40" s="406"/>
      <c r="AJ40" s="346">
        <f>マスタ!$E$6-'月間 '!AK40</f>
        <v>25</v>
      </c>
      <c r="AK40" s="330">
        <f>COUNTIFS(D40:AH40,"✕")+COUNTIFS(D40:AH40,"修理")+COUNTIFS(D40:AH40,"研修")+COUNTIFS(D40:AH40,"✖")+COUNTIFS(D40:AH40,"更新")</f>
        <v>6</v>
      </c>
      <c r="AL40" s="346">
        <f t="shared" si="13"/>
        <v>25</v>
      </c>
      <c r="AM40" s="331">
        <f>COUNTIFS(D40:AH40,"✖")</f>
        <v>0</v>
      </c>
      <c r="AN40" s="275" t="s">
        <v>119</v>
      </c>
      <c r="AO40" s="275" t="s">
        <v>120</v>
      </c>
      <c r="AP40" s="275" t="s">
        <v>121</v>
      </c>
    </row>
    <row r="41" spans="1:42" s="275" customFormat="1" ht="31.5" customHeight="1">
      <c r="A41" s="591" t="s">
        <v>103</v>
      </c>
      <c r="B41" s="592"/>
      <c r="C41" s="473" t="s">
        <v>104</v>
      </c>
      <c r="D41" s="419" t="s">
        <v>145</v>
      </c>
      <c r="E41" s="357" t="s">
        <v>168</v>
      </c>
      <c r="F41" s="361" t="s">
        <v>145</v>
      </c>
      <c r="G41" s="357" t="s">
        <v>145</v>
      </c>
      <c r="H41" s="376">
        <v>1170</v>
      </c>
      <c r="I41" s="376">
        <v>530</v>
      </c>
      <c r="J41" s="376">
        <v>530</v>
      </c>
      <c r="K41" s="376">
        <v>1170</v>
      </c>
      <c r="L41" s="376">
        <v>1170</v>
      </c>
      <c r="M41" s="376">
        <v>530</v>
      </c>
      <c r="N41" s="226" t="s">
        <v>170</v>
      </c>
      <c r="O41" s="435" t="s">
        <v>145</v>
      </c>
      <c r="P41" s="376">
        <v>1170</v>
      </c>
      <c r="Q41" s="376">
        <v>530</v>
      </c>
      <c r="R41" s="376">
        <v>530</v>
      </c>
      <c r="S41" s="250" t="s">
        <v>152</v>
      </c>
      <c r="T41" s="533" t="s">
        <v>145</v>
      </c>
      <c r="U41" s="248">
        <v>530</v>
      </c>
      <c r="V41" s="516">
        <v>530</v>
      </c>
      <c r="W41" s="376">
        <v>1170</v>
      </c>
      <c r="X41" s="376">
        <v>1170</v>
      </c>
      <c r="Y41" s="248">
        <v>530</v>
      </c>
      <c r="Z41" s="248">
        <v>530</v>
      </c>
      <c r="AA41" s="226" t="s">
        <v>170</v>
      </c>
      <c r="AB41" s="248">
        <v>530</v>
      </c>
      <c r="AC41" s="248">
        <v>530</v>
      </c>
      <c r="AD41" s="376"/>
      <c r="AE41" s="248">
        <v>530</v>
      </c>
      <c r="AF41" s="248">
        <v>530</v>
      </c>
      <c r="AG41" s="376"/>
      <c r="AH41" s="456"/>
      <c r="AI41" s="394" t="s">
        <v>155</v>
      </c>
      <c r="AJ41" s="474">
        <f>マスタ!$E$6-'月間 '!AK41</f>
        <v>23</v>
      </c>
      <c r="AK41" s="315">
        <f>COUNTIFS(C41:AH41,"✕")+COUNTIFS(C41:AH41,"修理")+COUNTIFS(C41:AH41,"車検")+COUNTIFS(C41:AH41,"研修")+COUNTIFS(D40:AH40,"✖")</f>
        <v>8</v>
      </c>
      <c r="AL41" s="475"/>
      <c r="AM41" s="317"/>
      <c r="AO41" s="275">
        <v>15</v>
      </c>
      <c r="AP41" s="275">
        <v>3</v>
      </c>
    </row>
    <row r="42" spans="1:42" s="275" customFormat="1" ht="30.75" customHeight="1">
      <c r="A42" s="467" t="s">
        <v>135</v>
      </c>
      <c r="B42" s="468"/>
      <c r="C42" s="469" t="s">
        <v>159</v>
      </c>
      <c r="D42" s="420" t="s">
        <v>145</v>
      </c>
      <c r="E42" s="222" t="s">
        <v>145</v>
      </c>
      <c r="F42" s="215" t="s">
        <v>145</v>
      </c>
      <c r="G42" s="222" t="s">
        <v>36</v>
      </c>
      <c r="H42" s="377">
        <v>1589</v>
      </c>
      <c r="I42" s="377">
        <v>2501</v>
      </c>
      <c r="J42" s="377">
        <v>2501</v>
      </c>
      <c r="K42" s="377">
        <v>18</v>
      </c>
      <c r="L42" s="354" t="s">
        <v>151</v>
      </c>
      <c r="M42" s="377">
        <v>2501</v>
      </c>
      <c r="N42" s="215">
        <v>2501</v>
      </c>
      <c r="O42" s="437">
        <v>1589</v>
      </c>
      <c r="P42" s="354" t="s">
        <v>151</v>
      </c>
      <c r="Q42" s="377">
        <v>2501</v>
      </c>
      <c r="R42" s="377">
        <v>2501</v>
      </c>
      <c r="S42" s="377">
        <v>1589</v>
      </c>
      <c r="T42" s="538" t="s">
        <v>145</v>
      </c>
      <c r="U42" s="222">
        <v>2501</v>
      </c>
      <c r="V42" s="387">
        <v>2501</v>
      </c>
      <c r="W42" s="354" t="s">
        <v>172</v>
      </c>
      <c r="X42" s="377">
        <v>18</v>
      </c>
      <c r="Y42" s="520">
        <v>2501</v>
      </c>
      <c r="Z42" s="520">
        <v>2501</v>
      </c>
      <c r="AA42" s="364" t="s">
        <v>170</v>
      </c>
      <c r="AB42" s="521">
        <v>2501</v>
      </c>
      <c r="AC42" s="520">
        <v>2501</v>
      </c>
      <c r="AD42" s="520"/>
      <c r="AE42" s="520">
        <v>2501</v>
      </c>
      <c r="AF42" s="520">
        <v>2501</v>
      </c>
      <c r="AG42" s="377"/>
      <c r="AH42" s="454"/>
      <c r="AI42" s="470"/>
      <c r="AJ42" s="292">
        <f>マスタ!$E$6-'月間 '!AK42</f>
        <v>25</v>
      </c>
      <c r="AK42" s="293">
        <f t="shared" ref="AK42" si="21">COUNTIFS(C42:AH42,"✕")+COUNTIFS(C42:AH42,"修理")+COUNTIFS(C42:AH42,"車検")+COUNTIFS(C42:AH42,"研修")+COUNTIFS(D41:AH41,"✖")</f>
        <v>6</v>
      </c>
      <c r="AL42" s="471"/>
      <c r="AM42" s="472"/>
    </row>
    <row r="43" spans="1:42" s="275" customFormat="1" ht="30.75" customHeight="1" thickBot="1">
      <c r="A43" s="546" t="s">
        <v>150</v>
      </c>
      <c r="B43" s="547"/>
      <c r="C43" s="477" t="s">
        <v>149</v>
      </c>
      <c r="D43" s="487"/>
      <c r="E43" s="488"/>
      <c r="F43" s="489"/>
      <c r="G43" s="488"/>
      <c r="H43" s="478"/>
      <c r="I43" s="478"/>
      <c r="J43" s="478"/>
      <c r="K43" s="479"/>
      <c r="L43" s="522" t="s">
        <v>162</v>
      </c>
      <c r="M43" s="522" t="s">
        <v>162</v>
      </c>
      <c r="N43" s="539" t="s">
        <v>145</v>
      </c>
      <c r="O43" s="540" t="s">
        <v>145</v>
      </c>
      <c r="P43" s="523" t="s">
        <v>163</v>
      </c>
      <c r="Q43" s="522" t="s">
        <v>162</v>
      </c>
      <c r="R43" s="522" t="s">
        <v>162</v>
      </c>
      <c r="S43" s="522" t="s">
        <v>162</v>
      </c>
      <c r="T43" s="541" t="s">
        <v>145</v>
      </c>
      <c r="U43" s="517">
        <v>530</v>
      </c>
      <c r="V43" s="518">
        <v>530</v>
      </c>
      <c r="W43" s="522" t="s">
        <v>162</v>
      </c>
      <c r="X43" s="522" t="s">
        <v>162</v>
      </c>
      <c r="Y43" s="517">
        <v>530</v>
      </c>
      <c r="Z43" s="519">
        <v>530</v>
      </c>
      <c r="AA43" s="539" t="s">
        <v>145</v>
      </c>
      <c r="AB43" s="517">
        <v>530</v>
      </c>
      <c r="AC43" s="517">
        <v>530</v>
      </c>
      <c r="AD43" s="381"/>
      <c r="AE43" s="517">
        <v>530</v>
      </c>
      <c r="AF43" s="517">
        <v>530</v>
      </c>
      <c r="AG43" s="381"/>
      <c r="AH43" s="542" t="s">
        <v>145</v>
      </c>
      <c r="AI43" s="476" t="s">
        <v>161</v>
      </c>
      <c r="AJ43" s="491">
        <f>マスタ!$E$6-'月間 '!AK43</f>
        <v>26</v>
      </c>
      <c r="AK43" s="492">
        <f t="shared" ref="AK43" si="22">COUNTIFS(C43:AH43,"✕")+COUNTIFS(C43:AH43,"修理")+COUNTIFS(C43:AH43,"車検")+COUNTIFS(C43:AH43,"研修")+COUNTIFS(D42:AH42,"✖")</f>
        <v>5</v>
      </c>
      <c r="AL43" s="340"/>
      <c r="AM43" s="341"/>
    </row>
    <row r="44" spans="1:42" s="275" customFormat="1" ht="27.75" hidden="1" customHeight="1" outlineLevel="1" thickTop="1">
      <c r="A44" s="566">
        <v>2501</v>
      </c>
      <c r="B44" s="567"/>
      <c r="C44" s="567"/>
      <c r="D44" s="420"/>
      <c r="E44" s="222"/>
      <c r="F44" s="215"/>
      <c r="G44" s="222"/>
      <c r="H44" s="355"/>
      <c r="I44" s="355" t="s">
        <v>143</v>
      </c>
      <c r="J44" s="216">
        <v>13</v>
      </c>
      <c r="K44" s="216"/>
      <c r="L44" s="355"/>
      <c r="M44" s="216">
        <v>13</v>
      </c>
      <c r="N44" s="215">
        <v>13</v>
      </c>
      <c r="O44" s="439"/>
      <c r="P44" s="216"/>
      <c r="Q44" s="216">
        <v>13</v>
      </c>
      <c r="R44" s="216">
        <v>13</v>
      </c>
      <c r="S44" s="355"/>
      <c r="T44" s="215"/>
      <c r="U44" s="222">
        <v>13</v>
      </c>
      <c r="V44" s="216">
        <v>13</v>
      </c>
      <c r="W44" s="216"/>
      <c r="X44" s="216"/>
      <c r="Y44" s="216">
        <v>13</v>
      </c>
      <c r="Z44" s="355">
        <v>13</v>
      </c>
      <c r="AA44" s="215"/>
      <c r="AB44" s="222">
        <v>13</v>
      </c>
      <c r="AC44" s="216">
        <v>13</v>
      </c>
      <c r="AD44" s="216"/>
      <c r="AE44" s="216">
        <v>13</v>
      </c>
      <c r="AF44" s="216">
        <v>13</v>
      </c>
      <c r="AG44" s="216"/>
      <c r="AH44" s="454"/>
      <c r="AI44" s="382"/>
      <c r="AJ44" s="334">
        <f>マスタ!$E$6-'月間 '!AK44</f>
        <v>31</v>
      </c>
      <c r="AK44" s="281">
        <f t="shared" ref="AK44:AK52" si="23">COUNTIFS(D44:AH44,"✕")+COUNTIFS(D44:AH44,"修理")+COUNTIFS(D44:AH44,"研修")+COUNTIFS(D44:AH44,"✖")+COUNTIFS(D44:AH44,"更新")</f>
        <v>0</v>
      </c>
      <c r="AL44" s="342"/>
      <c r="AM44" s="343"/>
    </row>
    <row r="45" spans="1:42" s="275" customFormat="1" ht="27.75" hidden="1" customHeight="1" outlineLevel="1">
      <c r="A45" s="556">
        <v>530</v>
      </c>
      <c r="B45" s="557"/>
      <c r="C45" s="557"/>
      <c r="D45" s="420"/>
      <c r="E45" s="222"/>
      <c r="F45" s="215"/>
      <c r="G45" s="222"/>
      <c r="H45" s="355"/>
      <c r="I45" s="355" t="s">
        <v>144</v>
      </c>
      <c r="J45" s="217">
        <v>12</v>
      </c>
      <c r="K45" s="216"/>
      <c r="L45" s="355"/>
      <c r="M45" s="216">
        <v>12</v>
      </c>
      <c r="N45" s="215">
        <v>12</v>
      </c>
      <c r="O45" s="439"/>
      <c r="P45" s="216"/>
      <c r="Q45" s="216">
        <v>12</v>
      </c>
      <c r="R45" s="216">
        <v>12</v>
      </c>
      <c r="S45" s="355"/>
      <c r="T45" s="226"/>
      <c r="U45" s="222">
        <v>12</v>
      </c>
      <c r="V45" s="217">
        <v>12</v>
      </c>
      <c r="W45" s="216"/>
      <c r="X45" s="216"/>
      <c r="Y45" s="217">
        <v>12</v>
      </c>
      <c r="Z45" s="360">
        <v>12</v>
      </c>
      <c r="AA45" s="226"/>
      <c r="AB45" s="219">
        <v>12</v>
      </c>
      <c r="AC45" s="217">
        <v>12</v>
      </c>
      <c r="AD45" s="217"/>
      <c r="AE45" s="217">
        <v>12</v>
      </c>
      <c r="AF45" s="217">
        <v>12</v>
      </c>
      <c r="AG45" s="217"/>
      <c r="AH45" s="454"/>
      <c r="AI45" s="382"/>
      <c r="AJ45" s="283">
        <f>マスタ!$E$6-'月間 '!AK45</f>
        <v>31</v>
      </c>
      <c r="AK45" s="281">
        <f t="shared" si="23"/>
        <v>0</v>
      </c>
      <c r="AL45" s="342"/>
      <c r="AM45" s="343"/>
    </row>
    <row r="46" spans="1:42" s="275" customFormat="1" ht="27.75" hidden="1" customHeight="1" outlineLevel="1">
      <c r="A46" s="556">
        <v>1170</v>
      </c>
      <c r="B46" s="557"/>
      <c r="C46" s="557"/>
      <c r="D46" s="425" t="s">
        <v>145</v>
      </c>
      <c r="E46" s="357" t="s">
        <v>168</v>
      </c>
      <c r="F46" s="226"/>
      <c r="G46" s="357" t="s">
        <v>145</v>
      </c>
      <c r="H46" s="360"/>
      <c r="I46" s="217"/>
      <c r="J46" s="360"/>
      <c r="K46" s="217"/>
      <c r="L46" s="217"/>
      <c r="M46" s="217"/>
      <c r="N46" s="361" t="s">
        <v>145</v>
      </c>
      <c r="O46" s="231"/>
      <c r="P46" s="217"/>
      <c r="Q46" s="360"/>
      <c r="R46" s="217"/>
      <c r="S46" s="217"/>
      <c r="T46" s="226"/>
      <c r="U46" s="357" t="s">
        <v>145</v>
      </c>
      <c r="V46" s="217"/>
      <c r="W46" s="217"/>
      <c r="X46" s="360"/>
      <c r="Y46" s="217"/>
      <c r="Z46" s="217"/>
      <c r="AA46" s="226"/>
      <c r="AB46" s="357" t="s">
        <v>145</v>
      </c>
      <c r="AC46" s="217"/>
      <c r="AD46" s="217"/>
      <c r="AE46" s="360"/>
      <c r="AF46" s="217"/>
      <c r="AG46" s="217"/>
      <c r="AH46" s="456"/>
      <c r="AI46" s="413"/>
      <c r="AJ46" s="283">
        <f>マスタ!$E$6-'月間 '!AK46</f>
        <v>25</v>
      </c>
      <c r="AK46" s="284">
        <f t="shared" si="23"/>
        <v>6</v>
      </c>
      <c r="AL46" s="344"/>
      <c r="AM46" s="345"/>
    </row>
    <row r="47" spans="1:42" s="275" customFormat="1" ht="27.75" hidden="1" customHeight="1" outlineLevel="1">
      <c r="A47" s="556"/>
      <c r="B47" s="557"/>
      <c r="C47" s="557"/>
      <c r="D47" s="419"/>
      <c r="E47" s="219"/>
      <c r="F47" s="226"/>
      <c r="G47" s="219"/>
      <c r="H47" s="217"/>
      <c r="I47" s="217"/>
      <c r="J47" s="217"/>
      <c r="K47" s="217"/>
      <c r="L47" s="217"/>
      <c r="M47" s="217"/>
      <c r="N47" s="226"/>
      <c r="O47" s="231"/>
      <c r="P47" s="217"/>
      <c r="Q47" s="217"/>
      <c r="R47" s="217"/>
      <c r="S47" s="217"/>
      <c r="T47" s="226"/>
      <c r="U47" s="219"/>
      <c r="V47" s="217"/>
      <c r="W47" s="217"/>
      <c r="X47" s="217"/>
      <c r="Y47" s="217"/>
      <c r="Z47" s="217"/>
      <c r="AA47" s="226"/>
      <c r="AB47" s="219"/>
      <c r="AC47" s="217"/>
      <c r="AD47" s="217"/>
      <c r="AE47" s="217"/>
      <c r="AF47" s="217"/>
      <c r="AG47" s="217"/>
      <c r="AH47" s="456"/>
      <c r="AI47" s="524"/>
      <c r="AJ47" s="283"/>
      <c r="AK47" s="284">
        <f t="shared" si="23"/>
        <v>0</v>
      </c>
      <c r="AL47" s="344"/>
      <c r="AM47" s="345"/>
    </row>
    <row r="48" spans="1:42" s="275" customFormat="1" ht="27.75" hidden="1" customHeight="1" outlineLevel="1">
      <c r="A48" s="556"/>
      <c r="B48" s="557"/>
      <c r="C48" s="557"/>
      <c r="D48" s="426"/>
      <c r="E48" s="220"/>
      <c r="F48" s="225"/>
      <c r="G48" s="220"/>
      <c r="H48" s="214"/>
      <c r="I48" s="214"/>
      <c r="J48" s="214"/>
      <c r="K48" s="214"/>
      <c r="L48" s="214"/>
      <c r="M48" s="214"/>
      <c r="N48" s="225"/>
      <c r="O48" s="440"/>
      <c r="P48" s="214"/>
      <c r="Q48" s="214"/>
      <c r="R48" s="214"/>
      <c r="S48" s="214"/>
      <c r="T48" s="225"/>
      <c r="U48" s="220"/>
      <c r="V48" s="214"/>
      <c r="W48" s="214"/>
      <c r="X48" s="214"/>
      <c r="Y48" s="214"/>
      <c r="Z48" s="214"/>
      <c r="AA48" s="225"/>
      <c r="AB48" s="220"/>
      <c r="AC48" s="214"/>
      <c r="AD48" s="214"/>
      <c r="AE48" s="214"/>
      <c r="AF48" s="214"/>
      <c r="AG48" s="214"/>
      <c r="AH48" s="459"/>
      <c r="AI48" s="413"/>
      <c r="AJ48" s="283">
        <f>マスタ!$E$6-'月間 '!AK48</f>
        <v>31</v>
      </c>
      <c r="AK48" s="284">
        <f t="shared" si="23"/>
        <v>0</v>
      </c>
      <c r="AL48" s="344"/>
      <c r="AM48" s="345"/>
    </row>
    <row r="49" spans="1:39" s="275" customFormat="1" ht="27.75" hidden="1" customHeight="1" outlineLevel="1">
      <c r="A49" s="556" t="s">
        <v>128</v>
      </c>
      <c r="B49" s="557"/>
      <c r="C49" s="557"/>
      <c r="D49" s="426"/>
      <c r="E49" s="220"/>
      <c r="F49" s="225"/>
      <c r="G49" s="220"/>
      <c r="H49" s="214"/>
      <c r="I49" s="214"/>
      <c r="J49" s="214"/>
      <c r="K49" s="214"/>
      <c r="L49" s="214"/>
      <c r="M49" s="214"/>
      <c r="N49" s="225"/>
      <c r="O49" s="440"/>
      <c r="P49" s="214"/>
      <c r="Q49" s="214"/>
      <c r="R49" s="214"/>
      <c r="S49" s="214"/>
      <c r="T49" s="225"/>
      <c r="U49" s="220"/>
      <c r="V49" s="214"/>
      <c r="W49" s="214"/>
      <c r="X49" s="214"/>
      <c r="Y49" s="214"/>
      <c r="Z49" s="214"/>
      <c r="AA49" s="225"/>
      <c r="AB49" s="220"/>
      <c r="AC49" s="214"/>
      <c r="AD49" s="214"/>
      <c r="AE49" s="214"/>
      <c r="AF49" s="214"/>
      <c r="AG49" s="214"/>
      <c r="AH49" s="459"/>
      <c r="AI49" s="413"/>
      <c r="AJ49" s="283">
        <f>マスタ!$E$6-'月間 '!AK49</f>
        <v>31</v>
      </c>
      <c r="AK49" s="284">
        <f t="shared" si="23"/>
        <v>0</v>
      </c>
      <c r="AL49" s="344"/>
      <c r="AM49" s="345"/>
    </row>
    <row r="50" spans="1:39" s="275" customFormat="1" ht="27.75" hidden="1" customHeight="1" outlineLevel="1">
      <c r="A50" s="556" t="s">
        <v>129</v>
      </c>
      <c r="B50" s="557"/>
      <c r="C50" s="557"/>
      <c r="D50" s="426"/>
      <c r="E50" s="220"/>
      <c r="F50" s="225"/>
      <c r="G50" s="220"/>
      <c r="H50" s="214"/>
      <c r="I50" s="214"/>
      <c r="J50" s="214"/>
      <c r="K50" s="214"/>
      <c r="L50" s="214"/>
      <c r="M50" s="214"/>
      <c r="N50" s="442"/>
      <c r="O50" s="440"/>
      <c r="P50" s="214"/>
      <c r="Q50" s="214"/>
      <c r="R50" s="214"/>
      <c r="S50" s="214"/>
      <c r="T50" s="442"/>
      <c r="U50" s="220"/>
      <c r="V50" s="214"/>
      <c r="W50" s="214"/>
      <c r="X50" s="214"/>
      <c r="Y50" s="214"/>
      <c r="Z50" s="214"/>
      <c r="AA50" s="225"/>
      <c r="AB50" s="431"/>
      <c r="AC50" s="214"/>
      <c r="AD50" s="214"/>
      <c r="AE50" s="214"/>
      <c r="AF50" s="214"/>
      <c r="AG50" s="214"/>
      <c r="AH50" s="459"/>
      <c r="AI50" s="413"/>
      <c r="AJ50" s="283">
        <f>マスタ!$E$6-'月間 '!AK50</f>
        <v>31</v>
      </c>
      <c r="AK50" s="284">
        <f t="shared" ref="AK50:AK51" si="24">COUNTIFS(D50:AH50,"✕")+COUNTIFS(D50:AH50,"修理")+COUNTIFS(D50:AH50,"研修")+COUNTIFS(D50:AH50,"✖")+COUNTIFS(D50:AH50,"更新")</f>
        <v>0</v>
      </c>
      <c r="AL50" s="344"/>
      <c r="AM50" s="345"/>
    </row>
    <row r="51" spans="1:39" s="275" customFormat="1" ht="30.75" hidden="1" customHeight="1" outlineLevel="1">
      <c r="A51" s="556" t="s">
        <v>122</v>
      </c>
      <c r="B51" s="557"/>
      <c r="C51" s="557"/>
      <c r="D51" s="427"/>
      <c r="E51" s="220"/>
      <c r="F51" s="225"/>
      <c r="G51" s="220"/>
      <c r="H51" s="214">
        <v>10</v>
      </c>
      <c r="I51" s="214">
        <v>10</v>
      </c>
      <c r="J51" s="217">
        <v>10</v>
      </c>
      <c r="K51" s="214">
        <v>10</v>
      </c>
      <c r="L51" s="214">
        <v>10</v>
      </c>
      <c r="M51" s="214">
        <v>10</v>
      </c>
      <c r="N51" s="225">
        <v>10</v>
      </c>
      <c r="O51" s="440">
        <v>10</v>
      </c>
      <c r="P51" s="214">
        <v>10</v>
      </c>
      <c r="Q51" s="214">
        <v>10</v>
      </c>
      <c r="R51" s="214">
        <v>10</v>
      </c>
      <c r="S51" s="214">
        <v>10</v>
      </c>
      <c r="T51" s="225">
        <v>10</v>
      </c>
      <c r="U51" s="220">
        <v>10</v>
      </c>
      <c r="V51" s="214">
        <v>10</v>
      </c>
      <c r="W51" s="214">
        <v>10</v>
      </c>
      <c r="X51" s="217"/>
      <c r="Y51" s="214"/>
      <c r="Z51" s="214"/>
      <c r="AA51" s="225"/>
      <c r="AB51" s="220"/>
      <c r="AC51" s="214"/>
      <c r="AD51" s="214"/>
      <c r="AE51" s="214"/>
      <c r="AF51" s="214"/>
      <c r="AG51" s="214"/>
      <c r="AH51" s="459"/>
      <c r="AI51" s="413"/>
      <c r="AJ51" s="283">
        <f>マスタ!$E$6-'月間 '!AK51</f>
        <v>31</v>
      </c>
      <c r="AK51" s="284">
        <f t="shared" si="24"/>
        <v>0</v>
      </c>
      <c r="AL51" s="344"/>
      <c r="AM51" s="345"/>
    </row>
    <row r="52" spans="1:39" s="275" customFormat="1" ht="30.75" hidden="1" customHeight="1" outlineLevel="1" thickBot="1">
      <c r="A52" s="589" t="s">
        <v>107</v>
      </c>
      <c r="B52" s="590"/>
      <c r="C52" s="590"/>
      <c r="D52" s="428"/>
      <c r="E52" s="221"/>
      <c r="F52" s="228"/>
      <c r="G52" s="221"/>
      <c r="H52" s="218"/>
      <c r="I52" s="214"/>
      <c r="J52" s="463"/>
      <c r="K52" s="218"/>
      <c r="L52" s="218">
        <v>10</v>
      </c>
      <c r="M52" s="214"/>
      <c r="N52" s="225"/>
      <c r="O52" s="440"/>
      <c r="P52" s="214"/>
      <c r="Q52" s="218">
        <v>10</v>
      </c>
      <c r="R52" s="218"/>
      <c r="S52" s="214"/>
      <c r="T52" s="228">
        <v>10</v>
      </c>
      <c r="U52" s="221"/>
      <c r="V52" s="218"/>
      <c r="W52" s="218"/>
      <c r="X52" s="463"/>
      <c r="Y52" s="218"/>
      <c r="Z52" s="218"/>
      <c r="AA52" s="228"/>
      <c r="AB52" s="221"/>
      <c r="AC52" s="218"/>
      <c r="AD52" s="218"/>
      <c r="AE52" s="218"/>
      <c r="AF52" s="218"/>
      <c r="AG52" s="218"/>
      <c r="AH52" s="460"/>
      <c r="AI52" s="414"/>
      <c r="AJ52" s="346">
        <f>マスタ!$E$6-'月間 '!AK52</f>
        <v>31</v>
      </c>
      <c r="AK52" s="330">
        <f t="shared" si="23"/>
        <v>0</v>
      </c>
      <c r="AL52" s="347"/>
      <c r="AM52" s="348"/>
    </row>
    <row r="53" spans="1:39" ht="87.75" customHeight="1" collapsed="1" thickTop="1" thickBot="1">
      <c r="A53" s="587" t="s">
        <v>141</v>
      </c>
      <c r="B53" s="588"/>
      <c r="C53" s="588"/>
      <c r="D53" s="588"/>
      <c r="E53" s="588"/>
      <c r="F53" s="588"/>
      <c r="G53" s="588"/>
      <c r="H53" s="588"/>
      <c r="I53" s="588"/>
      <c r="J53" s="588"/>
      <c r="K53" s="588"/>
      <c r="L53" s="548" t="s">
        <v>139</v>
      </c>
      <c r="M53" s="548"/>
      <c r="N53" s="548"/>
      <c r="O53" s="548"/>
      <c r="P53" s="548"/>
      <c r="Q53" s="548"/>
      <c r="R53" s="548"/>
      <c r="S53" s="548"/>
      <c r="T53" s="548"/>
      <c r="U53" s="548"/>
      <c r="V53" s="548"/>
      <c r="W53" s="548"/>
      <c r="X53" s="548"/>
      <c r="Y53" s="548"/>
      <c r="Z53" s="548"/>
      <c r="AA53" s="548"/>
      <c r="AB53" s="548"/>
      <c r="AC53" s="548"/>
      <c r="AD53" s="548"/>
      <c r="AE53" s="548"/>
      <c r="AF53" s="548"/>
      <c r="AG53" s="548"/>
      <c r="AH53" s="548"/>
      <c r="AI53" s="548"/>
      <c r="AJ53" s="548"/>
      <c r="AK53" s="548"/>
      <c r="AL53" s="548"/>
      <c r="AM53" s="549"/>
    </row>
  </sheetData>
  <protectedRanges>
    <protectedRange sqref="AI1" name="範囲3"/>
    <protectedRange sqref="E1:G1" name="範囲1"/>
    <protectedRange sqref="I1:K1" name="範囲2"/>
    <protectedRange sqref="X39:Y39 W38:Y38 Y40 U11:X11 AE39:AF39 AF36:AF37 AB40:AD40 AF40 U12:V12 X12 W36:W37 V40:W40 AD36:AD37 AB35:AC39 U13:X13 Y31:AD32 AA13:AF13 AF31:AI32 Z48:AA52 AC49:AI52 AD38:AF38 AC48:AE48 AG48:AI48 Y36:Y37 W41 S45:S46 T31:W32 T11:T13 M14 T14:X14 V35:V38 Z35:AA40 T36:U40 W35:Y35 X24:Y24 T19:V19 AA41 AG35:AI41 T30:AI30 AC41 Y47:AA47 N18 T21:X22 H41 Y23 AF23 AA15:AE16 T15:W15 I16 AA14:AC14 AE14:AF14 R42:R43 AB25:AC26 T33:AI34 AG18:AI22 T44:T48 V44:W48 Y44:Y46 AA44:AA46 AC44:AI47 T26 T18:W18 AE24:AF24 AG25:AI25 AI23 AH24:AI24 A11:C16 AA11:AI12 H13 K13 AB28:AD29 A18:C52 AF26:AI29 T27:W29 V26:Z26 X20 V16:W16 T42:AI43 U25:Z25 Z18:AD19 AD35:AF35 AE19:AF19 Z20:AE21 Z22:AF22 Y28:Z29 Y27:AD27 AG13:AI16" name="範囲4"/>
    <protectedRange sqref="X36:X37 X40 AE36:AE37 AE40" name="範囲4_3"/>
    <protectedRange sqref="W12" name="範囲4_4"/>
    <protectedRange sqref="Y52 T49:T52 V49:W52 Y49:Y50" name="範囲4_8"/>
    <protectedRange sqref="J39:K39 I36:I37 K37 Q39:R39 P38:R38 I38:K38 R40 D36:H39 R36:R37 U26 Y11:Z14 Y51 E33:E34 O36:P37 O40:P40 N38:O39 D42:J43 AB41 D18:M18 R44:R46 P44:Q47 R47:S47 X23 AE23 D16:H16 AD14 X44:X52 U44:U52 P35:U35 K40:M40 D25:T25 H11:S12 AD25:AE26 T41:V41 AD41:AF41 AF25 D14:L14 D11:G13 I13:J13 AB44:AB52 Z44:Z46 L42:N43 X15:Z16 AF15:AF16 W19:Y19 O18:S18 X18:Y18 AE18:AF18 AF20:AF21 Y20:Y22 AG23:AH23 Z23:AD24 AG24 D35:K35 D32:E32 P32:S34 X31:X32 AE31:AE32 P48:S49 Y48 AF48 X41:Z41 D41:G41 D40:I40 P42:P43 L13:M13 L35:M39 N32:O35 X27:X29 AE27:AE29 AA25:AA26 D20:W20 F32:M34 J16:U16 I41:R41 D50:S52 D23:W24 D33 E26:S26 D19:S19 AA28:AA29 D44:O49 S36:S44 D21:S22 D27:S31 N13:S15 D15:M15" name="範囲4_9"/>
    <protectedRange sqref="N40 J36:J37 J40 Q36:Q37 Q40 N36:N37 K36" name="範囲4_3_1"/>
    <protectedRange sqref="D26 D34" name="範囲4_1_1"/>
    <protectedRange sqref="O42:O43 K42:K43" name="範囲4_2_1"/>
    <protectedRange sqref="Q42:Q43" name="範囲4_6_1"/>
  </protectedRanges>
  <mergeCells count="57">
    <mergeCell ref="A23:B23"/>
    <mergeCell ref="A24:B24"/>
    <mergeCell ref="A22:B22"/>
    <mergeCell ref="A14:B14"/>
    <mergeCell ref="A15:B15"/>
    <mergeCell ref="A16:B16"/>
    <mergeCell ref="A18:B18"/>
    <mergeCell ref="A21:B21"/>
    <mergeCell ref="A20:B20"/>
    <mergeCell ref="A19:B19"/>
    <mergeCell ref="A41:B41"/>
    <mergeCell ref="A37:C37"/>
    <mergeCell ref="A28:B28"/>
    <mergeCell ref="A25:B25"/>
    <mergeCell ref="A27:B27"/>
    <mergeCell ref="A38:C38"/>
    <mergeCell ref="A33:C33"/>
    <mergeCell ref="A31:C31"/>
    <mergeCell ref="A30:C30"/>
    <mergeCell ref="A36:C36"/>
    <mergeCell ref="A34:C34"/>
    <mergeCell ref="A35:C35"/>
    <mergeCell ref="A29:B29"/>
    <mergeCell ref="A51:C51"/>
    <mergeCell ref="A53:K53"/>
    <mergeCell ref="A52:C52"/>
    <mergeCell ref="A44:C44"/>
    <mergeCell ref="A45:C45"/>
    <mergeCell ref="A50:C50"/>
    <mergeCell ref="A46:C46"/>
    <mergeCell ref="A48:C48"/>
    <mergeCell ref="A49:C49"/>
    <mergeCell ref="A47:C47"/>
    <mergeCell ref="Y2:AK3"/>
    <mergeCell ref="A2:X3"/>
    <mergeCell ref="U1:X1"/>
    <mergeCell ref="A4:X8"/>
    <mergeCell ref="A12:C12"/>
    <mergeCell ref="E1:G1"/>
    <mergeCell ref="I1:K1"/>
    <mergeCell ref="A9:B10"/>
    <mergeCell ref="A43:B43"/>
    <mergeCell ref="L53:AM53"/>
    <mergeCell ref="AJ1:AK1"/>
    <mergeCell ref="A40:C40"/>
    <mergeCell ref="AL1:AM1"/>
    <mergeCell ref="AL9:AL10"/>
    <mergeCell ref="AM9:AM10"/>
    <mergeCell ref="A39:C39"/>
    <mergeCell ref="A32:C32"/>
    <mergeCell ref="C9:C10"/>
    <mergeCell ref="AI9:AI10"/>
    <mergeCell ref="AK9:AK10"/>
    <mergeCell ref="AJ9:AJ10"/>
    <mergeCell ref="A11:C11"/>
    <mergeCell ref="Y4:AK6"/>
    <mergeCell ref="A13:C13"/>
  </mergeCells>
  <phoneticPr fontId="1"/>
  <printOptions horizontalCentered="1" verticalCentered="1"/>
  <pageMargins left="0.16" right="0.16" top="0.18" bottom="0.16" header="0.16" footer="0.16"/>
  <pageSetup paperSize="8" scale="56" orientation="landscape" r:id="rId1"/>
  <colBreaks count="1" manualBreakCount="1">
    <brk id="37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12847-B15B-46C4-AB5F-55523A03F8A9}">
  <sheetPr codeName="Sheet2">
    <pageSetUpPr fitToPage="1"/>
  </sheetPr>
  <dimension ref="A1:AM54"/>
  <sheetViews>
    <sheetView zoomScale="70" zoomScaleNormal="70" workbookViewId="0">
      <pane xSplit="3" ySplit="10" topLeftCell="F11" activePane="bottomRight" state="frozen"/>
      <selection pane="topRight" activeCell="D1" sqref="D1"/>
      <selection pane="bottomLeft" activeCell="A12" sqref="A12"/>
      <selection pane="bottomRight" activeCell="I1" sqref="I1:K1"/>
    </sheetView>
  </sheetViews>
  <sheetFormatPr defaultColWidth="9" defaultRowHeight="21.75" customHeight="1"/>
  <cols>
    <col min="1" max="1" width="17.5" style="21" customWidth="1"/>
    <col min="2" max="2" width="9.5" style="21" customWidth="1"/>
    <col min="3" max="3" width="9.08203125" style="21" customWidth="1"/>
    <col min="4" max="4" width="7.08203125" style="22" customWidth="1"/>
    <col min="5" max="5" width="7.08203125" style="23" customWidth="1"/>
    <col min="6" max="6" width="7.08203125" style="24" customWidth="1"/>
    <col min="7" max="9" width="7.08203125" style="23" customWidth="1"/>
    <col min="10" max="10" width="7.08203125" style="21" customWidth="1"/>
    <col min="11" max="11" width="7.08203125" style="25" customWidth="1"/>
    <col min="12" max="16" width="7.08203125" style="23" customWidth="1"/>
    <col min="17" max="17" width="7" style="26" customWidth="1"/>
    <col min="18" max="18" width="7.08203125" style="25" customWidth="1"/>
    <col min="19" max="23" width="7.08203125" style="23" customWidth="1"/>
    <col min="24" max="25" width="7.08203125" style="25" customWidth="1"/>
    <col min="26" max="26" width="7.08203125" style="24" customWidth="1"/>
    <col min="27" max="30" width="7.08203125" style="23" customWidth="1"/>
    <col min="31" max="31" width="7.08203125" style="21" customWidth="1"/>
    <col min="32" max="33" width="7.08203125" style="22" customWidth="1"/>
    <col min="34" max="34" width="7.5" style="22" customWidth="1"/>
    <col min="35" max="35" width="39.5" style="45" customWidth="1"/>
    <col min="36" max="39" width="10.58203125" style="27" customWidth="1"/>
    <col min="40" max="16384" width="9" style="23"/>
  </cols>
  <sheetData>
    <row r="1" spans="1:39" ht="39.75" customHeight="1" thickTop="1" thickBot="1">
      <c r="A1" s="28" t="s">
        <v>14</v>
      </c>
      <c r="C1" s="29"/>
      <c r="D1" s="30"/>
      <c r="E1" s="654">
        <f>'月間 '!E1:G1</f>
        <v>2026</v>
      </c>
      <c r="F1" s="654"/>
      <c r="G1" s="654"/>
      <c r="H1" s="31" t="s">
        <v>15</v>
      </c>
      <c r="I1" s="655">
        <f>'月間 '!I1:K1</f>
        <v>46023</v>
      </c>
      <c r="J1" s="655"/>
      <c r="K1" s="655"/>
      <c r="L1" s="31" t="s">
        <v>16</v>
      </c>
      <c r="M1" s="32"/>
      <c r="N1" s="28" t="s">
        <v>17</v>
      </c>
      <c r="O1" s="32"/>
      <c r="P1" s="32"/>
      <c r="Q1" s="33"/>
      <c r="R1" s="30"/>
      <c r="T1" s="32"/>
      <c r="U1" s="656">
        <f>'月間 '!U1:X1</f>
        <v>45664</v>
      </c>
      <c r="V1" s="656"/>
      <c r="W1" s="656"/>
      <c r="X1" s="656"/>
      <c r="Y1" s="31" t="s">
        <v>18</v>
      </c>
      <c r="AC1" s="34" t="s">
        <v>44</v>
      </c>
      <c r="AD1" s="35" t="s">
        <v>7</v>
      </c>
      <c r="AE1" s="36" t="s">
        <v>8</v>
      </c>
      <c r="AF1" s="37" t="s">
        <v>9</v>
      </c>
      <c r="AG1" s="38"/>
      <c r="AH1" s="30"/>
      <c r="AI1" s="124">
        <f>'月間 '!AI1</f>
        <v>0</v>
      </c>
      <c r="AL1" s="617" t="s">
        <v>125</v>
      </c>
      <c r="AM1" s="618"/>
    </row>
    <row r="2" spans="1:39" ht="15.75" hidden="1" customHeight="1">
      <c r="A2" s="657" t="s">
        <v>92</v>
      </c>
      <c r="B2" s="657"/>
      <c r="C2" s="657"/>
      <c r="D2" s="657"/>
      <c r="E2" s="657"/>
      <c r="F2" s="657"/>
      <c r="G2" s="657"/>
      <c r="H2" s="657"/>
      <c r="I2" s="657"/>
      <c r="J2" s="657"/>
      <c r="K2" s="657"/>
      <c r="L2" s="657"/>
      <c r="M2" s="657"/>
      <c r="N2" s="657"/>
      <c r="O2" s="657"/>
      <c r="P2" s="657"/>
      <c r="Q2" s="657"/>
      <c r="R2" s="657"/>
      <c r="S2" s="657"/>
      <c r="T2" s="657"/>
      <c r="U2" s="657"/>
      <c r="V2" s="657"/>
      <c r="W2" s="657"/>
      <c r="X2" s="657"/>
      <c r="Y2" s="659" t="s">
        <v>6</v>
      </c>
      <c r="Z2" s="659"/>
      <c r="AA2" s="659"/>
      <c r="AB2" s="659"/>
      <c r="AC2" s="659"/>
      <c r="AD2" s="659"/>
      <c r="AE2" s="659"/>
      <c r="AF2" s="659"/>
      <c r="AG2" s="659"/>
      <c r="AH2" s="659"/>
      <c r="AI2" s="659"/>
      <c r="AJ2" s="659"/>
      <c r="AK2" s="659"/>
      <c r="AL2" s="23"/>
      <c r="AM2" s="23"/>
    </row>
    <row r="3" spans="1:39" ht="15.75" hidden="1" customHeight="1" thickBot="1">
      <c r="A3" s="658"/>
      <c r="B3" s="658"/>
      <c r="C3" s="658"/>
      <c r="D3" s="658"/>
      <c r="E3" s="658"/>
      <c r="F3" s="658"/>
      <c r="G3" s="658"/>
      <c r="H3" s="658"/>
      <c r="I3" s="658"/>
      <c r="J3" s="658"/>
      <c r="K3" s="658"/>
      <c r="L3" s="658"/>
      <c r="M3" s="658"/>
      <c r="N3" s="658"/>
      <c r="O3" s="658"/>
      <c r="P3" s="658"/>
      <c r="Q3" s="658"/>
      <c r="R3" s="658"/>
      <c r="S3" s="658"/>
      <c r="T3" s="658"/>
      <c r="U3" s="658"/>
      <c r="V3" s="658"/>
      <c r="W3" s="658"/>
      <c r="X3" s="658"/>
      <c r="Y3" s="659"/>
      <c r="Z3" s="659"/>
      <c r="AA3" s="659"/>
      <c r="AB3" s="659"/>
      <c r="AC3" s="659"/>
      <c r="AD3" s="659"/>
      <c r="AE3" s="659"/>
      <c r="AF3" s="659"/>
      <c r="AG3" s="659"/>
      <c r="AH3" s="659"/>
      <c r="AI3" s="659"/>
      <c r="AJ3" s="659"/>
      <c r="AK3" s="659"/>
      <c r="AL3" s="23"/>
      <c r="AM3" s="23"/>
    </row>
    <row r="4" spans="1:39" s="39" customFormat="1" ht="15.75" hidden="1" customHeight="1" thickTop="1">
      <c r="A4" s="660" t="s">
        <v>115</v>
      </c>
      <c r="B4" s="661"/>
      <c r="C4" s="661"/>
      <c r="D4" s="661"/>
      <c r="E4" s="661"/>
      <c r="F4" s="661"/>
      <c r="G4" s="661"/>
      <c r="H4" s="661"/>
      <c r="I4" s="661"/>
      <c r="J4" s="661"/>
      <c r="K4" s="661"/>
      <c r="L4" s="661"/>
      <c r="M4" s="661"/>
      <c r="N4" s="661"/>
      <c r="O4" s="661"/>
      <c r="P4" s="661"/>
      <c r="Q4" s="661"/>
      <c r="R4" s="661"/>
      <c r="S4" s="661"/>
      <c r="T4" s="661"/>
      <c r="U4" s="661"/>
      <c r="V4" s="661"/>
      <c r="W4" s="661"/>
      <c r="X4" s="662"/>
      <c r="Y4" s="568" t="s">
        <v>91</v>
      </c>
      <c r="Z4" s="569"/>
      <c r="AA4" s="569"/>
      <c r="AB4" s="569"/>
      <c r="AC4" s="569"/>
      <c r="AD4" s="569"/>
      <c r="AE4" s="569"/>
      <c r="AF4" s="569"/>
      <c r="AG4" s="569"/>
      <c r="AH4" s="569"/>
      <c r="AI4" s="569"/>
      <c r="AJ4" s="569"/>
      <c r="AK4" s="569"/>
    </row>
    <row r="5" spans="1:39" ht="15.75" hidden="1" customHeight="1">
      <c r="A5" s="663"/>
      <c r="B5" s="664"/>
      <c r="C5" s="664"/>
      <c r="D5" s="664"/>
      <c r="E5" s="664"/>
      <c r="F5" s="664"/>
      <c r="G5" s="664"/>
      <c r="H5" s="664"/>
      <c r="I5" s="664"/>
      <c r="J5" s="664"/>
      <c r="K5" s="664"/>
      <c r="L5" s="664"/>
      <c r="M5" s="664"/>
      <c r="N5" s="664"/>
      <c r="O5" s="664"/>
      <c r="P5" s="664"/>
      <c r="Q5" s="664"/>
      <c r="R5" s="664"/>
      <c r="S5" s="664"/>
      <c r="T5" s="664"/>
      <c r="U5" s="664"/>
      <c r="V5" s="664"/>
      <c r="W5" s="664"/>
      <c r="X5" s="665"/>
      <c r="Y5" s="568"/>
      <c r="Z5" s="569"/>
      <c r="AA5" s="569"/>
      <c r="AB5" s="569"/>
      <c r="AC5" s="569"/>
      <c r="AD5" s="569"/>
      <c r="AE5" s="569"/>
      <c r="AF5" s="569"/>
      <c r="AG5" s="569"/>
      <c r="AH5" s="569"/>
      <c r="AI5" s="569"/>
      <c r="AJ5" s="569"/>
      <c r="AK5" s="569"/>
      <c r="AL5" s="23"/>
      <c r="AM5" s="23"/>
    </row>
    <row r="6" spans="1:39" ht="15.75" hidden="1" customHeight="1">
      <c r="A6" s="663"/>
      <c r="B6" s="664"/>
      <c r="C6" s="664"/>
      <c r="D6" s="664"/>
      <c r="E6" s="664"/>
      <c r="F6" s="664"/>
      <c r="G6" s="664"/>
      <c r="H6" s="664"/>
      <c r="I6" s="664"/>
      <c r="J6" s="664"/>
      <c r="K6" s="664"/>
      <c r="L6" s="664"/>
      <c r="M6" s="664"/>
      <c r="N6" s="664"/>
      <c r="O6" s="664"/>
      <c r="P6" s="664"/>
      <c r="Q6" s="664"/>
      <c r="R6" s="664"/>
      <c r="S6" s="664"/>
      <c r="T6" s="664"/>
      <c r="U6" s="664"/>
      <c r="V6" s="664"/>
      <c r="W6" s="664"/>
      <c r="X6" s="665"/>
      <c r="Y6" s="568"/>
      <c r="Z6" s="569"/>
      <c r="AA6" s="569"/>
      <c r="AB6" s="569"/>
      <c r="AC6" s="569"/>
      <c r="AD6" s="569"/>
      <c r="AE6" s="569"/>
      <c r="AF6" s="569"/>
      <c r="AG6" s="569"/>
      <c r="AH6" s="569"/>
      <c r="AI6" s="569"/>
      <c r="AJ6" s="569"/>
      <c r="AK6" s="569"/>
      <c r="AL6" s="23"/>
      <c r="AM6" s="23"/>
    </row>
    <row r="7" spans="1:39" ht="21.75" hidden="1" customHeight="1">
      <c r="A7" s="663"/>
      <c r="B7" s="664"/>
      <c r="C7" s="664"/>
      <c r="D7" s="664"/>
      <c r="E7" s="664"/>
      <c r="F7" s="664"/>
      <c r="G7" s="664"/>
      <c r="H7" s="664"/>
      <c r="I7" s="664"/>
      <c r="J7" s="664"/>
      <c r="K7" s="664"/>
      <c r="L7" s="664"/>
      <c r="M7" s="664"/>
      <c r="N7" s="664"/>
      <c r="O7" s="664"/>
      <c r="P7" s="664"/>
      <c r="Q7" s="664"/>
      <c r="R7" s="664"/>
      <c r="S7" s="664"/>
      <c r="T7" s="664"/>
      <c r="U7" s="664"/>
      <c r="V7" s="664"/>
      <c r="W7" s="664"/>
      <c r="X7" s="665"/>
      <c r="Y7" s="40" t="s">
        <v>5</v>
      </c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</row>
    <row r="8" spans="1:39" ht="21.75" hidden="1" customHeight="1" thickTop="1" thickBot="1">
      <c r="A8" s="663"/>
      <c r="B8" s="664"/>
      <c r="C8" s="664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664"/>
      <c r="O8" s="664"/>
      <c r="P8" s="664"/>
      <c r="Q8" s="664"/>
      <c r="R8" s="664"/>
      <c r="S8" s="664"/>
      <c r="T8" s="664"/>
      <c r="U8" s="664"/>
      <c r="V8" s="664"/>
      <c r="W8" s="664"/>
      <c r="X8" s="665"/>
      <c r="Y8" s="42" t="s">
        <v>93</v>
      </c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182"/>
      <c r="AM8" s="182"/>
    </row>
    <row r="9" spans="1:39" s="44" customFormat="1" ht="36" customHeight="1" thickTop="1">
      <c r="A9" s="666" t="s">
        <v>4</v>
      </c>
      <c r="B9" s="667"/>
      <c r="C9" s="648" t="s">
        <v>101</v>
      </c>
      <c r="D9" s="148">
        <f>I1</f>
        <v>46023</v>
      </c>
      <c r="E9" s="4">
        <f>D9+1</f>
        <v>46024</v>
      </c>
      <c r="F9" s="17">
        <f>E9+1</f>
        <v>46025</v>
      </c>
      <c r="G9" s="4">
        <f t="shared" ref="G9:AG9" si="0">F9+1</f>
        <v>46026</v>
      </c>
      <c r="H9" s="3">
        <f t="shared" si="0"/>
        <v>46027</v>
      </c>
      <c r="I9" s="4">
        <f t="shared" si="0"/>
        <v>46028</v>
      </c>
      <c r="J9" s="18">
        <f t="shared" si="0"/>
        <v>46029</v>
      </c>
      <c r="K9" s="3">
        <f t="shared" si="0"/>
        <v>46030</v>
      </c>
      <c r="L9" s="4">
        <f t="shared" si="0"/>
        <v>46031</v>
      </c>
      <c r="M9" s="17">
        <f t="shared" si="0"/>
        <v>46032</v>
      </c>
      <c r="N9" s="4">
        <f t="shared" si="0"/>
        <v>46033</v>
      </c>
      <c r="O9" s="3">
        <f t="shared" si="0"/>
        <v>46034</v>
      </c>
      <c r="P9" s="4">
        <f t="shared" si="0"/>
        <v>46035</v>
      </c>
      <c r="Q9" s="47">
        <f>P9+1</f>
        <v>46036</v>
      </c>
      <c r="R9" s="3">
        <f t="shared" si="0"/>
        <v>46037</v>
      </c>
      <c r="S9" s="4">
        <f t="shared" si="0"/>
        <v>46038</v>
      </c>
      <c r="T9" s="17">
        <f t="shared" si="0"/>
        <v>46039</v>
      </c>
      <c r="U9" s="4">
        <f t="shared" si="0"/>
        <v>46040</v>
      </c>
      <c r="V9" s="14">
        <f t="shared" si="0"/>
        <v>46041</v>
      </c>
      <c r="W9" s="4">
        <f t="shared" si="0"/>
        <v>46042</v>
      </c>
      <c r="X9" s="4">
        <f t="shared" si="0"/>
        <v>46043</v>
      </c>
      <c r="Y9" s="5">
        <f t="shared" si="0"/>
        <v>46044</v>
      </c>
      <c r="Z9" s="4">
        <f t="shared" si="0"/>
        <v>46045</v>
      </c>
      <c r="AA9" s="17">
        <f t="shared" si="0"/>
        <v>46046</v>
      </c>
      <c r="AB9" s="14">
        <f t="shared" si="0"/>
        <v>46047</v>
      </c>
      <c r="AC9" s="14">
        <f t="shared" si="0"/>
        <v>46048</v>
      </c>
      <c r="AD9" s="4">
        <f t="shared" si="0"/>
        <v>46049</v>
      </c>
      <c r="AE9" s="46">
        <f t="shared" si="0"/>
        <v>46050</v>
      </c>
      <c r="AF9" s="5">
        <f t="shared" si="0"/>
        <v>46051</v>
      </c>
      <c r="AG9" s="3">
        <f t="shared" si="0"/>
        <v>46052</v>
      </c>
      <c r="AH9" s="12">
        <f>AG9+1</f>
        <v>46053</v>
      </c>
      <c r="AI9" s="650" t="s">
        <v>10</v>
      </c>
      <c r="AJ9" s="652" t="s">
        <v>45</v>
      </c>
      <c r="AK9" s="652" t="s">
        <v>108</v>
      </c>
      <c r="AL9" s="619" t="s">
        <v>126</v>
      </c>
      <c r="AM9" s="621" t="s">
        <v>127</v>
      </c>
    </row>
    <row r="10" spans="1:39" s="44" customFormat="1" ht="36" customHeight="1" thickBot="1">
      <c r="A10" s="668"/>
      <c r="B10" s="669"/>
      <c r="C10" s="649"/>
      <c r="D10" s="149" t="str">
        <f>TEXT(D9,"　aaa")</f>
        <v xml:space="preserve"> 木</v>
      </c>
      <c r="E10" s="86" t="str">
        <f t="shared" ref="E10:AG10" si="1">TEXT(E9,"aaa")</f>
        <v>金</v>
      </c>
      <c r="F10" s="90" t="str">
        <f t="shared" si="1"/>
        <v>土</v>
      </c>
      <c r="G10" s="86" t="str">
        <f t="shared" si="1"/>
        <v>日</v>
      </c>
      <c r="H10" s="88" t="str">
        <f t="shared" si="1"/>
        <v>月</v>
      </c>
      <c r="I10" s="86" t="str">
        <f t="shared" si="1"/>
        <v>火</v>
      </c>
      <c r="J10" s="89" t="str">
        <f t="shared" si="1"/>
        <v>水</v>
      </c>
      <c r="K10" s="88" t="str">
        <f t="shared" si="1"/>
        <v>木</v>
      </c>
      <c r="L10" s="86" t="str">
        <f t="shared" si="1"/>
        <v>金</v>
      </c>
      <c r="M10" s="90" t="str">
        <f t="shared" si="1"/>
        <v>土</v>
      </c>
      <c r="N10" s="86" t="str">
        <f t="shared" si="1"/>
        <v>日</v>
      </c>
      <c r="O10" s="88" t="str">
        <f>TEXT(O9,"aaa")</f>
        <v>月</v>
      </c>
      <c r="P10" s="86" t="str">
        <f t="shared" si="1"/>
        <v>火</v>
      </c>
      <c r="Q10" s="86" t="str">
        <f t="shared" si="1"/>
        <v>水</v>
      </c>
      <c r="R10" s="88" t="str">
        <f t="shared" si="1"/>
        <v>木</v>
      </c>
      <c r="S10" s="86" t="str">
        <f t="shared" si="1"/>
        <v>金</v>
      </c>
      <c r="T10" s="90" t="str">
        <f t="shared" si="1"/>
        <v>土</v>
      </c>
      <c r="U10" s="86" t="str">
        <f t="shared" si="1"/>
        <v>日</v>
      </c>
      <c r="V10" s="92" t="str">
        <f>TEXT(V9,"aaa")</f>
        <v>月</v>
      </c>
      <c r="W10" s="86" t="str">
        <f t="shared" si="1"/>
        <v>火</v>
      </c>
      <c r="X10" s="86" t="str">
        <f t="shared" si="1"/>
        <v>水</v>
      </c>
      <c r="Y10" s="91" t="str">
        <f t="shared" si="1"/>
        <v>木</v>
      </c>
      <c r="Z10" s="86" t="str">
        <f t="shared" si="1"/>
        <v>金</v>
      </c>
      <c r="AA10" s="90" t="str">
        <f t="shared" si="1"/>
        <v>土</v>
      </c>
      <c r="AB10" s="92" t="str">
        <f t="shared" si="1"/>
        <v>日</v>
      </c>
      <c r="AC10" s="92" t="str">
        <f>TEXT(AC9,"aaa")</f>
        <v>月</v>
      </c>
      <c r="AD10" s="86" t="str">
        <f t="shared" si="1"/>
        <v>火</v>
      </c>
      <c r="AE10" s="87" t="str">
        <f t="shared" si="1"/>
        <v>水</v>
      </c>
      <c r="AF10" s="91" t="str">
        <f t="shared" si="1"/>
        <v>木</v>
      </c>
      <c r="AG10" s="88" t="str">
        <f t="shared" si="1"/>
        <v>金</v>
      </c>
      <c r="AH10" s="92" t="str">
        <f>TEXT(AH9,"aaa")</f>
        <v>土</v>
      </c>
      <c r="AI10" s="651"/>
      <c r="AJ10" s="653"/>
      <c r="AK10" s="653"/>
      <c r="AL10" s="620"/>
      <c r="AM10" s="622"/>
    </row>
    <row r="11" spans="1:39" s="44" customFormat="1" ht="54" customHeight="1" thickTop="1">
      <c r="A11" s="636" t="s">
        <v>95</v>
      </c>
      <c r="B11" s="638"/>
      <c r="C11" s="10" t="s">
        <v>3</v>
      </c>
      <c r="D11" s="181" t="str">
        <f>IF('月間 '!D14="","",'月間 '!D14)</f>
        <v>✕</v>
      </c>
      <c r="E11" s="106" t="str">
        <f>IF('月間 '!E14="","",'月間 '!E14)</f>
        <v>✕</v>
      </c>
      <c r="F11" s="131">
        <f>IF('月間 '!F14="","",'月間 '!F14)</f>
        <v>18</v>
      </c>
      <c r="G11" s="167" t="str">
        <f>IF('月間 '!G14="","",'月間 '!G14)</f>
        <v>✕</v>
      </c>
      <c r="H11" s="167">
        <f>IF('月間 '!H14="","",'月間 '!H14)</f>
        <v>18</v>
      </c>
      <c r="I11" s="167">
        <f>IF('月間 '!I14="","",'月間 '!I14)</f>
        <v>18</v>
      </c>
      <c r="J11" s="167">
        <f>IF('月間 '!J14="","",'月間 '!J14)</f>
        <v>18</v>
      </c>
      <c r="K11" s="167" t="str">
        <f>IF('月間 '!K14="","",'月間 '!K14)</f>
        <v>巡回</v>
      </c>
      <c r="L11" s="106">
        <f>IF('月間 '!L14="","",'月間 '!L14)</f>
        <v>18</v>
      </c>
      <c r="M11" s="132" t="str">
        <f>IF('月間 '!M14="","",'月間 '!M14)</f>
        <v>✕</v>
      </c>
      <c r="N11" s="167">
        <f>IF('月間 '!N14="","",'月間 '!N14)</f>
        <v>18</v>
      </c>
      <c r="O11" s="167">
        <f>IF('月間 '!O14="","",'月間 '!O14)</f>
        <v>18</v>
      </c>
      <c r="P11" s="167">
        <f>IF('月間 '!P14="","",'月間 '!P14)</f>
        <v>18</v>
      </c>
      <c r="Q11" s="167">
        <f>IF('月間 '!Q14="","",'月間 '!Q14)</f>
        <v>18</v>
      </c>
      <c r="R11" s="167">
        <f>IF('月間 '!R14="","",'月間 '!R14)</f>
        <v>18</v>
      </c>
      <c r="S11" s="106">
        <f>IF('月間 '!S14="","",'月間 '!S14)</f>
        <v>18</v>
      </c>
      <c r="T11" s="132" t="str">
        <f>IF('月間 '!T14="","",'月間 '!T14)</f>
        <v/>
      </c>
      <c r="U11" s="167" t="str">
        <f>IF('月間 '!U14="","",'月間 '!U14)</f>
        <v/>
      </c>
      <c r="V11" s="167">
        <f>IF('月間 '!V14="","",'月間 '!V14)</f>
        <v>18</v>
      </c>
      <c r="W11" s="167">
        <f>IF('月間 '!W14="","",'月間 '!W14)</f>
        <v>18</v>
      </c>
      <c r="X11" s="167" t="str">
        <f>IF('月間 '!X14="","",'月間 '!X14)</f>
        <v>巡回</v>
      </c>
      <c r="Y11" s="167">
        <f>IF('月間 '!Y14="","",'月間 '!Y14)</f>
        <v>18</v>
      </c>
      <c r="Z11" s="106">
        <f>IF('月間 '!Z14="","",'月間 '!Z14)</f>
        <v>18</v>
      </c>
      <c r="AA11" s="132" t="str">
        <f>IF('月間 '!AA14="","",'月間 '!AA14)</f>
        <v>✕</v>
      </c>
      <c r="AB11" s="167">
        <f>IF('月間 '!AB14="","",'月間 '!AB14)</f>
        <v>18</v>
      </c>
      <c r="AC11" s="167" t="str">
        <f>IF('月間 '!AC14="","",'月間 '!AC14)</f>
        <v/>
      </c>
      <c r="AD11" s="167" t="str">
        <f>IF('月間 '!AD14="","",'月間 '!AD14)</f>
        <v/>
      </c>
      <c r="AE11" s="167" t="str">
        <f>IF('月間 '!AE14="","",'月間 '!AE14)</f>
        <v/>
      </c>
      <c r="AF11" s="167" t="str">
        <f>IF('月間 '!AF14="","",'月間 '!AF14)</f>
        <v/>
      </c>
      <c r="AG11" s="106" t="str">
        <f>IF('月間 '!AG14="","",'月間 '!AG14)</f>
        <v/>
      </c>
      <c r="AH11" s="134" t="str">
        <f>IF('月間 '!AH14="","",'月間 '!AH14)</f>
        <v/>
      </c>
      <c r="AI11" s="147" t="str">
        <f>IF('月間 '!AI14="","",'月間 '!AI14)</f>
        <v>1/9係長・班長会議</v>
      </c>
      <c r="AJ11" s="65">
        <f>マスタ!$E$6-'３月月間(乗務員用）'!AK11</f>
        <v>26</v>
      </c>
      <c r="AK11" s="66">
        <f>COUNTIFS(C11:AH11,"✕")+COUNTIFS(C11:AH11,"修理")+COUNTIFS(C11:AH11,"車検")+COUNTIFS(C11:AH11,"研修")</f>
        <v>5</v>
      </c>
      <c r="AL11" s="183">
        <f>AJ11+AM11</f>
        <v>26</v>
      </c>
      <c r="AM11" s="184">
        <f>COUNTIFS(D11:AH11,"✖")</f>
        <v>0</v>
      </c>
    </row>
    <row r="12" spans="1:39" s="44" customFormat="1" ht="54" customHeight="1">
      <c r="A12" s="627" t="s">
        <v>96</v>
      </c>
      <c r="B12" s="633"/>
      <c r="C12" s="15" t="s">
        <v>3</v>
      </c>
      <c r="D12" s="159" t="e">
        <f>IF('月間 '!#REF!="","",'月間 '!#REF!)</f>
        <v>#REF!</v>
      </c>
      <c r="E12" s="106" t="e">
        <f>IF('月間 '!#REF!="","",'月間 '!#REF!)</f>
        <v>#REF!</v>
      </c>
      <c r="F12" s="140" t="e">
        <f>IF('月間 '!#REF!="","",'月間 '!#REF!)</f>
        <v>#REF!</v>
      </c>
      <c r="G12" s="167" t="e">
        <f>IF('月間 '!#REF!="","",'月間 '!#REF!)</f>
        <v>#REF!</v>
      </c>
      <c r="H12" s="167" t="e">
        <f>IF('月間 '!#REF!="","",'月間 '!#REF!)</f>
        <v>#REF!</v>
      </c>
      <c r="I12" s="167" t="e">
        <f>IF('月間 '!#REF!="","",'月間 '!#REF!)</f>
        <v>#REF!</v>
      </c>
      <c r="J12" s="167" t="e">
        <f>IF('月間 '!#REF!="","",'月間 '!#REF!)</f>
        <v>#REF!</v>
      </c>
      <c r="K12" s="167" t="e">
        <f>IF('月間 '!#REF!="","",'月間 '!#REF!)</f>
        <v>#REF!</v>
      </c>
      <c r="L12" s="106" t="e">
        <f>IF('月間 '!#REF!="","",'月間 '!#REF!)</f>
        <v>#REF!</v>
      </c>
      <c r="M12" s="132" t="e">
        <f>IF('月間 '!#REF!="","",'月間 '!#REF!)</f>
        <v>#REF!</v>
      </c>
      <c r="N12" s="167" t="e">
        <f>IF('月間 '!#REF!="","",'月間 '!#REF!)</f>
        <v>#REF!</v>
      </c>
      <c r="O12" s="167" t="e">
        <f>IF('月間 '!#REF!="","",'月間 '!#REF!)</f>
        <v>#REF!</v>
      </c>
      <c r="P12" s="167" t="e">
        <f>IF('月間 '!#REF!="","",'月間 '!#REF!)</f>
        <v>#REF!</v>
      </c>
      <c r="Q12" s="167" t="e">
        <f>IF('月間 '!#REF!="","",'月間 '!#REF!)</f>
        <v>#REF!</v>
      </c>
      <c r="R12" s="167" t="e">
        <f>IF('月間 '!#REF!="","",'月間 '!#REF!)</f>
        <v>#REF!</v>
      </c>
      <c r="S12" s="106" t="e">
        <f>IF('月間 '!#REF!="","",'月間 '!#REF!)</f>
        <v>#REF!</v>
      </c>
      <c r="T12" s="132" t="e">
        <f>IF('月間 '!#REF!="","",'月間 '!#REF!)</f>
        <v>#REF!</v>
      </c>
      <c r="U12" s="167" t="e">
        <f>IF('月間 '!#REF!="","",'月間 '!#REF!)</f>
        <v>#REF!</v>
      </c>
      <c r="V12" s="167" t="e">
        <f>IF('月間 '!#REF!="","",'月間 '!#REF!)</f>
        <v>#REF!</v>
      </c>
      <c r="W12" s="167" t="e">
        <f>IF('月間 '!#REF!="","",'月間 '!#REF!)</f>
        <v>#REF!</v>
      </c>
      <c r="X12" s="167" t="e">
        <f>IF('月間 '!#REF!="","",'月間 '!#REF!)</f>
        <v>#REF!</v>
      </c>
      <c r="Y12" s="167" t="e">
        <f>IF('月間 '!#REF!="","",'月間 '!#REF!)</f>
        <v>#REF!</v>
      </c>
      <c r="Z12" s="106" t="e">
        <f>IF('月間 '!#REF!="","",'月間 '!#REF!)</f>
        <v>#REF!</v>
      </c>
      <c r="AA12" s="132" t="e">
        <f>IF('月間 '!#REF!="","",'月間 '!#REF!)</f>
        <v>#REF!</v>
      </c>
      <c r="AB12" s="167" t="e">
        <f>IF('月間 '!#REF!="","",'月間 '!#REF!)</f>
        <v>#REF!</v>
      </c>
      <c r="AC12" s="167" t="e">
        <f>IF('月間 '!#REF!="","",'月間 '!#REF!)</f>
        <v>#REF!</v>
      </c>
      <c r="AD12" s="167" t="e">
        <f>IF('月間 '!#REF!="","",'月間 '!#REF!)</f>
        <v>#REF!</v>
      </c>
      <c r="AE12" s="167" t="e">
        <f>IF('月間 '!#REF!="","",'月間 '!#REF!)</f>
        <v>#REF!</v>
      </c>
      <c r="AF12" s="167" t="e">
        <f>IF('月間 '!#REF!="","",'月間 '!#REF!)</f>
        <v>#REF!</v>
      </c>
      <c r="AG12" s="106" t="e">
        <f>IF('月間 '!#REF!="","",'月間 '!#REF!)</f>
        <v>#REF!</v>
      </c>
      <c r="AH12" s="132" t="e">
        <f>IF('月間 '!#REF!="","",'月間 '!#REF!)</f>
        <v>#REF!</v>
      </c>
      <c r="AI12" s="67" t="e">
        <f>IF('月間 '!#REF!="","",'月間 '!#REF!)</f>
        <v>#REF!</v>
      </c>
      <c r="AJ12" s="68">
        <f>マスタ!$E$6-'３月月間(乗務員用）'!AK12</f>
        <v>31</v>
      </c>
      <c r="AK12" s="69">
        <f>COUNTIFS(C12:AH12,"✕")+COUNTIFS(C12:AH12,"修理")+COUNTIFS(C12:AH12,"車検")+COUNTIFS(C12:AH12,"研修")</f>
        <v>0</v>
      </c>
      <c r="AL12" s="185">
        <f>AJ12+AM12</f>
        <v>31</v>
      </c>
      <c r="AM12" s="186">
        <f>COUNTIFS(D12:AH12,"✖")</f>
        <v>0</v>
      </c>
    </row>
    <row r="13" spans="1:39" s="44" customFormat="1" ht="54" customHeight="1">
      <c r="A13" s="627" t="s">
        <v>97</v>
      </c>
      <c r="B13" s="633"/>
      <c r="C13" s="15" t="s">
        <v>3</v>
      </c>
      <c r="D13" s="160" t="e">
        <f>IF('月間 '!#REF!="","",'月間 '!#REF!)</f>
        <v>#REF!</v>
      </c>
      <c r="E13" s="106" t="e">
        <f>IF('月間 '!#REF!="","",'月間 '!#REF!)</f>
        <v>#REF!</v>
      </c>
      <c r="F13" s="140" t="e">
        <f>IF('月間 '!#REF!="","",'月間 '!#REF!)</f>
        <v>#REF!</v>
      </c>
      <c r="G13" s="167" t="e">
        <f>IF('月間 '!#REF!="","",'月間 '!#REF!)</f>
        <v>#REF!</v>
      </c>
      <c r="H13" s="167" t="e">
        <f>IF('月間 '!#REF!="","",'月間 '!#REF!)</f>
        <v>#REF!</v>
      </c>
      <c r="I13" s="167" t="e">
        <f>IF('月間 '!#REF!="","",'月間 '!#REF!)</f>
        <v>#REF!</v>
      </c>
      <c r="J13" s="167" t="e">
        <f>IF('月間 '!#REF!="","",'月間 '!#REF!)</f>
        <v>#REF!</v>
      </c>
      <c r="K13" s="167" t="e">
        <f>IF('月間 '!#REF!="","",'月間 '!#REF!)</f>
        <v>#REF!</v>
      </c>
      <c r="L13" s="106" t="e">
        <f>IF('月間 '!#REF!="","",'月間 '!#REF!)</f>
        <v>#REF!</v>
      </c>
      <c r="M13" s="132" t="e">
        <f>IF('月間 '!#REF!="","",'月間 '!#REF!)</f>
        <v>#REF!</v>
      </c>
      <c r="N13" s="167" t="e">
        <f>IF('月間 '!#REF!="","",'月間 '!#REF!)</f>
        <v>#REF!</v>
      </c>
      <c r="O13" s="167" t="e">
        <f>IF('月間 '!#REF!="","",'月間 '!#REF!)</f>
        <v>#REF!</v>
      </c>
      <c r="P13" s="167" t="e">
        <f>IF('月間 '!#REF!="","",'月間 '!#REF!)</f>
        <v>#REF!</v>
      </c>
      <c r="Q13" s="167" t="e">
        <f>IF('月間 '!#REF!="","",'月間 '!#REF!)</f>
        <v>#REF!</v>
      </c>
      <c r="R13" s="167" t="e">
        <f>IF('月間 '!#REF!="","",'月間 '!#REF!)</f>
        <v>#REF!</v>
      </c>
      <c r="S13" s="106" t="e">
        <f>IF('月間 '!#REF!="","",'月間 '!#REF!)</f>
        <v>#REF!</v>
      </c>
      <c r="T13" s="132" t="e">
        <f>IF('月間 '!#REF!="","",'月間 '!#REF!)</f>
        <v>#REF!</v>
      </c>
      <c r="U13" s="167" t="e">
        <f>IF('月間 '!#REF!="","",'月間 '!#REF!)</f>
        <v>#REF!</v>
      </c>
      <c r="V13" s="167" t="e">
        <f>IF('月間 '!#REF!="","",'月間 '!#REF!)</f>
        <v>#REF!</v>
      </c>
      <c r="W13" s="167" t="e">
        <f>IF('月間 '!#REF!="","",'月間 '!#REF!)</f>
        <v>#REF!</v>
      </c>
      <c r="X13" s="167" t="e">
        <f>IF('月間 '!#REF!="","",'月間 '!#REF!)</f>
        <v>#REF!</v>
      </c>
      <c r="Y13" s="167" t="e">
        <f>IF('月間 '!#REF!="","",'月間 '!#REF!)</f>
        <v>#REF!</v>
      </c>
      <c r="Z13" s="106" t="e">
        <f>IF('月間 '!#REF!="","",'月間 '!#REF!)</f>
        <v>#REF!</v>
      </c>
      <c r="AA13" s="132" t="e">
        <f>IF('月間 '!#REF!="","",'月間 '!#REF!)</f>
        <v>#REF!</v>
      </c>
      <c r="AB13" s="167" t="e">
        <f>IF('月間 '!#REF!="","",'月間 '!#REF!)</f>
        <v>#REF!</v>
      </c>
      <c r="AC13" s="167" t="e">
        <f>IF('月間 '!#REF!="","",'月間 '!#REF!)</f>
        <v>#REF!</v>
      </c>
      <c r="AD13" s="167" t="e">
        <f>IF('月間 '!#REF!="","",'月間 '!#REF!)</f>
        <v>#REF!</v>
      </c>
      <c r="AE13" s="167" t="e">
        <f>IF('月間 '!#REF!="","",'月間 '!#REF!)</f>
        <v>#REF!</v>
      </c>
      <c r="AF13" s="167" t="e">
        <f>IF('月間 '!#REF!="","",'月間 '!#REF!)</f>
        <v>#REF!</v>
      </c>
      <c r="AG13" s="106" t="e">
        <f>IF('月間 '!#REF!="","",'月間 '!#REF!)</f>
        <v>#REF!</v>
      </c>
      <c r="AH13" s="132" t="e">
        <f>IF('月間 '!#REF!="","",'月間 '!#REF!)</f>
        <v>#REF!</v>
      </c>
      <c r="AI13" s="11" t="e">
        <f>IF('月間 '!#REF!="","",'月間 '!#REF!)</f>
        <v>#REF!</v>
      </c>
      <c r="AJ13" s="68">
        <f>マスタ!$E$6-'３月月間(乗務員用）'!AK13</f>
        <v>31</v>
      </c>
      <c r="AK13" s="69">
        <f>COUNTIFS(C13:AH13,"✕")+COUNTIFS(C13:AH13,"修理")+COUNTIFS(C13:AH13,"車検")+COUNTIFS(C13:AH13,"研修")</f>
        <v>0</v>
      </c>
      <c r="AL13" s="187">
        <f>AJ13+AM13</f>
        <v>31</v>
      </c>
      <c r="AM13" s="188">
        <f>COUNTIFS(D13:AH13,"✖")</f>
        <v>0</v>
      </c>
    </row>
    <row r="14" spans="1:39" s="44" customFormat="1" ht="54" customHeight="1" thickBot="1">
      <c r="A14" s="627" t="s">
        <v>98</v>
      </c>
      <c r="B14" s="633"/>
      <c r="C14" s="15" t="s">
        <v>3</v>
      </c>
      <c r="D14" s="161" t="str">
        <f>IF('月間 '!D15="","",'月間 '!D15)</f>
        <v>✕</v>
      </c>
      <c r="E14" s="106">
        <f>IF('月間 '!E15="","",'月間 '!E15)</f>
        <v>1589</v>
      </c>
      <c r="F14" s="140">
        <f>IF('月間 '!F15="","",'月間 '!F15)</f>
        <v>700</v>
      </c>
      <c r="G14" s="167">
        <f>IF('月間 '!G15="","",'月間 '!G15)</f>
        <v>1589</v>
      </c>
      <c r="H14" s="167">
        <f>IF('月間 '!H15="","",'月間 '!H15)</f>
        <v>700</v>
      </c>
      <c r="I14" s="167">
        <f>IF('月間 '!I15="","",'月間 '!I15)</f>
        <v>1589</v>
      </c>
      <c r="J14" s="167">
        <f>IF('月間 '!J15="","",'月間 '!J15)</f>
        <v>1589</v>
      </c>
      <c r="K14" s="167">
        <f>IF('月間 '!K15="","",'月間 '!K15)</f>
        <v>1589</v>
      </c>
      <c r="L14" s="106">
        <f>IF('月間 '!L15="","",'月間 '!L15)</f>
        <v>700</v>
      </c>
      <c r="M14" s="132">
        <f>IF('月間 '!M15="","",'月間 '!M15)</f>
        <v>700</v>
      </c>
      <c r="N14" s="167" t="str">
        <f>IF('月間 '!N15="","",'月間 '!N15)</f>
        <v>✕</v>
      </c>
      <c r="O14" s="167">
        <f>IF('月間 '!O15="","",'月間 '!O15)</f>
        <v>643</v>
      </c>
      <c r="P14" s="167">
        <f>IF('月間 '!P15="","",'月間 '!P15)</f>
        <v>700</v>
      </c>
      <c r="Q14" s="167">
        <f>IF('月間 '!Q15="","",'月間 '!Q15)</f>
        <v>1589</v>
      </c>
      <c r="R14" s="167">
        <f>IF('月間 '!R15="","",'月間 '!R15)</f>
        <v>1589</v>
      </c>
      <c r="S14" s="106" t="str">
        <f>IF('月間 '!S15="","",'月間 '!S15)</f>
        <v>✕</v>
      </c>
      <c r="T14" s="132">
        <f>IF('月間 '!T15="","",'月間 '!T15)</f>
        <v>700</v>
      </c>
      <c r="U14" s="167" t="str">
        <f>IF('月間 '!U15="","",'月間 '!U15)</f>
        <v>✕</v>
      </c>
      <c r="V14" s="167">
        <f>IF('月間 '!V15="","",'月間 '!V15)</f>
        <v>1589</v>
      </c>
      <c r="W14" s="167">
        <f>IF('月間 '!W15="","",'月間 '!W15)</f>
        <v>700</v>
      </c>
      <c r="X14" s="167">
        <f>IF('月間 '!X15="","",'月間 '!X15)</f>
        <v>700</v>
      </c>
      <c r="Y14" s="167">
        <f>IF('月間 '!Y15="","",'月間 '!Y15)</f>
        <v>1589</v>
      </c>
      <c r="Z14" s="106">
        <f>IF('月間 '!Z15="","",'月間 '!Z15)</f>
        <v>1589</v>
      </c>
      <c r="AA14" s="132">
        <f>IF('月間 '!AA15="","",'月間 '!AA15)</f>
        <v>700</v>
      </c>
      <c r="AB14" s="167" t="str">
        <f>IF('月間 '!AB15="","",'月間 '!AB15)</f>
        <v>✕</v>
      </c>
      <c r="AC14" s="167" t="str">
        <f>IF('月間 '!AC15="","",'月間 '!AC15)</f>
        <v/>
      </c>
      <c r="AD14" s="167" t="str">
        <f>IF('月間 '!AD15="","",'月間 '!AD15)</f>
        <v/>
      </c>
      <c r="AE14" s="167" t="str">
        <f>IF('月間 '!AE15="","",'月間 '!AE15)</f>
        <v/>
      </c>
      <c r="AF14" s="167" t="str">
        <f>IF('月間 '!AF15="","",'月間 '!AF15)</f>
        <v/>
      </c>
      <c r="AG14" s="126" t="str">
        <f>IF('月間 '!AG15="","",'月間 '!AG15)</f>
        <v/>
      </c>
      <c r="AH14" s="132" t="str">
        <f>IF('月間 '!AH15="","",'月間 '!AH15)</f>
        <v/>
      </c>
      <c r="AI14" s="70" t="str">
        <f>IF('月間 '!AI15="","",'月間 '!AI15)</f>
        <v>1/9以降見極め(金山室長)/1/13見極め</v>
      </c>
      <c r="AJ14" s="71">
        <f>マスタ!$E$6-'３月月間(乗務員用）'!AK14</f>
        <v>26</v>
      </c>
      <c r="AK14" s="72">
        <f>COUNTIFS(C14:AH14,"✕")+COUNTIFS(C14:AH14,"修理")+COUNTIFS(C14:AH14,"車検")+COUNTIFS(C14:AH14,"研修")</f>
        <v>5</v>
      </c>
      <c r="AL14" s="189">
        <f>AJ14+AM14</f>
        <v>26</v>
      </c>
      <c r="AM14" s="190">
        <f>COUNTIFS(D14:AH14,"✖")</f>
        <v>0</v>
      </c>
    </row>
    <row r="15" spans="1:39" s="44" customFormat="1" ht="54" customHeight="1" thickTop="1" thickBot="1">
      <c r="A15" s="634" t="s">
        <v>51</v>
      </c>
      <c r="B15" s="645"/>
      <c r="C15" s="117" t="s">
        <v>3</v>
      </c>
      <c r="D15" s="161" t="str">
        <f>IF('月間 '!D16="","",'月間 '!D16)</f>
        <v>✕</v>
      </c>
      <c r="E15" s="58" t="str">
        <f>IF('月間 '!E16="","",'月間 '!E16)</f>
        <v>✕</v>
      </c>
      <c r="F15" s="150" t="str">
        <f>IF('月間 '!F16="","",'月間 '!F16)</f>
        <v>✕</v>
      </c>
      <c r="G15" s="169">
        <f>IF('月間 '!G16="","",'月間 '!G16)</f>
        <v>1116</v>
      </c>
      <c r="H15" s="169">
        <f>IF('月間 '!H16="","",'月間 '!H16)</f>
        <v>1116</v>
      </c>
      <c r="I15" s="169">
        <f>IF('月間 '!I16="","",'月間 '!I16)</f>
        <v>1116</v>
      </c>
      <c r="J15" s="169">
        <f>IF('月間 '!J16="","",'月間 '!J16)</f>
        <v>1116</v>
      </c>
      <c r="K15" s="169">
        <f>IF('月間 '!K16="","",'月間 '!K16)</f>
        <v>1116</v>
      </c>
      <c r="L15" s="58">
        <f>IF('月間 '!L16="","",'月間 '!L16)</f>
        <v>1116</v>
      </c>
      <c r="M15" s="138">
        <f>IF('月間 '!M16="","",'月間 '!M16)</f>
        <v>1116</v>
      </c>
      <c r="N15" s="169" t="str">
        <f>IF('月間 '!N16="","",'月間 '!N16)</f>
        <v>✕</v>
      </c>
      <c r="O15" s="169">
        <f>IF('月間 '!O16="","",'月間 '!O16)</f>
        <v>1116</v>
      </c>
      <c r="P15" s="169">
        <f>IF('月間 '!P16="","",'月間 '!P16)</f>
        <v>1116</v>
      </c>
      <c r="Q15" s="169">
        <f>IF('月間 '!Q16="","",'月間 '!Q16)</f>
        <v>1116</v>
      </c>
      <c r="R15" s="169">
        <f>IF('月間 '!R16="","",'月間 '!R16)</f>
        <v>1116</v>
      </c>
      <c r="S15" s="58">
        <f>IF('月間 '!S16="","",'月間 '!S16)</f>
        <v>1116</v>
      </c>
      <c r="T15" s="138" t="str">
        <f>IF('月間 '!T16="","",'月間 '!T16)</f>
        <v/>
      </c>
      <c r="U15" s="169" t="str">
        <f>IF('月間 '!U16="","",'月間 '!U16)</f>
        <v/>
      </c>
      <c r="V15" s="169">
        <f>IF('月間 '!V16="","",'月間 '!V16)</f>
        <v>1116</v>
      </c>
      <c r="W15" s="169">
        <f>IF('月間 '!W16="","",'月間 '!W16)</f>
        <v>1116</v>
      </c>
      <c r="X15" s="169">
        <f>IF('月間 '!X16="","",'月間 '!X16)</f>
        <v>1116</v>
      </c>
      <c r="Y15" s="169">
        <f>IF('月間 '!Y16="","",'月間 '!Y16)</f>
        <v>1116</v>
      </c>
      <c r="Z15" s="58">
        <f>IF('月間 '!Z16="","",'月間 '!Z16)</f>
        <v>1116</v>
      </c>
      <c r="AA15" s="138">
        <f>IF('月間 '!AA16="","",'月間 '!AA16)</f>
        <v>1116</v>
      </c>
      <c r="AB15" s="169" t="str">
        <f>IF('月間 '!AB16="","",'月間 '!AB16)</f>
        <v>✕</v>
      </c>
      <c r="AC15" s="169">
        <f>IF('月間 '!AC16="","",'月間 '!AC16)</f>
        <v>1116</v>
      </c>
      <c r="AD15" s="169">
        <f>IF('月間 '!AD16="","",'月間 '!AD16)</f>
        <v>1116</v>
      </c>
      <c r="AE15" s="169">
        <f>IF('月間 '!AE16="","",'月間 '!AE16)</f>
        <v>1116</v>
      </c>
      <c r="AF15" s="169">
        <f>IF('月間 '!AF16="","",'月間 '!AF16)</f>
        <v>1116</v>
      </c>
      <c r="AG15" s="58">
        <f>IF('月間 '!AG16="","",'月間 '!AG16)</f>
        <v>1116</v>
      </c>
      <c r="AH15" s="138">
        <f>IF('月間 '!AH16="","",'月間 '!AH16)</f>
        <v>1116</v>
      </c>
      <c r="AI15" s="118" t="str">
        <f>IF('月間 '!AI16="","",'月間 '!AI16)</f>
        <v/>
      </c>
      <c r="AJ15" s="71">
        <f>マスタ!$E$6-'３月月間(乗務員用）'!AK15</f>
        <v>26</v>
      </c>
      <c r="AK15" s="72">
        <f>COUNTIFS(D15:AH15,"✕")+COUNTIFS(D15:AH15,"出荷無")+COUNTIFS(D15:AH15,"発注無")+COUNTIFS(D15:AH15,"修理")+COUNTIFS(D15:AH15,"車検")</f>
        <v>5</v>
      </c>
      <c r="AL15" s="191"/>
      <c r="AM15" s="192"/>
    </row>
    <row r="16" spans="1:39" s="44" customFormat="1" ht="54" customHeight="1" thickTop="1" thickBot="1">
      <c r="A16" s="646" t="s">
        <v>102</v>
      </c>
      <c r="B16" s="647"/>
      <c r="C16" s="53" t="s">
        <v>11</v>
      </c>
      <c r="D16" s="162" t="e">
        <f>IF('月間 '!#REF!="","",'月間 '!#REF!)</f>
        <v>#REF!</v>
      </c>
      <c r="E16" s="127" t="e">
        <f>IF('月間 '!#REF!="","",'月間 '!#REF!)</f>
        <v>#REF!</v>
      </c>
      <c r="F16" s="151" t="e">
        <f>IF('月間 '!#REF!="","",'月間 '!#REF!)</f>
        <v>#REF!</v>
      </c>
      <c r="G16" s="180" t="e">
        <f>IF('月間 '!#REF!="","",'月間 '!#REF!)</f>
        <v>#REF!</v>
      </c>
      <c r="H16" s="168" t="e">
        <f>IF('月間 '!#REF!="","",'月間 '!#REF!)</f>
        <v>#REF!</v>
      </c>
      <c r="I16" s="180" t="e">
        <f>IF('月間 '!#REF!="","",'月間 '!#REF!)</f>
        <v>#REF!</v>
      </c>
      <c r="J16" s="168" t="e">
        <f>IF('月間 '!#REF!="","",'月間 '!#REF!)</f>
        <v>#REF!</v>
      </c>
      <c r="K16" s="168" t="e">
        <f>IF('月間 '!#REF!="","",'月間 '!#REF!)</f>
        <v>#REF!</v>
      </c>
      <c r="L16" s="127" t="e">
        <f>IF('月間 '!#REF!="","",'月間 '!#REF!)</f>
        <v>#REF!</v>
      </c>
      <c r="M16" s="130" t="e">
        <f>IF('月間 '!#REF!="","",'月間 '!#REF!)</f>
        <v>#REF!</v>
      </c>
      <c r="N16" s="168" t="e">
        <f>IF('月間 '!#REF!="","",'月間 '!#REF!)</f>
        <v>#REF!</v>
      </c>
      <c r="O16" s="168" t="e">
        <f>IF('月間 '!#REF!="","",'月間 '!#REF!)</f>
        <v>#REF!</v>
      </c>
      <c r="P16" s="168" t="e">
        <f>IF('月間 '!#REF!="","",'月間 '!#REF!)</f>
        <v>#REF!</v>
      </c>
      <c r="Q16" s="168" t="e">
        <f>IF('月間 '!#REF!="","",'月間 '!#REF!)</f>
        <v>#REF!</v>
      </c>
      <c r="R16" s="168" t="e">
        <f>IF('月間 '!#REF!="","",'月間 '!#REF!)</f>
        <v>#REF!</v>
      </c>
      <c r="S16" s="127" t="e">
        <f>IF('月間 '!#REF!="","",'月間 '!#REF!)</f>
        <v>#REF!</v>
      </c>
      <c r="T16" s="130" t="e">
        <f>IF('月間 '!#REF!="","",'月間 '!#REF!)</f>
        <v>#REF!</v>
      </c>
      <c r="U16" s="168" t="e">
        <f>IF('月間 '!#REF!="","",'月間 '!#REF!)</f>
        <v>#REF!</v>
      </c>
      <c r="V16" s="168" t="e">
        <f>IF('月間 '!#REF!="","",'月間 '!#REF!)</f>
        <v>#REF!</v>
      </c>
      <c r="W16" s="168" t="e">
        <f>IF('月間 '!#REF!="","",'月間 '!#REF!)</f>
        <v>#REF!</v>
      </c>
      <c r="X16" s="168" t="e">
        <f>IF('月間 '!#REF!="","",'月間 '!#REF!)</f>
        <v>#REF!</v>
      </c>
      <c r="Y16" s="168" t="e">
        <f>IF('月間 '!#REF!="","",'月間 '!#REF!)</f>
        <v>#REF!</v>
      </c>
      <c r="Z16" s="127" t="e">
        <f>IF('月間 '!#REF!="","",'月間 '!#REF!)</f>
        <v>#REF!</v>
      </c>
      <c r="AA16" s="130" t="e">
        <f>IF('月間 '!#REF!="","",'月間 '!#REF!)</f>
        <v>#REF!</v>
      </c>
      <c r="AB16" s="168" t="e">
        <f>IF('月間 '!#REF!="","",'月間 '!#REF!)</f>
        <v>#REF!</v>
      </c>
      <c r="AC16" s="168" t="e">
        <f>IF('月間 '!#REF!="","",'月間 '!#REF!)</f>
        <v>#REF!</v>
      </c>
      <c r="AD16" s="168" t="e">
        <f>IF('月間 '!#REF!="","",'月間 '!#REF!)</f>
        <v>#REF!</v>
      </c>
      <c r="AE16" s="168" t="e">
        <f>IF('月間 '!#REF!="","",'月間 '!#REF!)</f>
        <v>#REF!</v>
      </c>
      <c r="AF16" s="168" t="e">
        <f>IF('月間 '!#REF!="","",'月間 '!#REF!)</f>
        <v>#REF!</v>
      </c>
      <c r="AG16" s="127" t="e">
        <f>IF('月間 '!#REF!="","",'月間 '!#REF!)</f>
        <v>#REF!</v>
      </c>
      <c r="AH16" s="130" t="e">
        <f>IF('月間 '!#REF!="","",'月間 '!#REF!)</f>
        <v>#REF!</v>
      </c>
      <c r="AI16" s="73" t="e">
        <f>IF('月間 '!#REF!="","",'月間 '!#REF!)</f>
        <v>#REF!</v>
      </c>
      <c r="AJ16" s="74">
        <f>マスタ!$E$6-'３月月間(乗務員用）'!AK16</f>
        <v>31</v>
      </c>
      <c r="AK16" s="75">
        <f>COUNTIFS(D16:AH16,"✕")+COUNTIFS(D16:AH16,"出荷無")+COUNTIFS(D16:AH16,"発注無")+COUNTIFS(D16:AH16,"修理")+COUNTIFS(D16:AH16,"車検")</f>
        <v>0</v>
      </c>
      <c r="AL16" s="193"/>
      <c r="AM16" s="194"/>
    </row>
    <row r="17" spans="1:39" s="44" customFormat="1" ht="54" customHeight="1" thickTop="1">
      <c r="A17" s="636" t="s">
        <v>100</v>
      </c>
      <c r="B17" s="638"/>
      <c r="C17" s="10" t="s">
        <v>1</v>
      </c>
      <c r="D17" s="158" t="str">
        <f>IF('月間 '!D18="","",'月間 '!D18)</f>
        <v>✕</v>
      </c>
      <c r="E17" s="106" t="str">
        <f>IF('月間 '!E18="","",'月間 '!E18)</f>
        <v>✕</v>
      </c>
      <c r="F17" s="140" t="str">
        <f>IF('月間 '!F18="","",'月間 '!F18)</f>
        <v>✕</v>
      </c>
      <c r="G17" s="167" t="str">
        <f>IF('月間 '!G18="","",'月間 '!G18)</f>
        <v>✕</v>
      </c>
      <c r="H17" s="167">
        <f>IF('月間 '!H18="","",'月間 '!H18)</f>
        <v>700</v>
      </c>
      <c r="I17" s="167">
        <f>IF('月間 '!I18="","",'月間 '!I18)</f>
        <v>700</v>
      </c>
      <c r="J17" s="167">
        <f>IF('月間 '!J18="","",'月間 '!J18)</f>
        <v>700</v>
      </c>
      <c r="K17" s="167">
        <f>IF('月間 '!K18="","",'月間 '!K18)</f>
        <v>700</v>
      </c>
      <c r="L17" s="106">
        <f>IF('月間 '!L18="","",'月間 '!L18)</f>
        <v>700</v>
      </c>
      <c r="M17" s="132">
        <f>IF('月間 '!M18="","",'月間 '!M18)</f>
        <v>700</v>
      </c>
      <c r="N17" s="167" t="str">
        <f>IF('月間 '!N18="","",'月間 '!N18)</f>
        <v>✕</v>
      </c>
      <c r="O17" s="167">
        <f>IF('月間 '!O18="","",'月間 '!O18)</f>
        <v>643</v>
      </c>
      <c r="P17" s="167">
        <f>IF('月間 '!P18="","",'月間 '!P18)</f>
        <v>700</v>
      </c>
      <c r="Q17" s="167">
        <f>IF('月間 '!Q18="","",'月間 '!Q18)</f>
        <v>700</v>
      </c>
      <c r="R17" s="167">
        <f>IF('月間 '!R18="","",'月間 '!R18)</f>
        <v>700</v>
      </c>
      <c r="S17" s="106">
        <f>IF('月間 '!S18="","",'月間 '!S18)</f>
        <v>700</v>
      </c>
      <c r="T17" s="132">
        <f>IF('月間 '!T18="","",'月間 '!T18)</f>
        <v>700</v>
      </c>
      <c r="U17" s="167" t="str">
        <f>IF('月間 '!U18="","",'月間 '!U18)</f>
        <v>✕</v>
      </c>
      <c r="V17" s="167">
        <f>IF('月間 '!V18="","",'月間 '!V18)</f>
        <v>700</v>
      </c>
      <c r="W17" s="167">
        <f>IF('月間 '!W18="","",'月間 '!W18)</f>
        <v>700</v>
      </c>
      <c r="X17" s="167">
        <f>IF('月間 '!X18="","",'月間 '!X18)</f>
        <v>700</v>
      </c>
      <c r="Y17" s="167">
        <f>IF('月間 '!Y18="","",'月間 '!Y18)</f>
        <v>700</v>
      </c>
      <c r="Z17" s="106">
        <f>IF('月間 '!Z18="","",'月間 '!Z18)</f>
        <v>700</v>
      </c>
      <c r="AA17" s="132">
        <f>IF('月間 '!AA18="","",'月間 '!AA18)</f>
        <v>700</v>
      </c>
      <c r="AB17" s="167" t="str">
        <f>IF('月間 '!AB18="","",'月間 '!AB18)</f>
        <v>✕</v>
      </c>
      <c r="AC17" s="167" t="str">
        <f>IF('月間 '!AC18="","",'月間 '!AC18)</f>
        <v/>
      </c>
      <c r="AD17" s="167" t="str">
        <f>IF('月間 '!AD18="","",'月間 '!AD18)</f>
        <v/>
      </c>
      <c r="AE17" s="167" t="str">
        <f>IF('月間 '!AE18="","",'月間 '!AE18)</f>
        <v/>
      </c>
      <c r="AF17" s="167" t="str">
        <f>IF('月間 '!AF18="","",'月間 '!AF18)</f>
        <v/>
      </c>
      <c r="AG17" s="106" t="str">
        <f>IF('月間 '!AG18="","",'月間 '!AG18)</f>
        <v/>
      </c>
      <c r="AH17" s="132" t="str">
        <f>IF('月間 '!AH18="","",'月間 '!AH18)</f>
        <v/>
      </c>
      <c r="AI17" s="146" t="str">
        <f>IF('月間 '!AI18="","",'月間 '!AI18)</f>
        <v>1/8係長・班長会議</v>
      </c>
      <c r="AJ17" s="76">
        <f>マスタ!$E$6-'３月月間(乗務員用）'!AK17</f>
        <v>24</v>
      </c>
      <c r="AK17" s="77">
        <f>COUNTIFS(C17:AH17,"✕")+COUNTIFS(C17:AH17,"修理")+COUNTIFS(C17:AH17,"車検")+COUNTIFS(C17:AH17,"研修")</f>
        <v>7</v>
      </c>
      <c r="AL17" s="193"/>
      <c r="AM17" s="194"/>
    </row>
    <row r="18" spans="1:39" s="44" customFormat="1" ht="54" customHeight="1">
      <c r="A18" s="627" t="s">
        <v>109</v>
      </c>
      <c r="B18" s="633"/>
      <c r="C18" s="15" t="s">
        <v>1</v>
      </c>
      <c r="D18" s="159" t="str">
        <f>IF('月間 '!D19="","",'月間 '!D19)</f>
        <v>✕</v>
      </c>
      <c r="E18" s="106" t="str">
        <f>IF('月間 '!E19="","",'月間 '!E19)</f>
        <v>✕</v>
      </c>
      <c r="F18" s="140" t="str">
        <f>IF('月間 '!F19="","",'月間 '!F19)</f>
        <v>✕</v>
      </c>
      <c r="G18" s="167" t="str">
        <f>IF('月間 '!G19="","",'月間 '!G19)</f>
        <v>✕</v>
      </c>
      <c r="H18" s="167" t="str">
        <f>IF('月間 '!H19="","",'月間 '!H19)</f>
        <v>✕</v>
      </c>
      <c r="I18" s="167">
        <f>IF('月間 '!P19="","",'月間 '!P19)</f>
        <v>3640</v>
      </c>
      <c r="J18" s="167">
        <f>IF('月間 '!J19="","",'月間 '!J19)</f>
        <v>3640</v>
      </c>
      <c r="K18" s="167">
        <f>IF('月間 '!K19="","",'月間 '!K19)</f>
        <v>3640</v>
      </c>
      <c r="L18" s="106">
        <f>IF('月間 '!L19="","",'月間 '!L19)</f>
        <v>3640</v>
      </c>
      <c r="M18" s="132">
        <f>IF('月間 '!M19="","",'月間 '!M19)</f>
        <v>3640</v>
      </c>
      <c r="N18" s="167" t="str">
        <f>IF('月間 '!N19="","",'月間 '!N19)</f>
        <v>✕</v>
      </c>
      <c r="O18" s="167">
        <f>IF('月間 '!O19="","",'月間 '!O19)</f>
        <v>3640</v>
      </c>
      <c r="P18" s="167" t="e">
        <f>IF('月間 '!#REF!="","",'月間 '!#REF!)</f>
        <v>#REF!</v>
      </c>
      <c r="Q18" s="167">
        <f>IF('月間 '!Q19="","",'月間 '!Q19)</f>
        <v>3640</v>
      </c>
      <c r="R18" s="167">
        <f>IF('月間 '!R19="","",'月間 '!R19)</f>
        <v>3640</v>
      </c>
      <c r="S18" s="106">
        <f>IF('月間 '!S19="","",'月間 '!S19)</f>
        <v>3640</v>
      </c>
      <c r="T18" s="132" t="str">
        <f>IF('月間 '!T19="","",'月間 '!T19)</f>
        <v>✕</v>
      </c>
      <c r="U18" s="167">
        <f>IF('月間 '!U19="","",'月間 '!U19)</f>
        <v>3640</v>
      </c>
      <c r="V18" s="167">
        <f>IF('月間 '!V19="","",'月間 '!V19)</f>
        <v>3640</v>
      </c>
      <c r="W18" s="167">
        <f>IF('月間 '!W19="","",'月間 '!W19)</f>
        <v>3640</v>
      </c>
      <c r="X18" s="167">
        <f>IF('月間 '!X19="","",'月間 '!X19)</f>
        <v>3640</v>
      </c>
      <c r="Y18" s="167">
        <f>IF('月間 '!Y19="","",'月間 '!Y19)</f>
        <v>3640</v>
      </c>
      <c r="Z18" s="106">
        <f>IF('月間 '!Z19="","",'月間 '!Z19)</f>
        <v>3640</v>
      </c>
      <c r="AA18" s="132">
        <f>IF('月間 '!AA19="","",'月間 '!AA19)</f>
        <v>3640</v>
      </c>
      <c r="AB18" s="167" t="str">
        <f>IF('月間 '!AB19="","",'月間 '!AB19)</f>
        <v>✕</v>
      </c>
      <c r="AC18" s="167" t="str">
        <f>IF('月間 '!AC19="","",'月間 '!AC19)</f>
        <v/>
      </c>
      <c r="AD18" s="167" t="str">
        <f>IF('月間 '!AD19="","",'月間 '!AD19)</f>
        <v/>
      </c>
      <c r="AE18" s="167" t="str">
        <f>IF('月間 '!AD35="","",'月間 '!AD35)</f>
        <v/>
      </c>
      <c r="AF18" s="167" t="str">
        <f>IF('月間 '!AF19="","",'月間 '!AF19)</f>
        <v/>
      </c>
      <c r="AG18" s="106" t="str">
        <f>IF('月間 '!AG19="","",'月間 '!AG19)</f>
        <v/>
      </c>
      <c r="AH18" s="132" t="str">
        <f>IF('月間 '!AH19="","",'月間 '!AH19)</f>
        <v/>
      </c>
      <c r="AI18" s="67" t="str">
        <f>IF('月間 '!AI19="","",'月間 '!AI19)</f>
        <v>1/5日通院</v>
      </c>
      <c r="AJ18" s="68">
        <f>マスタ!$E$6-'３月月間(乗務員用）'!AK18</f>
        <v>23</v>
      </c>
      <c r="AK18" s="69">
        <f>COUNTIFS(C18:AH18,"✕")+COUNTIFS(C18:AH18,"修理")+COUNTIFS(C18:AH18,"車検")+COUNTIFS(C18:AH18,"研修")</f>
        <v>8</v>
      </c>
      <c r="AL18" s="193"/>
      <c r="AM18" s="194"/>
    </row>
    <row r="19" spans="1:39" s="44" customFormat="1" ht="54" customHeight="1">
      <c r="A19" s="627" t="s">
        <v>110</v>
      </c>
      <c r="B19" s="633"/>
      <c r="C19" s="15" t="s">
        <v>1</v>
      </c>
      <c r="D19" s="159" t="str">
        <f>IF('月間 '!D20="","",'月間 '!D20)</f>
        <v/>
      </c>
      <c r="E19" s="106" t="str">
        <f>IF('月間 '!E20="","",'月間 '!E20)</f>
        <v/>
      </c>
      <c r="F19" s="140" t="str">
        <f>IF('月間 '!F20="","",'月間 '!F20)</f>
        <v/>
      </c>
      <c r="G19" s="167" t="str">
        <f>IF('月間 '!G20="","",'月間 '!G20)</f>
        <v/>
      </c>
      <c r="H19" s="167" t="str">
        <f>IF('月間 '!H20="","",'月間 '!H20)</f>
        <v/>
      </c>
      <c r="I19" s="167" t="str">
        <f>IF('月間 '!I20="","",'月間 '!I20)</f>
        <v/>
      </c>
      <c r="J19" s="167" t="str">
        <f>IF('月間 '!J20="","",'月間 '!J20)</f>
        <v/>
      </c>
      <c r="K19" s="167" t="str">
        <f>IF('月間 '!K20="","",'月間 '!K20)</f>
        <v/>
      </c>
      <c r="L19" s="106" t="str">
        <f>IF('月間 '!L20="","",'月間 '!L20)</f>
        <v/>
      </c>
      <c r="M19" s="134" t="str">
        <f>IF('月間 '!M20="","",'月間 '!M20)</f>
        <v/>
      </c>
      <c r="N19" s="167" t="str">
        <f>IF('月間 '!N20="","",'月間 '!N20)</f>
        <v/>
      </c>
      <c r="O19" s="167" t="str">
        <f>IF('月間 '!O20="","",'月間 '!O20)</f>
        <v/>
      </c>
      <c r="P19" s="167" t="str">
        <f>IF('月間 '!P20="","",'月間 '!P20)</f>
        <v/>
      </c>
      <c r="Q19" s="167" t="str">
        <f>IF('月間 '!Q20="","",'月間 '!Q20)</f>
        <v/>
      </c>
      <c r="R19" s="167" t="str">
        <f>IF('月間 '!R20="","",'月間 '!R20)</f>
        <v/>
      </c>
      <c r="S19" s="106" t="str">
        <f>IF('月間 '!S20="","",'月間 '!S20)</f>
        <v/>
      </c>
      <c r="T19" s="134" t="str">
        <f>IF('月間 '!T20="","",'月間 '!T20)</f>
        <v/>
      </c>
      <c r="U19" s="167" t="str">
        <f>IF('月間 '!U20="","",'月間 '!U20)</f>
        <v/>
      </c>
      <c r="V19" s="167" t="str">
        <f>IF('月間 '!V20="","",'月間 '!V20)</f>
        <v/>
      </c>
      <c r="W19" s="167" t="str">
        <f>IF('月間 '!W20="","",'月間 '!W20)</f>
        <v/>
      </c>
      <c r="X19" s="167" t="str">
        <f>IF('月間 '!X20="","",'月間 '!X20)</f>
        <v/>
      </c>
      <c r="Y19" s="167" t="str">
        <f>IF('月間 '!Y20="","",'月間 '!Y20)</f>
        <v/>
      </c>
      <c r="Z19" s="106" t="str">
        <f>IF('月間 '!Z20="","",'月間 '!Z20)</f>
        <v/>
      </c>
      <c r="AA19" s="134" t="str">
        <f>IF('月間 '!AA20="","",'月間 '!AA20)</f>
        <v/>
      </c>
      <c r="AB19" s="167" t="str">
        <f>IF('月間 '!AB20="","",'月間 '!AB20)</f>
        <v/>
      </c>
      <c r="AC19" s="167" t="str">
        <f>IF('月間 '!AC20="","",'月間 '!AC20)</f>
        <v/>
      </c>
      <c r="AD19" s="167" t="str">
        <f>IF('月間 '!AD20="","",'月間 '!AD20)</f>
        <v/>
      </c>
      <c r="AE19" s="167" t="str">
        <f>IF('月間 '!AE20="","",'月間 '!AE20)</f>
        <v/>
      </c>
      <c r="AF19" s="167" t="str">
        <f>IF('月間 '!AF20="","",'月間 '!AF20)</f>
        <v/>
      </c>
      <c r="AG19" s="106" t="str">
        <f>IF('月間 '!AG20="","",'月間 '!AG20)</f>
        <v/>
      </c>
      <c r="AH19" s="134" t="str">
        <f>IF('月間 '!AH20="","",'月間 '!AH20)</f>
        <v/>
      </c>
      <c r="AI19" s="78" t="str">
        <f>IF('月間 '!AI20="","",'月間 '!AI20)</f>
        <v/>
      </c>
      <c r="AJ19" s="68">
        <f>マスタ!$E$6-'３月月間(乗務員用）'!AK19</f>
        <v>31</v>
      </c>
      <c r="AK19" s="69">
        <f>COUNTIFS(C19:AH19,"✕")+COUNTIFS(C19:AH19,"修理")+COUNTIFS(C19:AH19,"車検")+COUNTIFS(C19:AH19,"研修")</f>
        <v>0</v>
      </c>
      <c r="AL19" s="193"/>
      <c r="AM19" s="194"/>
    </row>
    <row r="20" spans="1:39" s="44" customFormat="1" ht="54" customHeight="1">
      <c r="A20" s="627" t="s">
        <v>111</v>
      </c>
      <c r="B20" s="633"/>
      <c r="C20" s="15" t="s">
        <v>1</v>
      </c>
      <c r="D20" s="159" t="str">
        <f>IF('月間 '!D21="","",'月間 '!D21)</f>
        <v>✕</v>
      </c>
      <c r="E20" s="106" t="str">
        <f>IF('月間 '!E21="","",'月間 '!E21)</f>
        <v>✕</v>
      </c>
      <c r="F20" s="140" t="str">
        <f>IF('月間 '!F21="","",'月間 '!F21)</f>
        <v>✕</v>
      </c>
      <c r="G20" s="167" t="str">
        <f>IF('月間 '!G21="","",'月間 '!G21)</f>
        <v>✕</v>
      </c>
      <c r="H20" s="167" t="str">
        <f>IF('月間 '!H21="","",'月間 '!H21)</f>
        <v>✕</v>
      </c>
      <c r="I20" s="167" t="str">
        <f>IF('月間 '!I21="","",'月間 '!I21)</f>
        <v>✕</v>
      </c>
      <c r="J20" s="167" t="str">
        <f>IF('月間 '!J21="","",'月間 '!J21)</f>
        <v>✕</v>
      </c>
      <c r="K20" s="167" t="str">
        <f>IF('月間 '!K21="","",'月間 '!K21)</f>
        <v>✕</v>
      </c>
      <c r="L20" s="106" t="str">
        <f>IF('月間 '!L21="","",'月間 '!L21)</f>
        <v>✕</v>
      </c>
      <c r="M20" s="132" t="str">
        <f>IF('月間 '!M21="","",'月間 '!M21)</f>
        <v>✕</v>
      </c>
      <c r="N20" s="167" t="str">
        <f>IF('月間 '!N21="","",'月間 '!N21)</f>
        <v>✕</v>
      </c>
      <c r="O20" s="167" t="str">
        <f>IF('月間 '!O21="","",'月間 '!O21)</f>
        <v>✕</v>
      </c>
      <c r="P20" s="167" t="str">
        <f>IF('月間 '!P21="","",'月間 '!P21)</f>
        <v>✕</v>
      </c>
      <c r="Q20" s="167" t="str">
        <f>IF('月間 '!Q21="","",'月間 '!Q21)</f>
        <v>✕</v>
      </c>
      <c r="R20" s="167" t="str">
        <f>IF('月間 '!R21="","",'月間 '!R21)</f>
        <v>✕</v>
      </c>
      <c r="S20" s="106" t="str">
        <f>IF('月間 '!S21="","",'月間 '!S21)</f>
        <v>✕</v>
      </c>
      <c r="T20" s="132" t="str">
        <f>IF('月間 '!T21="","",'月間 '!T21)</f>
        <v>✕</v>
      </c>
      <c r="U20" s="167" t="str">
        <f>IF('月間 '!U21="","",'月間 '!U21)</f>
        <v>✕</v>
      </c>
      <c r="V20" s="167" t="str">
        <f>IF('月間 '!V21="","",'月間 '!V21)</f>
        <v>✕</v>
      </c>
      <c r="W20" s="167" t="str">
        <f>IF('月間 '!W21="","",'月間 '!W21)</f>
        <v>✕</v>
      </c>
      <c r="X20" s="167" t="str">
        <f>IF('月間 '!X21="","",'月間 '!X21)</f>
        <v>✕</v>
      </c>
      <c r="Y20" s="167" t="str">
        <f>IF('月間 '!Y21="","",'月間 '!Y21)</f>
        <v>✕</v>
      </c>
      <c r="Z20" s="106" t="str">
        <f>IF('月間 '!Z21="","",'月間 '!Z21)</f>
        <v>✕</v>
      </c>
      <c r="AA20" s="132" t="str">
        <f>IF('月間 '!AA21="","",'月間 '!AA21)</f>
        <v>✕</v>
      </c>
      <c r="AB20" s="167" t="str">
        <f>IF('月間 '!AB21="","",'月間 '!AB21)</f>
        <v>✕</v>
      </c>
      <c r="AC20" s="167" t="str">
        <f>IF('月間 '!AC21="","",'月間 '!AC21)</f>
        <v>✕</v>
      </c>
      <c r="AD20" s="167" t="str">
        <f>IF('月間 '!AD21="","",'月間 '!AD21)</f>
        <v>✕</v>
      </c>
      <c r="AE20" s="167" t="str">
        <f>IF('月間 '!AE21="","",'月間 '!AE21)</f>
        <v>✕</v>
      </c>
      <c r="AF20" s="167" t="str">
        <f>IF('月間 '!AF21="","",'月間 '!AF21)</f>
        <v>✕</v>
      </c>
      <c r="AG20" s="106" t="str">
        <f>IF('月間 '!AG21="","",'月間 '!AG21)</f>
        <v>✕</v>
      </c>
      <c r="AH20" s="132" t="str">
        <f>IF('月間 '!AH21="","",'月間 '!AH21)</f>
        <v>✕</v>
      </c>
      <c r="AI20" s="16" t="str">
        <f>IF('月間 '!AI21="","",'月間 '!AI21)</f>
        <v>眼病療養中</v>
      </c>
      <c r="AJ20" s="68">
        <f>マスタ!$E$6-'３月月間(乗務員用）'!AK20</f>
        <v>0</v>
      </c>
      <c r="AK20" s="69">
        <f>COUNTIFS(D20:AH20,"✕")+COUNTIFS(D20:AH20,"出荷無")+COUNTIFS(D20:AH20,"発注無")+COUNTIFS(D20:AH20,"修理")+COUNTIFS(D20:AH20,"車検")</f>
        <v>31</v>
      </c>
      <c r="AL20" s="193"/>
      <c r="AM20" s="194"/>
    </row>
    <row r="21" spans="1:39" s="44" customFormat="1" ht="54" customHeight="1" thickBot="1">
      <c r="A21" s="641" t="s">
        <v>112</v>
      </c>
      <c r="B21" s="642"/>
      <c r="C21" s="52" t="s">
        <v>1</v>
      </c>
      <c r="D21" s="161" t="str">
        <f>IF('月間 '!D22="","",'月間 '!D22)</f>
        <v>✕</v>
      </c>
      <c r="E21" s="58" t="str">
        <f>IF('月間 '!E22="","",'月間 '!E22)</f>
        <v>✕</v>
      </c>
      <c r="F21" s="150">
        <f>IF('月間 '!F22="","",'月間 '!F22)</f>
        <v>2401</v>
      </c>
      <c r="G21" s="169" t="str">
        <f>IF('月間 '!G22="","",'月間 '!G22)</f>
        <v>✕</v>
      </c>
      <c r="H21" s="169">
        <f>IF('月間 '!H22="","",'月間 '!H22)</f>
        <v>2401</v>
      </c>
      <c r="I21" s="169">
        <f>IF('月間 '!I22="","",'月間 '!I22)</f>
        <v>2401</v>
      </c>
      <c r="J21" s="169">
        <f>IF('月間 '!J22="","",'月間 '!J22)</f>
        <v>2401</v>
      </c>
      <c r="K21" s="169">
        <f>IF('月間 '!K22="","",'月間 '!K22)</f>
        <v>2401</v>
      </c>
      <c r="L21" s="58">
        <f>IF('月間 '!L22="","",'月間 '!L22)</f>
        <v>2401</v>
      </c>
      <c r="M21" s="129" t="str">
        <f>IF('月間 '!M22="","",'月間 '!M22)</f>
        <v>✕</v>
      </c>
      <c r="N21" s="169">
        <f>IF('月間 '!N22="","",'月間 '!N22)</f>
        <v>2401</v>
      </c>
      <c r="O21" s="169">
        <f>IF('月間 '!O22="","",'月間 '!O22)</f>
        <v>2401</v>
      </c>
      <c r="P21" s="169">
        <f>IF('月間 '!P22="","",'月間 '!P22)</f>
        <v>2401</v>
      </c>
      <c r="Q21" s="169">
        <f>IF('月間 '!Q22="","",'月間 '!Q22)</f>
        <v>2401</v>
      </c>
      <c r="R21" s="169">
        <f>IF('月間 '!R22="","",'月間 '!R22)</f>
        <v>2401</v>
      </c>
      <c r="S21" s="58">
        <f>IF('月間 '!S22="","",'月間 '!S22)</f>
        <v>2401</v>
      </c>
      <c r="T21" s="129">
        <f>IF('月間 '!T22="","",'月間 '!T22)</f>
        <v>2401</v>
      </c>
      <c r="U21" s="169" t="str">
        <f>IF('月間 '!U22="","",'月間 '!U22)</f>
        <v>✕</v>
      </c>
      <c r="V21" s="169">
        <f>IF('月間 '!V22="","",'月間 '!V22)</f>
        <v>2401</v>
      </c>
      <c r="W21" s="169">
        <f>IF('月間 '!W22="","",'月間 '!W22)</f>
        <v>2401</v>
      </c>
      <c r="X21" s="169">
        <f>IF('月間 '!X22="","",'月間 '!X22)</f>
        <v>2401</v>
      </c>
      <c r="Y21" s="169">
        <f>IF('月間 '!Y22="","",'月間 '!Y22)</f>
        <v>2401</v>
      </c>
      <c r="Z21" s="58">
        <f>IF('月間 '!Z22="","",'月間 '!Z22)</f>
        <v>2401</v>
      </c>
      <c r="AA21" s="129" t="str">
        <f>IF('月間 '!AA22="","",'月間 '!AA22)</f>
        <v>✕</v>
      </c>
      <c r="AB21" s="169">
        <f>IF('月間 '!AB22="","",'月間 '!AB22)</f>
        <v>2401</v>
      </c>
      <c r="AC21" s="169" t="str">
        <f>IF('月間 '!AC22="","",'月間 '!AC22)</f>
        <v/>
      </c>
      <c r="AD21" s="169" t="str">
        <f>IF('月間 '!AD22="","",'月間 '!AD22)</f>
        <v/>
      </c>
      <c r="AE21" s="169" t="str">
        <f>IF('月間 '!AE22="","",'月間 '!AE22)</f>
        <v/>
      </c>
      <c r="AF21" s="169" t="str">
        <f>IF('月間 '!AF22="","",'月間 '!AF22)</f>
        <v/>
      </c>
      <c r="AG21" s="58" t="str">
        <f>IF('月間 '!AG22="","",'月間 '!AG22)</f>
        <v/>
      </c>
      <c r="AH21" s="129" t="str">
        <f>IF('月間 '!AH22="","",'月間 '!AH22)</f>
        <v/>
      </c>
      <c r="AI21" s="156" t="str">
        <f>IF('月間 '!AI22="","",'月間 '!AI22)</f>
        <v/>
      </c>
      <c r="AJ21" s="71">
        <f>マスタ!$E$6-'３月月間(乗務員用）'!AK21</f>
        <v>25</v>
      </c>
      <c r="AK21" s="72">
        <f>COUNTIFS(C21:AH21,"✕")+COUNTIFS(C21:AH21,"修理")+COUNTIFS(C21:AH21,"車検")+COUNTIFS(C21:AH21,"研修")</f>
        <v>6</v>
      </c>
      <c r="AL21" s="193"/>
      <c r="AM21" s="194"/>
    </row>
    <row r="22" spans="1:39" s="44" customFormat="1" ht="54" customHeight="1">
      <c r="A22" s="643" t="s">
        <v>2</v>
      </c>
      <c r="B22" s="644"/>
      <c r="C22" s="107" t="s">
        <v>1</v>
      </c>
      <c r="D22" s="163" t="str">
        <f>IF('月間 '!D23="","",'月間 '!D23)</f>
        <v>✕</v>
      </c>
      <c r="E22" s="108">
        <f>IF('月間 '!E23="","",'月間 '!E23)</f>
        <v>19</v>
      </c>
      <c r="F22" s="173" t="str">
        <f>IF('月間 '!F23="","",'月間 '!F23)</f>
        <v>✕</v>
      </c>
      <c r="G22" s="170" t="e">
        <f>IF('月間 '!#REF!="","",'月間 '!#REF!)</f>
        <v>#REF!</v>
      </c>
      <c r="H22" s="170">
        <f>IF('月間 '!H23="","",'月間 '!H23)</f>
        <v>3640</v>
      </c>
      <c r="I22" s="170">
        <f>IF('月間 '!I23="","",'月間 '!I23)</f>
        <v>19</v>
      </c>
      <c r="J22" s="170">
        <f>IF('月間 '!J23="","",'月間 '!J23)</f>
        <v>19</v>
      </c>
      <c r="K22" s="170">
        <f>IF('月間 '!K23="","",'月間 '!K23)</f>
        <v>19</v>
      </c>
      <c r="L22" s="108">
        <f>IF('月間 '!L23="","",'月間 '!L23)</f>
        <v>19</v>
      </c>
      <c r="M22" s="139">
        <f>IF('月間 '!M23="","",'月間 '!M23)</f>
        <v>1136</v>
      </c>
      <c r="N22" s="170">
        <f>IF('月間 '!N23="","",'月間 '!N23)</f>
        <v>384</v>
      </c>
      <c r="O22" s="170">
        <f>IF('月間 '!O23="","",'月間 '!O23)</f>
        <v>384</v>
      </c>
      <c r="P22" s="170">
        <f>IF('月間 '!P23="","",'月間 '!P23)</f>
        <v>384</v>
      </c>
      <c r="Q22" s="170">
        <f>IF('月間 '!Q23="","",'月間 '!Q23)</f>
        <v>384</v>
      </c>
      <c r="R22" s="170">
        <f>IF('月間 '!R23="","",'月間 '!R23)</f>
        <v>384</v>
      </c>
      <c r="S22" s="108">
        <f>IF('月間 '!S23="","",'月間 '!S23)</f>
        <v>384</v>
      </c>
      <c r="T22" s="139" t="str">
        <f>IF('月間 '!T23="","",'月間 '!T23)</f>
        <v>✕</v>
      </c>
      <c r="U22" s="170">
        <f>IF('月間 '!U23="","",'月間 '!U23)</f>
        <v>384</v>
      </c>
      <c r="V22" s="170">
        <f>IF('月間 '!V23="","",'月間 '!V23)</f>
        <v>384</v>
      </c>
      <c r="W22" s="170">
        <f>IF('月間 '!W23="","",'月間 '!W23)</f>
        <v>384</v>
      </c>
      <c r="X22" s="170">
        <f>IF('月間 '!X23="","",'月間 '!X23)</f>
        <v>384</v>
      </c>
      <c r="Y22" s="170">
        <f>IF('月間 '!Y23="","",'月間 '!Y23)</f>
        <v>384</v>
      </c>
      <c r="Z22" s="108">
        <f>IF('月間 '!Z23="","",'月間 '!Z23)</f>
        <v>384</v>
      </c>
      <c r="AA22" s="139">
        <f>IF('月間 '!AA23="","",'月間 '!AA23)</f>
        <v>384</v>
      </c>
      <c r="AB22" s="170" t="str">
        <f>IF('月間 '!AB23="","",'月間 '!AB23)</f>
        <v>✕</v>
      </c>
      <c r="AC22" s="170" t="str">
        <f>IF('月間 '!AC23="","",'月間 '!AC23)</f>
        <v/>
      </c>
      <c r="AD22" s="170" t="str">
        <f>IF('月間 '!AD23="","",'月間 '!AD23)</f>
        <v/>
      </c>
      <c r="AE22" s="170" t="str">
        <f>IF('月間 '!AE23="","",'月間 '!AE23)</f>
        <v/>
      </c>
      <c r="AF22" s="170" t="str">
        <f>IF('月間 '!AF23="","",'月間 '!AF23)</f>
        <v/>
      </c>
      <c r="AG22" s="108" t="str">
        <f>IF('月間 '!AG23="","",'月間 '!AG23)</f>
        <v/>
      </c>
      <c r="AH22" s="139" t="str">
        <f>IF('月間 '!AH23="","",'月間 '!AH23)</f>
        <v/>
      </c>
      <c r="AI22" s="157" t="str">
        <f>IF('月間 '!AI23="","",'月間 '!AI23)</f>
        <v/>
      </c>
      <c r="AJ22" s="105">
        <f>マスタ!$E$6-'３月月間(乗務員用）'!AK22</f>
        <v>27</v>
      </c>
      <c r="AK22" s="109">
        <f>COUNTIFS(D22:AH22,"✕")+COUNTIFS(D22:AH22,"出荷無")+COUNTIFS(D22:AH22,"発注無")+COUNTIFS(D22:AH22,"修理")+COUNTIFS(D22:AH22,"車検")</f>
        <v>4</v>
      </c>
      <c r="AL22" s="193"/>
      <c r="AM22" s="194"/>
    </row>
    <row r="23" spans="1:39" s="44" customFormat="1" ht="54" customHeight="1" thickBot="1">
      <c r="A23" s="639" t="s">
        <v>48</v>
      </c>
      <c r="B23" s="640"/>
      <c r="C23" s="110" t="s">
        <v>1</v>
      </c>
      <c r="D23" s="164" t="str">
        <f>IF('月間 '!D24="","",'月間 '!D24)</f>
        <v>✕</v>
      </c>
      <c r="E23" s="143">
        <f>IF('月間 '!E24="","",'月間 '!E24)</f>
        <v>384</v>
      </c>
      <c r="F23" s="154">
        <f>IF('月間 '!F24="","",'月間 '!F24)</f>
        <v>384</v>
      </c>
      <c r="G23" s="171" t="str">
        <f>IF('月間 '!G24="","",'月間 '!G24)</f>
        <v>✕</v>
      </c>
      <c r="H23" s="171" t="str">
        <f>IF('月間 '!H24="","",'月間 '!H24)</f>
        <v>✕</v>
      </c>
      <c r="I23" s="171" t="str">
        <f>IF('月間 '!I24="","",'月間 '!I24)</f>
        <v>整備</v>
      </c>
      <c r="J23" s="171">
        <f>IF('月間 '!J24="","",'月間 '!J24)</f>
        <v>643</v>
      </c>
      <c r="K23" s="171" t="str">
        <f>IF('月間 '!K24="","",'月間 '!K24)</f>
        <v/>
      </c>
      <c r="L23" s="143">
        <f>IF('月間 '!L24="","",'月間 '!L24)</f>
        <v>384</v>
      </c>
      <c r="M23" s="137">
        <f>IF('月間 '!M24="","",'月間 '!M24)</f>
        <v>384</v>
      </c>
      <c r="N23" s="171" t="str">
        <f>IF('月間 '!N24="","",'月間 '!N24)</f>
        <v>✕</v>
      </c>
      <c r="O23" s="171">
        <f>IF('月間 '!O24="","",'月間 '!O24)</f>
        <v>19</v>
      </c>
      <c r="P23" s="171">
        <f>IF('月間 '!P24="","",'月間 '!P24)</f>
        <v>19</v>
      </c>
      <c r="Q23" s="171">
        <f>IF('月間 '!Q24="","",'月間 '!Q24)</f>
        <v>19</v>
      </c>
      <c r="R23" s="171">
        <f>IF('月間 '!R24="","",'月間 '!R24)</f>
        <v>19</v>
      </c>
      <c r="S23" s="143">
        <f>IF('月間 '!S24="","",'月間 '!S24)</f>
        <v>19</v>
      </c>
      <c r="T23" s="137" t="str">
        <f>IF('月間 '!T24="","",'月間 '!T24)</f>
        <v>✕</v>
      </c>
      <c r="U23" s="171">
        <f>IF('月間 '!U24="","",'月間 '!U24)</f>
        <v>19</v>
      </c>
      <c r="V23" s="171">
        <f>IF('月間 '!V24="","",'月間 '!V24)</f>
        <v>19</v>
      </c>
      <c r="W23" s="171">
        <f>IF('月間 '!W24="","",'月間 '!W24)</f>
        <v>19</v>
      </c>
      <c r="X23" s="171">
        <f>IF('月間 '!X24="","",'月間 '!X24)</f>
        <v>19</v>
      </c>
      <c r="Y23" s="171">
        <f>IF('月間 '!Y24="","",'月間 '!Y24)</f>
        <v>19</v>
      </c>
      <c r="Z23" s="143">
        <f>IF('月間 '!Z24="","",'月間 '!Z24)</f>
        <v>19</v>
      </c>
      <c r="AA23" s="137" t="str">
        <f>IF('月間 '!AA24="","",'月間 '!AA24)</f>
        <v>✕</v>
      </c>
      <c r="AB23" s="171">
        <f>IF('月間 '!AB24="","",'月間 '!AB24)</f>
        <v>384</v>
      </c>
      <c r="AC23" s="171" t="str">
        <f>IF('月間 '!AC24="","",'月間 '!AC24)</f>
        <v/>
      </c>
      <c r="AD23" s="171" t="str">
        <f>IF('月間 '!AD24="","",'月間 '!AD24)</f>
        <v/>
      </c>
      <c r="AE23" s="171" t="str">
        <f>IF('月間 '!AE24="","",'月間 '!AE24)</f>
        <v/>
      </c>
      <c r="AF23" s="171" t="str">
        <f>IF('月間 '!AF24="","",'月間 '!AF24)</f>
        <v/>
      </c>
      <c r="AG23" s="143" t="str">
        <f>IF('月間 '!AG24="","",'月間 '!AG24)</f>
        <v/>
      </c>
      <c r="AH23" s="137" t="str">
        <f>IF('月間 '!AH24="","",'月間 '!AH24)</f>
        <v/>
      </c>
      <c r="AI23" s="155" t="str">
        <f>IF('月間 '!AI24="","",'月間 '!AI24)</f>
        <v>1/5通院</v>
      </c>
      <c r="AJ23" s="111">
        <f>マスタ!$E$6-'３月月間(乗務員用）'!AK23</f>
        <v>25</v>
      </c>
      <c r="AK23" s="112">
        <f>COUNTIFS(D23:AH23,"✕")+COUNTIFS(D23:AH23,"出荷無")+COUNTIFS(D23:AH23,"発注無")+COUNTIFS(D23:AH23,"修理")+COUNTIFS(D23:AH23,"車検")</f>
        <v>6</v>
      </c>
      <c r="AL23" s="193"/>
      <c r="AM23" s="194"/>
    </row>
    <row r="24" spans="1:39" s="44" customFormat="1" ht="54" customHeight="1">
      <c r="A24" s="636" t="s">
        <v>113</v>
      </c>
      <c r="B24" s="637"/>
      <c r="C24" s="10" t="s">
        <v>1</v>
      </c>
      <c r="D24" s="165" t="e">
        <f>IF('月間 '!#REF!="","",'月間 '!#REF!)</f>
        <v>#REF!</v>
      </c>
      <c r="E24" s="106" t="e">
        <f>IF('月間 '!#REF!="","",'月間 '!#REF!)</f>
        <v>#REF!</v>
      </c>
      <c r="F24" s="140" t="e">
        <f>IF('月間 '!#REF!="","",'月間 '!#REF!)</f>
        <v>#REF!</v>
      </c>
      <c r="G24" s="167" t="e">
        <f>IF('月間 '!#REF!="","",'月間 '!#REF!)</f>
        <v>#REF!</v>
      </c>
      <c r="H24" s="167" t="e">
        <f>IF('月間 '!#REF!="","",'月間 '!#REF!)</f>
        <v>#REF!</v>
      </c>
      <c r="I24" s="167" t="e">
        <f>IF('月間 '!#REF!="","",'月間 '!#REF!)</f>
        <v>#REF!</v>
      </c>
      <c r="J24" s="167" t="e">
        <f>IF('月間 '!#REF!="","",'月間 '!#REF!)</f>
        <v>#REF!</v>
      </c>
      <c r="K24" s="167" t="e">
        <f>IF('月間 '!#REF!="","",'月間 '!#REF!)</f>
        <v>#REF!</v>
      </c>
      <c r="L24" s="126" t="e">
        <f>IF('月間 '!#REF!="","",'月間 '!#REF!)</f>
        <v>#REF!</v>
      </c>
      <c r="M24" s="132" t="e">
        <f>IF('月間 '!#REF!="","",'月間 '!#REF!)</f>
        <v>#REF!</v>
      </c>
      <c r="N24" s="167" t="e">
        <f>IF('月間 '!#REF!="","",'月間 '!#REF!)</f>
        <v>#REF!</v>
      </c>
      <c r="O24" s="167" t="e">
        <f>IF('月間 '!#REF!="","",'月間 '!#REF!)</f>
        <v>#REF!</v>
      </c>
      <c r="P24" s="167" t="e">
        <f>IF('月間 '!#REF!="","",'月間 '!#REF!)</f>
        <v>#REF!</v>
      </c>
      <c r="Q24" s="167" t="e">
        <f>IF('月間 '!#REF!="","",'月間 '!#REF!)</f>
        <v>#REF!</v>
      </c>
      <c r="R24" s="167" t="e">
        <f>IF('月間 '!#REF!="","",'月間 '!#REF!)</f>
        <v>#REF!</v>
      </c>
      <c r="S24" s="126" t="e">
        <f>IF('月間 '!#REF!="","",'月間 '!#REF!)</f>
        <v>#REF!</v>
      </c>
      <c r="T24" s="132" t="e">
        <f>IF('月間 '!#REF!="","",'月間 '!#REF!)</f>
        <v>#REF!</v>
      </c>
      <c r="U24" s="167" t="e">
        <f>IF('月間 '!#REF!="","",'月間 '!#REF!)</f>
        <v>#REF!</v>
      </c>
      <c r="V24" s="167" t="e">
        <f>IF('月間 '!#REF!="","",'月間 '!#REF!)</f>
        <v>#REF!</v>
      </c>
      <c r="W24" s="167" t="e">
        <f>IF('月間 '!#REF!="","",'月間 '!#REF!)</f>
        <v>#REF!</v>
      </c>
      <c r="X24" s="167" t="e">
        <f>IF('月間 '!#REF!="","",'月間 '!#REF!)</f>
        <v>#REF!</v>
      </c>
      <c r="Y24" s="167" t="e">
        <f>IF('月間 '!#REF!="","",'月間 '!#REF!)</f>
        <v>#REF!</v>
      </c>
      <c r="Z24" s="126" t="e">
        <f>IF('月間 '!#REF!="","",'月間 '!#REF!)</f>
        <v>#REF!</v>
      </c>
      <c r="AA24" s="132" t="e">
        <f>IF('月間 '!#REF!="","",'月間 '!#REF!)</f>
        <v>#REF!</v>
      </c>
      <c r="AB24" s="167" t="e">
        <f>IF('月間 '!#REF!="","",'月間 '!#REF!)</f>
        <v>#REF!</v>
      </c>
      <c r="AC24" s="167" t="e">
        <f>IF('月間 '!#REF!="","",'月間 '!#REF!)</f>
        <v>#REF!</v>
      </c>
      <c r="AD24" s="167" t="e">
        <f>IF('月間 '!#REF!="","",'月間 '!#REF!)</f>
        <v>#REF!</v>
      </c>
      <c r="AE24" s="167" t="e">
        <f>IF('月間 '!#REF!="","",'月間 '!#REF!)</f>
        <v>#REF!</v>
      </c>
      <c r="AF24" s="167" t="e">
        <f>IF('月間 '!#REF!="","",'月間 '!#REF!)</f>
        <v>#REF!</v>
      </c>
      <c r="AG24" s="126" t="e">
        <f>IF('月間 '!#REF!="","",'月間 '!#REF!)</f>
        <v>#REF!</v>
      </c>
      <c r="AH24" s="132" t="e">
        <f>IF('月間 '!#REF!="","",'月間 '!#REF!)</f>
        <v>#REF!</v>
      </c>
      <c r="AI24" s="153" t="e">
        <f>IF('月間 '!#REF!="","",'月間 '!#REF!)</f>
        <v>#REF!</v>
      </c>
      <c r="AJ24" s="65">
        <f>マスタ!$E$6-'３月月間(乗務員用）'!AK24</f>
        <v>31</v>
      </c>
      <c r="AK24" s="66">
        <f>COUNTIFS(D24:AH24,"✕")+COUNTIFS(D24:AH24,"出荷無")+COUNTIFS(D24:AH24,"発注無")+COUNTIFS(D24:AH24,"修理")+COUNTIFS(D24:AH24,"車検")</f>
        <v>0</v>
      </c>
      <c r="AL24" s="193"/>
      <c r="AM24" s="194"/>
    </row>
    <row r="25" spans="1:39" s="44" customFormat="1" ht="54" customHeight="1" thickBot="1">
      <c r="A25" s="634" t="s">
        <v>114</v>
      </c>
      <c r="B25" s="635"/>
      <c r="C25" s="117" t="s">
        <v>1</v>
      </c>
      <c r="D25" s="161" t="str">
        <f>IF('月間 '!D25="","",'月間 '!D25)</f>
        <v>✕</v>
      </c>
      <c r="E25" s="58">
        <f>IF('月間 '!E25="","",'月間 '!E25)</f>
        <v>1136</v>
      </c>
      <c r="F25" s="150">
        <f>IF('月間 '!F25="","",'月間 '!F25)</f>
        <v>1170</v>
      </c>
      <c r="G25" s="169" t="str">
        <f>IF('月間 '!G25="","",'月間 '!G25)</f>
        <v>✕</v>
      </c>
      <c r="H25" s="169">
        <f>IF('月間 '!H25="","",'月間 '!H25)</f>
        <v>1136</v>
      </c>
      <c r="I25" s="169">
        <f>IF('月間 '!I25="","",'月間 '!I25)</f>
        <v>1170</v>
      </c>
      <c r="J25" s="169">
        <f>IF('月間 '!J25="","",'月間 '!J25)</f>
        <v>1170</v>
      </c>
      <c r="K25" s="169">
        <f>IF('月間 '!K25="","",'月間 '!K25)</f>
        <v>1136</v>
      </c>
      <c r="L25" s="144">
        <f>IF('月間 '!L25="","",'月間 '!L25)</f>
        <v>1136</v>
      </c>
      <c r="M25" s="129" t="str">
        <f>IF('月間 '!M25="","",'月間 '!M25)</f>
        <v>✕</v>
      </c>
      <c r="N25" s="169">
        <f>IF('月間 '!N25="","",'月間 '!N25)</f>
        <v>530</v>
      </c>
      <c r="O25" s="169">
        <f>IF('月間 '!O25="","",'月間 '!O25)</f>
        <v>1170</v>
      </c>
      <c r="P25" s="169">
        <f>IF('月間 '!P25="","",'月間 '!P25)</f>
        <v>643</v>
      </c>
      <c r="Q25" s="169">
        <f>IF('月間 '!Q25="","",'月間 '!Q25)</f>
        <v>1170</v>
      </c>
      <c r="R25" s="169">
        <f>IF('月間 '!R25="","",'月間 '!R25)</f>
        <v>1170</v>
      </c>
      <c r="S25" s="144">
        <f>IF('月間 '!S25="","",'月間 '!S25)</f>
        <v>1170</v>
      </c>
      <c r="T25" s="129">
        <f>IF('月間 '!T25="","",'月間 '!T25)</f>
        <v>1170</v>
      </c>
      <c r="U25" s="169" t="str">
        <f>IF('月間 '!U25="","",'月間 '!U25)</f>
        <v>✕</v>
      </c>
      <c r="V25" s="169">
        <f>IF('月間 '!V25="","",'月間 '!V25)</f>
        <v>1170</v>
      </c>
      <c r="W25" s="169">
        <f>IF('月間 '!W25="","",'月間 '!W25)</f>
        <v>643</v>
      </c>
      <c r="X25" s="169">
        <f>IF('月間 '!X25="","",'月間 '!X25)</f>
        <v>643</v>
      </c>
      <c r="Y25" s="169">
        <f>IF('月間 '!Y25="","",'月間 '!Y25)</f>
        <v>643</v>
      </c>
      <c r="Z25" s="144">
        <f>IF('月間 '!Z25="","",'月間 '!Z25)</f>
        <v>643</v>
      </c>
      <c r="AA25" s="129" t="str">
        <f>IF('月間 '!AA25="","",'月間 '!AA25)</f>
        <v>✕</v>
      </c>
      <c r="AB25" s="169">
        <f>IF('月間 '!AB25="","",'月間 '!AB25)</f>
        <v>643</v>
      </c>
      <c r="AC25" s="169" t="str">
        <f>IF('月間 '!AC25="","",'月間 '!AC25)</f>
        <v/>
      </c>
      <c r="AD25" s="169" t="str">
        <f>IF('月間 '!AD25="","",'月間 '!AD25)</f>
        <v/>
      </c>
      <c r="AE25" s="169" t="str">
        <f>IF('月間 '!AE25="","",'月間 '!AE25)</f>
        <v/>
      </c>
      <c r="AF25" s="169" t="str">
        <f>IF('月間 '!AF25="","",'月間 '!AF25)</f>
        <v/>
      </c>
      <c r="AG25" s="144" t="str">
        <f>IF('月間 '!AG25="","",'月間 '!AG25)</f>
        <v/>
      </c>
      <c r="AH25" s="129" t="str">
        <f>IF('月間 '!AH25="","",'月間 '!AH25)</f>
        <v/>
      </c>
      <c r="AI25" s="118" t="str">
        <f>IF('月間 '!AI25="","",'月間 '!AI25)</f>
        <v/>
      </c>
      <c r="AJ25" s="71">
        <f>マスタ!$E$6-'３月月間(乗務員用）'!AK25</f>
        <v>26</v>
      </c>
      <c r="AK25" s="72">
        <f>COUNTIFS(D25:AH25,"✕")+COUNTIFS(D25:AH25,"出荷無")+COUNTIFS(D25:AH25,"発注無")+COUNTIFS(D25:AH25,"修理")+COUNTIFS(D25:AH25,"車検")</f>
        <v>5</v>
      </c>
      <c r="AL25" s="193"/>
      <c r="AM25" s="194"/>
    </row>
    <row r="26" spans="1:39" s="44" customFormat="1" ht="54" customHeight="1" thickTop="1">
      <c r="A26" s="631" t="s">
        <v>103</v>
      </c>
      <c r="B26" s="632"/>
      <c r="C26" s="119" t="s">
        <v>104</v>
      </c>
      <c r="D26" s="166" t="str">
        <f>IF('月間 '!D41="","",'月間 '!D41)</f>
        <v>✕</v>
      </c>
      <c r="E26" s="128" t="str">
        <f>IF('月間 '!E41="","",'月間 '!E41)</f>
        <v>✕</v>
      </c>
      <c r="F26" s="174" t="str">
        <f>IF('月間 '!F41="","",'月間 '!F41)</f>
        <v>✕</v>
      </c>
      <c r="G26" s="172" t="str">
        <f>IF('月間 '!G41="","",'月間 '!G41)</f>
        <v>✕</v>
      </c>
      <c r="H26" s="172">
        <f>IF('月間 '!H41="","",'月間 '!H41)</f>
        <v>1170</v>
      </c>
      <c r="I26" s="172">
        <f>IF('月間 '!I41="","",'月間 '!I41)</f>
        <v>530</v>
      </c>
      <c r="J26" s="172">
        <f>IF('月間 '!J41="","",'月間 '!J41)</f>
        <v>530</v>
      </c>
      <c r="K26" s="172">
        <f>IF('月間 '!K41="","",'月間 '!K41)</f>
        <v>1170</v>
      </c>
      <c r="L26" s="128">
        <f>IF('月間 '!L41="","",'月間 '!L41)</f>
        <v>1170</v>
      </c>
      <c r="M26" s="152">
        <f>IF('月間 '!M41="","",'月間 '!M41)</f>
        <v>530</v>
      </c>
      <c r="N26" s="172" t="str">
        <f>IF('月間 '!N41="","",'月間 '!N41)</f>
        <v>✕</v>
      </c>
      <c r="O26" s="172" t="str">
        <f>IF('月間 '!O41="","",'月間 '!O41)</f>
        <v>✕</v>
      </c>
      <c r="P26" s="172">
        <f>IF('月間 '!P41="","",'月間 '!P41)</f>
        <v>1170</v>
      </c>
      <c r="Q26" s="172">
        <f>IF('月間 '!Q41="","",'月間 '!Q41)</f>
        <v>530</v>
      </c>
      <c r="R26" s="172">
        <f>IF('月間 '!R41="","",'月間 '!R41)</f>
        <v>530</v>
      </c>
      <c r="S26" s="128" t="str">
        <f>IF('月間 '!S41="","",'月間 '!S41)</f>
        <v>巡回</v>
      </c>
      <c r="T26" s="152" t="str">
        <f>IF('月間 '!T41="","",'月間 '!T41)</f>
        <v>✕</v>
      </c>
      <c r="U26" s="172">
        <f>IF('月間 '!U41="","",'月間 '!U41)</f>
        <v>530</v>
      </c>
      <c r="V26" s="172">
        <f>IF('月間 '!V41="","",'月間 '!V41)</f>
        <v>530</v>
      </c>
      <c r="W26" s="172">
        <f>IF('月間 '!W41="","",'月間 '!W41)</f>
        <v>1170</v>
      </c>
      <c r="X26" s="172">
        <f>IF('月間 '!X41="","",'月間 '!X41)</f>
        <v>1170</v>
      </c>
      <c r="Y26" s="172">
        <f>IF('月間 '!Y41="","",'月間 '!Y41)</f>
        <v>530</v>
      </c>
      <c r="Z26" s="145">
        <f>IF('月間 '!Z41="","",'月間 '!Z41)</f>
        <v>530</v>
      </c>
      <c r="AA26" s="152" t="str">
        <f>IF('月間 '!AA41="","",'月間 '!AA41)</f>
        <v>✕</v>
      </c>
      <c r="AB26" s="172">
        <f>IF('月間 '!AB41="","",'月間 '!AB41)</f>
        <v>530</v>
      </c>
      <c r="AC26" s="172">
        <f>IF('月間 '!AC41="","",'月間 '!AC41)</f>
        <v>530</v>
      </c>
      <c r="AD26" s="172" t="str">
        <f>IF('月間 '!AD41="","",'月間 '!AD41)</f>
        <v/>
      </c>
      <c r="AE26" s="172">
        <f>IF('月間 '!AE41="","",'月間 '!AE41)</f>
        <v>530</v>
      </c>
      <c r="AF26" s="172">
        <f>IF('月間 '!AF41="","",'月間 '!AF41)</f>
        <v>530</v>
      </c>
      <c r="AG26" s="145" t="str">
        <f>IF('月間 '!AG41="","",'月間 '!AG41)</f>
        <v/>
      </c>
      <c r="AH26" s="152" t="str">
        <f>IF('月間 '!AH41="","",'月間 '!AH41)</f>
        <v/>
      </c>
      <c r="AI26" s="120" t="str">
        <f>IF('月間 '!AI30="","",'月間 '!AI30)</f>
        <v/>
      </c>
      <c r="AJ26" s="121">
        <f>マスタ!$E$6-'３月月間(乗務員用）'!AK26</f>
        <v>23</v>
      </c>
      <c r="AK26" s="122">
        <f t="shared" ref="AK26:AK31" si="2">COUNTIFS(C26:AH26,"✕")+COUNTIFS(C26:AH26,"修理")+COUNTIFS(C26:AH26,"車検")+COUNTIFS(C26:AH26,"研修")</f>
        <v>8</v>
      </c>
      <c r="AL26" s="193"/>
      <c r="AM26" s="194"/>
    </row>
    <row r="27" spans="1:39" s="44" customFormat="1" ht="54" customHeight="1">
      <c r="A27" s="627" t="s">
        <v>105</v>
      </c>
      <c r="B27" s="633"/>
      <c r="C27" s="57" t="s">
        <v>104</v>
      </c>
      <c r="D27" s="176" t="e">
        <f>IF('月間 '!#REF!="","",'月間 '!#REF!)</f>
        <v>#REF!</v>
      </c>
      <c r="E27" s="125" t="e">
        <f>IF('月間 '!#REF!="","",'月間 '!#REF!)</f>
        <v>#REF!</v>
      </c>
      <c r="F27" s="136" t="e">
        <f>IF('月間 '!#REF!="","",'月間 '!#REF!)</f>
        <v>#REF!</v>
      </c>
      <c r="G27" s="142" t="e">
        <f>IF('月間 '!#REF!="","",'月間 '!#REF!)</f>
        <v>#REF!</v>
      </c>
      <c r="H27" s="178" t="e">
        <f>IF('月間 '!#REF!="","",'月間 '!#REF!)</f>
        <v>#REF!</v>
      </c>
      <c r="I27" s="141" t="e">
        <f>IF('月間 '!#REF!="","",'月間 '!#REF!)</f>
        <v>#REF!</v>
      </c>
      <c r="J27" s="141" t="e">
        <f>IF('月間 '!#REF!="","",'月間 '!#REF!)</f>
        <v>#REF!</v>
      </c>
      <c r="K27" s="178" t="e">
        <f>IF('月間 '!#REF!="","",'月間 '!#REF!)</f>
        <v>#REF!</v>
      </c>
      <c r="L27" s="125" t="e">
        <f>IF('月間 '!#REF!="","",'月間 '!#REF!)</f>
        <v>#REF!</v>
      </c>
      <c r="M27" s="135" t="e">
        <f>IF('月間 '!#REF!="","",'月間 '!#REF!)</f>
        <v>#REF!</v>
      </c>
      <c r="N27" s="142" t="e">
        <f>IF('月間 '!#REF!="","",'月間 '!#REF!)</f>
        <v>#REF!</v>
      </c>
      <c r="O27" s="141" t="e">
        <f>IF('月間 '!#REF!="","",'月間 '!#REF!)</f>
        <v>#REF!</v>
      </c>
      <c r="P27" s="141" t="e">
        <f>IF('月間 '!#REF!="","",'月間 '!#REF!)</f>
        <v>#REF!</v>
      </c>
      <c r="Q27" s="141" t="e">
        <f>IF('月間 '!#REF!="","",'月間 '!#REF!)</f>
        <v>#REF!</v>
      </c>
      <c r="R27" s="178" t="e">
        <f>IF('月間 '!#REF!="","",'月間 '!#REF!)</f>
        <v>#REF!</v>
      </c>
      <c r="S27" s="125" t="e">
        <f>IF('月間 '!#REF!="","",'月間 '!#REF!)</f>
        <v>#REF!</v>
      </c>
      <c r="T27" s="135" t="e">
        <f>IF('月間 '!#REF!="","",'月間 '!#REF!)</f>
        <v>#REF!</v>
      </c>
      <c r="U27" s="175" t="e">
        <f>IF('月間 '!#REF!="","",'月間 '!#REF!)</f>
        <v>#REF!</v>
      </c>
      <c r="V27" s="141" t="e">
        <f>IF('月間 '!#REF!="","",'月間 '!#REF!)</f>
        <v>#REF!</v>
      </c>
      <c r="W27" s="141" t="e">
        <f>IF('月間 '!#REF!="","",'月間 '!#REF!)</f>
        <v>#REF!</v>
      </c>
      <c r="X27" s="141" t="e">
        <f>IF('月間 '!#REF!="","",'月間 '!#REF!)</f>
        <v>#REF!</v>
      </c>
      <c r="Y27" s="141" t="e">
        <f>IF('月間 '!#REF!="","",'月間 '!#REF!)</f>
        <v>#REF!</v>
      </c>
      <c r="Z27" s="125" t="e">
        <f>IF('月間 '!#REF!="","",'月間 '!#REF!)</f>
        <v>#REF!</v>
      </c>
      <c r="AA27" s="135" t="e">
        <f>IF('月間 '!#REF!="","",'月間 '!#REF!)</f>
        <v>#REF!</v>
      </c>
      <c r="AB27" s="142" t="e">
        <f>IF('月間 '!#REF!="","",'月間 '!#REF!)</f>
        <v>#REF!</v>
      </c>
      <c r="AC27" s="141" t="e">
        <f>IF('月間 '!#REF!="","",'月間 '!#REF!)</f>
        <v>#REF!</v>
      </c>
      <c r="AD27" s="141" t="e">
        <f>IF('月間 '!#REF!="","",'月間 '!#REF!)</f>
        <v>#REF!</v>
      </c>
      <c r="AE27" s="141" t="e">
        <f>IF('月間 '!#REF!="","",'月間 '!#REF!)</f>
        <v>#REF!</v>
      </c>
      <c r="AF27" s="141" t="e">
        <f>IF('月間 '!#REF!="","",'月間 '!#REF!)</f>
        <v>#REF!</v>
      </c>
      <c r="AG27" s="125" t="e">
        <f>IF('月間 '!#REF!="","",'月間 '!#REF!)</f>
        <v>#REF!</v>
      </c>
      <c r="AH27" s="135" t="e">
        <f>IF('月間 '!#REF!="","",'月間 '!#REF!)</f>
        <v>#REF!</v>
      </c>
      <c r="AI27" s="67" t="str">
        <f>IF('月間 '!AI31="","",'月間 '!AI31)</f>
        <v/>
      </c>
      <c r="AJ27" s="68">
        <f>マスタ!$E$6-'３月月間(乗務員用）'!AK27</f>
        <v>31</v>
      </c>
      <c r="AK27" s="69">
        <f t="shared" si="2"/>
        <v>0</v>
      </c>
      <c r="AL27" s="193"/>
      <c r="AM27" s="194"/>
    </row>
    <row r="28" spans="1:39" s="44" customFormat="1" ht="54" customHeight="1">
      <c r="A28" s="627" t="s">
        <v>0</v>
      </c>
      <c r="B28" s="628"/>
      <c r="C28" s="57" t="s">
        <v>104</v>
      </c>
      <c r="D28" s="160" t="e">
        <f>IF('月間 '!#REF!="","",'月間 '!#REF!)</f>
        <v>#REF!</v>
      </c>
      <c r="E28" s="106" t="e">
        <f>IF('月間 '!#REF!="","",'月間 '!#REF!)</f>
        <v>#REF!</v>
      </c>
      <c r="F28" s="135" t="e">
        <f>IF('月間 '!#REF!="","",'月間 '!#REF!)</f>
        <v>#REF!</v>
      </c>
      <c r="G28" s="142" t="e">
        <f>IF('月間 '!#REF!="","",'月間 '!#REF!)</f>
        <v>#REF!</v>
      </c>
      <c r="H28" s="179" t="e">
        <f>IF('月間 '!#REF!="","",'月間 '!#REF!)</f>
        <v>#REF!</v>
      </c>
      <c r="I28" s="142" t="e">
        <f>IF('月間 '!#REF!="","",'月間 '!#REF!)</f>
        <v>#REF!</v>
      </c>
      <c r="J28" s="142" t="e">
        <f>IF('月間 '!#REF!="","",'月間 '!#REF!)</f>
        <v>#REF!</v>
      </c>
      <c r="K28" s="179" t="e">
        <f>IF('月間 '!#REF!="","",'月間 '!#REF!)</f>
        <v>#REF!</v>
      </c>
      <c r="L28" s="126" t="e">
        <f>IF('月間 '!#REF!="","",'月間 '!#REF!)</f>
        <v>#REF!</v>
      </c>
      <c r="M28" s="135" t="e">
        <f>IF('月間 '!#REF!="","",'月間 '!#REF!)</f>
        <v>#REF!</v>
      </c>
      <c r="N28" s="142" t="e">
        <f>IF('月間 '!#REF!="","",'月間 '!#REF!)</f>
        <v>#REF!</v>
      </c>
      <c r="O28" s="142" t="e">
        <f>IF('月間 '!#REF!="","",'月間 '!#REF!)</f>
        <v>#REF!</v>
      </c>
      <c r="P28" s="142" t="e">
        <f>IF('月間 '!#REF!="","",'月間 '!#REF!)</f>
        <v>#REF!</v>
      </c>
      <c r="Q28" s="142" t="e">
        <f>IF('月間 '!#REF!="","",'月間 '!#REF!)</f>
        <v>#REF!</v>
      </c>
      <c r="R28" s="179" t="e">
        <f>IF('月間 '!#REF!="","",'月間 '!#REF!)</f>
        <v>#REF!</v>
      </c>
      <c r="S28" s="106" t="e">
        <f>IF('月間 '!#REF!="","",'月間 '!#REF!)</f>
        <v>#REF!</v>
      </c>
      <c r="T28" s="135" t="e">
        <f>IF('月間 '!#REF!="","",'月間 '!#REF!)</f>
        <v>#REF!</v>
      </c>
      <c r="U28" s="142" t="e">
        <f>IF('月間 '!#REF!="","",'月間 '!#REF!)</f>
        <v>#REF!</v>
      </c>
      <c r="V28" s="179" t="e">
        <f>IF('月間 '!#REF!="","",'月間 '!#REF!)</f>
        <v>#REF!</v>
      </c>
      <c r="W28" s="142" t="e">
        <f>IF('月間 '!#REF!="","",'月間 '!#REF!)</f>
        <v>#REF!</v>
      </c>
      <c r="X28" s="142" t="e">
        <f>IF('月間 '!#REF!="","",'月間 '!#REF!)</f>
        <v>#REF!</v>
      </c>
      <c r="Y28" s="142" t="e">
        <f>IF('月間 '!#REF!="","",'月間 '!#REF!)</f>
        <v>#REF!</v>
      </c>
      <c r="Z28" s="126" t="e">
        <f>IF('月間 '!#REF!="","",'月間 '!#REF!)</f>
        <v>#REF!</v>
      </c>
      <c r="AA28" s="135" t="e">
        <f>IF('月間 '!#REF!="","",'月間 '!#REF!)</f>
        <v>#REF!</v>
      </c>
      <c r="AB28" s="175" t="e">
        <f>IF('月間 '!#REF!="","",'月間 '!#REF!)</f>
        <v>#REF!</v>
      </c>
      <c r="AC28" s="142" t="e">
        <f>IF('月間 '!#REF!="","",'月間 '!#REF!)</f>
        <v>#REF!</v>
      </c>
      <c r="AD28" s="142" t="e">
        <f>IF('月間 '!#REF!="","",'月間 '!#REF!)</f>
        <v>#REF!</v>
      </c>
      <c r="AE28" s="142" t="e">
        <f>IF('月間 '!#REF!="","",'月間 '!#REF!)</f>
        <v>#REF!</v>
      </c>
      <c r="AF28" s="142" t="e">
        <f>IF('月間 '!#REF!="","",'月間 '!#REF!)</f>
        <v>#REF!</v>
      </c>
      <c r="AG28" s="126" t="e">
        <f>IF('月間 '!#REF!="","",'月間 '!#REF!)</f>
        <v>#REF!</v>
      </c>
      <c r="AH28" s="135" t="e">
        <f>IF('月間 '!#REF!="","",'月間 '!#REF!)</f>
        <v>#REF!</v>
      </c>
      <c r="AI28" s="11" t="str">
        <f>IF('月間 '!AI32="","",'月間 '!AI32)</f>
        <v/>
      </c>
      <c r="AJ28" s="68">
        <f>マスタ!$E$6-'３月月間(乗務員用）'!AK28</f>
        <v>31</v>
      </c>
      <c r="AK28" s="69">
        <f t="shared" si="2"/>
        <v>0</v>
      </c>
      <c r="AL28" s="193"/>
      <c r="AM28" s="194"/>
    </row>
    <row r="29" spans="1:39" s="44" customFormat="1" ht="54" customHeight="1" thickBot="1">
      <c r="A29" s="627" t="s">
        <v>106</v>
      </c>
      <c r="B29" s="628"/>
      <c r="C29" s="57" t="s">
        <v>104</v>
      </c>
      <c r="D29" s="177" t="e">
        <f>IF('月間 '!#REF!="","",'月間 '!#REF!)</f>
        <v>#REF!</v>
      </c>
      <c r="E29" s="55" t="e">
        <f>IF('月間 '!#REF!="","",'月間 '!#REF!)</f>
        <v>#REF!</v>
      </c>
      <c r="F29" s="135" t="e">
        <f>IF('月間 '!#REF!="","",'月間 '!#REF!)</f>
        <v>#REF!</v>
      </c>
      <c r="G29" s="142" t="e">
        <f>IF('月間 '!#REF!="","",'月間 '!#REF!)</f>
        <v>#REF!</v>
      </c>
      <c r="H29" s="142" t="e">
        <f>IF('月間 '!#REF!="","",'月間 '!#REF!)</f>
        <v>#REF!</v>
      </c>
      <c r="I29" s="142" t="e">
        <f>IF('月間 '!#REF!="","",'月間 '!#REF!)</f>
        <v>#REF!</v>
      </c>
      <c r="J29" s="142" t="e">
        <f>IF('月間 '!#REF!="","",'月間 '!#REF!)</f>
        <v>#REF!</v>
      </c>
      <c r="K29" s="142" t="e">
        <f>IF('月間 '!#REF!="","",'月間 '!#REF!)</f>
        <v>#REF!</v>
      </c>
      <c r="L29" s="55" t="e">
        <f>IF('月間 '!#REF!="","",'月間 '!#REF!)</f>
        <v>#REF!</v>
      </c>
      <c r="M29" s="133" t="e">
        <f>IF('月間 '!#REF!="","",'月間 '!#REF!)</f>
        <v>#REF!</v>
      </c>
      <c r="N29" s="142" t="e">
        <f>IF('月間 '!#REF!="","",'月間 '!#REF!)</f>
        <v>#REF!</v>
      </c>
      <c r="O29" s="142" t="e">
        <f>IF('月間 '!#REF!="","",'月間 '!#REF!)</f>
        <v>#REF!</v>
      </c>
      <c r="P29" s="142" t="e">
        <f>IF('月間 '!#REF!="","",'月間 '!#REF!)</f>
        <v>#REF!</v>
      </c>
      <c r="Q29" s="142" t="e">
        <f>IF('月間 '!#REF!="","",'月間 '!#REF!)</f>
        <v>#REF!</v>
      </c>
      <c r="R29" s="142" t="e">
        <f>IF('月間 '!#REF!="","",'月間 '!#REF!)</f>
        <v>#REF!</v>
      </c>
      <c r="S29" s="55" t="e">
        <f>IF('月間 '!#REF!="","",'月間 '!#REF!)</f>
        <v>#REF!</v>
      </c>
      <c r="T29" s="133" t="e">
        <f>IF('月間 '!#REF!="","",'月間 '!#REF!)</f>
        <v>#REF!</v>
      </c>
      <c r="U29" s="142" t="e">
        <f>IF('月間 '!#REF!="","",'月間 '!#REF!)</f>
        <v>#REF!</v>
      </c>
      <c r="V29" s="179" t="e">
        <f>IF('月間 '!#REF!="","",'月間 '!#REF!)</f>
        <v>#REF!</v>
      </c>
      <c r="W29" s="142" t="e">
        <f>IF('月間 '!#REF!="","",'月間 '!#REF!)</f>
        <v>#REF!</v>
      </c>
      <c r="X29" s="142" t="e">
        <f>IF('月間 '!#REF!="","",'月間 '!#REF!)</f>
        <v>#REF!</v>
      </c>
      <c r="Y29" s="142" t="e">
        <f>IF('月間 '!#REF!="","",'月間 '!#REF!)</f>
        <v>#REF!</v>
      </c>
      <c r="Z29" s="55" t="e">
        <f>IF('月間 '!#REF!="","",'月間 '!#REF!)</f>
        <v>#REF!</v>
      </c>
      <c r="AA29" s="133" t="e">
        <f>IF('月間 '!#REF!="","",'月間 '!#REF!)</f>
        <v>#REF!</v>
      </c>
      <c r="AB29" s="142" t="e">
        <f>IF('月間 '!#REF!="","",'月間 '!#REF!)</f>
        <v>#REF!</v>
      </c>
      <c r="AC29" s="142" t="e">
        <f>IF('月間 '!#REF!="","",'月間 '!#REF!)</f>
        <v>#REF!</v>
      </c>
      <c r="AD29" s="142" t="e">
        <f>IF('月間 '!#REF!="","",'月間 '!#REF!)</f>
        <v>#REF!</v>
      </c>
      <c r="AE29" s="142" t="e">
        <f>IF('月間 '!#REF!="","",'月間 '!#REF!)</f>
        <v>#REF!</v>
      </c>
      <c r="AF29" s="142" t="e">
        <f>IF('月間 '!#REF!="","",'月間 '!#REF!)</f>
        <v>#REF!</v>
      </c>
      <c r="AG29" s="55" t="e">
        <f>IF('月間 '!#REF!="","",'月間 '!#REF!)</f>
        <v>#REF!</v>
      </c>
      <c r="AH29" s="133" t="e">
        <f>IF('月間 '!#REF!="","",'月間 '!#REF!)</f>
        <v>#REF!</v>
      </c>
      <c r="AI29" s="78" t="str">
        <f>IF('月間 '!AI33="","",'月間 '!AI33)</f>
        <v/>
      </c>
      <c r="AJ29" s="68">
        <f>マスタ!$E$6-'３月月間(乗務員用）'!AK29</f>
        <v>31</v>
      </c>
      <c r="AK29" s="69">
        <f t="shared" si="2"/>
        <v>0</v>
      </c>
      <c r="AL29" s="195"/>
      <c r="AM29" s="196"/>
    </row>
    <row r="30" spans="1:39" s="44" customFormat="1" ht="54" hidden="1" customHeight="1">
      <c r="A30" s="627" t="s">
        <v>116</v>
      </c>
      <c r="B30" s="628"/>
      <c r="C30" s="57" t="s">
        <v>104</v>
      </c>
      <c r="D30" s="104" t="e">
        <f>IF('月間 '!#REF!="","",'月間 '!#REF!)</f>
        <v>#REF!</v>
      </c>
      <c r="E30" s="94" t="e">
        <f>IF('月間 '!#REF!="","",'月間 '!#REF!)</f>
        <v>#REF!</v>
      </c>
      <c r="F30" s="113" t="e">
        <f>IF('月間 '!#REF!="","",'月間 '!#REF!)</f>
        <v>#REF!</v>
      </c>
      <c r="G30" s="64" t="e">
        <f>IF('月間 '!#REF!="","",'月間 '!#REF!)</f>
        <v>#REF!</v>
      </c>
      <c r="H30" s="97" t="e">
        <f>IF('月間 '!#REF!="","",'月間 '!#REF!)</f>
        <v>#REF!</v>
      </c>
      <c r="I30" s="64" t="e">
        <f>IF('月間 '!#REF!="","",'月間 '!#REF!)</f>
        <v>#REF!</v>
      </c>
      <c r="J30" s="49" t="e">
        <f>IF('月間 '!#REF!="","",'月間 '!#REF!)</f>
        <v>#REF!</v>
      </c>
      <c r="K30" s="95" t="e">
        <f>IF('月間 '!#REF!="","",'月間 '!#REF!)</f>
        <v>#REF!</v>
      </c>
      <c r="L30" s="48" t="e">
        <f>IF('月間 '!#REF!="","",'月間 '!#REF!)</f>
        <v>#REF!</v>
      </c>
      <c r="M30" s="114" t="e">
        <f>IF('月間 '!#REF!="","",'月間 '!#REF!)</f>
        <v>#REF!</v>
      </c>
      <c r="N30" s="51" t="e">
        <f>IF('月間 '!#REF!="","",'月間 '!#REF!)</f>
        <v>#REF!</v>
      </c>
      <c r="O30" s="102" t="e">
        <f>IF('月間 '!#REF!="","",'月間 '!#REF!)</f>
        <v>#REF!</v>
      </c>
      <c r="P30" s="49" t="e">
        <f>IF('月間 '!#REF!="","",'月間 '!#REF!)</f>
        <v>#REF!</v>
      </c>
      <c r="Q30" s="56" t="e">
        <f>IF('月間 '!#REF!="","",'月間 '!#REF!)</f>
        <v>#REF!</v>
      </c>
      <c r="R30" s="96" t="e">
        <f>IF('月間 '!#REF!="","",'月間 '!#REF!)</f>
        <v>#REF!</v>
      </c>
      <c r="S30" s="94" t="e">
        <f>IF('月間 '!#REF!="","",'月間 '!#REF!)</f>
        <v>#REF!</v>
      </c>
      <c r="T30" s="115" t="e">
        <f>IF('月間 '!#REF!="","",'月間 '!#REF!)</f>
        <v>#REF!</v>
      </c>
      <c r="U30" s="49" t="e">
        <f>IF('月間 '!#REF!="","",'月間 '!#REF!)</f>
        <v>#REF!</v>
      </c>
      <c r="V30" s="50" t="e">
        <f>IF('月間 '!#REF!="","",'月間 '!#REF!)</f>
        <v>#REF!</v>
      </c>
      <c r="W30" s="49" t="e">
        <f>IF('月間 '!#REF!="","",'月間 '!#REF!)</f>
        <v>#REF!</v>
      </c>
      <c r="X30" s="101" t="e">
        <f>IF('月間 '!#REF!="","",'月間 '!#REF!)</f>
        <v>#REF!</v>
      </c>
      <c r="Y30" s="95" t="e">
        <f>IF('月間 '!#REF!="","",'月間 '!#REF!)</f>
        <v>#REF!</v>
      </c>
      <c r="Z30" s="94" t="e">
        <f>IF('月間 '!#REF!="","",'月間 '!#REF!)</f>
        <v>#REF!</v>
      </c>
      <c r="AA30" s="93" t="e">
        <f>IF('月間 '!#REF!="","",'月間 '!#REF!)</f>
        <v>#REF!</v>
      </c>
      <c r="AB30" s="49" t="e">
        <f>IF('月間 '!#REF!="","",'月間 '!#REF!)</f>
        <v>#REF!</v>
      </c>
      <c r="AC30" s="64" t="e">
        <f>IF('月間 '!#REF!="","",'月間 '!#REF!)</f>
        <v>#REF!</v>
      </c>
      <c r="AD30" s="49" t="e">
        <f>IF('月間 '!#REF!="","",'月間 '!#REF!)</f>
        <v>#REF!</v>
      </c>
      <c r="AE30" s="55" t="e">
        <f>IF('月間 '!#REF!="","",'月間 '!#REF!)</f>
        <v>#REF!</v>
      </c>
      <c r="AF30" s="54" t="e">
        <f>IF('月間 '!#REF!="","",'月間 '!#REF!)</f>
        <v>#REF!</v>
      </c>
      <c r="AG30" s="49" t="e">
        <f>IF('月間 '!#REF!="","",'月間 '!#REF!)</f>
        <v>#REF!</v>
      </c>
      <c r="AH30" s="116" t="e">
        <f>IF('月間 '!#REF!="","",'月間 '!#REF!)</f>
        <v>#REF!</v>
      </c>
      <c r="AI30" s="78"/>
      <c r="AJ30" s="68">
        <f>マスタ!$E$6-'月間 '!AK30</f>
        <v>25</v>
      </c>
      <c r="AK30" s="69">
        <f t="shared" si="2"/>
        <v>0</v>
      </c>
      <c r="AL30" s="197">
        <f t="shared" ref="AL30:AL38" si="3">AJ30+AM30</f>
        <v>25</v>
      </c>
      <c r="AM30" s="198">
        <f t="shared" ref="AM30:AM38" si="4">COUNTIFS(D30:AH30,"✖")</f>
        <v>0</v>
      </c>
    </row>
    <row r="31" spans="1:39" s="44" customFormat="1" ht="54" hidden="1" customHeight="1" thickBot="1">
      <c r="A31" s="623" t="s">
        <v>117</v>
      </c>
      <c r="B31" s="624"/>
      <c r="C31" s="79" t="s">
        <v>104</v>
      </c>
      <c r="D31" s="80" t="e">
        <f>IF('月間 '!#REF!="","",'月間 '!#REF!)</f>
        <v>#REF!</v>
      </c>
      <c r="E31" s="98" t="e">
        <f>IF('月間 '!#REF!="","",'月間 '!#REF!)</f>
        <v>#REF!</v>
      </c>
      <c r="F31" s="103" t="e">
        <f>IF('月間 '!#REF!="","",'月間 '!#REF!)</f>
        <v>#REF!</v>
      </c>
      <c r="G31" s="60" t="e">
        <f>IF('月間 '!#REF!="","",'月間 '!#REF!)</f>
        <v>#REF!</v>
      </c>
      <c r="H31" s="59" t="e">
        <f>IF('月間 '!#REF!="","",'月間 '!#REF!)</f>
        <v>#REF!</v>
      </c>
      <c r="I31" s="60" t="e">
        <f>IF('月間 '!#REF!="","",'月間 '!#REF!)</f>
        <v>#REF!</v>
      </c>
      <c r="J31" s="61" t="e">
        <f>IF('月間 '!#REF!="","",'月間 '!#REF!)</f>
        <v>#REF!</v>
      </c>
      <c r="K31" s="81" t="e">
        <f>IF('月間 '!#REF!="","",'月間 '!#REF!)</f>
        <v>#REF!</v>
      </c>
      <c r="L31" s="99" t="e">
        <f>IF('月間 '!#REF!="","",'月間 '!#REF!)</f>
        <v>#REF!</v>
      </c>
      <c r="M31" s="100" t="e">
        <f>IF('月間 '!#REF!="","",'月間 '!#REF!)</f>
        <v>#REF!</v>
      </c>
      <c r="N31" s="60" t="e">
        <f>IF('月間 '!#REF!="","",'月間 '!#REF!)</f>
        <v>#REF!</v>
      </c>
      <c r="O31" s="62" t="e">
        <f>IF('月間 '!#REF!="","",'月間 '!#REF!)</f>
        <v>#REF!</v>
      </c>
      <c r="P31" s="60" t="e">
        <f>IF('月間 '!#REF!="","",'月間 '!#REF!)</f>
        <v>#REF!</v>
      </c>
      <c r="Q31" s="63" t="e">
        <f>IF('月間 '!#REF!="","",'月間 '!#REF!)</f>
        <v>#REF!</v>
      </c>
      <c r="R31" s="81" t="e">
        <f>IF('月間 '!#REF!="","",'月間 '!#REF!)</f>
        <v>#REF!</v>
      </c>
      <c r="S31" s="62" t="e">
        <f>IF('月間 '!#REF!="","",'月間 '!#REF!)</f>
        <v>#REF!</v>
      </c>
      <c r="T31" s="59" t="e">
        <f>IF('月間 '!#REF!="","",'月間 '!#REF!)</f>
        <v>#REF!</v>
      </c>
      <c r="U31" s="60" t="e">
        <f>IF('月間 '!#REF!="","",'月間 '!#REF!)</f>
        <v>#REF!</v>
      </c>
      <c r="V31" s="60" t="e">
        <f>IF('月間 '!#REF!="","",'月間 '!#REF!)</f>
        <v>#REF!</v>
      </c>
      <c r="W31" s="60" t="e">
        <f>IF('月間 '!#REF!="","",'月間 '!#REF!)</f>
        <v>#REF!</v>
      </c>
      <c r="X31" s="63" t="e">
        <f>IF('月間 '!#REF!="","",'月間 '!#REF!)</f>
        <v>#REF!</v>
      </c>
      <c r="Y31" s="81" t="e">
        <f>IF('月間 '!#REF!="","",'月間 '!#REF!)</f>
        <v>#REF!</v>
      </c>
      <c r="Z31" s="62" t="e">
        <f>IF('月間 '!#REF!="","",'月間 '!#REF!)</f>
        <v>#REF!</v>
      </c>
      <c r="AA31" s="123" t="e">
        <f>IF('月間 '!#REF!="","",'月間 '!#REF!)</f>
        <v>#REF!</v>
      </c>
      <c r="AB31" s="60" t="e">
        <f>IF('月間 '!#REF!="","",'月間 '!#REF!)</f>
        <v>#REF!</v>
      </c>
      <c r="AC31" s="60" t="e">
        <f>IF('月間 '!#REF!="","",'月間 '!#REF!)</f>
        <v>#REF!</v>
      </c>
      <c r="AD31" s="60" t="e">
        <f>IF('月間 '!#REF!="","",'月間 '!#REF!)</f>
        <v>#REF!</v>
      </c>
      <c r="AE31" s="63" t="e">
        <f>IF('月間 '!#REF!="","",'月間 '!#REF!)</f>
        <v>#REF!</v>
      </c>
      <c r="AF31" s="81" t="e">
        <f>IF('月間 '!#REF!="","",'月間 '!#REF!)</f>
        <v>#REF!</v>
      </c>
      <c r="AG31" s="59" t="e">
        <f>IF('月間 '!#REF!="","",'月間 '!#REF!)</f>
        <v>#REF!</v>
      </c>
      <c r="AH31" s="82" t="e">
        <f>IF('月間 '!#REF!="","",'月間 '!#REF!)</f>
        <v>#REF!</v>
      </c>
      <c r="AI31" s="83"/>
      <c r="AJ31" s="84">
        <f>マスタ!$E$6-'月間 '!AK31</f>
        <v>31</v>
      </c>
      <c r="AK31" s="85">
        <f t="shared" si="2"/>
        <v>0</v>
      </c>
      <c r="AL31" s="185">
        <f t="shared" si="3"/>
        <v>31</v>
      </c>
      <c r="AM31" s="188">
        <f t="shared" si="4"/>
        <v>0</v>
      </c>
    </row>
    <row r="32" spans="1:39" ht="108.75" customHeight="1" thickTop="1" thickBot="1">
      <c r="A32" s="625" t="s">
        <v>118</v>
      </c>
      <c r="B32" s="626"/>
      <c r="C32" s="626"/>
      <c r="D32" s="626"/>
      <c r="E32" s="626"/>
      <c r="F32" s="626"/>
      <c r="G32" s="626"/>
      <c r="H32" s="626"/>
      <c r="I32" s="626"/>
      <c r="J32" s="626"/>
      <c r="K32" s="626"/>
      <c r="L32" s="629" t="s">
        <v>123</v>
      </c>
      <c r="M32" s="629"/>
      <c r="N32" s="629"/>
      <c r="O32" s="629"/>
      <c r="P32" s="629"/>
      <c r="Q32" s="629"/>
      <c r="R32" s="629"/>
      <c r="S32" s="629"/>
      <c r="T32" s="629"/>
      <c r="U32" s="629"/>
      <c r="V32" s="629"/>
      <c r="W32" s="629"/>
      <c r="X32" s="629"/>
      <c r="Y32" s="629"/>
      <c r="Z32" s="629"/>
      <c r="AA32" s="629"/>
      <c r="AB32" s="629"/>
      <c r="AC32" s="629"/>
      <c r="AD32" s="629"/>
      <c r="AE32" s="629"/>
      <c r="AF32" s="629"/>
      <c r="AG32" s="629"/>
      <c r="AH32" s="629"/>
      <c r="AI32" s="629"/>
      <c r="AJ32" s="629"/>
      <c r="AK32" s="630"/>
      <c r="AL32" s="197">
        <f t="shared" si="3"/>
        <v>0</v>
      </c>
      <c r="AM32" s="186">
        <f t="shared" si="4"/>
        <v>0</v>
      </c>
    </row>
    <row r="33" spans="38:39" ht="21.75" customHeight="1" thickBot="1">
      <c r="AL33" s="187">
        <f t="shared" si="3"/>
        <v>0</v>
      </c>
      <c r="AM33" s="199">
        <f t="shared" si="4"/>
        <v>0</v>
      </c>
    </row>
    <row r="34" spans="38:39" ht="21.75" customHeight="1">
      <c r="AL34" s="200">
        <f t="shared" si="3"/>
        <v>0</v>
      </c>
      <c r="AM34" s="201">
        <f t="shared" si="4"/>
        <v>0</v>
      </c>
    </row>
    <row r="35" spans="38:39" ht="21.75" customHeight="1" thickBot="1">
      <c r="AL35" s="202">
        <f t="shared" si="3"/>
        <v>0</v>
      </c>
      <c r="AM35" s="203">
        <f t="shared" si="4"/>
        <v>0</v>
      </c>
    </row>
    <row r="36" spans="38:39" ht="21.75" customHeight="1">
      <c r="AL36" s="197">
        <f t="shared" si="3"/>
        <v>0</v>
      </c>
      <c r="AM36" s="201">
        <f t="shared" si="4"/>
        <v>0</v>
      </c>
    </row>
    <row r="37" spans="38:39" ht="21.75" customHeight="1">
      <c r="AL37" s="197">
        <f t="shared" si="3"/>
        <v>0</v>
      </c>
      <c r="AM37" s="186">
        <f t="shared" si="4"/>
        <v>0</v>
      </c>
    </row>
    <row r="38" spans="38:39" ht="21.75" customHeight="1" thickBot="1">
      <c r="AL38" s="189">
        <f t="shared" si="3"/>
        <v>0</v>
      </c>
      <c r="AM38" s="190">
        <f t="shared" si="4"/>
        <v>0</v>
      </c>
    </row>
    <row r="39" spans="38:39" ht="21.75" customHeight="1" thickTop="1">
      <c r="AL39" s="191"/>
      <c r="AM39" s="192"/>
    </row>
    <row r="40" spans="38:39" ht="21.75" customHeight="1">
      <c r="AL40" s="193"/>
      <c r="AM40" s="194"/>
    </row>
    <row r="41" spans="38:39" ht="21.75" customHeight="1">
      <c r="AL41" s="193"/>
      <c r="AM41" s="194"/>
    </row>
    <row r="42" spans="38:39" ht="21.75" customHeight="1">
      <c r="AL42" s="193"/>
      <c r="AM42" s="194"/>
    </row>
    <row r="43" spans="38:39" ht="21.75" customHeight="1">
      <c r="AL43" s="193"/>
      <c r="AM43" s="194"/>
    </row>
    <row r="44" spans="38:39" ht="21.75" customHeight="1" thickBot="1">
      <c r="AL44" s="204"/>
      <c r="AM44" s="205"/>
    </row>
    <row r="45" spans="38:39" ht="21.75" customHeight="1">
      <c r="AL45" s="206"/>
      <c r="AM45" s="207"/>
    </row>
    <row r="46" spans="38:39" ht="21.75" customHeight="1">
      <c r="AL46" s="208"/>
      <c r="AM46" s="209"/>
    </row>
    <row r="47" spans="38:39" ht="21.75" customHeight="1">
      <c r="AL47" s="210"/>
      <c r="AM47" s="211"/>
    </row>
    <row r="48" spans="38:39" ht="21.75" customHeight="1">
      <c r="AL48" s="210"/>
      <c r="AM48" s="211"/>
    </row>
    <row r="49" spans="38:39" ht="21.75" customHeight="1">
      <c r="AL49" s="210"/>
      <c r="AM49" s="211"/>
    </row>
    <row r="50" spans="38:39" ht="21.75" customHeight="1">
      <c r="AL50" s="210"/>
      <c r="AM50" s="211"/>
    </row>
    <row r="51" spans="38:39" ht="21.75" customHeight="1">
      <c r="AL51" s="210"/>
      <c r="AM51" s="211"/>
    </row>
    <row r="52" spans="38:39" ht="21.75" customHeight="1">
      <c r="AL52" s="210"/>
      <c r="AM52" s="211"/>
    </row>
    <row r="53" spans="38:39" ht="21.75" customHeight="1">
      <c r="AL53" s="212"/>
      <c r="AM53" s="213"/>
    </row>
    <row r="54" spans="38:39" ht="21.75" customHeight="1">
      <c r="AL54" s="23"/>
      <c r="AM54" s="23"/>
    </row>
  </sheetData>
  <protectedRanges>
    <protectedRange sqref="D17" name="範囲4_1"/>
    <protectedRange sqref="A17:C23 D18:D23 A24:D25 A12:D16 A11:AI11 E12:AI25 A26:AI29" name="範囲4"/>
    <protectedRange sqref="I1:K1" name="範囲2"/>
    <protectedRange sqref="AI1" name="範囲3"/>
    <protectedRange sqref="A30:AI31" name="範囲4_3"/>
  </protectedRanges>
  <mergeCells count="38">
    <mergeCell ref="C9:C10"/>
    <mergeCell ref="AI9:AI10"/>
    <mergeCell ref="AJ9:AJ10"/>
    <mergeCell ref="AK9:AK10"/>
    <mergeCell ref="E1:G1"/>
    <mergeCell ref="I1:K1"/>
    <mergeCell ref="U1:X1"/>
    <mergeCell ref="A2:X3"/>
    <mergeCell ref="Y2:AK3"/>
    <mergeCell ref="A4:X8"/>
    <mergeCell ref="Y4:AK6"/>
    <mergeCell ref="A9:B10"/>
    <mergeCell ref="A14:B14"/>
    <mergeCell ref="A15:B15"/>
    <mergeCell ref="A16:B16"/>
    <mergeCell ref="A17:B17"/>
    <mergeCell ref="A18:B18"/>
    <mergeCell ref="A23:B23"/>
    <mergeCell ref="A19:B19"/>
    <mergeCell ref="A20:B20"/>
    <mergeCell ref="A21:B21"/>
    <mergeCell ref="A22:B22"/>
    <mergeCell ref="AL1:AM1"/>
    <mergeCell ref="AL9:AL10"/>
    <mergeCell ref="AM9:AM10"/>
    <mergeCell ref="A31:B31"/>
    <mergeCell ref="A32:K32"/>
    <mergeCell ref="A29:B29"/>
    <mergeCell ref="L32:AK32"/>
    <mergeCell ref="A26:B26"/>
    <mergeCell ref="A27:B27"/>
    <mergeCell ref="A28:B28"/>
    <mergeCell ref="A30:B30"/>
    <mergeCell ref="A25:B25"/>
    <mergeCell ref="A24:B24"/>
    <mergeCell ref="A11:B11"/>
    <mergeCell ref="A12:B12"/>
    <mergeCell ref="A13:B13"/>
  </mergeCells>
  <phoneticPr fontId="1"/>
  <conditionalFormatting sqref="D9:I10 X9:AA10 AE9:AH10">
    <cfRule type="expression" dxfId="14" priority="1">
      <formula>COUNTIF(祝日リスト,D$9)=1</formula>
    </cfRule>
    <cfRule type="expression" dxfId="13" priority="2">
      <formula>D$10="日"</formula>
    </cfRule>
    <cfRule type="expression" dxfId="12" priority="3">
      <formula>D$10="土"</formula>
    </cfRule>
  </conditionalFormatting>
  <conditionalFormatting sqref="L9:U10">
    <cfRule type="expression" dxfId="11" priority="22">
      <formula>COUNTIF(祝日リスト,L$9)=1</formula>
    </cfRule>
    <cfRule type="expression" dxfId="10" priority="23">
      <formula>L$10="日"</formula>
    </cfRule>
    <cfRule type="expression" dxfId="9" priority="24">
      <formula>L$10="土"</formula>
    </cfRule>
  </conditionalFormatting>
  <conditionalFormatting sqref="AB10">
    <cfRule type="expression" dxfId="8" priority="40">
      <formula>COUNTIF(祝日リスト,AB$9)=1</formula>
    </cfRule>
    <cfRule type="expression" dxfId="7" priority="41">
      <formula>AB$10="日"</formula>
    </cfRule>
    <cfRule type="expression" dxfId="6" priority="42">
      <formula>AB$10="土"</formula>
    </cfRule>
  </conditionalFormatting>
  <conditionalFormatting sqref="AH30">
    <cfRule type="expression" dxfId="5" priority="4">
      <formula>COUNTIF(祝日リスト,AH$9)=1</formula>
    </cfRule>
    <cfRule type="expression" dxfId="4" priority="5">
      <formula>AH$10="日"</formula>
    </cfRule>
    <cfRule type="expression" dxfId="3" priority="6">
      <formula>AH$10="土"</formula>
    </cfRule>
  </conditionalFormatting>
  <conditionalFormatting sqref="AH30:AH31">
    <cfRule type="expression" dxfId="2" priority="7">
      <formula>COUNTIF(祝日リスト,AH$9)=1</formula>
    </cfRule>
    <cfRule type="expression" dxfId="1" priority="8">
      <formula>AH$10="日"</formula>
    </cfRule>
    <cfRule type="expression" dxfId="0" priority="9">
      <formula>AH$10="土"</formula>
    </cfRule>
  </conditionalFormatting>
  <printOptions horizontalCentered="1" verticalCentered="1"/>
  <pageMargins left="0.25" right="0.25" top="0.39" bottom="0.39" header="0.3" footer="0.3"/>
  <pageSetup paperSize="8" scale="4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10C5D-916B-49B8-BA25-CA766DD26248}">
  <sheetPr codeName="Sheet3"/>
  <dimension ref="A1:H30"/>
  <sheetViews>
    <sheetView workbookViewId="0">
      <selection activeCell="C9" sqref="C9"/>
    </sheetView>
  </sheetViews>
  <sheetFormatPr defaultRowHeight="18"/>
  <cols>
    <col min="2" max="2" width="14.58203125" bestFit="1" customWidth="1"/>
    <col min="3" max="3" width="15.58203125" bestFit="1" customWidth="1"/>
  </cols>
  <sheetData>
    <row r="1" spans="1:8" ht="20">
      <c r="A1" s="1"/>
      <c r="B1" s="6"/>
      <c r="H1" s="9"/>
    </row>
    <row r="2" spans="1:8" ht="20">
      <c r="A2" s="1"/>
      <c r="B2" s="6"/>
    </row>
    <row r="3" spans="1:8" ht="20">
      <c r="A3" s="1"/>
      <c r="B3" s="6"/>
    </row>
    <row r="4" spans="1:8" ht="20">
      <c r="A4" s="1"/>
      <c r="B4" s="7" t="s">
        <v>35</v>
      </c>
    </row>
    <row r="5" spans="1:8" ht="20">
      <c r="A5" s="1"/>
      <c r="B5" s="7" t="s">
        <v>19</v>
      </c>
      <c r="C5" s="8">
        <v>45658</v>
      </c>
    </row>
    <row r="6" spans="1:8" ht="20">
      <c r="A6" s="1"/>
      <c r="B6" s="13" t="s">
        <v>20</v>
      </c>
      <c r="C6" s="8">
        <v>45669</v>
      </c>
      <c r="E6">
        <v>31</v>
      </c>
      <c r="F6" t="s">
        <v>43</v>
      </c>
    </row>
    <row r="7" spans="1:8">
      <c r="B7" s="7" t="s">
        <v>21</v>
      </c>
      <c r="C7" s="8">
        <v>45699</v>
      </c>
    </row>
    <row r="8" spans="1:8">
      <c r="B8" s="7" t="s">
        <v>47</v>
      </c>
      <c r="C8" s="8"/>
    </row>
    <row r="9" spans="1:8">
      <c r="B9" s="7" t="s">
        <v>22</v>
      </c>
      <c r="C9" s="8">
        <v>45345</v>
      </c>
      <c r="E9" s="2" t="s">
        <v>36</v>
      </c>
      <c r="F9" t="s">
        <v>38</v>
      </c>
    </row>
    <row r="10" spans="1:8" ht="20">
      <c r="B10" s="7" t="s">
        <v>23</v>
      </c>
      <c r="C10" s="8">
        <v>45371</v>
      </c>
      <c r="E10" s="1" t="s">
        <v>41</v>
      </c>
      <c r="F10" t="s">
        <v>39</v>
      </c>
    </row>
    <row r="11" spans="1:8" ht="20">
      <c r="B11" s="7" t="s">
        <v>24</v>
      </c>
      <c r="C11" s="8">
        <v>45411</v>
      </c>
      <c r="E11" s="1" t="s">
        <v>42</v>
      </c>
      <c r="F11" t="s">
        <v>40</v>
      </c>
    </row>
    <row r="12" spans="1:8" ht="20">
      <c r="B12" s="7" t="s">
        <v>25</v>
      </c>
      <c r="C12" s="8">
        <v>45415</v>
      </c>
      <c r="E12" s="1" t="s">
        <v>12</v>
      </c>
    </row>
    <row r="13" spans="1:8" ht="20">
      <c r="B13" s="7" t="s">
        <v>26</v>
      </c>
      <c r="C13" s="8"/>
      <c r="E13" s="1" t="s">
        <v>13</v>
      </c>
    </row>
    <row r="14" spans="1:8" ht="20">
      <c r="B14" s="7" t="s">
        <v>27</v>
      </c>
      <c r="C14" s="8"/>
      <c r="E14" s="1" t="s">
        <v>37</v>
      </c>
    </row>
    <row r="15" spans="1:8" ht="20">
      <c r="B15" s="7" t="s">
        <v>124</v>
      </c>
      <c r="C15" s="8">
        <v>45418</v>
      </c>
      <c r="E15" s="1" t="s">
        <v>46</v>
      </c>
    </row>
    <row r="16" spans="1:8">
      <c r="B16" s="7" t="s">
        <v>28</v>
      </c>
      <c r="C16" s="8">
        <v>45488</v>
      </c>
      <c r="E16" t="s">
        <v>50</v>
      </c>
    </row>
    <row r="17" spans="2:5">
      <c r="B17" s="7" t="s">
        <v>29</v>
      </c>
      <c r="C17" s="8">
        <v>45515</v>
      </c>
      <c r="E17" t="s">
        <v>49</v>
      </c>
    </row>
    <row r="18" spans="2:5">
      <c r="B18" s="7" t="s">
        <v>47</v>
      </c>
      <c r="C18" s="8">
        <v>45516</v>
      </c>
      <c r="E18" t="s">
        <v>52</v>
      </c>
    </row>
    <row r="19" spans="2:5">
      <c r="B19" s="7" t="s">
        <v>30</v>
      </c>
      <c r="C19" s="8">
        <v>45551</v>
      </c>
      <c r="E19" t="s">
        <v>90</v>
      </c>
    </row>
    <row r="20" spans="2:5">
      <c r="B20" s="7" t="s">
        <v>31</v>
      </c>
      <c r="C20" s="8">
        <v>45557</v>
      </c>
    </row>
    <row r="21" spans="2:5">
      <c r="B21" s="7" t="s">
        <v>47</v>
      </c>
      <c r="C21" s="8">
        <v>45558</v>
      </c>
    </row>
    <row r="22" spans="2:5">
      <c r="B22" s="7" t="s">
        <v>32</v>
      </c>
      <c r="C22" s="8">
        <v>45579</v>
      </c>
    </row>
    <row r="23" spans="2:5">
      <c r="B23" s="7" t="s">
        <v>33</v>
      </c>
      <c r="C23" s="8">
        <v>45599</v>
      </c>
    </row>
    <row r="24" spans="2:5">
      <c r="B24" s="7" t="s">
        <v>47</v>
      </c>
      <c r="C24" s="8">
        <v>45600</v>
      </c>
    </row>
    <row r="25" spans="2:5">
      <c r="B25" s="7" t="s">
        <v>34</v>
      </c>
      <c r="C25" s="8">
        <v>45619</v>
      </c>
    </row>
    <row r="26" spans="2:5">
      <c r="B26" s="6"/>
    </row>
    <row r="27" spans="2:5">
      <c r="B27" s="6"/>
    </row>
    <row r="28" spans="2:5">
      <c r="B28" s="6"/>
    </row>
    <row r="29" spans="2:5">
      <c r="B29" s="6"/>
    </row>
    <row r="30" spans="2:5">
      <c r="B30" s="6"/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2B96E-6D99-4E03-AEF8-C43E34009199}">
  <sheetPr codeName="Sheet4"/>
  <dimension ref="A1:J28"/>
  <sheetViews>
    <sheetView view="pageLayout" workbookViewId="0">
      <selection sqref="A1:K28"/>
    </sheetView>
  </sheetViews>
  <sheetFormatPr defaultColWidth="9" defaultRowHeight="13"/>
  <cols>
    <col min="1" max="1" width="18.58203125" style="19" customWidth="1"/>
    <col min="2" max="5" width="0" style="19" hidden="1" customWidth="1"/>
    <col min="6" max="6" width="9" style="20"/>
    <col min="7" max="9" width="0" style="19" hidden="1" customWidth="1"/>
    <col min="10" max="16384" width="9" style="19"/>
  </cols>
  <sheetData>
    <row r="1" spans="1:10">
      <c r="A1" s="19" t="s">
        <v>53</v>
      </c>
      <c r="F1" s="20" t="s">
        <v>54</v>
      </c>
      <c r="J1" s="19" t="s">
        <v>55</v>
      </c>
    </row>
    <row r="2" spans="1:10">
      <c r="A2" s="19" t="s">
        <v>56</v>
      </c>
      <c r="F2" s="20">
        <v>45154</v>
      </c>
      <c r="J2" s="19" t="s">
        <v>57</v>
      </c>
    </row>
    <row r="3" spans="1:10">
      <c r="A3" s="19" t="s">
        <v>58</v>
      </c>
      <c r="F3" s="20">
        <v>45154</v>
      </c>
      <c r="J3" s="19" t="s">
        <v>59</v>
      </c>
    </row>
    <row r="4" spans="1:10">
      <c r="A4" s="19" t="s">
        <v>60</v>
      </c>
      <c r="F4" s="20">
        <v>45155</v>
      </c>
      <c r="J4" s="19" t="s">
        <v>61</v>
      </c>
    </row>
    <row r="5" spans="1:10">
      <c r="A5" s="19" t="s">
        <v>62</v>
      </c>
      <c r="F5" s="20">
        <v>45155</v>
      </c>
      <c r="J5" s="19" t="s">
        <v>59</v>
      </c>
    </row>
    <row r="6" spans="1:10">
      <c r="A6" s="19" t="s">
        <v>63</v>
      </c>
      <c r="F6" s="20">
        <v>45156</v>
      </c>
      <c r="J6" s="19" t="s">
        <v>64</v>
      </c>
    </row>
    <row r="7" spans="1:10">
      <c r="A7" s="19" t="s">
        <v>65</v>
      </c>
      <c r="F7" s="20">
        <v>45156</v>
      </c>
      <c r="J7" s="19" t="s">
        <v>57</v>
      </c>
    </row>
    <row r="8" spans="1:10">
      <c r="A8" s="19" t="s">
        <v>66</v>
      </c>
      <c r="F8" s="20">
        <v>45159</v>
      </c>
      <c r="J8" s="19" t="s">
        <v>57</v>
      </c>
    </row>
    <row r="9" spans="1:10">
      <c r="A9" s="19" t="s">
        <v>67</v>
      </c>
      <c r="F9" s="20">
        <v>45159</v>
      </c>
      <c r="J9" s="19" t="s">
        <v>68</v>
      </c>
    </row>
    <row r="10" spans="1:10">
      <c r="A10" s="19" t="s">
        <v>69</v>
      </c>
      <c r="F10" s="20">
        <v>45160</v>
      </c>
      <c r="J10" s="19" t="s">
        <v>64</v>
      </c>
    </row>
    <row r="11" spans="1:10">
      <c r="A11" s="19" t="s">
        <v>70</v>
      </c>
      <c r="F11" s="20">
        <v>45160</v>
      </c>
      <c r="J11" s="19" t="s">
        <v>57</v>
      </c>
    </row>
    <row r="12" spans="1:10">
      <c r="A12" s="19" t="s">
        <v>71</v>
      </c>
      <c r="F12" s="20">
        <v>45161</v>
      </c>
      <c r="J12" s="19" t="s">
        <v>72</v>
      </c>
    </row>
    <row r="13" spans="1:10">
      <c r="A13" s="19" t="s">
        <v>73</v>
      </c>
      <c r="F13" s="20">
        <v>45161</v>
      </c>
      <c r="J13" s="19" t="s">
        <v>74</v>
      </c>
    </row>
    <row r="14" spans="1:10">
      <c r="A14" s="19" t="s">
        <v>75</v>
      </c>
      <c r="F14" s="20">
        <v>45162</v>
      </c>
      <c r="J14" s="19" t="s">
        <v>74</v>
      </c>
    </row>
    <row r="15" spans="1:10">
      <c r="A15" s="19" t="s">
        <v>76</v>
      </c>
      <c r="F15" s="20">
        <v>45162</v>
      </c>
      <c r="J15" s="19" t="s">
        <v>61</v>
      </c>
    </row>
    <row r="16" spans="1:10">
      <c r="A16" s="19" t="s">
        <v>77</v>
      </c>
      <c r="F16" s="20">
        <v>45163</v>
      </c>
      <c r="J16" s="19" t="s">
        <v>59</v>
      </c>
    </row>
    <row r="17" spans="1:10">
      <c r="A17" s="19" t="s">
        <v>78</v>
      </c>
      <c r="F17" s="20">
        <v>45163</v>
      </c>
      <c r="J17" s="19" t="s">
        <v>68</v>
      </c>
    </row>
    <row r="18" spans="1:10">
      <c r="A18" s="19" t="s">
        <v>79</v>
      </c>
      <c r="F18" s="20">
        <v>45166</v>
      </c>
      <c r="J18" s="19" t="s">
        <v>74</v>
      </c>
    </row>
    <row r="19" spans="1:10">
      <c r="A19" s="19" t="s">
        <v>80</v>
      </c>
      <c r="F19" s="20">
        <v>45166</v>
      </c>
      <c r="J19" s="19" t="s">
        <v>57</v>
      </c>
    </row>
    <row r="20" spans="1:10">
      <c r="A20" s="19" t="s">
        <v>81</v>
      </c>
      <c r="F20" s="20">
        <v>45167</v>
      </c>
      <c r="J20" s="19" t="s">
        <v>72</v>
      </c>
    </row>
    <row r="21" spans="1:10">
      <c r="A21" s="19" t="s">
        <v>82</v>
      </c>
      <c r="F21" s="20">
        <v>45167</v>
      </c>
      <c r="J21" s="19" t="s">
        <v>74</v>
      </c>
    </row>
    <row r="22" spans="1:10">
      <c r="A22" s="19" t="s">
        <v>83</v>
      </c>
      <c r="F22" s="20">
        <v>45168</v>
      </c>
      <c r="J22" s="19" t="s">
        <v>74</v>
      </c>
    </row>
    <row r="23" spans="1:10">
      <c r="A23" s="19" t="s">
        <v>84</v>
      </c>
      <c r="F23" s="20">
        <v>45168</v>
      </c>
      <c r="J23" s="19" t="s">
        <v>57</v>
      </c>
    </row>
    <row r="24" spans="1:10">
      <c r="A24" s="19" t="s">
        <v>85</v>
      </c>
      <c r="F24" s="20">
        <v>45169</v>
      </c>
      <c r="J24" s="19" t="s">
        <v>57</v>
      </c>
    </row>
    <row r="25" spans="1:10">
      <c r="A25" s="19" t="s">
        <v>86</v>
      </c>
      <c r="F25" s="20">
        <v>45169</v>
      </c>
      <c r="J25" s="19" t="s">
        <v>59</v>
      </c>
    </row>
    <row r="26" spans="1:10">
      <c r="A26" s="19" t="s">
        <v>87</v>
      </c>
      <c r="F26" s="20">
        <v>45170</v>
      </c>
      <c r="J26" s="19" t="s">
        <v>68</v>
      </c>
    </row>
    <row r="27" spans="1:10">
      <c r="A27" s="19" t="s">
        <v>88</v>
      </c>
      <c r="F27" s="20">
        <v>45173</v>
      </c>
      <c r="J27" s="19" t="s">
        <v>59</v>
      </c>
    </row>
    <row r="28" spans="1:10">
      <c r="A28" s="19" t="s">
        <v>89</v>
      </c>
      <c r="F28" s="20">
        <v>45174</v>
      </c>
      <c r="J28" s="19" t="s">
        <v>59</v>
      </c>
    </row>
  </sheetData>
  <autoFilter ref="A1:K28" xr:uid="{00000000-0001-0000-0100-000000000000}">
    <sortState xmlns:xlrd2="http://schemas.microsoft.com/office/spreadsheetml/2017/richdata2" ref="A2:K28">
      <sortCondition ref="F2:F28"/>
      <sortCondition ref="J2:J28"/>
    </sortState>
  </autoFilter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月間 </vt:lpstr>
      <vt:lpstr>３月月間(乗務員用）</vt:lpstr>
      <vt:lpstr>マスタ</vt:lpstr>
      <vt:lpstr>Sheet2</vt:lpstr>
      <vt:lpstr>'月間 '!Print_Area</vt:lpstr>
      <vt:lpstr>ツ</vt:lpstr>
      <vt:lpstr>祝日リスト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</dc:creator>
  <cp:lastModifiedBy>wakamatsu</cp:lastModifiedBy>
  <cp:lastPrinted>2026-01-07T00:29:22Z</cp:lastPrinted>
  <dcterms:created xsi:type="dcterms:W3CDTF">2018-03-29T04:12:06Z</dcterms:created>
  <dcterms:modified xsi:type="dcterms:W3CDTF">2026-01-07T01:06:05Z</dcterms:modified>
</cp:coreProperties>
</file>