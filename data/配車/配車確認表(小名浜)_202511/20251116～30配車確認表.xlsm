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ndou\若林運送 Dropbox\電帳法以外\F.配車（営業本部）\小名浜営業所\【小名浜】配車_2025年度\配車確認表(小名浜)_2025年度\配車確認表(小名浜)_202511\"/>
    </mc:Choice>
  </mc:AlternateContent>
  <xr:revisionPtr revIDLastSave="0" documentId="13_ncr:1_{9241DB06-7ECC-4B60-8E27-186EDB4DF044}" xr6:coauthVersionLast="47" xr6:coauthVersionMax="47" xr10:uidLastSave="{00000000-0000-0000-0000-000000000000}"/>
  <bookViews>
    <workbookView xWindow="0" yWindow="360" windowWidth="29040" windowHeight="15720" tabRatio="846" firstSheet="5" activeTab="19" xr2:uid="{5B70193A-406B-41DE-8B84-BDCFECB6487A}"/>
  </bookViews>
  <sheets>
    <sheet name="マスタ①" sheetId="104" state="veryHidden" r:id="rId1"/>
    <sheet name="マスタ②" sheetId="107" state="veryHidden" r:id="rId2"/>
    <sheet name="マスタ③" sheetId="109" state="veryHidden" r:id="rId3"/>
    <sheet name="マスタ④" sheetId="110" state="veryHidden" r:id="rId4"/>
    <sheet name="マスタ⑤" sheetId="111" state="veryHidden" r:id="rId5"/>
    <sheet name="16日" sheetId="97" r:id="rId6"/>
    <sheet name="17日" sheetId="112" r:id="rId7"/>
    <sheet name="18日" sheetId="113" r:id="rId8"/>
    <sheet name="19日" sheetId="114" r:id="rId9"/>
    <sheet name="20日" sheetId="115" r:id="rId10"/>
    <sheet name="21日" sheetId="116" r:id="rId11"/>
    <sheet name="22日" sheetId="117" r:id="rId12"/>
    <sheet name="23日" sheetId="118" r:id="rId13"/>
    <sheet name="24日" sheetId="119" r:id="rId14"/>
    <sheet name="25日" sheetId="120" r:id="rId15"/>
    <sheet name="26日" sheetId="121" r:id="rId16"/>
    <sheet name="27日" sheetId="122" r:id="rId17"/>
    <sheet name="28日" sheetId="123" r:id="rId18"/>
    <sheet name="29日" sheetId="124" r:id="rId19"/>
    <sheet name="30日" sheetId="125" r:id="rId20"/>
    <sheet name="31日" sheetId="126" state="hidden" r:id="rId21"/>
  </sheets>
  <definedNames>
    <definedName name="_xlnm._FilterDatabase" localSheetId="0" hidden="1">マスタ①!$K$3:$K$1113</definedName>
    <definedName name="_xlnm._FilterDatabase" localSheetId="3" hidden="1">マスタ④!$A$1:$C$106</definedName>
    <definedName name="_xlnm.Print_Area" localSheetId="5">'16日'!$A$1:$AC$41</definedName>
    <definedName name="_xlnm.Print_Area" localSheetId="6">'17日'!$A$1:$AC$41</definedName>
    <definedName name="_xlnm.Print_Area" localSheetId="7">'18日'!$A$1:$AC$41</definedName>
    <definedName name="_xlnm.Print_Area" localSheetId="8">'19日'!$A$1:$AC$41</definedName>
    <definedName name="_xlnm.Print_Area" localSheetId="9">'20日'!$A$1:$AC$41</definedName>
    <definedName name="_xlnm.Print_Area" localSheetId="10">'21日'!$A$1:$AC$41</definedName>
    <definedName name="_xlnm.Print_Area" localSheetId="11">'22日'!$A$1:$AC$41</definedName>
    <definedName name="_xlnm.Print_Area" localSheetId="12">'23日'!$A$1:$AC$41</definedName>
    <definedName name="_xlnm.Print_Area" localSheetId="13">'24日'!$A$1:$AC$41</definedName>
    <definedName name="_xlnm.Print_Area" localSheetId="14">'25日'!$A$1:$AC$41</definedName>
    <definedName name="_xlnm.Print_Area" localSheetId="15">'26日'!$A$1:$AC$41</definedName>
    <definedName name="_xlnm.Print_Area" localSheetId="16">'27日'!$A$1:$AC$41</definedName>
    <definedName name="_xlnm.Print_Area" localSheetId="17">'28日'!$A$1:$AC$41</definedName>
    <definedName name="_xlnm.Print_Area" localSheetId="18">'29日'!$A$1:$AC$41</definedName>
    <definedName name="_xlnm.Print_Area" localSheetId="19">'30日'!$A$1:$AC$41</definedName>
    <definedName name="_xlnm.Print_Area" localSheetId="20">'31日'!$A$1:$AC$41</definedName>
    <definedName name="_xlnm.Print_Area" localSheetId="4">マスタ⑤!$A$1:$AC$41</definedName>
    <definedName name="祝日リスト">マスタ④!$G$1</definedName>
  </definedNames>
  <calcPr calcId="191029"/>
</workbook>
</file>

<file path=xl/calcChain.xml><?xml version="1.0" encoding="utf-8"?>
<calcChain xmlns="http://schemas.openxmlformats.org/spreadsheetml/2006/main">
  <c r="B217" i="107" l="1"/>
  <c r="P33" i="126"/>
  <c r="J33" i="126"/>
  <c r="G33" i="126"/>
  <c r="G32" i="126"/>
  <c r="J31" i="126"/>
  <c r="G31" i="126"/>
  <c r="G30" i="126"/>
  <c r="J29" i="126"/>
  <c r="G29" i="126"/>
  <c r="G28" i="126"/>
  <c r="J27" i="126"/>
  <c r="G27" i="126"/>
  <c r="G26" i="126"/>
  <c r="J25" i="126"/>
  <c r="G25" i="126"/>
  <c r="G24" i="126"/>
  <c r="J23" i="126"/>
  <c r="G23" i="126"/>
  <c r="G22" i="126"/>
  <c r="J21" i="126"/>
  <c r="G21" i="126"/>
  <c r="G20" i="126"/>
  <c r="J19" i="126"/>
  <c r="G19" i="126"/>
  <c r="G18" i="126"/>
  <c r="J17" i="126"/>
  <c r="G17" i="126"/>
  <c r="G16" i="126"/>
  <c r="J15" i="126"/>
  <c r="G15" i="126"/>
  <c r="G14" i="126"/>
  <c r="J13" i="126"/>
  <c r="G13" i="126"/>
  <c r="G12" i="126"/>
  <c r="J11" i="126"/>
  <c r="G11" i="126"/>
  <c r="G10" i="126"/>
  <c r="J9" i="126"/>
  <c r="G9" i="126"/>
  <c r="G8" i="126"/>
  <c r="J7" i="126"/>
  <c r="G7" i="126"/>
  <c r="G6" i="126"/>
  <c r="P33" i="125"/>
  <c r="J33" i="125"/>
  <c r="G33" i="125"/>
  <c r="G32" i="125"/>
  <c r="J31" i="125"/>
  <c r="G31" i="125"/>
  <c r="G30" i="125"/>
  <c r="J29" i="125"/>
  <c r="G29" i="125"/>
  <c r="G28" i="125"/>
  <c r="J27" i="125"/>
  <c r="G27" i="125"/>
  <c r="G26" i="125"/>
  <c r="J25" i="125"/>
  <c r="G25" i="125"/>
  <c r="G24" i="125"/>
  <c r="J23" i="125"/>
  <c r="G23" i="125"/>
  <c r="G22" i="125"/>
  <c r="J21" i="125"/>
  <c r="G21" i="125"/>
  <c r="G20" i="125"/>
  <c r="J19" i="125"/>
  <c r="G19" i="125"/>
  <c r="J17" i="125"/>
  <c r="G17" i="125"/>
  <c r="J15" i="125"/>
  <c r="G15" i="125"/>
  <c r="G14" i="125"/>
  <c r="J13" i="125"/>
  <c r="G13" i="125"/>
  <c r="G12" i="125"/>
  <c r="J11" i="125"/>
  <c r="G11" i="125"/>
  <c r="G10" i="125"/>
  <c r="J9" i="125"/>
  <c r="G9" i="125"/>
  <c r="J7" i="125"/>
  <c r="G7" i="125"/>
  <c r="G6" i="125"/>
  <c r="P33" i="124"/>
  <c r="J33" i="124"/>
  <c r="G33" i="124"/>
  <c r="G32" i="124"/>
  <c r="J31" i="124"/>
  <c r="G31" i="124"/>
  <c r="G30" i="124"/>
  <c r="J29" i="124"/>
  <c r="G29" i="124"/>
  <c r="G28" i="124"/>
  <c r="J27" i="124"/>
  <c r="G27" i="124"/>
  <c r="G26" i="124"/>
  <c r="J25" i="124"/>
  <c r="G25" i="124"/>
  <c r="G24" i="124"/>
  <c r="J23" i="124"/>
  <c r="J21" i="124"/>
  <c r="G20" i="124"/>
  <c r="J19" i="124"/>
  <c r="G19" i="124"/>
  <c r="G18" i="124"/>
  <c r="J17" i="124"/>
  <c r="G17" i="124"/>
  <c r="G16" i="124"/>
  <c r="J15" i="124"/>
  <c r="G15" i="124"/>
  <c r="J13" i="124"/>
  <c r="G13" i="124"/>
  <c r="G12" i="124"/>
  <c r="J11" i="124"/>
  <c r="G11" i="124"/>
  <c r="G10" i="124"/>
  <c r="J9" i="124"/>
  <c r="G9" i="124"/>
  <c r="G8" i="124"/>
  <c r="J7" i="124"/>
  <c r="G7" i="124"/>
  <c r="G6" i="124"/>
  <c r="P33" i="123"/>
  <c r="J33" i="123"/>
  <c r="G33" i="123"/>
  <c r="G32" i="123"/>
  <c r="J31" i="123"/>
  <c r="G31" i="123"/>
  <c r="G30" i="123"/>
  <c r="J29" i="123"/>
  <c r="G29" i="123"/>
  <c r="G28" i="123"/>
  <c r="J27" i="123"/>
  <c r="G27" i="123"/>
  <c r="J25" i="123"/>
  <c r="G25" i="123"/>
  <c r="G24" i="123"/>
  <c r="J23" i="123"/>
  <c r="G22" i="123"/>
  <c r="J21" i="123"/>
  <c r="G21" i="123"/>
  <c r="G20" i="123"/>
  <c r="J19" i="123"/>
  <c r="G19" i="123"/>
  <c r="G18" i="123"/>
  <c r="J17" i="123"/>
  <c r="G17" i="123"/>
  <c r="G16" i="123"/>
  <c r="J15" i="123"/>
  <c r="G15" i="123"/>
  <c r="G14" i="123"/>
  <c r="J13" i="123"/>
  <c r="G13" i="123"/>
  <c r="J11" i="123"/>
  <c r="G11" i="123"/>
  <c r="G10" i="123"/>
  <c r="J9" i="123"/>
  <c r="G9" i="123"/>
  <c r="G8" i="123"/>
  <c r="J7" i="123"/>
  <c r="G7" i="123"/>
  <c r="G6" i="123"/>
  <c r="P33" i="122"/>
  <c r="J33" i="122"/>
  <c r="G33" i="122"/>
  <c r="G32" i="122"/>
  <c r="J31" i="122"/>
  <c r="G31" i="122"/>
  <c r="G30" i="122"/>
  <c r="J29" i="122"/>
  <c r="G29" i="122"/>
  <c r="G28" i="122"/>
  <c r="J27" i="122"/>
  <c r="G27" i="122"/>
  <c r="G26" i="122"/>
  <c r="J25" i="122"/>
  <c r="G25" i="122"/>
  <c r="J23" i="122"/>
  <c r="G23" i="122"/>
  <c r="G22" i="122"/>
  <c r="J21" i="122"/>
  <c r="G21" i="122"/>
  <c r="G20" i="122"/>
  <c r="J19" i="122"/>
  <c r="G19" i="122"/>
  <c r="G18" i="122"/>
  <c r="J17" i="122"/>
  <c r="G17" i="122"/>
  <c r="G16" i="122"/>
  <c r="J15" i="122"/>
  <c r="G15" i="122"/>
  <c r="J13" i="122"/>
  <c r="G13" i="122"/>
  <c r="G12" i="122"/>
  <c r="J11" i="122"/>
  <c r="G11" i="122"/>
  <c r="G10" i="122"/>
  <c r="J9" i="122"/>
  <c r="G9" i="122"/>
  <c r="G8" i="122"/>
  <c r="J7" i="122"/>
  <c r="G7" i="122"/>
  <c r="G6" i="122"/>
  <c r="P33" i="121"/>
  <c r="J33" i="121"/>
  <c r="G33" i="121"/>
  <c r="G32" i="121"/>
  <c r="J31" i="121"/>
  <c r="G31" i="121"/>
  <c r="G30" i="121"/>
  <c r="J29" i="121"/>
  <c r="G29" i="121"/>
  <c r="G28" i="121"/>
  <c r="J27" i="121"/>
  <c r="G27" i="121"/>
  <c r="G26" i="121"/>
  <c r="J25" i="121"/>
  <c r="G25" i="121"/>
  <c r="J23" i="121"/>
  <c r="G23" i="121"/>
  <c r="G22" i="121"/>
  <c r="J21" i="121"/>
  <c r="G21" i="121"/>
  <c r="G20" i="121"/>
  <c r="J19" i="121"/>
  <c r="G19" i="121"/>
  <c r="G18" i="121"/>
  <c r="J17" i="121"/>
  <c r="G17" i="121"/>
  <c r="G16" i="121"/>
  <c r="J15" i="121"/>
  <c r="G15" i="121"/>
  <c r="G14" i="121"/>
  <c r="J13" i="121"/>
  <c r="G13" i="121"/>
  <c r="G12" i="121"/>
  <c r="J11" i="121"/>
  <c r="G11" i="121"/>
  <c r="G10" i="121"/>
  <c r="J9" i="121"/>
  <c r="G9" i="121"/>
  <c r="J7" i="121"/>
  <c r="G7" i="121"/>
  <c r="G6" i="121"/>
  <c r="P33" i="120"/>
  <c r="J33" i="120"/>
  <c r="G33" i="120"/>
  <c r="G32" i="120"/>
  <c r="J31" i="120"/>
  <c r="G31" i="120"/>
  <c r="G30" i="120"/>
  <c r="J29" i="120"/>
  <c r="G29" i="120"/>
  <c r="G28" i="120"/>
  <c r="J27" i="120"/>
  <c r="G27" i="120"/>
  <c r="G26" i="120"/>
  <c r="J25" i="120"/>
  <c r="G25" i="120"/>
  <c r="G24" i="120"/>
  <c r="J23" i="120"/>
  <c r="G23" i="120"/>
  <c r="G22" i="120"/>
  <c r="J21" i="120"/>
  <c r="G21" i="120"/>
  <c r="G20" i="120"/>
  <c r="J19" i="120"/>
  <c r="G19" i="120"/>
  <c r="G18" i="120"/>
  <c r="J17" i="120"/>
  <c r="G17" i="120"/>
  <c r="G16" i="120"/>
  <c r="J15" i="120"/>
  <c r="G15" i="120"/>
  <c r="G14" i="120"/>
  <c r="J13" i="120"/>
  <c r="G13" i="120"/>
  <c r="G12" i="120"/>
  <c r="J11" i="120"/>
  <c r="G11" i="120"/>
  <c r="G10" i="120"/>
  <c r="J9" i="120"/>
  <c r="J7" i="120"/>
  <c r="G7" i="120"/>
  <c r="P33" i="119"/>
  <c r="J33" i="119"/>
  <c r="G33" i="119"/>
  <c r="G32" i="119"/>
  <c r="J31" i="119"/>
  <c r="G31" i="119"/>
  <c r="G30" i="119"/>
  <c r="J29" i="119"/>
  <c r="G29" i="119"/>
  <c r="G28" i="119"/>
  <c r="J27" i="119"/>
  <c r="G27" i="119"/>
  <c r="G26" i="119"/>
  <c r="J25" i="119"/>
  <c r="G25" i="119"/>
  <c r="J23" i="119"/>
  <c r="G23" i="119"/>
  <c r="G22" i="119"/>
  <c r="J21" i="119"/>
  <c r="G21" i="119"/>
  <c r="G20" i="119"/>
  <c r="J19" i="119"/>
  <c r="G19" i="119"/>
  <c r="G18" i="119"/>
  <c r="J17" i="119"/>
  <c r="G17" i="119"/>
  <c r="G16" i="119"/>
  <c r="J15" i="119"/>
  <c r="G15" i="119"/>
  <c r="G14" i="119"/>
  <c r="J13" i="119"/>
  <c r="G13" i="119"/>
  <c r="G12" i="119"/>
  <c r="J11" i="119"/>
  <c r="G11" i="119"/>
  <c r="G10" i="119"/>
  <c r="J9" i="119"/>
  <c r="J7" i="119"/>
  <c r="G7" i="119"/>
  <c r="G6" i="119"/>
  <c r="P33" i="118"/>
  <c r="J33" i="118"/>
  <c r="G33" i="118"/>
  <c r="G32" i="118"/>
  <c r="J31" i="118"/>
  <c r="G31" i="118"/>
  <c r="G30" i="118"/>
  <c r="J29" i="118"/>
  <c r="G29" i="118"/>
  <c r="G28" i="118"/>
  <c r="J27" i="118"/>
  <c r="G27" i="118"/>
  <c r="G26" i="118"/>
  <c r="J25" i="118"/>
  <c r="G25" i="118"/>
  <c r="J23" i="118"/>
  <c r="G23" i="118"/>
  <c r="J21" i="118"/>
  <c r="G21" i="118"/>
  <c r="G20" i="118"/>
  <c r="J19" i="118"/>
  <c r="G19" i="118"/>
  <c r="G18" i="118"/>
  <c r="J17" i="118"/>
  <c r="G17" i="118"/>
  <c r="G16" i="118"/>
  <c r="J15" i="118"/>
  <c r="G15" i="118"/>
  <c r="J13" i="118"/>
  <c r="G13" i="118"/>
  <c r="G12" i="118"/>
  <c r="J11" i="118"/>
  <c r="G11" i="118"/>
  <c r="G10" i="118"/>
  <c r="J9" i="118"/>
  <c r="G9" i="118"/>
  <c r="G8" i="118"/>
  <c r="J7" i="118"/>
  <c r="G7" i="118"/>
  <c r="G6" i="118"/>
  <c r="P33" i="117"/>
  <c r="J33" i="117"/>
  <c r="G33" i="117"/>
  <c r="G32" i="117"/>
  <c r="J31" i="117"/>
  <c r="G31" i="117"/>
  <c r="G30" i="117"/>
  <c r="J29" i="117"/>
  <c r="G29" i="117"/>
  <c r="G28" i="117"/>
  <c r="J27" i="117"/>
  <c r="G27" i="117"/>
  <c r="G26" i="117"/>
  <c r="J25" i="117"/>
  <c r="G25" i="117"/>
  <c r="G24" i="117"/>
  <c r="J23" i="117"/>
  <c r="J21" i="117"/>
  <c r="G21" i="117"/>
  <c r="J19" i="117"/>
  <c r="G19" i="117"/>
  <c r="G18" i="117"/>
  <c r="J17" i="117"/>
  <c r="G17" i="117"/>
  <c r="G16" i="117"/>
  <c r="J15" i="117"/>
  <c r="G15" i="117"/>
  <c r="G14" i="117"/>
  <c r="J13" i="117"/>
  <c r="G13" i="117"/>
  <c r="G12" i="117"/>
  <c r="J11" i="117"/>
  <c r="G11" i="117"/>
  <c r="G10" i="117"/>
  <c r="J9" i="117"/>
  <c r="G9" i="117"/>
  <c r="J7" i="117"/>
  <c r="G7" i="117"/>
  <c r="G6" i="117"/>
  <c r="P33" i="116"/>
  <c r="J33" i="116"/>
  <c r="G33" i="116"/>
  <c r="G32" i="116"/>
  <c r="J31" i="116"/>
  <c r="G31" i="116"/>
  <c r="G30" i="116"/>
  <c r="J29" i="116"/>
  <c r="G29" i="116"/>
  <c r="G28" i="116"/>
  <c r="J27" i="116"/>
  <c r="G27" i="116"/>
  <c r="G26" i="116"/>
  <c r="J25" i="116"/>
  <c r="G25" i="116"/>
  <c r="G24" i="116"/>
  <c r="J23" i="116"/>
  <c r="G23" i="116"/>
  <c r="G22" i="116"/>
  <c r="J21" i="116"/>
  <c r="J19" i="116"/>
  <c r="G19" i="116"/>
  <c r="G18" i="116"/>
  <c r="J17" i="116"/>
  <c r="G17" i="116"/>
  <c r="G16" i="116"/>
  <c r="J15" i="116"/>
  <c r="G15" i="116"/>
  <c r="G14" i="116"/>
  <c r="J13" i="116"/>
  <c r="G13" i="116"/>
  <c r="G12" i="116"/>
  <c r="J11" i="116"/>
  <c r="G11" i="116"/>
  <c r="G10" i="116"/>
  <c r="J9" i="116"/>
  <c r="G9" i="116"/>
  <c r="G8" i="116"/>
  <c r="J7" i="116"/>
  <c r="G7" i="116"/>
  <c r="G6" i="116"/>
  <c r="P33" i="115"/>
  <c r="J33" i="115"/>
  <c r="G33" i="115"/>
  <c r="G32" i="115"/>
  <c r="J31" i="115"/>
  <c r="G31" i="115"/>
  <c r="G30" i="115"/>
  <c r="J29" i="115"/>
  <c r="G29" i="115"/>
  <c r="G28" i="115"/>
  <c r="J27" i="115"/>
  <c r="G27" i="115"/>
  <c r="G26" i="115"/>
  <c r="J25" i="115"/>
  <c r="G25" i="115"/>
  <c r="G24" i="115"/>
  <c r="J23" i="115"/>
  <c r="G23" i="115"/>
  <c r="G22" i="115"/>
  <c r="J21" i="115"/>
  <c r="G21" i="115"/>
  <c r="G20" i="115"/>
  <c r="J19" i="115"/>
  <c r="G19" i="115"/>
  <c r="G18" i="115"/>
  <c r="J17" i="115"/>
  <c r="G17" i="115"/>
  <c r="G16" i="115"/>
  <c r="J15" i="115"/>
  <c r="G15" i="115"/>
  <c r="J13" i="115"/>
  <c r="G13" i="115"/>
  <c r="G12" i="115"/>
  <c r="J11" i="115"/>
  <c r="G11" i="115"/>
  <c r="G10" i="115"/>
  <c r="J9" i="115"/>
  <c r="G9" i="115"/>
  <c r="J7" i="115"/>
  <c r="G7" i="115"/>
  <c r="G6" i="115"/>
  <c r="P33" i="114"/>
  <c r="J33" i="114"/>
  <c r="G33" i="114"/>
  <c r="G32" i="114"/>
  <c r="J31" i="114"/>
  <c r="G31" i="114"/>
  <c r="G30" i="114"/>
  <c r="J29" i="114"/>
  <c r="G29" i="114"/>
  <c r="G28" i="114"/>
  <c r="J27" i="114"/>
  <c r="G27" i="114"/>
  <c r="G26" i="114"/>
  <c r="J25" i="114"/>
  <c r="G25" i="114"/>
  <c r="G24" i="114"/>
  <c r="J23" i="114"/>
  <c r="G23" i="114"/>
  <c r="G22" i="114"/>
  <c r="J21" i="114"/>
  <c r="J19" i="114"/>
  <c r="G19" i="114"/>
  <c r="G18" i="114"/>
  <c r="J17" i="114"/>
  <c r="G17" i="114"/>
  <c r="G16" i="114"/>
  <c r="J15" i="114"/>
  <c r="G15" i="114"/>
  <c r="G14" i="114"/>
  <c r="J13" i="114"/>
  <c r="G13" i="114"/>
  <c r="G12" i="114"/>
  <c r="J11" i="114"/>
  <c r="G11" i="114"/>
  <c r="G10" i="114"/>
  <c r="J9" i="114"/>
  <c r="G9" i="114"/>
  <c r="G8" i="114"/>
  <c r="J7" i="114"/>
  <c r="G7" i="114"/>
  <c r="G6" i="114"/>
  <c r="P33" i="113"/>
  <c r="J33" i="113"/>
  <c r="G33" i="113"/>
  <c r="G32" i="113"/>
  <c r="J31" i="113"/>
  <c r="G31" i="113"/>
  <c r="G30" i="113"/>
  <c r="J29" i="113"/>
  <c r="G29" i="113"/>
  <c r="G28" i="113"/>
  <c r="J27" i="113"/>
  <c r="G27" i="113"/>
  <c r="G26" i="113"/>
  <c r="J25" i="113"/>
  <c r="G25" i="113"/>
  <c r="G24" i="113"/>
  <c r="J23" i="113"/>
  <c r="J21" i="113"/>
  <c r="G21" i="113"/>
  <c r="G20" i="113"/>
  <c r="J19" i="113"/>
  <c r="G19" i="113"/>
  <c r="G18" i="113"/>
  <c r="J17" i="113"/>
  <c r="G17" i="113"/>
  <c r="J15" i="113"/>
  <c r="G15" i="113"/>
  <c r="G14" i="113"/>
  <c r="J13" i="113"/>
  <c r="G13" i="113"/>
  <c r="G12" i="113"/>
  <c r="J11" i="113"/>
  <c r="G11" i="113"/>
  <c r="G10" i="113"/>
  <c r="J9" i="113"/>
  <c r="G9" i="113"/>
  <c r="G8" i="113"/>
  <c r="J7" i="113"/>
  <c r="G7" i="113"/>
  <c r="G6" i="113"/>
  <c r="P33" i="112"/>
  <c r="J33" i="112"/>
  <c r="G33" i="112"/>
  <c r="G32" i="112"/>
  <c r="J31" i="112"/>
  <c r="G31" i="112"/>
  <c r="G30" i="112"/>
  <c r="J29" i="112"/>
  <c r="G29" i="112"/>
  <c r="G28" i="112"/>
  <c r="J27" i="112"/>
  <c r="G27" i="112"/>
  <c r="G26" i="112"/>
  <c r="J25" i="112"/>
  <c r="G25" i="112"/>
  <c r="G24" i="112"/>
  <c r="J23" i="112"/>
  <c r="J21" i="112"/>
  <c r="G21" i="112"/>
  <c r="G20" i="112"/>
  <c r="J19" i="112"/>
  <c r="G19" i="112"/>
  <c r="G18" i="112"/>
  <c r="J17" i="112"/>
  <c r="G17" i="112"/>
  <c r="G16" i="112"/>
  <c r="J15" i="112"/>
  <c r="G15" i="112"/>
  <c r="G14" i="112"/>
  <c r="J13" i="112"/>
  <c r="G13" i="112"/>
  <c r="G12" i="112"/>
  <c r="J11" i="112"/>
  <c r="G11" i="112"/>
  <c r="G10" i="112"/>
  <c r="J9" i="112"/>
  <c r="G9" i="112"/>
  <c r="G8" i="112"/>
  <c r="J7" i="112"/>
  <c r="G7" i="112"/>
  <c r="P33" i="97"/>
  <c r="J33" i="97"/>
  <c r="G33" i="97"/>
  <c r="G32" i="97"/>
  <c r="J31" i="97"/>
  <c r="G31" i="97"/>
  <c r="G30" i="97"/>
  <c r="J29" i="97"/>
  <c r="G29" i="97"/>
  <c r="G28" i="97"/>
  <c r="J27" i="97"/>
  <c r="G27" i="97"/>
  <c r="J25" i="97"/>
  <c r="G25" i="97"/>
  <c r="G24" i="97"/>
  <c r="J23" i="97"/>
  <c r="G23" i="97"/>
  <c r="J21" i="97"/>
  <c r="G21" i="97"/>
  <c r="G20" i="97"/>
  <c r="J19" i="97"/>
  <c r="G19" i="97"/>
  <c r="G18" i="97"/>
  <c r="J17" i="97"/>
  <c r="G17" i="97"/>
  <c r="G16" i="97"/>
  <c r="J15" i="97"/>
  <c r="G15" i="97"/>
  <c r="G14" i="97"/>
  <c r="J13" i="97"/>
  <c r="G13" i="97"/>
  <c r="G12" i="97"/>
  <c r="J11" i="97"/>
  <c r="G11" i="97"/>
  <c r="G10" i="97"/>
  <c r="J9" i="97"/>
  <c r="G9" i="97"/>
  <c r="G8" i="97"/>
  <c r="J7" i="97"/>
  <c r="G7" i="97"/>
  <c r="G6" i="97"/>
  <c r="H337" i="104" l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B1003" i="107"/>
  <c r="B1004" i="107"/>
  <c r="B1005" i="107"/>
  <c r="B1006" i="107"/>
  <c r="B1007" i="107"/>
  <c r="B1008" i="107"/>
  <c r="B1009" i="107"/>
  <c r="B1010" i="107"/>
  <c r="B1011" i="107"/>
  <c r="B1012" i="107"/>
  <c r="B1013" i="107"/>
  <c r="B1014" i="107"/>
  <c r="B1015" i="107"/>
  <c r="B1016" i="107"/>
  <c r="B1017" i="107"/>
  <c r="B1018" i="107"/>
  <c r="B1019" i="107"/>
  <c r="B1020" i="107"/>
  <c r="B1021" i="107"/>
  <c r="B1022" i="107"/>
  <c r="B1023" i="107"/>
  <c r="B1024" i="107"/>
  <c r="B1025" i="107"/>
  <c r="B1026" i="107"/>
  <c r="B1027" i="107"/>
  <c r="B1028" i="107"/>
  <c r="B1029" i="107"/>
  <c r="B1030" i="107"/>
  <c r="B1031" i="107"/>
  <c r="B1032" i="107"/>
  <c r="B1033" i="107"/>
  <c r="B1034" i="107"/>
  <c r="B1035" i="107"/>
  <c r="B1036" i="107"/>
  <c r="B1037" i="107"/>
  <c r="B1038" i="107"/>
  <c r="B1039" i="107"/>
  <c r="B3" i="107"/>
  <c r="J337" i="104"/>
  <c r="H4" i="104" l="1"/>
  <c r="H20" i="104"/>
  <c r="C211" i="107"/>
  <c r="C212" i="107"/>
  <c r="C210" i="107"/>
  <c r="H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41" i="104"/>
  <c r="H42" i="104"/>
  <c r="H43" i="104"/>
  <c r="H44" i="104"/>
  <c r="H45" i="104"/>
  <c r="H46" i="104"/>
  <c r="H47" i="104"/>
  <c r="H48" i="104"/>
  <c r="H49" i="104"/>
  <c r="H50" i="104"/>
  <c r="H51" i="104"/>
  <c r="H52" i="104"/>
  <c r="H53" i="104"/>
  <c r="H54" i="104"/>
  <c r="H55" i="104"/>
  <c r="H56" i="104"/>
  <c r="H57" i="104"/>
  <c r="H58" i="104"/>
  <c r="H59" i="104"/>
  <c r="H60" i="104"/>
  <c r="H61" i="104"/>
  <c r="H62" i="104"/>
  <c r="H63" i="104"/>
  <c r="H64" i="104"/>
  <c r="H65" i="104"/>
  <c r="H66" i="104"/>
  <c r="H67" i="104"/>
  <c r="H68" i="104"/>
  <c r="H69" i="104"/>
  <c r="H70" i="104"/>
  <c r="H71" i="104"/>
  <c r="H72" i="104"/>
  <c r="H73" i="104"/>
  <c r="H74" i="104"/>
  <c r="H75" i="104"/>
  <c r="H76" i="104"/>
  <c r="H77" i="104"/>
  <c r="H78" i="104"/>
  <c r="H79" i="104"/>
  <c r="H80" i="104"/>
  <c r="H81" i="104"/>
  <c r="H82" i="104"/>
  <c r="H83" i="104"/>
  <c r="H84" i="104"/>
  <c r="H85" i="104"/>
  <c r="H86" i="104"/>
  <c r="H87" i="104"/>
  <c r="H88" i="104"/>
  <c r="H89" i="104"/>
  <c r="H90" i="104"/>
  <c r="H91" i="104"/>
  <c r="H92" i="104"/>
  <c r="H93" i="104"/>
  <c r="H94" i="104"/>
  <c r="H95" i="104"/>
  <c r="H96" i="104"/>
  <c r="H97" i="104"/>
  <c r="H98" i="104"/>
  <c r="H99" i="104"/>
  <c r="H100" i="104"/>
  <c r="H101" i="104"/>
  <c r="H102" i="104"/>
  <c r="H103" i="104"/>
  <c r="H104" i="104"/>
  <c r="H105" i="104"/>
  <c r="H106" i="104"/>
  <c r="H107" i="104"/>
  <c r="H108" i="104"/>
  <c r="H109" i="104"/>
  <c r="H110" i="104"/>
  <c r="H111" i="104"/>
  <c r="H112" i="104"/>
  <c r="H113" i="104"/>
  <c r="H114" i="104"/>
  <c r="H115" i="104"/>
  <c r="H116" i="104"/>
  <c r="H117" i="104"/>
  <c r="H118" i="104"/>
  <c r="H119" i="104"/>
  <c r="H120" i="104"/>
  <c r="H121" i="104"/>
  <c r="H122" i="104"/>
  <c r="H123" i="104"/>
  <c r="H124" i="104"/>
  <c r="H125" i="104"/>
  <c r="H126" i="104"/>
  <c r="H127" i="104"/>
  <c r="H128" i="104"/>
  <c r="H129" i="104"/>
  <c r="H130" i="104"/>
  <c r="H131" i="104"/>
  <c r="H132" i="104"/>
  <c r="H133" i="104"/>
  <c r="H134" i="104"/>
  <c r="H135" i="104"/>
  <c r="H136" i="104"/>
  <c r="H137" i="104"/>
  <c r="H138" i="104"/>
  <c r="H139" i="104"/>
  <c r="H140" i="104"/>
  <c r="H141" i="104"/>
  <c r="H142" i="104"/>
  <c r="H143" i="104"/>
  <c r="H144" i="104"/>
  <c r="H145" i="104"/>
  <c r="H146" i="104"/>
  <c r="H147" i="104"/>
  <c r="H148" i="104"/>
  <c r="H149" i="104"/>
  <c r="H150" i="104"/>
  <c r="H151" i="104"/>
  <c r="H152" i="104"/>
  <c r="H153" i="104"/>
  <c r="H154" i="104"/>
  <c r="H155" i="104"/>
  <c r="H156" i="104"/>
  <c r="H157" i="104"/>
  <c r="H158" i="104"/>
  <c r="H159" i="104"/>
  <c r="H160" i="104"/>
  <c r="H161" i="104"/>
  <c r="H162" i="104"/>
  <c r="H163" i="104"/>
  <c r="H164" i="104"/>
  <c r="H165" i="104"/>
  <c r="H166" i="104"/>
  <c r="H167" i="104"/>
  <c r="H168" i="104"/>
  <c r="H169" i="104"/>
  <c r="H170" i="104"/>
  <c r="H171" i="104"/>
  <c r="H172" i="104"/>
  <c r="H173" i="104"/>
  <c r="H174" i="104"/>
  <c r="H175" i="104"/>
  <c r="H176" i="104"/>
  <c r="H177" i="104"/>
  <c r="H178" i="104"/>
  <c r="H179" i="104"/>
  <c r="H180" i="104"/>
  <c r="H181" i="104"/>
  <c r="H182" i="104"/>
  <c r="H183" i="104"/>
  <c r="H184" i="104"/>
  <c r="H185" i="104"/>
  <c r="H186" i="104"/>
  <c r="H187" i="104"/>
  <c r="H188" i="104"/>
  <c r="H189" i="104"/>
  <c r="H190" i="104"/>
  <c r="H191" i="104"/>
  <c r="H192" i="104"/>
  <c r="H193" i="104"/>
  <c r="H194" i="104"/>
  <c r="H195" i="104"/>
  <c r="H196" i="104"/>
  <c r="H197" i="104"/>
  <c r="H198" i="104"/>
  <c r="H199" i="104"/>
  <c r="H200" i="104"/>
  <c r="H201" i="104"/>
  <c r="H202" i="104"/>
  <c r="H203" i="104"/>
  <c r="H204" i="104"/>
  <c r="H205" i="104"/>
  <c r="H206" i="104"/>
  <c r="H207" i="104"/>
  <c r="H208" i="104"/>
  <c r="H209" i="104"/>
  <c r="H210" i="104"/>
  <c r="H211" i="104"/>
  <c r="H212" i="104"/>
  <c r="H213" i="104"/>
  <c r="H214" i="104"/>
  <c r="H215" i="104"/>
  <c r="H216" i="104"/>
  <c r="H217" i="104"/>
  <c r="H218" i="104"/>
  <c r="H219" i="104"/>
  <c r="H220" i="104"/>
  <c r="H221" i="104"/>
  <c r="H222" i="104"/>
  <c r="H223" i="104"/>
  <c r="H224" i="104"/>
  <c r="H225" i="104"/>
  <c r="H226" i="104"/>
  <c r="H227" i="104"/>
  <c r="H228" i="104"/>
  <c r="H229" i="104"/>
  <c r="H230" i="104"/>
  <c r="H231" i="104"/>
  <c r="H232" i="104"/>
  <c r="H233" i="104"/>
  <c r="H234" i="104"/>
  <c r="H235" i="104"/>
  <c r="H236" i="104"/>
  <c r="H237" i="104"/>
  <c r="H238" i="104"/>
  <c r="H239" i="104"/>
  <c r="H240" i="104"/>
  <c r="H241" i="104"/>
  <c r="H242" i="104"/>
  <c r="H243" i="104"/>
  <c r="H244" i="104"/>
  <c r="H245" i="104"/>
  <c r="H246" i="104"/>
  <c r="H247" i="104"/>
  <c r="H248" i="104"/>
  <c r="H249" i="104"/>
  <c r="H250" i="104"/>
  <c r="H251" i="104"/>
  <c r="H252" i="104"/>
  <c r="H253" i="104"/>
  <c r="H254" i="104"/>
  <c r="H255" i="104"/>
  <c r="H256" i="104"/>
  <c r="H257" i="104"/>
  <c r="H258" i="104"/>
  <c r="H259" i="104"/>
  <c r="H260" i="104"/>
  <c r="H261" i="104"/>
  <c r="H262" i="104"/>
  <c r="H263" i="104"/>
  <c r="H264" i="104"/>
  <c r="H265" i="104"/>
  <c r="H266" i="104"/>
  <c r="H267" i="104"/>
  <c r="H268" i="104"/>
  <c r="H269" i="104"/>
  <c r="H270" i="104"/>
  <c r="H271" i="104"/>
  <c r="H272" i="104"/>
  <c r="H273" i="104"/>
  <c r="H274" i="104"/>
  <c r="H275" i="104"/>
  <c r="H276" i="104"/>
  <c r="H277" i="104"/>
  <c r="H278" i="104"/>
  <c r="H279" i="104"/>
  <c r="H280" i="104"/>
  <c r="H281" i="104"/>
  <c r="H282" i="104"/>
  <c r="H283" i="104"/>
  <c r="H284" i="104"/>
  <c r="H285" i="104"/>
  <c r="H286" i="104"/>
  <c r="H287" i="104"/>
  <c r="H288" i="104"/>
  <c r="H289" i="104"/>
  <c r="H290" i="104"/>
  <c r="H291" i="104"/>
  <c r="H292" i="104"/>
  <c r="H293" i="104"/>
  <c r="H294" i="104"/>
  <c r="H295" i="104"/>
  <c r="H296" i="104"/>
  <c r="H297" i="104"/>
  <c r="H298" i="104"/>
  <c r="H299" i="104"/>
  <c r="H300" i="104"/>
  <c r="H301" i="104"/>
  <c r="H302" i="104"/>
  <c r="H303" i="104"/>
  <c r="H304" i="104"/>
  <c r="H305" i="104"/>
  <c r="H306" i="104"/>
  <c r="H307" i="104"/>
  <c r="H308" i="104"/>
  <c r="H309" i="104"/>
  <c r="H310" i="104"/>
  <c r="H311" i="104"/>
  <c r="H312" i="104"/>
  <c r="H313" i="104"/>
  <c r="H314" i="104"/>
  <c r="H315" i="104"/>
  <c r="H316" i="104"/>
  <c r="H317" i="104"/>
  <c r="H318" i="104"/>
  <c r="H319" i="104"/>
  <c r="H320" i="104"/>
  <c r="H321" i="104"/>
  <c r="H322" i="104"/>
  <c r="H323" i="104"/>
  <c r="H324" i="104"/>
  <c r="H325" i="104"/>
  <c r="H326" i="104"/>
  <c r="H327" i="104"/>
  <c r="H328" i="104"/>
  <c r="H329" i="104"/>
  <c r="H330" i="104"/>
  <c r="H331" i="104"/>
  <c r="H332" i="104"/>
  <c r="H333" i="104"/>
  <c r="H334" i="104"/>
  <c r="H335" i="104"/>
  <c r="H336" i="104"/>
  <c r="H338" i="104"/>
  <c r="H339" i="104"/>
  <c r="H340" i="104"/>
  <c r="H341" i="104"/>
  <c r="H342" i="104"/>
  <c r="H343" i="104"/>
  <c r="H344" i="104"/>
  <c r="H345" i="104"/>
  <c r="H346" i="104"/>
  <c r="H347" i="104"/>
  <c r="H348" i="104"/>
  <c r="H349" i="104"/>
  <c r="H350" i="104"/>
  <c r="H351" i="104"/>
  <c r="H352" i="104"/>
  <c r="H353" i="104"/>
  <c r="H354" i="104"/>
  <c r="H355" i="104"/>
  <c r="H356" i="104"/>
  <c r="H357" i="104"/>
  <c r="H358" i="104"/>
  <c r="H359" i="104"/>
  <c r="H360" i="104"/>
  <c r="H361" i="104"/>
  <c r="H362" i="104"/>
  <c r="H363" i="104"/>
  <c r="H364" i="104"/>
  <c r="H365" i="104"/>
  <c r="H366" i="104"/>
  <c r="H367" i="104"/>
  <c r="H368" i="104"/>
  <c r="H369" i="104"/>
  <c r="H370" i="104"/>
  <c r="H371" i="104"/>
  <c r="H372" i="104"/>
  <c r="H373" i="104"/>
  <c r="H374" i="104"/>
  <c r="H375" i="104"/>
  <c r="H376" i="104"/>
  <c r="H377" i="104"/>
  <c r="H378" i="104"/>
  <c r="H379" i="104"/>
  <c r="H380" i="104"/>
  <c r="H381" i="104"/>
  <c r="H382" i="104"/>
  <c r="H383" i="104"/>
  <c r="H384" i="104"/>
  <c r="H385" i="104"/>
  <c r="H386" i="104"/>
  <c r="H387" i="104"/>
  <c r="H388" i="104"/>
  <c r="H389" i="104"/>
  <c r="H390" i="104"/>
  <c r="H391" i="104"/>
  <c r="H392" i="104"/>
  <c r="H393" i="104"/>
  <c r="H394" i="104"/>
  <c r="H395" i="104"/>
  <c r="H396" i="104"/>
  <c r="H397" i="104"/>
  <c r="H398" i="104"/>
  <c r="H399" i="104"/>
  <c r="H400" i="104"/>
  <c r="H401" i="104"/>
  <c r="H402" i="104"/>
  <c r="H403" i="104"/>
  <c r="H404" i="104"/>
  <c r="H405" i="104"/>
  <c r="H406" i="104"/>
  <c r="H407" i="104"/>
  <c r="H408" i="104"/>
  <c r="H409" i="104"/>
  <c r="H410" i="104"/>
  <c r="H411" i="104"/>
  <c r="H412" i="104"/>
  <c r="H413" i="104"/>
  <c r="H414" i="104"/>
  <c r="H415" i="104"/>
  <c r="H416" i="104"/>
  <c r="H417" i="104"/>
  <c r="H418" i="104"/>
  <c r="H419" i="104"/>
  <c r="H420" i="104"/>
  <c r="H421" i="104"/>
  <c r="H422" i="104"/>
  <c r="H423" i="104"/>
  <c r="H424" i="104"/>
  <c r="H425" i="104"/>
  <c r="H426" i="104"/>
  <c r="H427" i="104"/>
  <c r="H428" i="104"/>
  <c r="H429" i="104"/>
  <c r="H430" i="104"/>
  <c r="H431" i="104"/>
  <c r="H432" i="104"/>
  <c r="H433" i="104"/>
  <c r="H434" i="104"/>
  <c r="H435" i="104"/>
  <c r="H436" i="104"/>
  <c r="H437" i="104"/>
  <c r="H438" i="104"/>
  <c r="H439" i="104"/>
  <c r="H440" i="104"/>
  <c r="H441" i="104"/>
  <c r="H442" i="104"/>
  <c r="H443" i="104"/>
  <c r="H444" i="104"/>
  <c r="H445" i="104"/>
  <c r="H446" i="104"/>
  <c r="H447" i="104"/>
  <c r="H448" i="104"/>
  <c r="H449" i="104"/>
  <c r="H450" i="104"/>
  <c r="H451" i="104"/>
  <c r="H452" i="104"/>
  <c r="H453" i="104"/>
  <c r="H454" i="104"/>
  <c r="H455" i="104"/>
  <c r="H456" i="104"/>
  <c r="H457" i="104"/>
  <c r="H458" i="104"/>
  <c r="H459" i="104"/>
  <c r="H460" i="104"/>
  <c r="H461" i="104"/>
  <c r="H462" i="104"/>
  <c r="H463" i="104"/>
  <c r="H464" i="104"/>
  <c r="H465" i="104"/>
  <c r="H466" i="104"/>
  <c r="H467" i="104"/>
  <c r="H468" i="104"/>
  <c r="H469" i="104"/>
  <c r="H470" i="104"/>
  <c r="H471" i="104"/>
  <c r="H472" i="104"/>
  <c r="H473" i="104"/>
  <c r="H474" i="104"/>
  <c r="H475" i="104"/>
  <c r="H476" i="104"/>
  <c r="H477" i="104"/>
  <c r="H478" i="104"/>
  <c r="H479" i="104"/>
  <c r="H480" i="104"/>
  <c r="H481" i="104"/>
  <c r="H482" i="104"/>
  <c r="H483" i="104"/>
  <c r="H484" i="104"/>
  <c r="H485" i="104"/>
  <c r="H486" i="104"/>
  <c r="H487" i="104"/>
  <c r="H488" i="104"/>
  <c r="H489" i="104"/>
  <c r="H490" i="104"/>
  <c r="H491" i="104"/>
  <c r="H492" i="104"/>
  <c r="H493" i="104"/>
  <c r="H494" i="104"/>
  <c r="H495" i="104"/>
  <c r="H496" i="104"/>
  <c r="H497" i="104"/>
  <c r="H498" i="104"/>
  <c r="H499" i="104"/>
  <c r="H500" i="104"/>
  <c r="H501" i="104"/>
  <c r="H502" i="104"/>
  <c r="H503" i="104"/>
  <c r="H504" i="104"/>
  <c r="H505" i="104"/>
  <c r="H506" i="104"/>
  <c r="H507" i="104"/>
  <c r="H508" i="104"/>
  <c r="H509" i="104"/>
  <c r="H510" i="104"/>
  <c r="H511" i="104"/>
  <c r="H512" i="104"/>
  <c r="H513" i="104"/>
  <c r="H514" i="104"/>
  <c r="H515" i="104"/>
  <c r="H516" i="104"/>
  <c r="H517" i="104"/>
  <c r="H518" i="104"/>
  <c r="H519" i="104"/>
  <c r="H520" i="104"/>
  <c r="H521" i="104"/>
  <c r="H522" i="104"/>
  <c r="H523" i="104"/>
  <c r="H524" i="104"/>
  <c r="H525" i="104"/>
  <c r="H526" i="104"/>
  <c r="H527" i="104"/>
  <c r="H528" i="104"/>
  <c r="H529" i="104"/>
  <c r="H530" i="104"/>
  <c r="H531" i="104"/>
  <c r="H532" i="104"/>
  <c r="H533" i="104"/>
  <c r="H534" i="104"/>
  <c r="H535" i="104"/>
  <c r="H536" i="104"/>
  <c r="H537" i="104"/>
  <c r="H538" i="104"/>
  <c r="H539" i="104"/>
  <c r="H540" i="104"/>
  <c r="H541" i="104"/>
  <c r="H542" i="104"/>
  <c r="H543" i="104"/>
  <c r="H544" i="104"/>
  <c r="H545" i="104"/>
  <c r="H546" i="104"/>
  <c r="H547" i="104"/>
  <c r="H548" i="104"/>
  <c r="H549" i="104"/>
  <c r="H550" i="104"/>
  <c r="H551" i="104"/>
  <c r="H552" i="104"/>
  <c r="H553" i="104"/>
  <c r="H554" i="104"/>
  <c r="H555" i="104"/>
  <c r="H556" i="104"/>
  <c r="H557" i="104"/>
  <c r="H558" i="104"/>
  <c r="H559" i="104"/>
  <c r="H560" i="104"/>
  <c r="H561" i="104"/>
  <c r="H562" i="104"/>
  <c r="H563" i="104"/>
  <c r="H564" i="104"/>
  <c r="H565" i="104"/>
  <c r="H566" i="104"/>
  <c r="H567" i="104"/>
  <c r="H568" i="104"/>
  <c r="H569" i="104"/>
  <c r="H570" i="104"/>
  <c r="H571" i="104"/>
  <c r="H572" i="104"/>
  <c r="H573" i="104"/>
  <c r="H574" i="104"/>
  <c r="H575" i="104"/>
  <c r="H576" i="104"/>
  <c r="H577" i="104"/>
  <c r="H578" i="104"/>
  <c r="H579" i="104"/>
  <c r="H580" i="104"/>
  <c r="H581" i="104"/>
  <c r="H582" i="104"/>
  <c r="H583" i="104"/>
  <c r="H584" i="104"/>
  <c r="H585" i="104"/>
  <c r="H586" i="104"/>
  <c r="H587" i="104"/>
  <c r="H588" i="104"/>
  <c r="H589" i="104"/>
  <c r="H590" i="104"/>
  <c r="H591" i="104"/>
  <c r="H592" i="104"/>
  <c r="H593" i="104"/>
  <c r="H594" i="104"/>
  <c r="H595" i="104"/>
  <c r="H596" i="104"/>
  <c r="H597" i="104"/>
  <c r="H598" i="104"/>
  <c r="H599" i="104"/>
  <c r="H600" i="104"/>
  <c r="H601" i="104"/>
  <c r="H602" i="104"/>
  <c r="H603" i="104"/>
  <c r="H604" i="104"/>
  <c r="H605" i="104"/>
  <c r="H606" i="104"/>
  <c r="H607" i="104"/>
  <c r="H608" i="104"/>
  <c r="H609" i="104"/>
  <c r="H610" i="104"/>
  <c r="H611" i="104"/>
  <c r="H612" i="104"/>
  <c r="H613" i="104"/>
  <c r="H614" i="104"/>
  <c r="H615" i="104"/>
  <c r="H616" i="104"/>
  <c r="H617" i="104"/>
  <c r="H618" i="104"/>
  <c r="H619" i="104"/>
  <c r="H620" i="104"/>
  <c r="H621" i="104"/>
  <c r="H622" i="104"/>
  <c r="H623" i="104"/>
  <c r="H624" i="104"/>
  <c r="H625" i="104"/>
  <c r="H626" i="104"/>
  <c r="H627" i="104"/>
  <c r="H628" i="104"/>
  <c r="H629" i="104"/>
  <c r="H630" i="104"/>
  <c r="H631" i="104"/>
  <c r="H632" i="104"/>
  <c r="H633" i="104"/>
  <c r="H634" i="104"/>
  <c r="H635" i="104"/>
  <c r="H636" i="104"/>
  <c r="H637" i="104"/>
  <c r="H638" i="104"/>
  <c r="H639" i="104"/>
  <c r="H640" i="104"/>
  <c r="H641" i="104"/>
  <c r="H642" i="104"/>
  <c r="H643" i="104"/>
  <c r="H644" i="104"/>
  <c r="H645" i="104"/>
  <c r="H646" i="104"/>
  <c r="H647" i="104"/>
  <c r="H648" i="104"/>
  <c r="H649" i="104"/>
  <c r="H650" i="104"/>
  <c r="H651" i="104"/>
  <c r="H652" i="104"/>
  <c r="H653" i="104"/>
  <c r="H654" i="104"/>
  <c r="H655" i="104"/>
  <c r="H656" i="104"/>
  <c r="H657" i="104"/>
  <c r="H658" i="104"/>
  <c r="H659" i="104"/>
  <c r="H660" i="104"/>
  <c r="H661" i="104"/>
  <c r="H662" i="104"/>
  <c r="H663" i="104"/>
  <c r="H664" i="104"/>
  <c r="H665" i="104"/>
  <c r="H666" i="104"/>
  <c r="H667" i="104"/>
  <c r="H668" i="104"/>
  <c r="H669" i="104"/>
  <c r="H670" i="104"/>
  <c r="H671" i="104"/>
  <c r="H672" i="104"/>
  <c r="H673" i="104"/>
  <c r="H674" i="104"/>
  <c r="H675" i="104"/>
  <c r="H676" i="104"/>
  <c r="H677" i="104"/>
  <c r="H678" i="104"/>
  <c r="H679" i="104"/>
  <c r="H680" i="104"/>
  <c r="H681" i="104"/>
  <c r="H682" i="104"/>
  <c r="H683" i="104"/>
  <c r="H684" i="104"/>
  <c r="H685" i="104"/>
  <c r="H686" i="104"/>
  <c r="H687" i="104"/>
  <c r="H688" i="104"/>
  <c r="H689" i="104"/>
  <c r="H690" i="104"/>
  <c r="H691" i="104"/>
  <c r="H692" i="104"/>
  <c r="H693" i="104"/>
  <c r="H694" i="104"/>
  <c r="H695" i="104"/>
  <c r="H696" i="104"/>
  <c r="H697" i="104"/>
  <c r="H698" i="104"/>
  <c r="H699" i="104"/>
  <c r="H700" i="104"/>
  <c r="H701" i="104"/>
  <c r="H702" i="104"/>
  <c r="H703" i="104"/>
  <c r="H704" i="104"/>
  <c r="H705" i="104"/>
  <c r="H706" i="104"/>
  <c r="H707" i="104"/>
  <c r="H708" i="104"/>
  <c r="H709" i="104"/>
  <c r="H710" i="104"/>
  <c r="H711" i="104"/>
  <c r="H712" i="104"/>
  <c r="H713" i="104"/>
  <c r="H714" i="104"/>
  <c r="H715" i="104"/>
  <c r="H716" i="104"/>
  <c r="H717" i="104"/>
  <c r="H718" i="104"/>
  <c r="H719" i="104"/>
  <c r="H720" i="104"/>
  <c r="H721" i="104"/>
  <c r="H722" i="104"/>
  <c r="H723" i="104"/>
  <c r="H724" i="104"/>
  <c r="H725" i="104"/>
  <c r="H726" i="104"/>
  <c r="H727" i="104"/>
  <c r="H728" i="104"/>
  <c r="H729" i="104"/>
  <c r="H730" i="104"/>
  <c r="H731" i="104"/>
  <c r="H732" i="104"/>
  <c r="H733" i="104"/>
  <c r="H734" i="104"/>
  <c r="H735" i="104"/>
  <c r="H736" i="104"/>
  <c r="H737" i="104"/>
  <c r="H738" i="104"/>
  <c r="H739" i="104"/>
  <c r="H740" i="104"/>
  <c r="H741" i="104"/>
  <c r="H742" i="104"/>
  <c r="H743" i="104"/>
  <c r="H744" i="104"/>
  <c r="H745" i="104"/>
  <c r="H746" i="104"/>
  <c r="H747" i="104"/>
  <c r="H748" i="104"/>
  <c r="H749" i="104"/>
  <c r="H750" i="104"/>
  <c r="H751" i="104"/>
  <c r="H752" i="104"/>
  <c r="H753" i="104"/>
  <c r="H754" i="104"/>
  <c r="H755" i="104"/>
  <c r="H756" i="104"/>
  <c r="H757" i="104"/>
  <c r="H758" i="104"/>
  <c r="H759" i="104"/>
  <c r="H760" i="104"/>
  <c r="H761" i="104"/>
  <c r="H762" i="104"/>
  <c r="H763" i="104"/>
  <c r="H764" i="104"/>
  <c r="H765" i="104"/>
  <c r="H766" i="104"/>
  <c r="H767" i="104"/>
  <c r="H768" i="104"/>
  <c r="H769" i="104"/>
  <c r="H770" i="104"/>
  <c r="H771" i="104"/>
  <c r="H772" i="104"/>
  <c r="H773" i="104"/>
  <c r="H774" i="104"/>
  <c r="H775" i="104"/>
  <c r="H776" i="104"/>
  <c r="H777" i="104"/>
  <c r="H778" i="104"/>
  <c r="H779" i="104"/>
  <c r="H780" i="104"/>
  <c r="H781" i="104"/>
  <c r="H782" i="104"/>
  <c r="H783" i="104"/>
  <c r="H784" i="104"/>
  <c r="H785" i="104"/>
  <c r="H786" i="104"/>
  <c r="H787" i="104"/>
  <c r="H788" i="104"/>
  <c r="H789" i="104"/>
  <c r="H790" i="104"/>
  <c r="H791" i="104"/>
  <c r="H792" i="104"/>
  <c r="H793" i="104"/>
  <c r="H794" i="104"/>
  <c r="H795" i="104"/>
  <c r="H796" i="104"/>
  <c r="H797" i="104"/>
  <c r="H798" i="104"/>
  <c r="H799" i="104"/>
  <c r="H800" i="104"/>
  <c r="H801" i="104"/>
  <c r="H802" i="104"/>
  <c r="H803" i="104"/>
  <c r="H804" i="104"/>
  <c r="H805" i="104"/>
  <c r="H806" i="104"/>
  <c r="H807" i="104"/>
  <c r="H808" i="104"/>
  <c r="H809" i="104"/>
  <c r="H810" i="104"/>
  <c r="H811" i="104"/>
  <c r="H812" i="104"/>
  <c r="H813" i="104"/>
  <c r="H814" i="104"/>
  <c r="H815" i="104"/>
  <c r="H816" i="104"/>
  <c r="H817" i="104"/>
  <c r="H818" i="104"/>
  <c r="H819" i="104"/>
  <c r="H820" i="104"/>
  <c r="H821" i="104"/>
  <c r="H822" i="104"/>
  <c r="H823" i="104"/>
  <c r="H824" i="104"/>
  <c r="H825" i="104"/>
  <c r="H826" i="104"/>
  <c r="H827" i="104"/>
  <c r="H828" i="104"/>
  <c r="H829" i="104"/>
  <c r="H830" i="104"/>
  <c r="H831" i="104"/>
  <c r="H832" i="104"/>
  <c r="H833" i="104"/>
  <c r="H834" i="104"/>
  <c r="H835" i="104"/>
  <c r="H836" i="104"/>
  <c r="H837" i="104"/>
  <c r="H838" i="104"/>
  <c r="H839" i="104"/>
  <c r="H840" i="104"/>
  <c r="H841" i="104"/>
  <c r="H842" i="104"/>
  <c r="H843" i="104"/>
  <c r="H844" i="104"/>
  <c r="H845" i="104"/>
  <c r="H846" i="104"/>
  <c r="H847" i="104"/>
  <c r="H848" i="104"/>
  <c r="H849" i="104"/>
  <c r="H850" i="104"/>
  <c r="H851" i="104"/>
  <c r="H852" i="104"/>
  <c r="H853" i="104"/>
  <c r="H854" i="104"/>
  <c r="H855" i="104"/>
  <c r="H856" i="104"/>
  <c r="H857" i="104"/>
  <c r="H858" i="104"/>
  <c r="H859" i="104"/>
  <c r="H860" i="104"/>
  <c r="H861" i="104"/>
  <c r="H862" i="104"/>
  <c r="H863" i="104"/>
  <c r="H864" i="104"/>
  <c r="H865" i="104"/>
  <c r="H866" i="104"/>
  <c r="H867" i="104"/>
  <c r="H868" i="104"/>
  <c r="H869" i="104"/>
  <c r="H870" i="104"/>
  <c r="H871" i="104"/>
  <c r="H872" i="104"/>
  <c r="H873" i="104"/>
  <c r="H874" i="104"/>
  <c r="H875" i="104"/>
  <c r="H876" i="104"/>
  <c r="H877" i="104"/>
  <c r="H878" i="104"/>
  <c r="H879" i="104"/>
  <c r="H880" i="104"/>
  <c r="H881" i="104"/>
  <c r="H882" i="104"/>
  <c r="H883" i="104"/>
  <c r="H884" i="104"/>
  <c r="H885" i="104"/>
  <c r="H886" i="104"/>
  <c r="H887" i="104"/>
  <c r="H888" i="104"/>
  <c r="H889" i="104"/>
  <c r="H890" i="104"/>
  <c r="H891" i="104"/>
  <c r="H892" i="104"/>
  <c r="H893" i="104"/>
  <c r="H894" i="104"/>
  <c r="H895" i="104"/>
  <c r="H896" i="104"/>
  <c r="H897" i="104"/>
  <c r="H898" i="104"/>
  <c r="H899" i="104"/>
  <c r="H900" i="104"/>
  <c r="H901" i="104"/>
  <c r="H902" i="104"/>
  <c r="H903" i="104"/>
  <c r="H904" i="104"/>
  <c r="H905" i="104"/>
  <c r="H906" i="104"/>
  <c r="H907" i="104"/>
  <c r="H908" i="104"/>
  <c r="H909" i="104"/>
  <c r="H910" i="104"/>
  <c r="H911" i="104"/>
  <c r="H912" i="104"/>
  <c r="H913" i="104"/>
  <c r="H914" i="104"/>
  <c r="H915" i="104"/>
  <c r="H916" i="104"/>
  <c r="H917" i="104"/>
  <c r="H918" i="104"/>
  <c r="H919" i="104"/>
  <c r="H920" i="104"/>
  <c r="H921" i="104"/>
  <c r="H922" i="104"/>
  <c r="H923" i="104"/>
  <c r="H924" i="104"/>
  <c r="H925" i="104"/>
  <c r="H926" i="104"/>
  <c r="H927" i="104"/>
  <c r="H928" i="104"/>
  <c r="H929" i="104"/>
  <c r="H930" i="104"/>
  <c r="H931" i="104"/>
  <c r="H932" i="104"/>
  <c r="H933" i="104"/>
  <c r="H934" i="104"/>
  <c r="H935" i="104"/>
  <c r="H936" i="104"/>
  <c r="H937" i="104"/>
  <c r="H938" i="104"/>
  <c r="H939" i="104"/>
  <c r="H940" i="104"/>
  <c r="H941" i="104"/>
  <c r="H942" i="104"/>
  <c r="H943" i="104"/>
  <c r="H944" i="104"/>
  <c r="H945" i="104"/>
  <c r="H946" i="104"/>
  <c r="H947" i="104"/>
  <c r="H948" i="104"/>
  <c r="H949" i="104"/>
  <c r="H950" i="104"/>
  <c r="H951" i="104"/>
  <c r="H952" i="104"/>
  <c r="H953" i="104"/>
  <c r="H954" i="104"/>
  <c r="H955" i="104"/>
  <c r="H956" i="104"/>
  <c r="H957" i="104"/>
  <c r="H958" i="104"/>
  <c r="H959" i="104"/>
  <c r="H960" i="104"/>
  <c r="H961" i="104"/>
  <c r="H962" i="104"/>
  <c r="H963" i="104"/>
  <c r="H964" i="104"/>
  <c r="H965" i="104"/>
  <c r="H966" i="104"/>
  <c r="H967" i="104"/>
  <c r="H968" i="104"/>
  <c r="H969" i="104"/>
  <c r="H970" i="104"/>
  <c r="H971" i="104"/>
  <c r="H972" i="104"/>
  <c r="H973" i="104"/>
  <c r="H974" i="104"/>
  <c r="H975" i="104"/>
  <c r="H976" i="104"/>
  <c r="H977" i="104"/>
  <c r="H978" i="104"/>
  <c r="H979" i="104"/>
  <c r="H980" i="104"/>
  <c r="H981" i="104"/>
  <c r="H982" i="104"/>
  <c r="H983" i="104"/>
  <c r="H984" i="104"/>
  <c r="H985" i="104"/>
  <c r="H986" i="104"/>
  <c r="H987" i="104"/>
  <c r="H988" i="104"/>
  <c r="H989" i="104"/>
  <c r="H990" i="104"/>
  <c r="H991" i="104"/>
  <c r="H992" i="104"/>
  <c r="H993" i="104"/>
  <c r="H994" i="104"/>
  <c r="H995" i="104"/>
  <c r="H996" i="104"/>
  <c r="H997" i="104"/>
  <c r="H998" i="104"/>
  <c r="H999" i="104"/>
  <c r="H1000" i="104"/>
  <c r="H1001" i="104"/>
  <c r="H1002" i="104"/>
  <c r="H1003" i="104"/>
  <c r="H1004" i="104"/>
  <c r="H1005" i="104"/>
  <c r="H1006" i="104"/>
  <c r="H1007" i="104"/>
  <c r="H1008" i="104"/>
  <c r="H1009" i="104"/>
  <c r="H1010" i="104"/>
  <c r="H1011" i="104"/>
  <c r="H1012" i="104"/>
  <c r="H1013" i="104"/>
  <c r="H1014" i="104"/>
  <c r="H1015" i="104"/>
  <c r="H1016" i="104"/>
  <c r="H1017" i="104"/>
  <c r="H1018" i="104"/>
  <c r="H1019" i="104"/>
  <c r="H1020" i="104"/>
  <c r="H1021" i="104"/>
  <c r="H1022" i="104"/>
  <c r="H1023" i="104"/>
  <c r="H1024" i="104"/>
  <c r="H1025" i="104"/>
  <c r="H1026" i="104"/>
  <c r="H1027" i="104"/>
  <c r="H1028" i="104"/>
  <c r="H1029" i="104"/>
  <c r="H1030" i="104"/>
  <c r="H1031" i="104"/>
  <c r="H1032" i="104"/>
  <c r="H1033" i="104"/>
  <c r="H1034" i="104"/>
  <c r="H1035" i="104"/>
  <c r="H1036" i="104"/>
  <c r="H1037" i="104"/>
  <c r="H1038" i="104"/>
  <c r="H1039" i="104"/>
  <c r="H1040" i="104"/>
  <c r="H1041" i="104"/>
  <c r="H1042" i="104"/>
  <c r="H1043" i="104"/>
  <c r="H1044" i="104"/>
  <c r="H1045" i="104"/>
  <c r="H1046" i="104"/>
  <c r="H1047" i="104"/>
  <c r="H1048" i="104"/>
  <c r="H1049" i="104"/>
  <c r="H1050" i="104"/>
  <c r="H1051" i="104"/>
  <c r="H1052" i="104"/>
  <c r="H1053" i="104"/>
  <c r="H1054" i="104"/>
  <c r="H1055" i="104"/>
  <c r="H1056" i="104"/>
  <c r="H1057" i="104"/>
  <c r="H1058" i="104"/>
  <c r="H1059" i="104"/>
  <c r="H1060" i="104"/>
  <c r="H1061" i="104"/>
  <c r="H1062" i="104"/>
  <c r="H1063" i="104"/>
  <c r="H1064" i="104"/>
  <c r="H1065" i="104"/>
  <c r="H1066" i="104"/>
  <c r="H1067" i="104"/>
  <c r="H1068" i="104"/>
  <c r="H1069" i="104"/>
  <c r="H1070" i="104"/>
  <c r="H1071" i="104"/>
  <c r="H1072" i="104"/>
  <c r="H1073" i="104"/>
  <c r="H1074" i="104"/>
  <c r="H1075" i="104"/>
  <c r="H1076" i="104"/>
  <c r="H1077" i="104"/>
  <c r="H1078" i="104"/>
  <c r="H1079" i="104"/>
  <c r="H1080" i="104"/>
  <c r="H1081" i="104"/>
  <c r="H1082" i="104"/>
  <c r="H1083" i="104"/>
  <c r="H1084" i="104"/>
  <c r="H1085" i="104"/>
  <c r="H1086" i="104"/>
  <c r="H1087" i="104"/>
  <c r="H1088" i="104"/>
  <c r="H1089" i="104"/>
  <c r="H1090" i="104"/>
  <c r="H1091" i="104"/>
  <c r="H1092" i="104"/>
  <c r="H1093" i="104"/>
  <c r="H1094" i="104"/>
  <c r="H1095" i="104"/>
  <c r="H1096" i="104"/>
  <c r="H1097" i="104"/>
  <c r="H1098" i="104"/>
  <c r="H1099" i="104"/>
  <c r="H1100" i="104"/>
  <c r="H1101" i="104"/>
  <c r="H1102" i="104"/>
  <c r="H1103" i="104"/>
  <c r="H1104" i="104"/>
  <c r="H1105" i="104"/>
  <c r="H1106" i="104"/>
  <c r="H1107" i="104"/>
  <c r="H1108" i="104"/>
  <c r="H1109" i="104"/>
  <c r="H1110" i="104"/>
  <c r="H1111" i="104"/>
  <c r="H1112" i="104"/>
  <c r="H1113" i="104"/>
  <c r="D2" i="110"/>
  <c r="D3" i="110"/>
  <c r="D4" i="110"/>
  <c r="D5" i="110"/>
  <c r="D6" i="110"/>
  <c r="D7" i="110"/>
  <c r="D8" i="110"/>
  <c r="D9" i="110"/>
  <c r="D10" i="110"/>
  <c r="D11" i="110"/>
  <c r="D12" i="110"/>
  <c r="D13" i="110"/>
  <c r="D14" i="110"/>
  <c r="D15" i="110"/>
  <c r="D16" i="110"/>
  <c r="D17" i="110"/>
  <c r="D18" i="110"/>
  <c r="D19" i="110"/>
  <c r="D20" i="110"/>
  <c r="D21" i="110"/>
  <c r="D22" i="110"/>
  <c r="D23" i="110"/>
  <c r="D24" i="110"/>
  <c r="D25" i="110"/>
  <c r="D26" i="110"/>
  <c r="D27" i="110"/>
  <c r="D28" i="110"/>
  <c r="D29" i="110"/>
  <c r="D30" i="110"/>
  <c r="D31" i="110"/>
  <c r="D32" i="110"/>
  <c r="D33" i="110"/>
  <c r="D34" i="110"/>
  <c r="D35" i="110"/>
  <c r="D36" i="110"/>
  <c r="D37" i="110"/>
  <c r="D38" i="110"/>
  <c r="D39" i="110"/>
  <c r="D40" i="110"/>
  <c r="D41" i="110"/>
  <c r="D42" i="110"/>
  <c r="D43" i="110"/>
  <c r="D44" i="110"/>
  <c r="D45" i="110"/>
  <c r="D46" i="110"/>
  <c r="D47" i="110"/>
  <c r="D48" i="110"/>
  <c r="D49" i="110"/>
  <c r="D50" i="110"/>
  <c r="D51" i="110"/>
  <c r="D52" i="110"/>
  <c r="D53" i="110"/>
  <c r="D54" i="110"/>
  <c r="D55" i="110"/>
  <c r="D56" i="110"/>
  <c r="D57" i="110"/>
  <c r="D58" i="110"/>
  <c r="D59" i="110"/>
  <c r="D60" i="110"/>
  <c r="D61" i="110"/>
  <c r="D62" i="110"/>
  <c r="D63" i="110"/>
  <c r="D64" i="110"/>
  <c r="D65" i="110"/>
  <c r="D66" i="110"/>
  <c r="D67" i="110"/>
  <c r="D68" i="110"/>
  <c r="D69" i="110"/>
  <c r="D70" i="110"/>
  <c r="D71" i="110"/>
  <c r="D72" i="110"/>
  <c r="D73" i="110"/>
  <c r="D74" i="110"/>
  <c r="D75" i="110"/>
  <c r="D76" i="110"/>
  <c r="D77" i="110"/>
  <c r="D78" i="110"/>
  <c r="D79" i="110"/>
  <c r="D80" i="110"/>
  <c r="D81" i="110"/>
  <c r="D82" i="110"/>
  <c r="D83" i="110"/>
  <c r="D84" i="110"/>
  <c r="D85" i="110"/>
  <c r="D86" i="110"/>
  <c r="D87" i="110"/>
  <c r="D88" i="110"/>
  <c r="D89" i="110"/>
  <c r="D90" i="110"/>
  <c r="D91" i="110"/>
  <c r="D92" i="110"/>
  <c r="D93" i="110"/>
  <c r="D94" i="110"/>
  <c r="D95" i="110"/>
  <c r="D96" i="110"/>
  <c r="D97" i="110"/>
  <c r="D98" i="110"/>
  <c r="D99" i="110"/>
  <c r="D100" i="110"/>
  <c r="D101" i="110"/>
  <c r="D102" i="110"/>
  <c r="D103" i="110"/>
  <c r="D104" i="110"/>
  <c r="D105" i="110"/>
  <c r="D106" i="110"/>
  <c r="D107" i="110"/>
  <c r="D108" i="110"/>
  <c r="D109" i="110"/>
  <c r="D110" i="110"/>
  <c r="D111" i="110"/>
  <c r="D112" i="110"/>
  <c r="D113" i="110"/>
  <c r="D114" i="110"/>
  <c r="D115" i="110"/>
  <c r="D116" i="110"/>
  <c r="D117" i="110"/>
  <c r="D118" i="110"/>
  <c r="D119" i="110"/>
  <c r="D120" i="110"/>
  <c r="D121" i="110"/>
  <c r="D122" i="110"/>
  <c r="D123" i="110"/>
  <c r="D124" i="110"/>
  <c r="D125" i="110"/>
  <c r="D126" i="110"/>
  <c r="D127" i="110"/>
  <c r="D128" i="110"/>
  <c r="D129" i="110"/>
  <c r="D130" i="110"/>
  <c r="D131" i="110"/>
  <c r="D132" i="110"/>
  <c r="D133" i="110"/>
  <c r="D134" i="110"/>
  <c r="D135" i="110"/>
  <c r="D136" i="110"/>
  <c r="D137" i="110"/>
  <c r="D138" i="110"/>
  <c r="D139" i="110"/>
  <c r="D140" i="110"/>
  <c r="D141" i="110"/>
  <c r="D142" i="110"/>
  <c r="D143" i="110"/>
  <c r="D144" i="110"/>
  <c r="D145" i="110"/>
  <c r="D146" i="110"/>
  <c r="D147" i="110"/>
  <c r="D148" i="110"/>
  <c r="D149" i="110"/>
  <c r="D150" i="110"/>
  <c r="D151" i="110"/>
  <c r="D152" i="110"/>
  <c r="D153" i="110"/>
  <c r="D154" i="110"/>
  <c r="D155" i="110"/>
  <c r="D156" i="110"/>
  <c r="D157" i="110"/>
  <c r="D158" i="110"/>
  <c r="D159" i="110"/>
  <c r="D160" i="110"/>
  <c r="D161" i="110"/>
  <c r="D162" i="110"/>
  <c r="D163" i="110"/>
  <c r="D164" i="110"/>
  <c r="D165" i="110"/>
  <c r="D166" i="110"/>
  <c r="D167" i="110"/>
  <c r="D168" i="110"/>
  <c r="D169" i="110"/>
  <c r="D170" i="110"/>
  <c r="D171" i="110"/>
  <c r="D172" i="110"/>
  <c r="D173" i="110"/>
  <c r="D174" i="110"/>
  <c r="D175" i="110"/>
  <c r="D176" i="110"/>
  <c r="D177" i="110"/>
  <c r="D178" i="110"/>
  <c r="D179" i="110"/>
  <c r="D180" i="110"/>
  <c r="D181" i="110"/>
  <c r="D182" i="110"/>
  <c r="D183" i="110"/>
  <c r="D184" i="110"/>
  <c r="D185" i="110"/>
  <c r="D186" i="110"/>
  <c r="D187" i="110"/>
  <c r="D188" i="110"/>
  <c r="D189" i="110"/>
  <c r="D190" i="110"/>
  <c r="D191" i="110"/>
  <c r="D192" i="110"/>
  <c r="D193" i="110"/>
  <c r="D194" i="110"/>
  <c r="D195" i="110"/>
  <c r="D196" i="110"/>
  <c r="D197" i="110"/>
  <c r="D198" i="110"/>
  <c r="D199" i="110"/>
  <c r="D200" i="110"/>
  <c r="D201" i="110"/>
  <c r="D202" i="110"/>
  <c r="D203" i="110"/>
  <c r="D204" i="110"/>
  <c r="D205" i="110"/>
  <c r="D206" i="110"/>
  <c r="D207" i="110"/>
  <c r="D208" i="110"/>
  <c r="D209" i="110"/>
  <c r="D210" i="110"/>
  <c r="D211" i="110"/>
  <c r="D212" i="110"/>
  <c r="D213" i="110"/>
  <c r="D214" i="110"/>
  <c r="D215" i="110"/>
  <c r="D216" i="110"/>
  <c r="D217" i="110"/>
  <c r="D218" i="110"/>
  <c r="D219" i="110"/>
  <c r="D220" i="110"/>
  <c r="D221" i="110"/>
  <c r="D222" i="110"/>
  <c r="D223" i="110"/>
  <c r="D224" i="110"/>
  <c r="D225" i="110"/>
  <c r="D226" i="110"/>
  <c r="D227" i="110"/>
  <c r="D228" i="110"/>
  <c r="D229" i="110"/>
  <c r="D230" i="110"/>
  <c r="D231" i="110"/>
  <c r="D232" i="110"/>
  <c r="D233" i="110"/>
  <c r="D234" i="110"/>
  <c r="D235" i="110"/>
  <c r="D236" i="110"/>
  <c r="D237" i="110"/>
  <c r="D238" i="110"/>
  <c r="D239" i="110"/>
  <c r="D240" i="110"/>
  <c r="D241" i="110"/>
  <c r="D242" i="110"/>
  <c r="D243" i="110"/>
  <c r="D244" i="110"/>
  <c r="D245" i="110"/>
  <c r="D246" i="110"/>
  <c r="D247" i="110"/>
  <c r="D248" i="110"/>
  <c r="D249" i="110"/>
  <c r="D250" i="110"/>
  <c r="D251" i="110"/>
  <c r="D252" i="110"/>
  <c r="D253" i="110"/>
  <c r="D254" i="110"/>
  <c r="D255" i="110"/>
  <c r="D256" i="110"/>
  <c r="D257" i="110"/>
  <c r="D258" i="110"/>
  <c r="D259" i="110"/>
  <c r="D260" i="110"/>
  <c r="D261" i="110"/>
  <c r="D262" i="110"/>
  <c r="D263" i="110"/>
  <c r="D264" i="110"/>
  <c r="D265" i="110"/>
  <c r="D266" i="110"/>
  <c r="D267" i="110"/>
  <c r="D268" i="110"/>
  <c r="D269" i="110"/>
  <c r="D270" i="110"/>
  <c r="D271" i="110"/>
  <c r="D272" i="110"/>
  <c r="D273" i="110"/>
  <c r="D274" i="110"/>
  <c r="D275" i="110"/>
  <c r="D276" i="110"/>
  <c r="D277" i="110"/>
  <c r="D278" i="110"/>
  <c r="D279" i="110"/>
  <c r="D280" i="110"/>
  <c r="D281" i="110"/>
  <c r="D282" i="110"/>
  <c r="D283" i="110"/>
  <c r="D284" i="110"/>
  <c r="D285" i="110"/>
  <c r="D286" i="110"/>
  <c r="D287" i="110"/>
  <c r="D288" i="110"/>
  <c r="D289" i="110"/>
  <c r="D290" i="110"/>
  <c r="D291" i="110"/>
  <c r="D292" i="110"/>
  <c r="D293" i="110"/>
  <c r="D294" i="110"/>
  <c r="D295" i="110"/>
  <c r="D296" i="110"/>
  <c r="D297" i="110"/>
  <c r="D298" i="110"/>
  <c r="D299" i="110"/>
  <c r="D300" i="110"/>
  <c r="D301" i="110"/>
  <c r="D302" i="110"/>
  <c r="D303" i="110"/>
  <c r="D304" i="110"/>
  <c r="D305" i="110"/>
  <c r="D306" i="110"/>
  <c r="D307" i="110"/>
  <c r="D308" i="110"/>
  <c r="D309" i="110"/>
  <c r="D310" i="110"/>
  <c r="D311" i="110"/>
  <c r="D312" i="110"/>
  <c r="D313" i="110"/>
  <c r="D314" i="110"/>
  <c r="D315" i="110"/>
  <c r="D316" i="110"/>
  <c r="D317" i="110"/>
  <c r="D318" i="110"/>
  <c r="D319" i="110"/>
  <c r="D320" i="110"/>
  <c r="D321" i="110"/>
  <c r="D322" i="110"/>
  <c r="D323" i="110"/>
  <c r="D324" i="110"/>
  <c r="D325" i="110"/>
  <c r="D326" i="110"/>
  <c r="D327" i="110"/>
  <c r="D328" i="110"/>
  <c r="D329" i="110"/>
  <c r="D330" i="110"/>
  <c r="D331" i="110"/>
  <c r="D332" i="110"/>
  <c r="D333" i="110"/>
  <c r="D334" i="110"/>
  <c r="D335" i="110"/>
  <c r="D336" i="110"/>
  <c r="D337" i="110"/>
  <c r="D338" i="110"/>
  <c r="D339" i="110"/>
  <c r="D340" i="110"/>
  <c r="D341" i="110"/>
  <c r="D342" i="110"/>
  <c r="D343" i="110"/>
  <c r="D344" i="110"/>
  <c r="D345" i="110"/>
  <c r="D346" i="110"/>
  <c r="D347" i="110"/>
  <c r="D348" i="110"/>
  <c r="D349" i="110"/>
  <c r="D350" i="110"/>
  <c r="D351" i="110"/>
  <c r="D352" i="110"/>
  <c r="D353" i="110"/>
  <c r="D354" i="110"/>
  <c r="D355" i="110"/>
  <c r="D356" i="110"/>
  <c r="D357" i="110"/>
  <c r="D358" i="110"/>
  <c r="D359" i="110"/>
  <c r="D360" i="110"/>
  <c r="D361" i="110"/>
  <c r="D362" i="110"/>
  <c r="D363" i="110"/>
  <c r="D364" i="110"/>
  <c r="D365" i="110"/>
  <c r="D366" i="110"/>
  <c r="D367" i="110"/>
  <c r="D368" i="110"/>
  <c r="D369" i="110"/>
  <c r="D370" i="110"/>
  <c r="D371" i="110"/>
  <c r="D372" i="110"/>
  <c r="D373" i="110"/>
  <c r="D374" i="110"/>
  <c r="D375" i="110"/>
  <c r="D376" i="110"/>
  <c r="D377" i="110"/>
  <c r="D378" i="110"/>
  <c r="D379" i="110"/>
  <c r="D380" i="110"/>
  <c r="D381" i="110"/>
  <c r="D382" i="110"/>
  <c r="D383" i="110"/>
  <c r="D384" i="110"/>
  <c r="D385" i="110"/>
  <c r="D386" i="110"/>
  <c r="D387" i="110"/>
  <c r="D388" i="110"/>
  <c r="D389" i="110"/>
  <c r="D390" i="110"/>
  <c r="D391" i="110"/>
  <c r="D392" i="110"/>
  <c r="D393" i="110"/>
  <c r="D394" i="110"/>
  <c r="D395" i="110"/>
  <c r="D396" i="110"/>
  <c r="D397" i="110"/>
  <c r="D398" i="110"/>
  <c r="D399" i="110"/>
  <c r="D400" i="110"/>
  <c r="D401" i="110"/>
  <c r="D402" i="110"/>
  <c r="D403" i="110"/>
  <c r="D404" i="110"/>
  <c r="D405" i="110"/>
  <c r="D406" i="110"/>
  <c r="D407" i="110"/>
  <c r="D408" i="110"/>
  <c r="D409" i="110"/>
  <c r="D410" i="110"/>
  <c r="D411" i="110"/>
  <c r="D412" i="110"/>
  <c r="D413" i="110"/>
  <c r="D414" i="110"/>
  <c r="D415" i="110"/>
  <c r="D416" i="110"/>
  <c r="D417" i="110"/>
  <c r="D418" i="110"/>
  <c r="D419" i="110"/>
  <c r="D420" i="110"/>
  <c r="D421" i="110"/>
  <c r="D422" i="110"/>
  <c r="D423" i="110"/>
  <c r="D424" i="110"/>
  <c r="D425" i="110"/>
  <c r="D426" i="110"/>
  <c r="D427" i="110"/>
  <c r="D428" i="110"/>
  <c r="D429" i="110"/>
  <c r="D430" i="110"/>
  <c r="D431" i="110"/>
  <c r="D432" i="110"/>
  <c r="D433" i="110"/>
  <c r="D434" i="110"/>
  <c r="D435" i="110"/>
  <c r="D436" i="110"/>
  <c r="D437" i="110"/>
  <c r="D438" i="110"/>
  <c r="D439" i="110"/>
  <c r="D440" i="110"/>
  <c r="D441" i="110"/>
  <c r="D442" i="110"/>
  <c r="D443" i="110"/>
  <c r="D444" i="110"/>
  <c r="D445" i="110"/>
  <c r="D446" i="110"/>
  <c r="D447" i="110"/>
  <c r="D448" i="110"/>
  <c r="D449" i="110"/>
  <c r="D450" i="110"/>
  <c r="D451" i="110"/>
  <c r="D452" i="110"/>
  <c r="D453" i="110"/>
  <c r="D454" i="110"/>
  <c r="D455" i="110"/>
  <c r="D456" i="110"/>
  <c r="D457" i="110"/>
  <c r="D458" i="110"/>
  <c r="D459" i="110"/>
  <c r="D460" i="110"/>
  <c r="D461" i="110"/>
  <c r="D462" i="110"/>
  <c r="D463" i="110"/>
  <c r="D464" i="110"/>
  <c r="D465" i="110"/>
  <c r="D466" i="110"/>
  <c r="D467" i="110"/>
  <c r="D468" i="110"/>
  <c r="D469" i="110"/>
  <c r="D470" i="110"/>
  <c r="D471" i="110"/>
  <c r="D472" i="110"/>
  <c r="D473" i="110"/>
  <c r="D474" i="110"/>
  <c r="D475" i="110"/>
  <c r="D476" i="110"/>
  <c r="D477" i="110"/>
  <c r="D478" i="110"/>
  <c r="D479" i="110"/>
  <c r="D480" i="110"/>
  <c r="D481" i="110"/>
  <c r="D482" i="110"/>
  <c r="D483" i="110"/>
  <c r="D484" i="110"/>
  <c r="D485" i="110"/>
  <c r="D486" i="110"/>
  <c r="D487" i="110"/>
  <c r="D488" i="110"/>
  <c r="D489" i="110"/>
  <c r="D490" i="110"/>
  <c r="D491" i="110"/>
  <c r="D492" i="110"/>
  <c r="D493" i="110"/>
  <c r="D494" i="110"/>
  <c r="D495" i="110"/>
  <c r="D496" i="110"/>
  <c r="D497" i="110"/>
  <c r="D498" i="110"/>
  <c r="D499" i="110"/>
  <c r="D500" i="110"/>
  <c r="D501" i="110"/>
  <c r="D502" i="110"/>
  <c r="D503" i="110"/>
  <c r="D504" i="110"/>
  <c r="D505" i="110"/>
  <c r="D506" i="110"/>
  <c r="D507" i="110"/>
  <c r="D508" i="110"/>
  <c r="D509" i="110"/>
  <c r="D510" i="110"/>
  <c r="D511" i="110"/>
  <c r="D512" i="110"/>
  <c r="D513" i="110"/>
  <c r="D514" i="110"/>
  <c r="D515" i="110"/>
  <c r="D516" i="110"/>
  <c r="D517" i="110"/>
  <c r="D518" i="110"/>
  <c r="D519" i="110"/>
  <c r="D520" i="110"/>
  <c r="D521" i="110"/>
  <c r="D522" i="110"/>
  <c r="D523" i="110"/>
  <c r="D524" i="110"/>
  <c r="D525" i="110"/>
  <c r="D526" i="110"/>
  <c r="D527" i="110"/>
  <c r="D528" i="110"/>
  <c r="D529" i="110"/>
  <c r="D530" i="110"/>
  <c r="D531" i="110"/>
  <c r="D532" i="110"/>
  <c r="D533" i="110"/>
  <c r="D534" i="110"/>
  <c r="D535" i="110"/>
  <c r="D536" i="110"/>
  <c r="D537" i="110"/>
  <c r="D538" i="110"/>
  <c r="D539" i="110"/>
  <c r="D540" i="110"/>
  <c r="D541" i="110"/>
  <c r="D542" i="110"/>
  <c r="D543" i="110"/>
  <c r="D544" i="110"/>
  <c r="D545" i="110"/>
  <c r="D546" i="110"/>
  <c r="D547" i="110"/>
  <c r="D548" i="110"/>
  <c r="D549" i="110"/>
  <c r="D550" i="110"/>
  <c r="D551" i="110"/>
  <c r="D552" i="110"/>
  <c r="D553" i="110"/>
  <c r="D554" i="110"/>
  <c r="D555" i="110"/>
  <c r="D556" i="110"/>
  <c r="D557" i="110"/>
  <c r="D558" i="110"/>
  <c r="D559" i="110"/>
  <c r="D560" i="110"/>
  <c r="D561" i="110"/>
  <c r="D562" i="110"/>
  <c r="D563" i="110"/>
  <c r="D564" i="110"/>
  <c r="D565" i="110"/>
  <c r="D566" i="110"/>
  <c r="D567" i="110"/>
  <c r="D568" i="110"/>
  <c r="D569" i="110"/>
  <c r="D570" i="110"/>
  <c r="D571" i="110"/>
  <c r="D572" i="110"/>
  <c r="D573" i="110"/>
  <c r="D574" i="110"/>
  <c r="D575" i="110"/>
  <c r="D576" i="110"/>
  <c r="D577" i="110"/>
  <c r="D578" i="110"/>
  <c r="D579" i="110"/>
  <c r="D580" i="110"/>
  <c r="D581" i="110"/>
  <c r="D582" i="110"/>
  <c r="D583" i="110"/>
  <c r="D584" i="110"/>
  <c r="D585" i="110"/>
  <c r="D586" i="110"/>
  <c r="D587" i="110"/>
  <c r="D588" i="110"/>
  <c r="D589" i="110"/>
  <c r="D590" i="110"/>
  <c r="D591" i="110"/>
  <c r="D592" i="110"/>
  <c r="D593" i="110"/>
  <c r="D594" i="110"/>
  <c r="D595" i="110"/>
  <c r="D596" i="110"/>
  <c r="D597" i="110"/>
  <c r="C239" i="107"/>
  <c r="C240" i="107"/>
  <c r="C241" i="107"/>
  <c r="C242" i="107"/>
  <c r="C243" i="107"/>
  <c r="C244" i="107"/>
  <c r="C245" i="107"/>
  <c r="C246" i="107"/>
  <c r="C247" i="107"/>
  <c r="C248" i="107"/>
  <c r="C249" i="107"/>
  <c r="C250" i="107"/>
  <c r="C251" i="107"/>
  <c r="C252" i="107"/>
  <c r="C253" i="107"/>
  <c r="C254" i="107"/>
  <c r="C255" i="107"/>
  <c r="C256" i="107"/>
  <c r="C257" i="107"/>
  <c r="C258" i="107"/>
  <c r="C259" i="107"/>
  <c r="C260" i="107"/>
  <c r="C261" i="107"/>
  <c r="C262" i="107"/>
  <c r="C263" i="107"/>
  <c r="C264" i="107"/>
  <c r="C265" i="107"/>
  <c r="C266" i="107"/>
  <c r="C267" i="107"/>
  <c r="C268" i="107"/>
  <c r="C269" i="107"/>
  <c r="C270" i="107"/>
  <c r="C271" i="107"/>
  <c r="C272" i="107"/>
  <c r="C273" i="107"/>
  <c r="C274" i="107"/>
  <c r="C275" i="107"/>
  <c r="C276" i="107"/>
  <c r="C277" i="107"/>
  <c r="C278" i="107"/>
  <c r="C279" i="107"/>
  <c r="C280" i="107"/>
  <c r="C281" i="107"/>
  <c r="C282" i="107"/>
  <c r="C283" i="107"/>
  <c r="C284" i="107"/>
  <c r="C285" i="107"/>
  <c r="C286" i="107"/>
  <c r="C287" i="107"/>
  <c r="C288" i="107"/>
  <c r="C289" i="107"/>
  <c r="C290" i="107"/>
  <c r="C291" i="107"/>
  <c r="C292" i="107"/>
  <c r="C293" i="107"/>
  <c r="C294" i="107"/>
  <c r="C295" i="107"/>
  <c r="C296" i="107"/>
  <c r="C297" i="107"/>
  <c r="C298" i="107"/>
  <c r="C299" i="107"/>
  <c r="C300" i="107"/>
  <c r="C301" i="107"/>
  <c r="C302" i="107"/>
  <c r="C303" i="107"/>
  <c r="C304" i="107"/>
  <c r="C305" i="107"/>
  <c r="C306" i="107"/>
  <c r="C307" i="107"/>
  <c r="C308" i="107"/>
  <c r="C309" i="107"/>
  <c r="C310" i="107"/>
  <c r="C311" i="107"/>
  <c r="C312" i="107"/>
  <c r="C313" i="107"/>
  <c r="C314" i="107"/>
  <c r="C315" i="107"/>
  <c r="C316" i="107"/>
  <c r="C317" i="107"/>
  <c r="C318" i="107"/>
  <c r="C319" i="107"/>
  <c r="C320" i="107"/>
  <c r="C321" i="107"/>
  <c r="C322" i="107"/>
  <c r="C323" i="107"/>
  <c r="C324" i="107"/>
  <c r="C325" i="107"/>
  <c r="C326" i="107"/>
  <c r="C327" i="107"/>
  <c r="C328" i="107"/>
  <c r="C329" i="107"/>
  <c r="C330" i="107"/>
  <c r="C331" i="107"/>
  <c r="C332" i="107"/>
  <c r="C333" i="107"/>
  <c r="C334" i="107"/>
  <c r="C335" i="107"/>
  <c r="C336" i="107"/>
  <c r="C337" i="107"/>
  <c r="C338" i="107"/>
  <c r="C339" i="107"/>
  <c r="C340" i="107"/>
  <c r="C341" i="107"/>
  <c r="C342" i="107"/>
  <c r="C343" i="107"/>
  <c r="C344" i="107"/>
  <c r="C345" i="107"/>
  <c r="C346" i="107"/>
  <c r="C347" i="107"/>
  <c r="C348" i="107"/>
  <c r="C349" i="107"/>
  <c r="C350" i="107"/>
  <c r="C351" i="107"/>
  <c r="C352" i="107"/>
  <c r="C353" i="107"/>
  <c r="C354" i="107"/>
  <c r="C355" i="107"/>
  <c r="C356" i="107"/>
  <c r="C357" i="107"/>
  <c r="C358" i="107"/>
  <c r="C359" i="107"/>
  <c r="C360" i="107"/>
  <c r="C361" i="107"/>
  <c r="C362" i="107"/>
  <c r="C363" i="107"/>
  <c r="C364" i="107"/>
  <c r="C365" i="107"/>
  <c r="C366" i="107"/>
  <c r="C367" i="107"/>
  <c r="C368" i="107"/>
  <c r="C369" i="107"/>
  <c r="C370" i="107"/>
  <c r="C371" i="107"/>
  <c r="C372" i="107"/>
  <c r="C373" i="107"/>
  <c r="C374" i="107"/>
  <c r="C375" i="107"/>
  <c r="C376" i="107"/>
  <c r="C377" i="107"/>
  <c r="C378" i="107"/>
  <c r="C379" i="107"/>
  <c r="C380" i="107"/>
  <c r="C381" i="107"/>
  <c r="C382" i="107"/>
  <c r="C383" i="107"/>
  <c r="C384" i="107"/>
  <c r="C385" i="107"/>
  <c r="C386" i="107"/>
  <c r="C387" i="107"/>
  <c r="C388" i="107"/>
  <c r="C389" i="107"/>
  <c r="C390" i="107"/>
  <c r="C391" i="107"/>
  <c r="C392" i="107"/>
  <c r="C393" i="107"/>
  <c r="C394" i="107"/>
  <c r="C395" i="107"/>
  <c r="C396" i="107"/>
  <c r="C397" i="107"/>
  <c r="C398" i="107"/>
  <c r="C399" i="107"/>
  <c r="C400" i="107"/>
  <c r="C401" i="107"/>
  <c r="C402" i="107"/>
  <c r="C403" i="107"/>
  <c r="C404" i="107"/>
  <c r="C405" i="107"/>
  <c r="C406" i="107"/>
  <c r="C407" i="107"/>
  <c r="C408" i="107"/>
  <c r="C409" i="107"/>
  <c r="C410" i="107"/>
  <c r="C411" i="107"/>
  <c r="C412" i="107"/>
  <c r="C413" i="107"/>
  <c r="C414" i="107"/>
  <c r="C415" i="107"/>
  <c r="C416" i="107"/>
  <c r="C417" i="107"/>
  <c r="C418" i="107"/>
  <c r="C419" i="107"/>
  <c r="C420" i="107"/>
  <c r="C421" i="107"/>
  <c r="C422" i="107"/>
  <c r="C423" i="107"/>
  <c r="C424" i="107"/>
  <c r="C425" i="107"/>
  <c r="C426" i="107"/>
  <c r="C427" i="107"/>
  <c r="C428" i="107"/>
  <c r="C429" i="107"/>
  <c r="C430" i="107"/>
  <c r="C431" i="107"/>
  <c r="C432" i="107"/>
  <c r="C433" i="107"/>
  <c r="C434" i="107"/>
  <c r="C435" i="107"/>
  <c r="C436" i="107"/>
  <c r="C437" i="107"/>
  <c r="C438" i="107"/>
  <c r="C439" i="107"/>
  <c r="C440" i="107"/>
  <c r="C441" i="107"/>
  <c r="C442" i="107"/>
  <c r="C443" i="107"/>
  <c r="C444" i="107"/>
  <c r="C445" i="107"/>
  <c r="C446" i="107"/>
  <c r="C447" i="107"/>
  <c r="C448" i="107"/>
  <c r="C449" i="107"/>
  <c r="C450" i="107"/>
  <c r="C451" i="107"/>
  <c r="C452" i="107"/>
  <c r="C453" i="107"/>
  <c r="C454" i="107"/>
  <c r="C455" i="107"/>
  <c r="C456" i="107"/>
  <c r="C457" i="107"/>
  <c r="C458" i="107"/>
  <c r="C459" i="107"/>
  <c r="C460" i="107"/>
  <c r="C461" i="107"/>
  <c r="C462" i="107"/>
  <c r="C463" i="107"/>
  <c r="C464" i="107"/>
  <c r="C465" i="107"/>
  <c r="C466" i="107"/>
  <c r="C467" i="107"/>
  <c r="C468" i="107"/>
  <c r="C469" i="107"/>
  <c r="C470" i="107"/>
  <c r="C471" i="107"/>
  <c r="C472" i="107"/>
  <c r="C473" i="107"/>
  <c r="C474" i="107"/>
  <c r="C475" i="107"/>
  <c r="C476" i="107"/>
  <c r="C477" i="107"/>
  <c r="C478" i="107"/>
  <c r="C479" i="107"/>
  <c r="C480" i="107"/>
  <c r="C481" i="107"/>
  <c r="C482" i="107"/>
  <c r="C483" i="107"/>
  <c r="C484" i="107"/>
  <c r="C485" i="107"/>
  <c r="C486" i="107"/>
  <c r="C487" i="107"/>
  <c r="C488" i="107"/>
  <c r="C489" i="107"/>
  <c r="C490" i="107"/>
  <c r="C491" i="107"/>
  <c r="C492" i="107"/>
  <c r="C493" i="107"/>
  <c r="C494" i="107"/>
  <c r="C495" i="107"/>
  <c r="C496" i="107"/>
  <c r="C497" i="107"/>
  <c r="C498" i="107"/>
  <c r="C499" i="107"/>
  <c r="C500" i="107"/>
  <c r="C501" i="107"/>
  <c r="C502" i="107"/>
  <c r="C503" i="107"/>
  <c r="C504" i="107"/>
  <c r="C505" i="107"/>
  <c r="C506" i="107"/>
  <c r="C507" i="107"/>
  <c r="C508" i="107"/>
  <c r="C509" i="107"/>
  <c r="C510" i="107"/>
  <c r="C511" i="107"/>
  <c r="C512" i="107"/>
  <c r="C513" i="107"/>
  <c r="C514" i="107"/>
  <c r="C515" i="107"/>
  <c r="C516" i="107"/>
  <c r="C517" i="107"/>
  <c r="C518" i="107"/>
  <c r="C519" i="107"/>
  <c r="C520" i="107"/>
  <c r="C521" i="107"/>
  <c r="C522" i="107"/>
  <c r="C523" i="107"/>
  <c r="C524" i="107"/>
  <c r="C525" i="107"/>
  <c r="C526" i="107"/>
  <c r="C527" i="107"/>
  <c r="C528" i="107"/>
  <c r="C529" i="107"/>
  <c r="C530" i="107"/>
  <c r="C531" i="107"/>
  <c r="C532" i="107"/>
  <c r="C533" i="107"/>
  <c r="C534" i="107"/>
  <c r="C535" i="107"/>
  <c r="C536" i="107"/>
  <c r="C537" i="107"/>
  <c r="C538" i="107"/>
  <c r="C539" i="107"/>
  <c r="C540" i="107"/>
  <c r="C541" i="107"/>
  <c r="C542" i="107"/>
  <c r="C543" i="107"/>
  <c r="C544" i="107"/>
  <c r="C545" i="107"/>
  <c r="C546" i="107"/>
  <c r="C547" i="107"/>
  <c r="C548" i="107"/>
  <c r="C549" i="107"/>
  <c r="C550" i="107"/>
  <c r="C551" i="107"/>
  <c r="C552" i="107"/>
  <c r="C553" i="107"/>
  <c r="C554" i="107"/>
  <c r="C555" i="107"/>
  <c r="C556" i="107"/>
  <c r="C557" i="107"/>
  <c r="C558" i="107"/>
  <c r="C559" i="107"/>
  <c r="C560" i="107"/>
  <c r="C561" i="107"/>
  <c r="C562" i="107"/>
  <c r="C563" i="107"/>
  <c r="C564" i="107"/>
  <c r="C565" i="107"/>
  <c r="C566" i="107"/>
  <c r="C567" i="107"/>
  <c r="C568" i="107"/>
  <c r="C569" i="107"/>
  <c r="C570" i="107"/>
  <c r="C571" i="107"/>
  <c r="C572" i="107"/>
  <c r="C573" i="107"/>
  <c r="C574" i="107"/>
  <c r="C575" i="107"/>
  <c r="C576" i="107"/>
  <c r="C577" i="107"/>
  <c r="C578" i="107"/>
  <c r="C579" i="107"/>
  <c r="C580" i="107"/>
  <c r="C581" i="107"/>
  <c r="C582" i="107"/>
  <c r="C583" i="107"/>
  <c r="C584" i="107"/>
  <c r="C585" i="107"/>
  <c r="C586" i="107"/>
  <c r="C587" i="107"/>
  <c r="C588" i="107"/>
  <c r="C589" i="107"/>
  <c r="C590" i="107"/>
  <c r="C591" i="107"/>
  <c r="C592" i="107"/>
  <c r="C593" i="107"/>
  <c r="C594" i="107"/>
  <c r="C595" i="107"/>
  <c r="C596" i="107"/>
  <c r="C597" i="107"/>
  <c r="C598" i="107"/>
  <c r="C599" i="107"/>
  <c r="C600" i="107"/>
  <c r="C601" i="107"/>
  <c r="C602" i="107"/>
  <c r="C603" i="107"/>
  <c r="C604" i="107"/>
  <c r="C605" i="107"/>
  <c r="C606" i="107"/>
  <c r="C607" i="107"/>
  <c r="C608" i="107"/>
  <c r="C609" i="107"/>
  <c r="C610" i="107"/>
  <c r="C611" i="107"/>
  <c r="C612" i="107"/>
  <c r="C613" i="107"/>
  <c r="C614" i="107"/>
  <c r="C615" i="107"/>
  <c r="C616" i="107"/>
  <c r="C617" i="107"/>
  <c r="C618" i="107"/>
  <c r="C619" i="107"/>
  <c r="C620" i="107"/>
  <c r="C621" i="107"/>
  <c r="C622" i="107"/>
  <c r="C623" i="107"/>
  <c r="C624" i="107"/>
  <c r="C625" i="107"/>
  <c r="C626" i="107"/>
  <c r="C627" i="107"/>
  <c r="C628" i="107"/>
  <c r="C629" i="107"/>
  <c r="C630" i="107"/>
  <c r="C631" i="107"/>
  <c r="C632" i="107"/>
  <c r="C633" i="107"/>
  <c r="C634" i="107"/>
  <c r="C635" i="107"/>
  <c r="C636" i="107"/>
  <c r="C637" i="107"/>
  <c r="C638" i="107"/>
  <c r="C639" i="107"/>
  <c r="C640" i="107"/>
  <c r="C641" i="107"/>
  <c r="C642" i="107"/>
  <c r="C643" i="107"/>
  <c r="C644" i="107"/>
  <c r="C645" i="107"/>
  <c r="C646" i="107"/>
  <c r="C647" i="107"/>
  <c r="C648" i="107"/>
  <c r="C649" i="107"/>
  <c r="C650" i="107"/>
  <c r="C651" i="107"/>
  <c r="C652" i="107"/>
  <c r="C653" i="107"/>
  <c r="C654" i="107"/>
  <c r="C655" i="107"/>
  <c r="C656" i="107"/>
  <c r="C657" i="107"/>
  <c r="C658" i="107"/>
  <c r="C659" i="107"/>
  <c r="C660" i="107"/>
  <c r="C661" i="107"/>
  <c r="C662" i="107"/>
  <c r="C663" i="107"/>
  <c r="C664" i="107"/>
  <c r="C665" i="107"/>
  <c r="C666" i="107"/>
  <c r="C667" i="107"/>
  <c r="C668" i="107"/>
  <c r="C669" i="107"/>
  <c r="C670" i="107"/>
  <c r="C671" i="107"/>
  <c r="C672" i="107"/>
  <c r="C673" i="107"/>
  <c r="C674" i="107"/>
  <c r="C675" i="107"/>
  <c r="C676" i="107"/>
  <c r="C677" i="107"/>
  <c r="C678" i="107"/>
  <c r="C679" i="107"/>
  <c r="C680" i="107"/>
  <c r="C681" i="107"/>
  <c r="C682" i="107"/>
  <c r="C683" i="107"/>
  <c r="C684" i="107"/>
  <c r="C685" i="107"/>
  <c r="C686" i="107"/>
  <c r="C687" i="107"/>
  <c r="C688" i="107"/>
  <c r="C689" i="107"/>
  <c r="C690" i="107"/>
  <c r="C691" i="107"/>
  <c r="C692" i="107"/>
  <c r="C693" i="107"/>
  <c r="C694" i="107"/>
  <c r="C695" i="107"/>
  <c r="C696" i="107"/>
  <c r="C697" i="107"/>
  <c r="C698" i="107"/>
  <c r="C699" i="107"/>
  <c r="C700" i="107"/>
  <c r="C701" i="107"/>
  <c r="C702" i="107"/>
  <c r="C703" i="107"/>
  <c r="C704" i="107"/>
  <c r="C705" i="107"/>
  <c r="C706" i="107"/>
  <c r="C707" i="107"/>
  <c r="C708" i="107"/>
  <c r="C709" i="107"/>
  <c r="C710" i="107"/>
  <c r="C711" i="107"/>
  <c r="C712" i="107"/>
  <c r="C713" i="107"/>
  <c r="C714" i="107"/>
  <c r="C715" i="107"/>
  <c r="C716" i="107"/>
  <c r="C717" i="107"/>
  <c r="C718" i="107"/>
  <c r="C719" i="107"/>
  <c r="C720" i="107"/>
  <c r="C721" i="107"/>
  <c r="C722" i="107"/>
  <c r="C723" i="107"/>
  <c r="C724" i="107"/>
  <c r="C725" i="107"/>
  <c r="C726" i="107"/>
  <c r="C727" i="107"/>
  <c r="C728" i="107"/>
  <c r="C729" i="107"/>
  <c r="C730" i="107"/>
  <c r="C731" i="107"/>
  <c r="C732" i="107"/>
  <c r="C733" i="107"/>
  <c r="C734" i="107"/>
  <c r="C735" i="107"/>
  <c r="C736" i="107"/>
  <c r="C737" i="107"/>
  <c r="C738" i="107"/>
  <c r="C739" i="107"/>
  <c r="C740" i="107"/>
  <c r="C741" i="107"/>
  <c r="C742" i="107"/>
  <c r="C743" i="107"/>
  <c r="C744" i="107"/>
  <c r="C745" i="107"/>
  <c r="C746" i="107"/>
  <c r="C747" i="107"/>
  <c r="C748" i="107"/>
  <c r="C749" i="107"/>
  <c r="C750" i="107"/>
  <c r="C751" i="107"/>
  <c r="C752" i="107"/>
  <c r="C753" i="107"/>
  <c r="C754" i="107"/>
  <c r="C755" i="107"/>
  <c r="C756" i="107"/>
  <c r="C757" i="107"/>
  <c r="C758" i="107"/>
  <c r="C759" i="107"/>
  <c r="C760" i="107"/>
  <c r="C761" i="107"/>
  <c r="C762" i="107"/>
  <c r="C763" i="107"/>
  <c r="C764" i="107"/>
  <c r="C765" i="107"/>
  <c r="C766" i="107"/>
  <c r="C767" i="107"/>
  <c r="C768" i="107"/>
  <c r="C769" i="107"/>
  <c r="C770" i="107"/>
  <c r="C771" i="107"/>
  <c r="C772" i="107"/>
  <c r="C773" i="107"/>
  <c r="C774" i="107"/>
  <c r="C775" i="107"/>
  <c r="C776" i="107"/>
  <c r="C777" i="107"/>
  <c r="C778" i="107"/>
  <c r="C779" i="107"/>
  <c r="C780" i="107"/>
  <c r="C781" i="107"/>
  <c r="C782" i="107"/>
  <c r="C783" i="107"/>
  <c r="C784" i="107"/>
  <c r="C785" i="107"/>
  <c r="C786" i="107"/>
  <c r="C787" i="107"/>
  <c r="C788" i="107"/>
  <c r="C789" i="107"/>
  <c r="C790" i="107"/>
  <c r="C791" i="107"/>
  <c r="C792" i="107"/>
  <c r="C793" i="107"/>
  <c r="C794" i="107"/>
  <c r="C795" i="107"/>
  <c r="C796" i="107"/>
  <c r="C797" i="107"/>
  <c r="C798" i="107"/>
  <c r="C799" i="107"/>
  <c r="C800" i="107"/>
  <c r="C801" i="107"/>
  <c r="C802" i="107"/>
  <c r="C803" i="107"/>
  <c r="C804" i="107"/>
  <c r="C805" i="107"/>
  <c r="C806" i="107"/>
  <c r="C807" i="107"/>
  <c r="C808" i="107"/>
  <c r="C809" i="107"/>
  <c r="C810" i="107"/>
  <c r="C811" i="107"/>
  <c r="C812" i="107"/>
  <c r="C813" i="107"/>
  <c r="C814" i="107"/>
  <c r="C815" i="107"/>
  <c r="C816" i="107"/>
  <c r="C817" i="107"/>
  <c r="C818" i="107"/>
  <c r="C819" i="107"/>
  <c r="C820" i="107"/>
  <c r="C821" i="107"/>
  <c r="C822" i="107"/>
  <c r="C823" i="107"/>
  <c r="C824" i="107"/>
  <c r="C825" i="107"/>
  <c r="C826" i="107"/>
  <c r="C827" i="107"/>
  <c r="C828" i="107"/>
  <c r="C829" i="107"/>
  <c r="C830" i="107"/>
  <c r="C831" i="107"/>
  <c r="C832" i="107"/>
  <c r="C833" i="107"/>
  <c r="C834" i="107"/>
  <c r="C835" i="107"/>
  <c r="C836" i="107"/>
  <c r="C837" i="107"/>
  <c r="C838" i="107"/>
  <c r="C839" i="107"/>
  <c r="C840" i="107"/>
  <c r="C841" i="107"/>
  <c r="C842" i="107"/>
  <c r="C843" i="107"/>
  <c r="C844" i="107"/>
  <c r="C845" i="107"/>
  <c r="C846" i="107"/>
  <c r="C847" i="107"/>
  <c r="C848" i="107"/>
  <c r="C849" i="107"/>
  <c r="C850" i="107"/>
  <c r="C851" i="107"/>
  <c r="C852" i="107"/>
  <c r="C853" i="107"/>
  <c r="C854" i="107"/>
  <c r="C855" i="107"/>
  <c r="C856" i="107"/>
  <c r="C857" i="107"/>
  <c r="C858" i="107"/>
  <c r="C859" i="107"/>
  <c r="C860" i="107"/>
  <c r="C861" i="107"/>
  <c r="C862" i="107"/>
  <c r="C863" i="107"/>
  <c r="C864" i="107"/>
  <c r="C865" i="107"/>
  <c r="C866" i="107"/>
  <c r="C867" i="107"/>
  <c r="C868" i="107"/>
  <c r="C869" i="107"/>
  <c r="C870" i="107"/>
  <c r="C871" i="107"/>
  <c r="C872" i="107"/>
  <c r="C873" i="107"/>
  <c r="C874" i="107"/>
  <c r="C875" i="107"/>
  <c r="C876" i="107"/>
  <c r="C877" i="107"/>
  <c r="C878" i="107"/>
  <c r="C879" i="107"/>
  <c r="C880" i="107"/>
  <c r="C881" i="107"/>
  <c r="C882" i="107"/>
  <c r="C883" i="107"/>
  <c r="C884" i="107"/>
  <c r="C885" i="107"/>
  <c r="C886" i="107"/>
  <c r="C887" i="107"/>
  <c r="C888" i="107"/>
  <c r="C889" i="107"/>
  <c r="C890" i="107"/>
  <c r="C891" i="107"/>
  <c r="C892" i="107"/>
  <c r="C893" i="107"/>
  <c r="C894" i="107"/>
  <c r="C895" i="107"/>
  <c r="C896" i="107"/>
  <c r="C897" i="107"/>
  <c r="C898" i="107"/>
  <c r="C899" i="107"/>
  <c r="C900" i="107"/>
  <c r="C901" i="107"/>
  <c r="C902" i="107"/>
  <c r="C903" i="107"/>
  <c r="C904" i="107"/>
  <c r="C905" i="107"/>
  <c r="C906" i="107"/>
  <c r="C907" i="107"/>
  <c r="C908" i="107"/>
  <c r="C909" i="107"/>
  <c r="C910" i="107"/>
  <c r="C911" i="107"/>
  <c r="C912" i="107"/>
  <c r="C913" i="107"/>
  <c r="C914" i="107"/>
  <c r="C915" i="107"/>
  <c r="C916" i="107"/>
  <c r="C917" i="107"/>
  <c r="C918" i="107"/>
  <c r="C919" i="107"/>
  <c r="C920" i="107"/>
  <c r="C921" i="107"/>
  <c r="C922" i="107"/>
  <c r="C923" i="107"/>
  <c r="C924" i="107"/>
  <c r="C925" i="107"/>
  <c r="C926" i="107"/>
  <c r="C927" i="107"/>
  <c r="C928" i="107"/>
  <c r="C929" i="107"/>
  <c r="C930" i="107"/>
  <c r="C931" i="107"/>
  <c r="C932" i="107"/>
  <c r="C933" i="107"/>
  <c r="C934" i="107"/>
  <c r="C935" i="107"/>
  <c r="C936" i="107"/>
  <c r="C937" i="107"/>
  <c r="C938" i="107"/>
  <c r="C939" i="107"/>
  <c r="C940" i="107"/>
  <c r="C941" i="107"/>
  <c r="C942" i="107"/>
  <c r="C943" i="107"/>
  <c r="C944" i="107"/>
  <c r="C945" i="107"/>
  <c r="C946" i="107"/>
  <c r="C947" i="107"/>
  <c r="C948" i="107"/>
  <c r="C949" i="107"/>
  <c r="C950" i="107"/>
  <c r="C951" i="107"/>
  <c r="C952" i="107"/>
  <c r="C953" i="107"/>
  <c r="C954" i="107"/>
  <c r="C955" i="107"/>
  <c r="C956" i="107"/>
  <c r="C957" i="107"/>
  <c r="C958" i="107"/>
  <c r="C959" i="107"/>
  <c r="C960" i="107"/>
  <c r="C961" i="107"/>
  <c r="C962" i="107"/>
  <c r="C963" i="107"/>
  <c r="C964" i="107"/>
  <c r="C965" i="107"/>
  <c r="C966" i="107"/>
  <c r="C967" i="107"/>
  <c r="C968" i="107"/>
  <c r="C969" i="107"/>
  <c r="C970" i="107"/>
  <c r="C971" i="107"/>
  <c r="C972" i="107"/>
  <c r="C973" i="107"/>
  <c r="C974" i="107"/>
  <c r="C975" i="107"/>
  <c r="C976" i="107"/>
  <c r="C977" i="107"/>
  <c r="C978" i="107"/>
  <c r="C979" i="107"/>
  <c r="C980" i="107"/>
  <c r="C981" i="107"/>
  <c r="C982" i="107"/>
  <c r="C983" i="107"/>
  <c r="C984" i="107"/>
  <c r="C985" i="107"/>
  <c r="C986" i="107"/>
  <c r="C987" i="107"/>
  <c r="C988" i="107"/>
  <c r="C989" i="107"/>
  <c r="C990" i="107"/>
  <c r="C991" i="107"/>
  <c r="C992" i="107"/>
  <c r="C993" i="107"/>
  <c r="C994" i="107"/>
  <c r="C995" i="107"/>
  <c r="C996" i="107"/>
  <c r="C997" i="107"/>
  <c r="C998" i="107"/>
  <c r="C999" i="107"/>
  <c r="C1000" i="107"/>
  <c r="C1001" i="107"/>
  <c r="C1002" i="107"/>
  <c r="C1003" i="107"/>
  <c r="C1004" i="107"/>
  <c r="C1005" i="107"/>
  <c r="C1006" i="107"/>
  <c r="C1007" i="107"/>
  <c r="C1008" i="107"/>
  <c r="C1009" i="107"/>
  <c r="C1010" i="107"/>
  <c r="C1011" i="107"/>
  <c r="C1012" i="107"/>
  <c r="C1013" i="107"/>
  <c r="C1014" i="107"/>
  <c r="C1015" i="107"/>
  <c r="C1016" i="107"/>
  <c r="C1017" i="107"/>
  <c r="C1018" i="107"/>
  <c r="C1019" i="107"/>
  <c r="C1020" i="107"/>
  <c r="C1021" i="107"/>
  <c r="C1022" i="107"/>
  <c r="C1023" i="107"/>
  <c r="C1024" i="107"/>
  <c r="C1025" i="107"/>
  <c r="C1026" i="107"/>
  <c r="C1027" i="107"/>
  <c r="C1028" i="107"/>
  <c r="C1029" i="107"/>
  <c r="C1030" i="107"/>
  <c r="C1031" i="107"/>
  <c r="C1032" i="107"/>
  <c r="C1033" i="107"/>
  <c r="C1034" i="107"/>
  <c r="C1035" i="107"/>
  <c r="C1036" i="107"/>
  <c r="C1037" i="107"/>
  <c r="C1038" i="107"/>
  <c r="C1039" i="107"/>
  <c r="C157" i="107"/>
  <c r="C7" i="107"/>
  <c r="C6" i="107"/>
  <c r="C5" i="107"/>
  <c r="C3" i="107"/>
  <c r="C205" i="107"/>
  <c r="C206" i="107"/>
  <c r="C207" i="107"/>
  <c r="C208" i="107"/>
  <c r="C209" i="107"/>
  <c r="I4" i="104" l="1"/>
  <c r="I5" i="104"/>
  <c r="I13" i="104"/>
  <c r="I12" i="104"/>
  <c r="I6" i="104"/>
  <c r="I7" i="104"/>
  <c r="I9" i="104"/>
  <c r="I8" i="104"/>
  <c r="I10" i="104"/>
  <c r="I11" i="104"/>
  <c r="E112" i="110"/>
  <c r="E597" i="110"/>
  <c r="E33" i="110" l="1"/>
  <c r="E34" i="110"/>
  <c r="E2" i="110"/>
  <c r="E9" i="110"/>
  <c r="E10" i="110"/>
  <c r="E11" i="110"/>
  <c r="E12" i="110"/>
  <c r="E13" i="110"/>
  <c r="E14" i="110"/>
  <c r="E15" i="110"/>
  <c r="E16" i="110"/>
  <c r="E17" i="110"/>
  <c r="E18" i="110"/>
  <c r="E19" i="110"/>
  <c r="E20" i="110"/>
  <c r="E21" i="110"/>
  <c r="E22" i="110"/>
  <c r="E23" i="110"/>
  <c r="E24" i="110"/>
  <c r="E25" i="110"/>
  <c r="E26" i="110"/>
  <c r="E27" i="110"/>
  <c r="E28" i="110"/>
  <c r="E29" i="110"/>
  <c r="E30" i="110"/>
  <c r="E31" i="110"/>
  <c r="E32" i="110"/>
  <c r="E35" i="110"/>
  <c r="E36" i="110"/>
  <c r="E37" i="110"/>
  <c r="E38" i="110"/>
  <c r="E39" i="110"/>
  <c r="E40" i="110"/>
  <c r="E41" i="110"/>
  <c r="E42" i="110"/>
  <c r="E43" i="110"/>
  <c r="E44" i="110"/>
  <c r="E45" i="110"/>
  <c r="E46" i="110"/>
  <c r="E47" i="110"/>
  <c r="E48" i="110"/>
  <c r="E49" i="110"/>
  <c r="E50" i="110"/>
  <c r="E51" i="110"/>
  <c r="E52" i="110"/>
  <c r="E53" i="110"/>
  <c r="E54" i="110"/>
  <c r="E55" i="110"/>
  <c r="E56" i="110"/>
  <c r="E57" i="110"/>
  <c r="E58" i="110"/>
  <c r="E59" i="110"/>
  <c r="E60" i="110"/>
  <c r="E61" i="110"/>
  <c r="E62" i="110"/>
  <c r="E63" i="110"/>
  <c r="E64" i="110"/>
  <c r="E65" i="110"/>
  <c r="E66" i="110"/>
  <c r="E67" i="110"/>
  <c r="E68" i="110"/>
  <c r="E69" i="110"/>
  <c r="E70" i="110"/>
  <c r="E71" i="110"/>
  <c r="E72" i="110"/>
  <c r="E73" i="110"/>
  <c r="E74" i="110"/>
  <c r="E75" i="110"/>
  <c r="E76" i="110"/>
  <c r="E77" i="110"/>
  <c r="E78" i="110"/>
  <c r="E79" i="110"/>
  <c r="E80" i="110"/>
  <c r="E81" i="110"/>
  <c r="E82" i="110"/>
  <c r="E83" i="110"/>
  <c r="E84" i="110"/>
  <c r="E85" i="110"/>
  <c r="E86" i="110"/>
  <c r="E87" i="110"/>
  <c r="E88" i="110"/>
  <c r="E89" i="110"/>
  <c r="E90" i="110"/>
  <c r="E91" i="110"/>
  <c r="E92" i="110"/>
  <c r="E93" i="110"/>
  <c r="E94" i="110"/>
  <c r="E95" i="110"/>
  <c r="E96" i="110"/>
  <c r="E97" i="110"/>
  <c r="E98" i="110"/>
  <c r="E99" i="110"/>
  <c r="E100" i="110"/>
  <c r="E101" i="110"/>
  <c r="E102" i="110"/>
  <c r="E103" i="110"/>
  <c r="E104" i="110"/>
  <c r="E105" i="110"/>
  <c r="E106" i="110"/>
  <c r="E107" i="110"/>
  <c r="E108" i="110"/>
  <c r="E109" i="110"/>
  <c r="E110" i="110"/>
  <c r="E111" i="110"/>
  <c r="E113" i="110"/>
  <c r="E114" i="110"/>
  <c r="E115" i="110"/>
  <c r="E116" i="110"/>
  <c r="E117" i="110"/>
  <c r="E118" i="110"/>
  <c r="E119" i="110"/>
  <c r="E120" i="110"/>
  <c r="E121" i="110"/>
  <c r="E122" i="110"/>
  <c r="E123" i="110"/>
  <c r="E124" i="110"/>
  <c r="E125" i="110"/>
  <c r="E126" i="110"/>
  <c r="E127" i="110"/>
  <c r="E128" i="110"/>
  <c r="E129" i="110"/>
  <c r="E130" i="110"/>
  <c r="E131" i="110"/>
  <c r="E132" i="110"/>
  <c r="E133" i="110"/>
  <c r="E134" i="110"/>
  <c r="E135" i="110"/>
  <c r="E136" i="110"/>
  <c r="E137" i="110"/>
  <c r="E138" i="110"/>
  <c r="E139" i="110"/>
  <c r="E140" i="110"/>
  <c r="E141" i="110"/>
  <c r="E142" i="110"/>
  <c r="E143" i="110"/>
  <c r="E144" i="110"/>
  <c r="E145" i="110"/>
  <c r="E146" i="110"/>
  <c r="E147" i="110"/>
  <c r="E148" i="110"/>
  <c r="E149" i="110"/>
  <c r="E150" i="110"/>
  <c r="E151" i="110"/>
  <c r="E152" i="110"/>
  <c r="E153" i="110"/>
  <c r="E154" i="110"/>
  <c r="E155" i="110"/>
  <c r="E156" i="110"/>
  <c r="E157" i="110"/>
  <c r="E158" i="110"/>
  <c r="E159" i="110"/>
  <c r="E160" i="110"/>
  <c r="E161" i="110"/>
  <c r="E162" i="110"/>
  <c r="E163" i="110"/>
  <c r="E164" i="110"/>
  <c r="E165" i="110"/>
  <c r="E166" i="110"/>
  <c r="E167" i="110"/>
  <c r="E168" i="110"/>
  <c r="E169" i="110"/>
  <c r="E170" i="110"/>
  <c r="E171" i="110"/>
  <c r="E172" i="110"/>
  <c r="E173" i="110"/>
  <c r="E174" i="110"/>
  <c r="E175" i="110"/>
  <c r="E176" i="110"/>
  <c r="E177" i="110"/>
  <c r="E178" i="110"/>
  <c r="E179" i="110"/>
  <c r="E180" i="110"/>
  <c r="E181" i="110"/>
  <c r="E182" i="110"/>
  <c r="E183" i="110"/>
  <c r="E184" i="110"/>
  <c r="E185" i="110"/>
  <c r="E186" i="110"/>
  <c r="E187" i="110"/>
  <c r="E188" i="110"/>
  <c r="E189" i="110"/>
  <c r="E190" i="110"/>
  <c r="E191" i="110"/>
  <c r="E192" i="110"/>
  <c r="E193" i="110"/>
  <c r="E194" i="110"/>
  <c r="E195" i="110"/>
  <c r="E196" i="110"/>
  <c r="E197" i="110"/>
  <c r="E198" i="110"/>
  <c r="E199" i="110"/>
  <c r="E200" i="110"/>
  <c r="E201" i="110"/>
  <c r="E202" i="110"/>
  <c r="E203" i="110"/>
  <c r="E204" i="110"/>
  <c r="E205" i="110"/>
  <c r="E206" i="110"/>
  <c r="E207" i="110"/>
  <c r="E208" i="110"/>
  <c r="E209" i="110"/>
  <c r="E210" i="110"/>
  <c r="E211" i="110"/>
  <c r="E212" i="110"/>
  <c r="E213" i="110"/>
  <c r="E214" i="110"/>
  <c r="E215" i="110"/>
  <c r="E216" i="110"/>
  <c r="E217" i="110"/>
  <c r="E218" i="110"/>
  <c r="E219" i="110"/>
  <c r="E220" i="110"/>
  <c r="E221" i="110"/>
  <c r="E222" i="110"/>
  <c r="E223" i="110"/>
  <c r="E224" i="110"/>
  <c r="E225" i="110"/>
  <c r="E226" i="110"/>
  <c r="E227" i="110"/>
  <c r="E228" i="110"/>
  <c r="E229" i="110"/>
  <c r="E230" i="110"/>
  <c r="E231" i="110"/>
  <c r="E232" i="110"/>
  <c r="E233" i="110"/>
  <c r="E234" i="110"/>
  <c r="E235" i="110"/>
  <c r="E236" i="110"/>
  <c r="E237" i="110"/>
  <c r="E238" i="110"/>
  <c r="E239" i="110"/>
  <c r="E240" i="110"/>
  <c r="E241" i="110"/>
  <c r="E242" i="110"/>
  <c r="E243" i="110"/>
  <c r="E244" i="110"/>
  <c r="E245" i="110"/>
  <c r="E246" i="110"/>
  <c r="E247" i="110"/>
  <c r="E248" i="110"/>
  <c r="E249" i="110"/>
  <c r="E250" i="110"/>
  <c r="E251" i="110"/>
  <c r="E252" i="110"/>
  <c r="E253" i="110"/>
  <c r="E254" i="110"/>
  <c r="E255" i="110"/>
  <c r="E256" i="110"/>
  <c r="E257" i="110"/>
  <c r="E258" i="110"/>
  <c r="E259" i="110"/>
  <c r="E260" i="110"/>
  <c r="E261" i="110"/>
  <c r="E262" i="110"/>
  <c r="E263" i="110"/>
  <c r="E264" i="110"/>
  <c r="E265" i="110"/>
  <c r="E266" i="110"/>
  <c r="E267" i="110"/>
  <c r="E268" i="110"/>
  <c r="E269" i="110"/>
  <c r="E270" i="110"/>
  <c r="E271" i="110"/>
  <c r="E272" i="110"/>
  <c r="E273" i="110"/>
  <c r="E274" i="110"/>
  <c r="E275" i="110"/>
  <c r="E276" i="110"/>
  <c r="E277" i="110"/>
  <c r="E278" i="110"/>
  <c r="E279" i="110"/>
  <c r="E280" i="110"/>
  <c r="E281" i="110"/>
  <c r="E282" i="110"/>
  <c r="E283" i="110"/>
  <c r="E284" i="110"/>
  <c r="E285" i="110"/>
  <c r="E286" i="110"/>
  <c r="E287" i="110"/>
  <c r="E288" i="110"/>
  <c r="E289" i="110"/>
  <c r="E290" i="110"/>
  <c r="E291" i="110"/>
  <c r="E292" i="110"/>
  <c r="E293" i="110"/>
  <c r="E294" i="110"/>
  <c r="E295" i="110"/>
  <c r="E296" i="110"/>
  <c r="E297" i="110"/>
  <c r="E298" i="110"/>
  <c r="E299" i="110"/>
  <c r="E300" i="110"/>
  <c r="E301" i="110"/>
  <c r="E302" i="110"/>
  <c r="E303" i="110"/>
  <c r="E304" i="110"/>
  <c r="E305" i="110"/>
  <c r="E306" i="110"/>
  <c r="E307" i="110"/>
  <c r="E308" i="110"/>
  <c r="E309" i="110"/>
  <c r="E310" i="110"/>
  <c r="E311" i="110"/>
  <c r="E312" i="110"/>
  <c r="E313" i="110"/>
  <c r="E314" i="110"/>
  <c r="E315" i="110"/>
  <c r="E316" i="110"/>
  <c r="E317" i="110"/>
  <c r="E318" i="110"/>
  <c r="E319" i="110"/>
  <c r="E320" i="110"/>
  <c r="E321" i="110"/>
  <c r="E322" i="110"/>
  <c r="E323" i="110"/>
  <c r="E324" i="110"/>
  <c r="E325" i="110"/>
  <c r="E326" i="110"/>
  <c r="E327" i="110"/>
  <c r="E328" i="110"/>
  <c r="E329" i="110"/>
  <c r="E330" i="110"/>
  <c r="E331" i="110"/>
  <c r="E332" i="110"/>
  <c r="E333" i="110"/>
  <c r="E334" i="110"/>
  <c r="E335" i="110"/>
  <c r="E336" i="110"/>
  <c r="E337" i="110"/>
  <c r="E338" i="110"/>
  <c r="E339" i="110"/>
  <c r="E340" i="110"/>
  <c r="E341" i="110"/>
  <c r="E342" i="110"/>
  <c r="E343" i="110"/>
  <c r="E344" i="110"/>
  <c r="E345" i="110"/>
  <c r="E346" i="110"/>
  <c r="E347" i="110"/>
  <c r="E348" i="110"/>
  <c r="E349" i="110"/>
  <c r="E350" i="110"/>
  <c r="E351" i="110"/>
  <c r="E352" i="110"/>
  <c r="E353" i="110"/>
  <c r="E354" i="110"/>
  <c r="E355" i="110"/>
  <c r="E356" i="110"/>
  <c r="E357" i="110"/>
  <c r="E358" i="110"/>
  <c r="E359" i="110"/>
  <c r="E360" i="110"/>
  <c r="E361" i="110"/>
  <c r="E362" i="110"/>
  <c r="E363" i="110"/>
  <c r="E364" i="110"/>
  <c r="E365" i="110"/>
  <c r="E366" i="110"/>
  <c r="E367" i="110"/>
  <c r="E368" i="110"/>
  <c r="E369" i="110"/>
  <c r="E370" i="110"/>
  <c r="E371" i="110"/>
  <c r="E372" i="110"/>
  <c r="E373" i="110"/>
  <c r="E374" i="110"/>
  <c r="E375" i="110"/>
  <c r="E376" i="110"/>
  <c r="E377" i="110"/>
  <c r="E378" i="110"/>
  <c r="E379" i="110"/>
  <c r="E380" i="110"/>
  <c r="E381" i="110"/>
  <c r="E382" i="110"/>
  <c r="E383" i="110"/>
  <c r="E384" i="110"/>
  <c r="E385" i="110"/>
  <c r="E386" i="110"/>
  <c r="E387" i="110"/>
  <c r="E388" i="110"/>
  <c r="E389" i="110"/>
  <c r="E390" i="110"/>
  <c r="E391" i="110"/>
  <c r="E392" i="110"/>
  <c r="E393" i="110"/>
  <c r="E394" i="110"/>
  <c r="E395" i="110"/>
  <c r="E396" i="110"/>
  <c r="E397" i="110"/>
  <c r="E398" i="110"/>
  <c r="E399" i="110"/>
  <c r="E400" i="110"/>
  <c r="E401" i="110"/>
  <c r="E402" i="110"/>
  <c r="E403" i="110"/>
  <c r="E404" i="110"/>
  <c r="E405" i="110"/>
  <c r="E406" i="110"/>
  <c r="E407" i="110"/>
  <c r="E408" i="110"/>
  <c r="E409" i="110"/>
  <c r="E410" i="110"/>
  <c r="E411" i="110"/>
  <c r="E412" i="110"/>
  <c r="E413" i="110"/>
  <c r="E414" i="110"/>
  <c r="E415" i="110"/>
  <c r="E416" i="110"/>
  <c r="E417" i="110"/>
  <c r="E418" i="110"/>
  <c r="E419" i="110"/>
  <c r="E420" i="110"/>
  <c r="E421" i="110"/>
  <c r="E422" i="110"/>
  <c r="E423" i="110"/>
  <c r="E424" i="110"/>
  <c r="E425" i="110"/>
  <c r="E426" i="110"/>
  <c r="E427" i="110"/>
  <c r="E428" i="110"/>
  <c r="E429" i="110"/>
  <c r="E430" i="110"/>
  <c r="E431" i="110"/>
  <c r="E432" i="110"/>
  <c r="E433" i="110"/>
  <c r="E434" i="110"/>
  <c r="E435" i="110"/>
  <c r="E436" i="110"/>
  <c r="E437" i="110"/>
  <c r="E438" i="110"/>
  <c r="E439" i="110"/>
  <c r="E440" i="110"/>
  <c r="E441" i="110"/>
  <c r="E442" i="110"/>
  <c r="E443" i="110"/>
  <c r="E444" i="110"/>
  <c r="E445" i="110"/>
  <c r="E446" i="110"/>
  <c r="E447" i="110"/>
  <c r="E448" i="110"/>
  <c r="E449" i="110"/>
  <c r="E450" i="110"/>
  <c r="E451" i="110"/>
  <c r="E452" i="110"/>
  <c r="E453" i="110"/>
  <c r="E454" i="110"/>
  <c r="E455" i="110"/>
  <c r="E456" i="110"/>
  <c r="E457" i="110"/>
  <c r="E458" i="110"/>
  <c r="E459" i="110"/>
  <c r="E460" i="110"/>
  <c r="E461" i="110"/>
  <c r="E462" i="110"/>
  <c r="E463" i="110"/>
  <c r="E464" i="110"/>
  <c r="E465" i="110"/>
  <c r="E466" i="110"/>
  <c r="E467" i="110"/>
  <c r="E468" i="110"/>
  <c r="E469" i="110"/>
  <c r="E470" i="110"/>
  <c r="E471" i="110"/>
  <c r="E472" i="110"/>
  <c r="E473" i="110"/>
  <c r="E474" i="110"/>
  <c r="E475" i="110"/>
  <c r="E476" i="110"/>
  <c r="E477" i="110"/>
  <c r="E478" i="110"/>
  <c r="E479" i="110"/>
  <c r="E480" i="110"/>
  <c r="E481" i="110"/>
  <c r="E482" i="110"/>
  <c r="E483" i="110"/>
  <c r="E484" i="110"/>
  <c r="E485" i="110"/>
  <c r="E486" i="110"/>
  <c r="E487" i="110"/>
  <c r="E488" i="110"/>
  <c r="E489" i="110"/>
  <c r="E490" i="110"/>
  <c r="E491" i="110"/>
  <c r="E492" i="110"/>
  <c r="E493" i="110"/>
  <c r="E494" i="110"/>
  <c r="E495" i="110"/>
  <c r="E496" i="110"/>
  <c r="E497" i="110"/>
  <c r="E498" i="110"/>
  <c r="E499" i="110"/>
  <c r="E500" i="110"/>
  <c r="E501" i="110"/>
  <c r="E502" i="110"/>
  <c r="E503" i="110"/>
  <c r="E504" i="110"/>
  <c r="E505" i="110"/>
  <c r="E506" i="110"/>
  <c r="E507" i="110"/>
  <c r="E508" i="110"/>
  <c r="E509" i="110"/>
  <c r="E510" i="110"/>
  <c r="E511" i="110"/>
  <c r="E512" i="110"/>
  <c r="E513" i="110"/>
  <c r="E514" i="110"/>
  <c r="E515" i="110"/>
  <c r="E516" i="110"/>
  <c r="E517" i="110"/>
  <c r="E518" i="110"/>
  <c r="E519" i="110"/>
  <c r="E520" i="110"/>
  <c r="E521" i="110"/>
  <c r="E522" i="110"/>
  <c r="E523" i="110"/>
  <c r="E524" i="110"/>
  <c r="E525" i="110"/>
  <c r="E526" i="110"/>
  <c r="E527" i="110"/>
  <c r="E528" i="110"/>
  <c r="E529" i="110"/>
  <c r="E530" i="110"/>
  <c r="E531" i="110"/>
  <c r="E532" i="110"/>
  <c r="E533" i="110"/>
  <c r="E534" i="110"/>
  <c r="E535" i="110"/>
  <c r="E536" i="110"/>
  <c r="E537" i="110"/>
  <c r="E538" i="110"/>
  <c r="E539" i="110"/>
  <c r="E540" i="110"/>
  <c r="E541" i="110"/>
  <c r="E542" i="110"/>
  <c r="E543" i="110"/>
  <c r="E544" i="110"/>
  <c r="E545" i="110"/>
  <c r="E546" i="110"/>
  <c r="E547" i="110"/>
  <c r="E548" i="110"/>
  <c r="E549" i="110"/>
  <c r="E550" i="110"/>
  <c r="E551" i="110"/>
  <c r="E552" i="110"/>
  <c r="E553" i="110"/>
  <c r="E554" i="110"/>
  <c r="E555" i="110"/>
  <c r="E556" i="110"/>
  <c r="E557" i="110"/>
  <c r="E558" i="110"/>
  <c r="E559" i="110"/>
  <c r="E560" i="110"/>
  <c r="E561" i="110"/>
  <c r="E562" i="110"/>
  <c r="E563" i="110"/>
  <c r="E564" i="110"/>
  <c r="E565" i="110"/>
  <c r="E566" i="110"/>
  <c r="E567" i="110"/>
  <c r="E568" i="110"/>
  <c r="E569" i="110"/>
  <c r="E570" i="110"/>
  <c r="E571" i="110"/>
  <c r="E572" i="110"/>
  <c r="E573" i="110"/>
  <c r="E574" i="110"/>
  <c r="E575" i="110"/>
  <c r="E576" i="110"/>
  <c r="E577" i="110"/>
  <c r="E578" i="110"/>
  <c r="E579" i="110"/>
  <c r="E580" i="110"/>
  <c r="E581" i="110"/>
  <c r="E582" i="110"/>
  <c r="E583" i="110"/>
  <c r="E584" i="110"/>
  <c r="E585" i="110"/>
  <c r="E586" i="110"/>
  <c r="E587" i="110"/>
  <c r="E588" i="110"/>
  <c r="E589" i="110"/>
  <c r="E590" i="110"/>
  <c r="E591" i="110"/>
  <c r="E592" i="110"/>
  <c r="E593" i="110"/>
  <c r="E594" i="110"/>
  <c r="E595" i="110"/>
  <c r="E596" i="110"/>
  <c r="E3" i="110"/>
  <c r="E4" i="110"/>
  <c r="E5" i="110"/>
  <c r="E6" i="110"/>
  <c r="E7" i="110"/>
  <c r="E8" i="110"/>
  <c r="G8" i="111"/>
  <c r="D429" i="107"/>
  <c r="D589" i="107"/>
  <c r="D763" i="107"/>
  <c r="D981" i="107"/>
  <c r="D660" i="107"/>
  <c r="D925" i="107"/>
  <c r="D511" i="107"/>
  <c r="D784" i="107"/>
  <c r="D677" i="107"/>
  <c r="D449" i="107"/>
  <c r="D706" i="107"/>
  <c r="D861" i="107"/>
  <c r="D486" i="107"/>
  <c r="D889" i="107"/>
  <c r="D608" i="107"/>
  <c r="D619" i="107"/>
  <c r="D1027" i="107"/>
  <c r="D701" i="107"/>
  <c r="D415" i="107"/>
  <c r="D519" i="107"/>
  <c r="D999" i="107"/>
  <c r="D312" i="107"/>
  <c r="D1001" i="107"/>
  <c r="D315" i="107"/>
  <c r="D1028" i="107"/>
  <c r="D240" i="107"/>
  <c r="D540" i="107"/>
  <c r="D359" i="107"/>
  <c r="D331" i="107"/>
  <c r="D273" i="107"/>
  <c r="D585" i="107"/>
  <c r="D442" i="107"/>
  <c r="D804" i="107"/>
  <c r="D645" i="107"/>
  <c r="D385" i="107"/>
  <c r="D438" i="107"/>
  <c r="D225" i="107"/>
  <c r="D1013" i="107"/>
  <c r="D223" i="107"/>
  <c r="D685" i="107"/>
  <c r="D931" i="107"/>
  <c r="D934" i="107"/>
  <c r="D699" i="107"/>
  <c r="D423" i="107"/>
  <c r="D769" i="107"/>
  <c r="D224" i="107"/>
  <c r="D513" i="107"/>
  <c r="D638" i="107"/>
  <c r="D682" i="107"/>
  <c r="D476" i="107"/>
  <c r="D711" i="107"/>
  <c r="D282" i="107"/>
  <c r="D826" i="107"/>
  <c r="D348" i="107"/>
  <c r="D640" i="107"/>
  <c r="D338" i="107"/>
  <c r="D367" i="107"/>
  <c r="D401" i="107"/>
  <c r="D698" i="107"/>
  <c r="D797" i="107"/>
  <c r="D793" i="107"/>
  <c r="D452" i="107"/>
  <c r="D577" i="107"/>
  <c r="D262" i="107"/>
  <c r="D702" i="107"/>
  <c r="D458" i="107"/>
  <c r="D657" i="107"/>
  <c r="D510" i="107"/>
  <c r="D992" i="107"/>
  <c r="D683" i="107"/>
  <c r="D351" i="107"/>
  <c r="D543" i="107"/>
  <c r="D815" i="107"/>
  <c r="D370" i="107"/>
  <c r="D884" i="107"/>
  <c r="D604" i="107"/>
  <c r="D213" i="107"/>
  <c r="D414" i="107"/>
  <c r="D541" i="107"/>
  <c r="D623" i="107"/>
  <c r="D880" i="107"/>
  <c r="D667" i="107"/>
  <c r="D662" i="107"/>
  <c r="D760" i="107"/>
  <c r="D688" i="107"/>
  <c r="D907" i="107"/>
  <c r="D621" i="107"/>
  <c r="D670" i="107"/>
  <c r="D428" i="107"/>
  <c r="D745" i="107"/>
  <c r="D463" i="107"/>
  <c r="D446" i="107"/>
  <c r="D441" i="107"/>
  <c r="D396" i="107"/>
  <c r="D733" i="107"/>
  <c r="D555" i="107"/>
  <c r="D989" i="107"/>
  <c r="D915" i="107"/>
  <c r="D998" i="107"/>
  <c r="D237" i="107"/>
  <c r="D829" i="107"/>
  <c r="D580" i="107"/>
  <c r="D1015" i="107"/>
  <c r="D389" i="107"/>
  <c r="D535" i="107"/>
  <c r="D473" i="107"/>
  <c r="D379" i="107"/>
  <c r="D512" i="107"/>
  <c r="D568" i="107"/>
  <c r="D1026" i="107"/>
  <c r="D404" i="107"/>
  <c r="D725" i="107"/>
  <c r="D743" i="107"/>
  <c r="D949" i="107"/>
  <c r="D935" i="107"/>
  <c r="D664" i="107"/>
  <c r="D750" i="107"/>
  <c r="D755" i="107"/>
  <c r="D903" i="107"/>
  <c r="D963" i="107"/>
  <c r="D602" i="107"/>
  <c r="D939" i="107"/>
  <c r="D349" i="107"/>
  <c r="D337" i="107"/>
  <c r="D270" i="107"/>
  <c r="D671" i="107"/>
  <c r="D321" i="107"/>
  <c r="D444" i="107"/>
  <c r="D493" i="107"/>
  <c r="D964" i="107"/>
  <c r="D221" i="107"/>
  <c r="D976" i="107"/>
  <c r="D908" i="107"/>
  <c r="D1022" i="107"/>
  <c r="D598" i="107"/>
  <c r="D233" i="107"/>
  <c r="D916" i="107"/>
  <c r="D666" i="107"/>
  <c r="D846" i="107"/>
  <c r="D615" i="107"/>
  <c r="D548" i="107"/>
  <c r="D227" i="107"/>
  <c r="D411" i="107"/>
  <c r="D996" i="107"/>
  <c r="D1010" i="107"/>
  <c r="D308" i="107"/>
  <c r="D371" i="107"/>
  <c r="D795" i="107"/>
  <c r="D344" i="107"/>
  <c r="D316" i="107"/>
  <c r="D266" i="107"/>
  <c r="D710" i="107"/>
  <c r="D926" i="107"/>
  <c r="D894" i="107"/>
  <c r="D346" i="107"/>
  <c r="D464" i="107"/>
  <c r="D919" i="107"/>
  <c r="D216" i="107"/>
  <c r="D613" i="107"/>
  <c r="D524" i="107"/>
  <c r="D462" i="107"/>
  <c r="D431" i="107"/>
  <c r="D275" i="107"/>
  <c r="D730" i="107"/>
  <c r="D631" i="107"/>
  <c r="D528" i="107"/>
  <c r="D323" i="107"/>
  <c r="D970" i="107"/>
  <c r="D888" i="107"/>
  <c r="D971" i="107"/>
  <c r="D897" i="107"/>
  <c r="D317" i="107"/>
  <c r="D405" i="107"/>
  <c r="D786" i="107"/>
  <c r="D930" i="107"/>
  <c r="D796" i="107"/>
  <c r="D588" i="107"/>
  <c r="D771" i="107"/>
  <c r="D787" i="107"/>
  <c r="D629" i="107"/>
  <c r="D381" i="107"/>
  <c r="D941" i="107"/>
  <c r="D378" i="107"/>
  <c r="D632" i="107"/>
  <c r="D416" i="107"/>
  <c r="D675" i="107"/>
  <c r="D789" i="107"/>
  <c r="D674" i="107"/>
  <c r="D639" i="107"/>
  <c r="D594" i="107"/>
  <c r="D686" i="107"/>
  <c r="D516" i="107"/>
  <c r="D993" i="107"/>
  <c r="D622" i="107"/>
  <c r="D764" i="107"/>
  <c r="D238" i="107"/>
  <c r="D434" i="107"/>
  <c r="D641" i="107"/>
  <c r="D292" i="107"/>
  <c r="D853" i="107"/>
  <c r="D768" i="107"/>
  <c r="D792" i="107"/>
  <c r="D347" i="107"/>
  <c r="D736" i="107"/>
  <c r="D807" i="107"/>
  <c r="D260" i="107"/>
  <c r="D469" i="107"/>
  <c r="D625" i="107"/>
  <c r="D811" i="107"/>
  <c r="D972" i="107"/>
  <c r="D599" i="107"/>
  <c r="D731" i="107"/>
  <c r="D982" i="107"/>
  <c r="D596" i="107"/>
  <c r="D912" i="107"/>
  <c r="D231" i="107"/>
  <c r="D801" i="107"/>
  <c r="D877" i="107"/>
  <c r="D330" i="107"/>
  <c r="D399" i="107"/>
  <c r="D663" i="107"/>
  <c r="D717" i="107"/>
  <c r="D611" i="107"/>
  <c r="D472" i="107"/>
  <c r="D437" i="107"/>
  <c r="D426" i="107"/>
  <c r="D905" i="107"/>
  <c r="D995" i="107"/>
  <c r="D544" i="107"/>
  <c r="D522" i="107"/>
  <c r="D395" i="107"/>
  <c r="D505" i="107"/>
  <c r="D633" i="107"/>
  <c r="D776" i="107"/>
  <c r="D244" i="107"/>
  <c r="D678" i="107"/>
  <c r="D938" i="107"/>
  <c r="D380" i="107"/>
  <c r="D285" i="107"/>
  <c r="D762" i="107"/>
  <c r="D328" i="107"/>
  <c r="D526" i="107"/>
  <c r="D820" i="107"/>
  <c r="D503" i="107"/>
  <c r="D696" i="107"/>
  <c r="D507" i="107"/>
  <c r="D490" i="107"/>
  <c r="D601" i="107"/>
  <c r="D650" i="107"/>
  <c r="D350" i="107"/>
  <c r="D445" i="107"/>
  <c r="D753" i="107"/>
  <c r="D920" i="107"/>
  <c r="D257" i="107"/>
  <c r="D781" i="107"/>
  <c r="D973" i="107"/>
  <c r="D465" i="107"/>
  <c r="D532" i="107"/>
  <c r="D881" i="107"/>
  <c r="D365" i="107"/>
  <c r="D1004" i="107"/>
  <c r="D327" i="107"/>
  <c r="D400" i="107"/>
  <c r="D728" i="107"/>
  <c r="D945" i="107"/>
  <c r="D334" i="107"/>
  <c r="D375" i="107"/>
  <c r="D478" i="107"/>
  <c r="D681" i="107"/>
  <c r="D217" i="107"/>
  <c r="D581" i="107"/>
  <c r="D802" i="107"/>
  <c r="D684" i="107"/>
  <c r="D748" i="107"/>
  <c r="D362" i="107"/>
  <c r="D310" i="107"/>
  <c r="D818" i="107"/>
  <c r="D785" i="107"/>
  <c r="D975" i="107"/>
  <c r="D778" i="107"/>
  <c r="D407" i="107"/>
  <c r="D962" i="107"/>
  <c r="D527" i="107"/>
  <c r="D994" i="107"/>
  <c r="D457" i="107"/>
  <c r="D279" i="107"/>
  <c r="D806" i="107"/>
  <c r="D569" i="107"/>
  <c r="D917" i="107"/>
  <c r="D236" i="107"/>
  <c r="D443" i="107"/>
  <c r="D325" i="107"/>
  <c r="D827" i="107"/>
  <c r="D636" i="107"/>
  <c r="D944" i="107"/>
  <c r="D454" i="107"/>
  <c r="D813" i="107"/>
  <c r="D747" i="107"/>
  <c r="D433" i="107"/>
  <c r="D1031" i="107"/>
  <c r="D722" i="107"/>
  <c r="D372" i="107"/>
  <c r="D523" i="107"/>
  <c r="D376" i="107"/>
  <c r="D714" i="107"/>
  <c r="D848" i="107"/>
  <c r="D1002" i="107"/>
  <c r="D891" i="107"/>
  <c r="D498" i="107"/>
  <c r="D735" i="107"/>
  <c r="D306" i="107"/>
  <c r="D280" i="107"/>
  <c r="D488" i="107"/>
  <c r="D885" i="107"/>
  <c r="D600" i="107"/>
  <c r="D940" i="107"/>
  <c r="D609" i="107"/>
  <c r="D339" i="107"/>
  <c r="D417" i="107"/>
  <c r="D653" i="107"/>
  <c r="D603" i="107"/>
  <c r="D606" i="107"/>
  <c r="D646" i="107"/>
  <c r="D329" i="107"/>
  <c r="D556" i="107"/>
  <c r="D766" i="107"/>
  <c r="D293" i="107"/>
  <c r="D780" i="107"/>
  <c r="D564" i="107"/>
  <c r="D502" i="107"/>
  <c r="D665" i="107"/>
  <c r="D800" i="107"/>
  <c r="D547" i="107"/>
  <c r="D294" i="107"/>
  <c r="D533" i="107"/>
  <c r="D479" i="107"/>
  <c r="D779" i="107"/>
  <c r="D1006" i="107"/>
  <c r="D1005" i="107"/>
  <c r="D303" i="107"/>
  <c r="D354" i="107"/>
  <c r="D336" i="107"/>
  <c r="D727" i="107"/>
  <c r="D558" i="107"/>
  <c r="D241" i="107"/>
  <c r="D772" i="107"/>
  <c r="D364" i="107"/>
  <c r="D614" i="107"/>
  <c r="D849" i="107"/>
  <c r="D873" i="107"/>
  <c r="D833" i="107"/>
  <c r="D496" i="107"/>
  <c r="D756" i="107"/>
  <c r="D220" i="107"/>
  <c r="D578" i="107"/>
  <c r="D655" i="107"/>
  <c r="D723" i="107"/>
  <c r="D232" i="107"/>
  <c r="D422" i="107"/>
  <c r="D850" i="107"/>
  <c r="D489" i="107"/>
  <c r="D724" i="107"/>
  <c r="D922" i="107"/>
  <c r="D810" i="107"/>
  <c r="D406" i="107"/>
  <c r="D729" i="107"/>
  <c r="D668" i="107"/>
  <c r="D978" i="107"/>
  <c r="D1024" i="107"/>
  <c r="D545" i="107"/>
  <c r="D242" i="107"/>
  <c r="D392" i="107"/>
  <c r="D942" i="107"/>
  <c r="D583" i="107"/>
  <c r="D890" i="107"/>
  <c r="D713" i="107"/>
  <c r="D974" i="107"/>
  <c r="D295" i="107"/>
  <c r="D300" i="107"/>
  <c r="D893" i="107"/>
  <c r="D895" i="107"/>
  <c r="D757" i="107"/>
  <c r="D1019" i="107"/>
  <c r="D943" i="107"/>
  <c r="D933" i="107"/>
  <c r="D680" i="107"/>
  <c r="D272" i="107"/>
  <c r="D712" i="107"/>
  <c r="D957" i="107"/>
  <c r="D694" i="107"/>
  <c r="D451" i="107"/>
  <c r="D504" i="107"/>
  <c r="D251" i="107"/>
  <c r="D427" i="107"/>
  <c r="D896" i="107"/>
  <c r="D471" i="107"/>
  <c r="D246" i="107"/>
  <c r="D538" i="107"/>
  <c r="D302" i="107"/>
  <c r="D927" i="107"/>
  <c r="D413" i="107"/>
  <c r="D483" i="107"/>
  <c r="D985" i="107"/>
  <c r="D659" i="107"/>
  <c r="D435" i="107"/>
  <c r="D605" i="107"/>
  <c r="D243" i="107"/>
  <c r="D549" i="107"/>
  <c r="D969" i="107"/>
  <c r="D215" i="107"/>
  <c r="D1029" i="107"/>
  <c r="D709" i="107"/>
  <c r="D882" i="107"/>
  <c r="D839" i="107"/>
  <c r="D984" i="107"/>
  <c r="D954" i="107"/>
  <c r="D304" i="107"/>
  <c r="D550" i="107"/>
  <c r="D212" i="107"/>
  <c r="D628" i="107"/>
  <c r="D658" i="107"/>
  <c r="D857" i="107"/>
  <c r="D868" i="107"/>
  <c r="D410" i="107"/>
  <c r="D455" i="107"/>
  <c r="D758" i="107"/>
  <c r="D440" i="107"/>
  <c r="D539" i="107"/>
  <c r="D363" i="107"/>
  <c r="D866" i="107"/>
  <c r="D210" i="107"/>
  <c r="D333" i="107"/>
  <c r="D669" i="107"/>
  <c r="D875" i="107"/>
  <c r="D386" i="107"/>
  <c r="D554" i="107"/>
  <c r="D835" i="107"/>
  <c r="D307" i="107"/>
  <c r="D956" i="107"/>
  <c r="D259" i="107"/>
  <c r="D1035" i="107"/>
  <c r="D951" i="107"/>
  <c r="D492" i="107"/>
  <c r="D256" i="107"/>
  <c r="D509" i="107"/>
  <c r="D947" i="107"/>
  <c r="D263" i="107"/>
  <c r="D591" i="107"/>
  <c r="D914" i="107"/>
  <c r="D1025" i="107"/>
  <c r="D592" i="107"/>
  <c r="D852" i="107"/>
  <c r="D368" i="107"/>
  <c r="D430" i="107"/>
  <c r="D537" i="107"/>
  <c r="D553" i="107"/>
  <c r="D563" i="107"/>
  <c r="D597" i="107"/>
  <c r="D872" i="107"/>
  <c r="D988" i="107"/>
  <c r="D1003" i="107"/>
  <c r="D374" i="107"/>
  <c r="D767" i="107"/>
  <c r="D314" i="107"/>
  <c r="D1018" i="107"/>
  <c r="D874" i="107"/>
  <c r="D921" i="107"/>
  <c r="D271" i="107"/>
  <c r="D705" i="107"/>
  <c r="D690" i="107"/>
  <c r="D467" i="107"/>
  <c r="D515" i="107"/>
  <c r="D466" i="107"/>
  <c r="D1036" i="107"/>
  <c r="D824" i="107"/>
  <c r="D720" i="107"/>
  <c r="D876" i="107"/>
  <c r="D1008" i="107"/>
  <c r="D299" i="107"/>
  <c r="D649" i="107"/>
  <c r="D1000" i="107"/>
  <c r="D500" i="107"/>
  <c r="D393" i="107"/>
  <c r="D798" i="107"/>
  <c r="D961" i="107"/>
  <c r="D687" i="107"/>
  <c r="D318" i="107"/>
  <c r="D546" i="107"/>
  <c r="D521" i="107"/>
  <c r="D742" i="107"/>
  <c r="D774" i="107"/>
  <c r="D887" i="107"/>
  <c r="D788" i="107"/>
  <c r="D575" i="107"/>
  <c r="D1007" i="107"/>
  <c r="D642" i="107"/>
  <c r="D822" i="107"/>
  <c r="D495" i="107"/>
  <c r="D783" i="107"/>
  <c r="D865" i="107"/>
  <c r="D358" i="107"/>
  <c r="D450" i="107"/>
  <c r="D643" i="107"/>
  <c r="D501" i="107"/>
  <c r="D700" i="107"/>
  <c r="D679" i="107"/>
  <c r="D352" i="107"/>
  <c r="D468" i="107"/>
  <c r="D281" i="107"/>
  <c r="D320" i="107"/>
  <c r="D734" i="107"/>
  <c r="D322" i="107"/>
  <c r="D855" i="107"/>
  <c r="D782" i="107"/>
  <c r="D388" i="107"/>
  <c r="D324" i="107"/>
  <c r="D518" i="107"/>
  <c r="D634" i="107"/>
  <c r="D851" i="107"/>
  <c r="D409" i="107"/>
  <c r="D586" i="107"/>
  <c r="D732" i="107"/>
  <c r="D913" i="107"/>
  <c r="D277" i="107"/>
  <c r="D384" i="107"/>
  <c r="D909" i="107"/>
  <c r="D979" i="107"/>
  <c r="D821" i="107"/>
  <c r="D812" i="107"/>
  <c r="D955" i="107"/>
  <c r="D211" i="107"/>
  <c r="D862" i="107"/>
  <c r="D928" i="107"/>
  <c r="D906" i="107"/>
  <c r="D691" i="107"/>
  <c r="D574" i="107"/>
  <c r="D751" i="107"/>
  <c r="D247" i="107"/>
  <c r="D301" i="107"/>
  <c r="D721" i="107"/>
  <c r="D693" i="107"/>
  <c r="D290" i="107"/>
  <c r="D630" i="107"/>
  <c r="D494" i="107"/>
  <c r="D952" i="107"/>
  <c r="D255" i="107"/>
  <c r="D673" i="107"/>
  <c r="D644" i="107"/>
  <c r="D309" i="107"/>
  <c r="D313" i="107"/>
  <c r="D402" i="107"/>
  <c r="D1033" i="107"/>
  <c r="D412" i="107"/>
  <c r="D847" i="107"/>
  <c r="D886" i="107"/>
  <c r="D377" i="107"/>
  <c r="D595" i="107"/>
  <c r="D775" i="107"/>
  <c r="D960" i="107"/>
  <c r="D904" i="107"/>
  <c r="D311" i="107"/>
  <c r="D326" i="107"/>
  <c r="D254" i="107"/>
  <c r="D689" i="107"/>
  <c r="D990" i="107"/>
  <c r="D672" i="107"/>
  <c r="D997" i="107"/>
  <c r="D864" i="107"/>
  <c r="D250" i="107"/>
  <c r="D394" i="107"/>
  <c r="D453" i="107"/>
  <c r="D986" i="107"/>
  <c r="D239" i="107"/>
  <c r="D892" i="107"/>
  <c r="D918" i="107"/>
  <c r="D648" i="107"/>
  <c r="D832" i="107"/>
  <c r="D542" i="107"/>
  <c r="D319" i="107"/>
  <c r="D561" i="107"/>
  <c r="D1034" i="107"/>
  <c r="D234" i="107"/>
  <c r="D899" i="107"/>
  <c r="D432" i="107"/>
  <c r="D959" i="107"/>
  <c r="D573" i="107"/>
  <c r="D356" i="107"/>
  <c r="D296" i="107"/>
  <c r="D520" i="107"/>
  <c r="D572" i="107"/>
  <c r="D517" i="107"/>
  <c r="D459" i="107"/>
  <c r="D557" i="107"/>
  <c r="D497" i="107"/>
  <c r="D791" i="107"/>
  <c r="D481" i="107"/>
  <c r="D830" i="107"/>
  <c r="D703" i="107"/>
  <c r="D268" i="107"/>
  <c r="D991" i="107"/>
  <c r="D424" i="107"/>
  <c r="D761" i="107"/>
  <c r="D357" i="107"/>
  <c r="D341" i="107"/>
  <c r="D715" i="107"/>
  <c r="D499" i="107"/>
  <c r="D360" i="107"/>
  <c r="D901" i="107"/>
  <c r="D695" i="107"/>
  <c r="D819" i="107"/>
  <c r="D391" i="107"/>
  <c r="D739" i="107"/>
  <c r="D953" i="107"/>
  <c r="D744" i="107"/>
  <c r="D794" i="107"/>
  <c r="D248" i="107"/>
  <c r="D482" i="107"/>
  <c r="D1009" i="107"/>
  <c r="D647" i="107"/>
  <c r="D340" i="107"/>
  <c r="D967" i="107"/>
  <c r="D587" i="107"/>
  <c r="D218" i="107"/>
  <c r="D590" i="107"/>
  <c r="D1032" i="107"/>
  <c r="D525" i="107"/>
  <c r="D803" i="107"/>
  <c r="D936" i="107"/>
  <c r="D559" i="107"/>
  <c r="D637" i="107"/>
  <c r="D355" i="107"/>
  <c r="D298" i="107"/>
  <c r="D439" i="107"/>
  <c r="D842" i="107"/>
  <c r="D484" i="107"/>
  <c r="D289" i="107"/>
  <c r="D692" i="107"/>
  <c r="D867" i="107"/>
  <c r="D707" i="107"/>
  <c r="D980" i="107"/>
  <c r="D222" i="107"/>
  <c r="D612" i="107"/>
  <c r="D420" i="107"/>
  <c r="D287" i="107"/>
  <c r="D408" i="107"/>
  <c r="D790" i="107"/>
  <c r="D697" i="107"/>
  <c r="D752" i="107"/>
  <c r="D529" i="107"/>
  <c r="D676" i="107"/>
  <c r="D235" i="107"/>
  <c r="D342" i="107"/>
  <c r="D770" i="107"/>
  <c r="D361" i="107"/>
  <c r="D245" i="107"/>
  <c r="D343" i="107"/>
  <c r="D1017" i="107"/>
  <c r="D618" i="107"/>
  <c r="D840" i="107"/>
  <c r="D582" i="107"/>
  <c r="D1021" i="107"/>
  <c r="D924" i="107"/>
  <c r="D627" i="107"/>
  <c r="D335" i="107"/>
  <c r="D837" i="107"/>
  <c r="D366" i="107"/>
  <c r="D726" i="107"/>
  <c r="D661" i="107"/>
  <c r="D332" i="107"/>
  <c r="D536" i="107"/>
  <c r="D754" i="107"/>
  <c r="D923" i="107"/>
  <c r="D856" i="107"/>
  <c r="D654" i="107"/>
  <c r="D1016" i="107"/>
  <c r="D607" i="107"/>
  <c r="D276" i="107"/>
  <c r="D823" i="107"/>
  <c r="D834" i="107"/>
  <c r="D805" i="107"/>
  <c r="D704" i="107"/>
  <c r="D228" i="107"/>
  <c r="D551" i="107"/>
  <c r="D900" i="107"/>
  <c r="D816" i="107"/>
  <c r="D1039" i="107"/>
  <c r="D593" i="107"/>
  <c r="D773" i="107"/>
  <c r="D987" i="107"/>
  <c r="D209" i="107"/>
  <c r="D552" i="107"/>
  <c r="D369" i="107"/>
  <c r="D898" i="107"/>
  <c r="D765" i="107"/>
  <c r="D871" i="107"/>
  <c r="D403" i="107"/>
  <c r="D610" i="107"/>
  <c r="D447" i="107"/>
  <c r="D397" i="107"/>
  <c r="D617" i="107"/>
  <c r="D858" i="107"/>
  <c r="D651" i="107"/>
  <c r="D718" i="107"/>
  <c r="D977" i="107"/>
  <c r="D1030" i="107"/>
  <c r="D825" i="107"/>
  <c r="D425" i="107"/>
  <c r="D265" i="107"/>
  <c r="D252" i="107"/>
  <c r="D390" i="107"/>
  <c r="D809" i="107"/>
  <c r="D958" i="107"/>
  <c r="D932" i="107"/>
  <c r="D737" i="107"/>
  <c r="D716" i="107"/>
  <c r="D738" i="107"/>
  <c r="D879" i="107"/>
  <c r="D436" i="107"/>
  <c r="D946" i="107"/>
  <c r="D1038" i="107"/>
  <c r="D288" i="107"/>
  <c r="D387" i="107"/>
  <c r="D560" i="107"/>
  <c r="D635" i="107"/>
  <c r="D305" i="107"/>
  <c r="D480" i="107"/>
  <c r="D950" i="107"/>
  <c r="D491" i="107"/>
  <c r="D530" i="107"/>
  <c r="D1014" i="107"/>
  <c r="D656" i="107"/>
  <c r="D567" i="107"/>
  <c r="D1011" i="107"/>
  <c r="D474" i="107"/>
  <c r="D562" i="107"/>
  <c r="D485" i="107"/>
  <c r="D777" i="107"/>
  <c r="D421" i="107"/>
  <c r="D836" i="107"/>
  <c r="D284" i="107"/>
  <c r="D1020" i="107"/>
  <c r="D759" i="107"/>
  <c r="D746" i="107"/>
  <c r="D652" i="107"/>
  <c r="D808" i="107"/>
  <c r="D258" i="107"/>
  <c r="D418" i="107"/>
  <c r="D814" i="107"/>
  <c r="D508" i="107"/>
  <c r="D719" i="107"/>
  <c r="D230" i="107"/>
  <c r="D461" i="107"/>
  <c r="D226" i="107"/>
  <c r="D749" i="107"/>
  <c r="D841" i="107"/>
  <c r="D859" i="107"/>
  <c r="D514" i="107"/>
  <c r="D741" i="107"/>
  <c r="D249" i="107"/>
  <c r="D910" i="107"/>
  <c r="D626" i="107"/>
  <c r="D869" i="107"/>
  <c r="D965" i="107"/>
  <c r="D948" i="107"/>
  <c r="D863" i="107"/>
  <c r="D274" i="107"/>
  <c r="D831" i="107"/>
  <c r="D883" i="107"/>
  <c r="D353" i="107"/>
  <c r="D345" i="107"/>
  <c r="D456" i="107"/>
  <c r="D817" i="107"/>
  <c r="D253" i="107"/>
  <c r="D214" i="107"/>
  <c r="D828" i="107"/>
  <c r="D286" i="107"/>
  <c r="D1023" i="107"/>
  <c r="D860" i="107"/>
  <c r="D487" i="107"/>
  <c r="D264" i="107"/>
  <c r="D269" i="107"/>
  <c r="D845" i="107"/>
  <c r="D291" i="107"/>
  <c r="D477" i="107"/>
  <c r="D854" i="107"/>
  <c r="D799" i="107"/>
  <c r="D838" i="107"/>
  <c r="D383" i="107"/>
  <c r="D844" i="107"/>
  <c r="D616" i="107"/>
  <c r="D966" i="107"/>
  <c r="D1037" i="107"/>
  <c r="D624" i="107"/>
  <c r="D1012" i="107"/>
  <c r="D740" i="107"/>
  <c r="D475" i="107"/>
  <c r="D267" i="107"/>
  <c r="D531" i="107"/>
  <c r="D902" i="107"/>
  <c r="D219" i="107"/>
  <c r="D229" i="107"/>
  <c r="D261" i="107"/>
  <c r="D297" i="107"/>
  <c r="D566" i="107"/>
  <c r="D460" i="107"/>
  <c r="D929" i="107"/>
  <c r="D911" i="107"/>
  <c r="D382" i="107"/>
  <c r="D283" i="107"/>
  <c r="D620" i="107"/>
  <c r="D278" i="107"/>
  <c r="D419" i="107"/>
  <c r="D373" i="107"/>
  <c r="D571" i="107"/>
  <c r="D398" i="107"/>
  <c r="D576" i="107"/>
  <c r="D870" i="107"/>
  <c r="D565" i="107"/>
  <c r="D983" i="107"/>
  <c r="D470" i="107"/>
  <c r="D968" i="107"/>
  <c r="D570" i="107"/>
  <c r="D506" i="107"/>
  <c r="D534" i="107"/>
  <c r="D448" i="107"/>
  <c r="D584" i="107"/>
  <c r="D937" i="107"/>
  <c r="D708" i="107"/>
  <c r="D843" i="107"/>
  <c r="D878" i="107"/>
  <c r="D579" i="107"/>
  <c r="A1" i="111" l="1"/>
  <c r="A1" i="126"/>
  <c r="D139" i="107"/>
  <c r="D151" i="107"/>
  <c r="D148" i="107"/>
  <c r="D101" i="107"/>
  <c r="D145" i="107"/>
  <c r="D104" i="107"/>
  <c r="D155" i="107"/>
  <c r="D88" i="107"/>
  <c r="D121" i="107"/>
  <c r="D78" i="107"/>
  <c r="D95" i="107"/>
  <c r="D112" i="107"/>
  <c r="D202" i="107"/>
  <c r="D84" i="107"/>
  <c r="D206" i="107"/>
  <c r="D167" i="107"/>
  <c r="D169" i="107"/>
  <c r="D153" i="107"/>
  <c r="D142" i="107"/>
  <c r="D109" i="107"/>
  <c r="D117" i="107"/>
  <c r="D137" i="107"/>
  <c r="D98" i="107"/>
  <c r="J328" i="104"/>
  <c r="D208" i="107"/>
  <c r="D207" i="107"/>
  <c r="D179" i="107"/>
  <c r="D194" i="107"/>
  <c r="D183" i="107"/>
  <c r="D196" i="107"/>
  <c r="D198" i="107"/>
  <c r="D86" i="107"/>
  <c r="D93" i="107"/>
  <c r="D171" i="107"/>
  <c r="D191" i="107"/>
  <c r="I330" i="104" l="1"/>
  <c r="I329" i="104"/>
  <c r="I331" i="104"/>
  <c r="I328" i="104"/>
  <c r="I327" i="104"/>
  <c r="I326" i="104"/>
  <c r="D68" i="107"/>
  <c r="D58" i="107"/>
  <c r="D55" i="107"/>
  <c r="D71" i="107"/>
  <c r="D66" i="107"/>
  <c r="D62" i="107"/>
  <c r="D56" i="107"/>
  <c r="D67" i="107"/>
  <c r="D57" i="107"/>
  <c r="J7" i="111" l="1"/>
  <c r="G9" i="111"/>
  <c r="D40" i="107"/>
  <c r="D13" i="107"/>
  <c r="D28" i="107"/>
  <c r="D41" i="107"/>
  <c r="D17" i="107"/>
  <c r="D34" i="107"/>
  <c r="D38" i="107"/>
  <c r="D30" i="107"/>
  <c r="D4" i="107"/>
  <c r="D45" i="107"/>
  <c r="D7" i="107"/>
  <c r="D49" i="107"/>
  <c r="D52" i="107"/>
  <c r="D42" i="107"/>
  <c r="D9" i="107"/>
  <c r="D44" i="107"/>
  <c r="D39" i="107"/>
  <c r="D20" i="107"/>
  <c r="D43" i="107"/>
  <c r="D25" i="107"/>
  <c r="D19" i="107"/>
  <c r="C200" i="107" l="1"/>
  <c r="C201" i="107"/>
  <c r="C202" i="107"/>
  <c r="C203" i="107"/>
  <c r="C204" i="107"/>
  <c r="C196" i="107"/>
  <c r="C197" i="107"/>
  <c r="C198" i="107"/>
  <c r="C199" i="107"/>
  <c r="C192" i="107"/>
  <c r="C193" i="107"/>
  <c r="C194" i="107"/>
  <c r="C195" i="107"/>
  <c r="C190" i="107"/>
  <c r="C191" i="107"/>
  <c r="C186" i="107"/>
  <c r="C187" i="107"/>
  <c r="C188" i="107"/>
  <c r="C189" i="107"/>
  <c r="C185" i="107"/>
  <c r="C182" i="107"/>
  <c r="C183" i="107"/>
  <c r="C184" i="107"/>
  <c r="C178" i="107"/>
  <c r="C179" i="107"/>
  <c r="C180" i="107"/>
  <c r="C181" i="107"/>
  <c r="C176" i="107"/>
  <c r="C177" i="107"/>
  <c r="C175" i="107"/>
  <c r="C172" i="107"/>
  <c r="C174" i="107"/>
  <c r="C173" i="107"/>
  <c r="C170" i="107"/>
  <c r="C171" i="107"/>
  <c r="C169" i="107"/>
  <c r="C168" i="107"/>
  <c r="C165" i="107"/>
  <c r="C166" i="107"/>
  <c r="C167" i="107"/>
  <c r="C162" i="107"/>
  <c r="C163" i="107"/>
  <c r="C164" i="107"/>
  <c r="C161" i="107"/>
  <c r="C160" i="107"/>
  <c r="C156" i="107"/>
  <c r="C158" i="107"/>
  <c r="C159" i="107"/>
  <c r="C154" i="107"/>
  <c r="C155" i="107"/>
  <c r="C152" i="107"/>
  <c r="C153" i="107"/>
  <c r="C150" i="107"/>
  <c r="C151" i="107"/>
  <c r="C147" i="107"/>
  <c r="C148" i="107"/>
  <c r="C149" i="107"/>
  <c r="C146" i="107"/>
  <c r="C144" i="107"/>
  <c r="C145" i="107"/>
  <c r="C140" i="107"/>
  <c r="C141" i="107"/>
  <c r="C142" i="107"/>
  <c r="C143" i="107"/>
  <c r="C139" i="107"/>
  <c r="C138" i="107"/>
  <c r="C136" i="107"/>
  <c r="C137" i="107"/>
  <c r="C133" i="107"/>
  <c r="C134" i="107"/>
  <c r="C135" i="107"/>
  <c r="C132" i="107"/>
  <c r="C131" i="107"/>
  <c r="C128" i="107"/>
  <c r="C129" i="107"/>
  <c r="C130" i="107"/>
  <c r="C127" i="107"/>
  <c r="C125" i="107"/>
  <c r="C126" i="107"/>
  <c r="C123" i="107"/>
  <c r="C124" i="107"/>
  <c r="C122" i="107"/>
  <c r="C120" i="107"/>
  <c r="C121" i="107"/>
  <c r="C117" i="107"/>
  <c r="C119" i="107"/>
  <c r="C118" i="107"/>
  <c r="C115" i="107"/>
  <c r="C116" i="107"/>
  <c r="C112" i="107"/>
  <c r="C113" i="107"/>
  <c r="C114" i="107"/>
  <c r="C108" i="107"/>
  <c r="C109" i="107"/>
  <c r="C110" i="107"/>
  <c r="C111" i="107"/>
  <c r="C105" i="107"/>
  <c r="C106" i="107"/>
  <c r="C107" i="107"/>
  <c r="C103" i="107"/>
  <c r="C104" i="107"/>
  <c r="C100" i="107"/>
  <c r="C101" i="107"/>
  <c r="C102" i="107"/>
  <c r="C97" i="107"/>
  <c r="C98" i="107"/>
  <c r="C99" i="107"/>
  <c r="C95" i="107"/>
  <c r="C96" i="107"/>
  <c r="C89" i="107"/>
  <c r="C92" i="107"/>
  <c r="C90" i="107"/>
  <c r="C93" i="107"/>
  <c r="C91" i="107"/>
  <c r="C88" i="107"/>
  <c r="C94" i="107"/>
  <c r="C87" i="107"/>
  <c r="C86" i="107"/>
  <c r="C84" i="107"/>
  <c r="C85" i="107"/>
  <c r="C76" i="107"/>
  <c r="C77" i="107"/>
  <c r="C78" i="107"/>
  <c r="C79" i="107"/>
  <c r="C80" i="107"/>
  <c r="C72" i="107"/>
  <c r="C73" i="107"/>
  <c r="C71" i="107"/>
  <c r="C68" i="107"/>
  <c r="C69" i="107"/>
  <c r="C70" i="107"/>
  <c r="C66" i="107"/>
  <c r="C67" i="107"/>
  <c r="C64" i="107"/>
  <c r="C65" i="107"/>
  <c r="C63" i="107"/>
  <c r="C62" i="107"/>
  <c r="C61" i="107"/>
  <c r="C57" i="107"/>
  <c r="C54" i="107"/>
  <c r="C56" i="107"/>
  <c r="C58" i="107"/>
  <c r="C55" i="107"/>
  <c r="C59" i="107"/>
  <c r="C60" i="107"/>
  <c r="C52" i="107"/>
  <c r="C53" i="107"/>
  <c r="C51" i="107"/>
  <c r="C50" i="107"/>
  <c r="C49" i="107"/>
  <c r="C45" i="107"/>
  <c r="C46" i="107"/>
  <c r="C44" i="107"/>
  <c r="C43" i="107"/>
  <c r="C47" i="107"/>
  <c r="C42" i="107"/>
  <c r="C40" i="107"/>
  <c r="C41" i="107"/>
  <c r="C39" i="107"/>
  <c r="C38" i="107"/>
  <c r="C37" i="107"/>
  <c r="C36" i="107"/>
  <c r="C35" i="107"/>
  <c r="C34" i="107"/>
  <c r="C33" i="107"/>
  <c r="C32" i="107"/>
  <c r="C31" i="107"/>
  <c r="C30" i="107"/>
  <c r="C25" i="107"/>
  <c r="C28" i="107"/>
  <c r="C20" i="107"/>
  <c r="C21" i="107"/>
  <c r="C19" i="107"/>
  <c r="C17" i="107"/>
  <c r="C13" i="107"/>
  <c r="C9" i="107"/>
  <c r="C4" i="107"/>
  <c r="I996" i="104"/>
  <c r="I1107" i="104"/>
  <c r="I1099" i="104"/>
  <c r="I1091" i="104"/>
  <c r="I1083" i="104"/>
  <c r="I1075" i="104"/>
  <c r="I1067" i="104"/>
  <c r="I1059" i="104"/>
  <c r="I1051" i="104"/>
  <c r="I1043" i="104"/>
  <c r="I1035" i="104"/>
  <c r="I1027" i="104"/>
  <c r="I1019" i="104"/>
  <c r="I1011" i="104"/>
  <c r="I1003" i="104"/>
  <c r="I995" i="104"/>
  <c r="I987" i="104"/>
  <c r="I979" i="104"/>
  <c r="I971" i="104"/>
  <c r="I963" i="104"/>
  <c r="I955" i="104"/>
  <c r="I947" i="104"/>
  <c r="I939" i="104"/>
  <c r="I931" i="104"/>
  <c r="I923" i="104"/>
  <c r="I915" i="104"/>
  <c r="I907" i="104"/>
  <c r="I899" i="104"/>
  <c r="I891" i="104"/>
  <c r="I883" i="104"/>
  <c r="I875" i="104"/>
  <c r="I867" i="104"/>
  <c r="I859" i="104"/>
  <c r="I851" i="104"/>
  <c r="I843" i="104"/>
  <c r="I835" i="104"/>
  <c r="I827" i="104"/>
  <c r="I819" i="104"/>
  <c r="I811" i="104"/>
  <c r="I803" i="104"/>
  <c r="I795" i="104"/>
  <c r="I787" i="104"/>
  <c r="I779" i="104"/>
  <c r="I771" i="104"/>
  <c r="I763" i="104"/>
  <c r="I755" i="104"/>
  <c r="I747" i="104"/>
  <c r="I739" i="104"/>
  <c r="I731" i="104"/>
  <c r="I723" i="104"/>
  <c r="I715" i="104"/>
  <c r="I707" i="104"/>
  <c r="I699" i="104"/>
  <c r="I691" i="104"/>
  <c r="I683" i="104"/>
  <c r="I669" i="104"/>
  <c r="I657" i="104"/>
  <c r="I644" i="104"/>
  <c r="I631" i="104"/>
  <c r="I619" i="104"/>
  <c r="I605" i="104"/>
  <c r="I593" i="104"/>
  <c r="I580" i="104"/>
  <c r="I567" i="104"/>
  <c r="I555" i="104"/>
  <c r="I541" i="104"/>
  <c r="I529" i="104"/>
  <c r="I516" i="104"/>
  <c r="I503" i="104"/>
  <c r="I491" i="104"/>
  <c r="I477" i="104"/>
  <c r="I465" i="104"/>
  <c r="I452" i="104"/>
  <c r="I439" i="104"/>
  <c r="I423" i="104"/>
  <c r="I395" i="104"/>
  <c r="I363" i="104"/>
  <c r="I307" i="104"/>
  <c r="I243" i="104"/>
  <c r="I179" i="104"/>
  <c r="I115" i="104"/>
  <c r="I51" i="104"/>
  <c r="I1106" i="104"/>
  <c r="I1098" i="104"/>
  <c r="I1090" i="104"/>
  <c r="I1082" i="104"/>
  <c r="I1074" i="104"/>
  <c r="I1066" i="104"/>
  <c r="I1058" i="104"/>
  <c r="I1050" i="104"/>
  <c r="I1042" i="104"/>
  <c r="I1034" i="104"/>
  <c r="I1026" i="104"/>
  <c r="I1018" i="104"/>
  <c r="I1010" i="104"/>
  <c r="I1002" i="104"/>
  <c r="I994" i="104"/>
  <c r="I986" i="104"/>
  <c r="I978" i="104"/>
  <c r="I970" i="104"/>
  <c r="I962" i="104"/>
  <c r="I954" i="104"/>
  <c r="I946" i="104"/>
  <c r="I938" i="104"/>
  <c r="I930" i="104"/>
  <c r="I922" i="104"/>
  <c r="I914" i="104"/>
  <c r="I906" i="104"/>
  <c r="I898" i="104"/>
  <c r="I890" i="104"/>
  <c r="I882" i="104"/>
  <c r="I874" i="104"/>
  <c r="I866" i="104"/>
  <c r="I858" i="104"/>
  <c r="I850" i="104"/>
  <c r="I842" i="104"/>
  <c r="I834" i="104"/>
  <c r="I826" i="104"/>
  <c r="I818" i="104"/>
  <c r="I810" i="104"/>
  <c r="I802" i="104"/>
  <c r="I794" i="104"/>
  <c r="I786" i="104"/>
  <c r="I778" i="104"/>
  <c r="I770" i="104"/>
  <c r="I762" i="104"/>
  <c r="I754" i="104"/>
  <c r="I746" i="104"/>
  <c r="I738" i="104"/>
  <c r="I730" i="104"/>
  <c r="I722" i="104"/>
  <c r="I714" i="104"/>
  <c r="I706" i="104"/>
  <c r="I698" i="104"/>
  <c r="I690" i="104"/>
  <c r="I681" i="104"/>
  <c r="I668" i="104"/>
  <c r="I655" i="104"/>
  <c r="I643" i="104"/>
  <c r="I629" i="104"/>
  <c r="I617" i="104"/>
  <c r="I604" i="104"/>
  <c r="I591" i="104"/>
  <c r="I579" i="104"/>
  <c r="I565" i="104"/>
  <c r="I553" i="104"/>
  <c r="I540" i="104"/>
  <c r="I527" i="104"/>
  <c r="I515" i="104"/>
  <c r="I501" i="104"/>
  <c r="I489" i="104"/>
  <c r="I476" i="104"/>
  <c r="I463" i="104"/>
  <c r="I451" i="104"/>
  <c r="I436" i="104"/>
  <c r="I420" i="104"/>
  <c r="I391" i="104"/>
  <c r="I359" i="104"/>
  <c r="I299" i="104"/>
  <c r="I235" i="104"/>
  <c r="I171" i="104"/>
  <c r="I107" i="104"/>
  <c r="I43" i="104"/>
  <c r="I1113" i="104"/>
  <c r="I1105" i="104"/>
  <c r="I1097" i="104"/>
  <c r="I1089" i="104"/>
  <c r="I1081" i="104"/>
  <c r="I1073" i="104"/>
  <c r="I1065" i="104"/>
  <c r="I1057" i="104"/>
  <c r="I1049" i="104"/>
  <c r="I1041" i="104"/>
  <c r="I1033" i="104"/>
  <c r="I1025" i="104"/>
  <c r="I1017" i="104"/>
  <c r="I1009" i="104"/>
  <c r="I1001" i="104"/>
  <c r="I993" i="104"/>
  <c r="I985" i="104"/>
  <c r="I977" i="104"/>
  <c r="I969" i="104"/>
  <c r="I961" i="104"/>
  <c r="I953" i="104"/>
  <c r="I945" i="104"/>
  <c r="I937" i="104"/>
  <c r="I929" i="104"/>
  <c r="I921" i="104"/>
  <c r="I913" i="104"/>
  <c r="I905" i="104"/>
  <c r="I897" i="104"/>
  <c r="I889" i="104"/>
  <c r="I881" i="104"/>
  <c r="I873" i="104"/>
  <c r="I865" i="104"/>
  <c r="I857" i="104"/>
  <c r="I849" i="104"/>
  <c r="I841" i="104"/>
  <c r="I833" i="104"/>
  <c r="I825" i="104"/>
  <c r="I817" i="104"/>
  <c r="I809" i="104"/>
  <c r="I801" i="104"/>
  <c r="I793" i="104"/>
  <c r="I785" i="104"/>
  <c r="I777" i="104"/>
  <c r="I769" i="104"/>
  <c r="I761" i="104"/>
  <c r="I753" i="104"/>
  <c r="I745" i="104"/>
  <c r="I737" i="104"/>
  <c r="I729" i="104"/>
  <c r="I721" i="104"/>
  <c r="I713" i="104"/>
  <c r="I705" i="104"/>
  <c r="I697" i="104"/>
  <c r="I689" i="104"/>
  <c r="I679" i="104"/>
  <c r="I667" i="104"/>
  <c r="I653" i="104"/>
  <c r="I641" i="104"/>
  <c r="I628" i="104"/>
  <c r="I615" i="104"/>
  <c r="I603" i="104"/>
  <c r="I589" i="104"/>
  <c r="I577" i="104"/>
  <c r="I564" i="104"/>
  <c r="I551" i="104"/>
  <c r="I539" i="104"/>
  <c r="I525" i="104"/>
  <c r="I513" i="104"/>
  <c r="I500" i="104"/>
  <c r="I487" i="104"/>
  <c r="I475" i="104"/>
  <c r="I461" i="104"/>
  <c r="I449" i="104"/>
  <c r="I435" i="104"/>
  <c r="I419" i="104"/>
  <c r="I387" i="104"/>
  <c r="I355" i="104"/>
  <c r="I291" i="104"/>
  <c r="I227" i="104"/>
  <c r="I163" i="104"/>
  <c r="I99" i="104"/>
  <c r="I35" i="104"/>
  <c r="I1112" i="104"/>
  <c r="I1104" i="104"/>
  <c r="I1096" i="104"/>
  <c r="I1088" i="104"/>
  <c r="I1080" i="104"/>
  <c r="I1072" i="104"/>
  <c r="I1064" i="104"/>
  <c r="I1056" i="104"/>
  <c r="I1048" i="104"/>
  <c r="I1040" i="104"/>
  <c r="I1032" i="104"/>
  <c r="I1024" i="104"/>
  <c r="I1016" i="104"/>
  <c r="I1008" i="104"/>
  <c r="I1000" i="104"/>
  <c r="I992" i="104"/>
  <c r="I984" i="104"/>
  <c r="I976" i="104"/>
  <c r="I968" i="104"/>
  <c r="I960" i="104"/>
  <c r="I952" i="104"/>
  <c r="I944" i="104"/>
  <c r="I936" i="104"/>
  <c r="I928" i="104"/>
  <c r="I920" i="104"/>
  <c r="I912" i="104"/>
  <c r="I904" i="104"/>
  <c r="I896" i="104"/>
  <c r="I888" i="104"/>
  <c r="I880" i="104"/>
  <c r="I872" i="104"/>
  <c r="I864" i="104"/>
  <c r="I856" i="104"/>
  <c r="I848" i="104"/>
  <c r="I840" i="104"/>
  <c r="I832" i="104"/>
  <c r="I824" i="104"/>
  <c r="I816" i="104"/>
  <c r="I808" i="104"/>
  <c r="I800" i="104"/>
  <c r="I792" i="104"/>
  <c r="I784" i="104"/>
  <c r="I776" i="104"/>
  <c r="I768" i="104"/>
  <c r="I760" i="104"/>
  <c r="I752" i="104"/>
  <c r="I744" i="104"/>
  <c r="I736" i="104"/>
  <c r="I728" i="104"/>
  <c r="I720" i="104"/>
  <c r="I712" i="104"/>
  <c r="I704" i="104"/>
  <c r="I696" i="104"/>
  <c r="I688" i="104"/>
  <c r="I677" i="104"/>
  <c r="I665" i="104"/>
  <c r="I652" i="104"/>
  <c r="I639" i="104"/>
  <c r="I627" i="104"/>
  <c r="I613" i="104"/>
  <c r="I601" i="104"/>
  <c r="I588" i="104"/>
  <c r="I575" i="104"/>
  <c r="I563" i="104"/>
  <c r="I549" i="104"/>
  <c r="I537" i="104"/>
  <c r="I524" i="104"/>
  <c r="I511" i="104"/>
  <c r="I499" i="104"/>
  <c r="I485" i="104"/>
  <c r="I473" i="104"/>
  <c r="I460" i="104"/>
  <c r="I447" i="104"/>
  <c r="I433" i="104"/>
  <c r="I415" i="104"/>
  <c r="I383" i="104"/>
  <c r="I347" i="104"/>
  <c r="I283" i="104"/>
  <c r="I219" i="104"/>
  <c r="I155" i="104"/>
  <c r="I91" i="104"/>
  <c r="I27" i="104"/>
  <c r="I1111" i="104"/>
  <c r="I1103" i="104"/>
  <c r="I1095" i="104"/>
  <c r="I1087" i="104"/>
  <c r="I1079" i="104"/>
  <c r="I1071" i="104"/>
  <c r="I1063" i="104"/>
  <c r="I1055" i="104"/>
  <c r="I1047" i="104"/>
  <c r="I1039" i="104"/>
  <c r="I1031" i="104"/>
  <c r="I1023" i="104"/>
  <c r="I1015" i="104"/>
  <c r="I1007" i="104"/>
  <c r="I999" i="104"/>
  <c r="I991" i="104"/>
  <c r="I983" i="104"/>
  <c r="I975" i="104"/>
  <c r="I967" i="104"/>
  <c r="I959" i="104"/>
  <c r="I951" i="104"/>
  <c r="I943" i="104"/>
  <c r="I935" i="104"/>
  <c r="I927" i="104"/>
  <c r="I919" i="104"/>
  <c r="I911" i="104"/>
  <c r="I903" i="104"/>
  <c r="I895" i="104"/>
  <c r="I887" i="104"/>
  <c r="I879" i="104"/>
  <c r="I871" i="104"/>
  <c r="I863" i="104"/>
  <c r="I855" i="104"/>
  <c r="I847" i="104"/>
  <c r="I839" i="104"/>
  <c r="I831" i="104"/>
  <c r="I823" i="104"/>
  <c r="I815" i="104"/>
  <c r="I807" i="104"/>
  <c r="I799" i="104"/>
  <c r="I791" i="104"/>
  <c r="I783" i="104"/>
  <c r="I775" i="104"/>
  <c r="I767" i="104"/>
  <c r="I759" i="104"/>
  <c r="I751" i="104"/>
  <c r="I743" i="104"/>
  <c r="I735" i="104"/>
  <c r="I727" i="104"/>
  <c r="I719" i="104"/>
  <c r="I711" i="104"/>
  <c r="I703" i="104"/>
  <c r="I695" i="104"/>
  <c r="I687" i="104"/>
  <c r="I676" i="104"/>
  <c r="I663" i="104"/>
  <c r="I651" i="104"/>
  <c r="I637" i="104"/>
  <c r="I625" i="104"/>
  <c r="I612" i="104"/>
  <c r="I599" i="104"/>
  <c r="I587" i="104"/>
  <c r="I573" i="104"/>
  <c r="I561" i="104"/>
  <c r="I548" i="104"/>
  <c r="I535" i="104"/>
  <c r="I523" i="104"/>
  <c r="I509" i="104"/>
  <c r="I497" i="104"/>
  <c r="I484" i="104"/>
  <c r="I471" i="104"/>
  <c r="I459" i="104"/>
  <c r="I445" i="104"/>
  <c r="I431" i="104"/>
  <c r="I411" i="104"/>
  <c r="I379" i="104"/>
  <c r="I339" i="104"/>
  <c r="I275" i="104"/>
  <c r="I211" i="104"/>
  <c r="I147" i="104"/>
  <c r="I83" i="104"/>
  <c r="I19" i="104"/>
  <c r="I1110" i="104"/>
  <c r="I1102" i="104"/>
  <c r="I1094" i="104"/>
  <c r="I1086" i="104"/>
  <c r="I1078" i="104"/>
  <c r="I1070" i="104"/>
  <c r="I1062" i="104"/>
  <c r="I1054" i="104"/>
  <c r="I1046" i="104"/>
  <c r="I1038" i="104"/>
  <c r="I1030" i="104"/>
  <c r="I1022" i="104"/>
  <c r="I1014" i="104"/>
  <c r="I1006" i="104"/>
  <c r="I998" i="104"/>
  <c r="I990" i="104"/>
  <c r="I982" i="104"/>
  <c r="I974" i="104"/>
  <c r="I966" i="104"/>
  <c r="I958" i="104"/>
  <c r="I950" i="104"/>
  <c r="I942" i="104"/>
  <c r="I934" i="104"/>
  <c r="I926" i="104"/>
  <c r="I918" i="104"/>
  <c r="I910" i="104"/>
  <c r="I902" i="104"/>
  <c r="I894" i="104"/>
  <c r="I886" i="104"/>
  <c r="I878" i="104"/>
  <c r="I870" i="104"/>
  <c r="I862" i="104"/>
  <c r="I854" i="104"/>
  <c r="I846" i="104"/>
  <c r="I838" i="104"/>
  <c r="I830" i="104"/>
  <c r="I822" i="104"/>
  <c r="I814" i="104"/>
  <c r="I806" i="104"/>
  <c r="I798" i="104"/>
  <c r="I790" i="104"/>
  <c r="I782" i="104"/>
  <c r="I774" i="104"/>
  <c r="I766" i="104"/>
  <c r="I758" i="104"/>
  <c r="I750" i="104"/>
  <c r="I742" i="104"/>
  <c r="I734" i="104"/>
  <c r="I726" i="104"/>
  <c r="I718" i="104"/>
  <c r="I710" i="104"/>
  <c r="I702" i="104"/>
  <c r="I694" i="104"/>
  <c r="I686" i="104"/>
  <c r="I675" i="104"/>
  <c r="I661" i="104"/>
  <c r="I649" i="104"/>
  <c r="I636" i="104"/>
  <c r="I623" i="104"/>
  <c r="I611" i="104"/>
  <c r="I597" i="104"/>
  <c r="I585" i="104"/>
  <c r="I572" i="104"/>
  <c r="I559" i="104"/>
  <c r="I547" i="104"/>
  <c r="I533" i="104"/>
  <c r="I521" i="104"/>
  <c r="I508" i="104"/>
  <c r="I495" i="104"/>
  <c r="I483" i="104"/>
  <c r="I469" i="104"/>
  <c r="I457" i="104"/>
  <c r="I444" i="104"/>
  <c r="I428" i="104"/>
  <c r="I407" i="104"/>
  <c r="I375" i="104"/>
  <c r="I267" i="104"/>
  <c r="I203" i="104"/>
  <c r="I139" i="104"/>
  <c r="I75" i="104"/>
  <c r="I1109" i="104"/>
  <c r="I1101" i="104"/>
  <c r="I1093" i="104"/>
  <c r="I1085" i="104"/>
  <c r="I1077" i="104"/>
  <c r="I1069" i="104"/>
  <c r="I1061" i="104"/>
  <c r="I1053" i="104"/>
  <c r="I1045" i="104"/>
  <c r="I1037" i="104"/>
  <c r="I1029" i="104"/>
  <c r="I1021" i="104"/>
  <c r="I1013" i="104"/>
  <c r="I1005" i="104"/>
  <c r="I997" i="104"/>
  <c r="I989" i="104"/>
  <c r="I981" i="104"/>
  <c r="I973" i="104"/>
  <c r="I965" i="104"/>
  <c r="I957" i="104"/>
  <c r="I949" i="104"/>
  <c r="I941" i="104"/>
  <c r="I933" i="104"/>
  <c r="I925" i="104"/>
  <c r="I917" i="104"/>
  <c r="I909" i="104"/>
  <c r="I901" i="104"/>
  <c r="I893" i="104"/>
  <c r="I885" i="104"/>
  <c r="I877" i="104"/>
  <c r="I869" i="104"/>
  <c r="I861" i="104"/>
  <c r="I853" i="104"/>
  <c r="I845" i="104"/>
  <c r="I837" i="104"/>
  <c r="I829" i="104"/>
  <c r="I821" i="104"/>
  <c r="I813" i="104"/>
  <c r="I805" i="104"/>
  <c r="I797" i="104"/>
  <c r="I789" i="104"/>
  <c r="I781" i="104"/>
  <c r="I773" i="104"/>
  <c r="I765" i="104"/>
  <c r="I757" i="104"/>
  <c r="I749" i="104"/>
  <c r="I741" i="104"/>
  <c r="I733" i="104"/>
  <c r="I725" i="104"/>
  <c r="I717" i="104"/>
  <c r="I709" i="104"/>
  <c r="I701" i="104"/>
  <c r="I693" i="104"/>
  <c r="I685" i="104"/>
  <c r="I673" i="104"/>
  <c r="I660" i="104"/>
  <c r="I647" i="104"/>
  <c r="I635" i="104"/>
  <c r="I621" i="104"/>
  <c r="I609" i="104"/>
  <c r="I596" i="104"/>
  <c r="I583" i="104"/>
  <c r="I571" i="104"/>
  <c r="I557" i="104"/>
  <c r="I545" i="104"/>
  <c r="I532" i="104"/>
  <c r="I519" i="104"/>
  <c r="I507" i="104"/>
  <c r="I493" i="104"/>
  <c r="I481" i="104"/>
  <c r="I468" i="104"/>
  <c r="I455" i="104"/>
  <c r="I443" i="104"/>
  <c r="I427" i="104"/>
  <c r="I403" i="104"/>
  <c r="I371" i="104"/>
  <c r="I323" i="104"/>
  <c r="I259" i="104"/>
  <c r="I195" i="104"/>
  <c r="I131" i="104"/>
  <c r="I67" i="104"/>
  <c r="I1108" i="104"/>
  <c r="I1100" i="104"/>
  <c r="I1092" i="104"/>
  <c r="I1084" i="104"/>
  <c r="I1076" i="104"/>
  <c r="I1068" i="104"/>
  <c r="I1060" i="104"/>
  <c r="I1052" i="104"/>
  <c r="I1044" i="104"/>
  <c r="I1036" i="104"/>
  <c r="I1028" i="104"/>
  <c r="I1020" i="104"/>
  <c r="I1012" i="104"/>
  <c r="I1004" i="104"/>
  <c r="I988" i="104"/>
  <c r="I980" i="104"/>
  <c r="I972" i="104"/>
  <c r="I964" i="104"/>
  <c r="I956" i="104"/>
  <c r="I948" i="104"/>
  <c r="I940" i="104"/>
  <c r="I932" i="104"/>
  <c r="I924" i="104"/>
  <c r="I916" i="104"/>
  <c r="I908" i="104"/>
  <c r="I900" i="104"/>
  <c r="I892" i="104"/>
  <c r="I884" i="104"/>
  <c r="I876" i="104"/>
  <c r="I868" i="104"/>
  <c r="I860" i="104"/>
  <c r="I852" i="104"/>
  <c r="I844" i="104"/>
  <c r="I836" i="104"/>
  <c r="I828" i="104"/>
  <c r="I820" i="104"/>
  <c r="I812" i="104"/>
  <c r="I804" i="104"/>
  <c r="I796" i="104"/>
  <c r="I788" i="104"/>
  <c r="I780" i="104"/>
  <c r="I772" i="104"/>
  <c r="I764" i="104"/>
  <c r="I756" i="104"/>
  <c r="I748" i="104"/>
  <c r="I740" i="104"/>
  <c r="I732" i="104"/>
  <c r="I724" i="104"/>
  <c r="I716" i="104"/>
  <c r="I708" i="104"/>
  <c r="I700" i="104"/>
  <c r="I692" i="104"/>
  <c r="I684" i="104"/>
  <c r="I671" i="104"/>
  <c r="I659" i="104"/>
  <c r="I645" i="104"/>
  <c r="I633" i="104"/>
  <c r="I620" i="104"/>
  <c r="I607" i="104"/>
  <c r="I595" i="104"/>
  <c r="I581" i="104"/>
  <c r="I569" i="104"/>
  <c r="I556" i="104"/>
  <c r="I543" i="104"/>
  <c r="I531" i="104"/>
  <c r="I517" i="104"/>
  <c r="I505" i="104"/>
  <c r="I492" i="104"/>
  <c r="I479" i="104"/>
  <c r="I467" i="104"/>
  <c r="I453" i="104"/>
  <c r="I441" i="104"/>
  <c r="I425" i="104"/>
  <c r="I399" i="104"/>
  <c r="I367" i="104"/>
  <c r="I315" i="104"/>
  <c r="I251" i="104"/>
  <c r="I187" i="104"/>
  <c r="I123" i="104"/>
  <c r="I59" i="104"/>
  <c r="I682" i="104"/>
  <c r="I674" i="104"/>
  <c r="I666" i="104"/>
  <c r="I658" i="104"/>
  <c r="I650" i="104"/>
  <c r="I642" i="104"/>
  <c r="I634" i="104"/>
  <c r="I626" i="104"/>
  <c r="I618" i="104"/>
  <c r="I610" i="104"/>
  <c r="I602" i="104"/>
  <c r="I594" i="104"/>
  <c r="I586" i="104"/>
  <c r="I578" i="104"/>
  <c r="I570" i="104"/>
  <c r="I562" i="104"/>
  <c r="I554" i="104"/>
  <c r="I546" i="104"/>
  <c r="I538" i="104"/>
  <c r="I530" i="104"/>
  <c r="I522" i="104"/>
  <c r="I514" i="104"/>
  <c r="I506" i="104"/>
  <c r="I498" i="104"/>
  <c r="I490" i="104"/>
  <c r="I482" i="104"/>
  <c r="I474" i="104"/>
  <c r="I466" i="104"/>
  <c r="I458" i="104"/>
  <c r="I450" i="104"/>
  <c r="I442" i="104"/>
  <c r="I434" i="104"/>
  <c r="I426" i="104"/>
  <c r="I418" i="104"/>
  <c r="I410" i="104"/>
  <c r="I402" i="104"/>
  <c r="I394" i="104"/>
  <c r="I386" i="104"/>
  <c r="I378" i="104"/>
  <c r="I370" i="104"/>
  <c r="I362" i="104"/>
  <c r="I354" i="104"/>
  <c r="I346" i="104"/>
  <c r="I338" i="104"/>
  <c r="I322" i="104"/>
  <c r="I314" i="104"/>
  <c r="I306" i="104"/>
  <c r="I298" i="104"/>
  <c r="I290" i="104"/>
  <c r="I282" i="104"/>
  <c r="I274" i="104"/>
  <c r="I266" i="104"/>
  <c r="I258" i="104"/>
  <c r="I250" i="104"/>
  <c r="I242" i="104"/>
  <c r="I234" i="104"/>
  <c r="I226" i="104"/>
  <c r="I218" i="104"/>
  <c r="I210" i="104"/>
  <c r="I202" i="104"/>
  <c r="I194" i="104"/>
  <c r="I186" i="104"/>
  <c r="I178" i="104"/>
  <c r="I170" i="104"/>
  <c r="I162" i="104"/>
  <c r="I154" i="104"/>
  <c r="I146" i="104"/>
  <c r="I138" i="104"/>
  <c r="I130" i="104"/>
  <c r="I122" i="104"/>
  <c r="I114" i="104"/>
  <c r="I106" i="104"/>
  <c r="I98" i="104"/>
  <c r="I90" i="104"/>
  <c r="I82" i="104"/>
  <c r="I74" i="104"/>
  <c r="I66" i="104"/>
  <c r="I58" i="104"/>
  <c r="I50" i="104"/>
  <c r="I42" i="104"/>
  <c r="I34" i="104"/>
  <c r="I26" i="104"/>
  <c r="I18" i="104"/>
  <c r="I417" i="104"/>
  <c r="I409" i="104"/>
  <c r="I401" i="104"/>
  <c r="I393" i="104"/>
  <c r="I385" i="104"/>
  <c r="I377" i="104"/>
  <c r="I369" i="104"/>
  <c r="I361" i="104"/>
  <c r="I353" i="104"/>
  <c r="I345" i="104"/>
  <c r="I337" i="104"/>
  <c r="I321" i="104"/>
  <c r="I313" i="104"/>
  <c r="I305" i="104"/>
  <c r="I297" i="104"/>
  <c r="I289" i="104"/>
  <c r="I281" i="104"/>
  <c r="I273" i="104"/>
  <c r="I265" i="104"/>
  <c r="I257" i="104"/>
  <c r="I249" i="104"/>
  <c r="I241" i="104"/>
  <c r="I233" i="104"/>
  <c r="I225" i="104"/>
  <c r="I217" i="104"/>
  <c r="I209" i="104"/>
  <c r="I201" i="104"/>
  <c r="I193" i="104"/>
  <c r="I185" i="104"/>
  <c r="I177" i="104"/>
  <c r="I169" i="104"/>
  <c r="I161" i="104"/>
  <c r="I153" i="104"/>
  <c r="I145" i="104"/>
  <c r="I137" i="104"/>
  <c r="I129" i="104"/>
  <c r="I121" i="104"/>
  <c r="I113" i="104"/>
  <c r="I105" i="104"/>
  <c r="I97" i="104"/>
  <c r="I89" i="104"/>
  <c r="I81" i="104"/>
  <c r="I73" i="104"/>
  <c r="I65" i="104"/>
  <c r="I57" i="104"/>
  <c r="I49" i="104"/>
  <c r="I41" i="104"/>
  <c r="I33" i="104"/>
  <c r="I25" i="104"/>
  <c r="I17" i="104"/>
  <c r="I680" i="104"/>
  <c r="I672" i="104"/>
  <c r="I664" i="104"/>
  <c r="I656" i="104"/>
  <c r="I648" i="104"/>
  <c r="I640" i="104"/>
  <c r="I632" i="104"/>
  <c r="I624" i="104"/>
  <c r="I616" i="104"/>
  <c r="I608" i="104"/>
  <c r="I600" i="104"/>
  <c r="I592" i="104"/>
  <c r="I584" i="104"/>
  <c r="I576" i="104"/>
  <c r="I568" i="104"/>
  <c r="I560" i="104"/>
  <c r="I552" i="104"/>
  <c r="I544" i="104"/>
  <c r="I536" i="104"/>
  <c r="I528" i="104"/>
  <c r="I520" i="104"/>
  <c r="I512" i="104"/>
  <c r="I504" i="104"/>
  <c r="I496" i="104"/>
  <c r="I488" i="104"/>
  <c r="I480" i="104"/>
  <c r="I472" i="104"/>
  <c r="I464" i="104"/>
  <c r="I456" i="104"/>
  <c r="I448" i="104"/>
  <c r="I440" i="104"/>
  <c r="I432" i="104"/>
  <c r="I424" i="104"/>
  <c r="I416" i="104"/>
  <c r="I408" i="104"/>
  <c r="I400" i="104"/>
  <c r="I392" i="104"/>
  <c r="I384" i="104"/>
  <c r="I376" i="104"/>
  <c r="I368" i="104"/>
  <c r="I360" i="104"/>
  <c r="I352" i="104"/>
  <c r="I344" i="104"/>
  <c r="I336" i="104"/>
  <c r="I320" i="104"/>
  <c r="I312" i="104"/>
  <c r="I304" i="104"/>
  <c r="I296" i="104"/>
  <c r="I288" i="104"/>
  <c r="I280" i="104"/>
  <c r="I272" i="104"/>
  <c r="I264" i="104"/>
  <c r="I256" i="104"/>
  <c r="I248" i="104"/>
  <c r="I240" i="104"/>
  <c r="I232" i="104"/>
  <c r="I224" i="104"/>
  <c r="I216" i="104"/>
  <c r="I208" i="104"/>
  <c r="I200" i="104"/>
  <c r="I192" i="104"/>
  <c r="I184" i="104"/>
  <c r="I176" i="104"/>
  <c r="I168" i="104"/>
  <c r="I160" i="104"/>
  <c r="I152" i="104"/>
  <c r="I144" i="104"/>
  <c r="I136" i="104"/>
  <c r="I128" i="104"/>
  <c r="I120" i="104"/>
  <c r="I112" i="104"/>
  <c r="I104" i="104"/>
  <c r="I96" i="104"/>
  <c r="I88" i="104"/>
  <c r="I80" i="104"/>
  <c r="I72" i="104"/>
  <c r="I64" i="104"/>
  <c r="I56" i="104"/>
  <c r="I48" i="104"/>
  <c r="I40" i="104"/>
  <c r="I32" i="104"/>
  <c r="I24" i="104"/>
  <c r="I16" i="104"/>
  <c r="I351" i="104"/>
  <c r="I343" i="104"/>
  <c r="I335" i="104"/>
  <c r="I319" i="104"/>
  <c r="I311" i="104"/>
  <c r="I303" i="104"/>
  <c r="I295" i="104"/>
  <c r="I287" i="104"/>
  <c r="I279" i="104"/>
  <c r="I271" i="104"/>
  <c r="I263" i="104"/>
  <c r="I255" i="104"/>
  <c r="I247" i="104"/>
  <c r="I239" i="104"/>
  <c r="I231" i="104"/>
  <c r="I223" i="104"/>
  <c r="I215" i="104"/>
  <c r="I207" i="104"/>
  <c r="I199" i="104"/>
  <c r="I191" i="104"/>
  <c r="I183" i="104"/>
  <c r="I175" i="104"/>
  <c r="I167" i="104"/>
  <c r="I159" i="104"/>
  <c r="I151" i="104"/>
  <c r="I143" i="104"/>
  <c r="I135" i="104"/>
  <c r="I127" i="104"/>
  <c r="I119" i="104"/>
  <c r="I111" i="104"/>
  <c r="I103" i="104"/>
  <c r="I95" i="104"/>
  <c r="I87" i="104"/>
  <c r="I79" i="104"/>
  <c r="I71" i="104"/>
  <c r="I63" i="104"/>
  <c r="I55" i="104"/>
  <c r="I47" i="104"/>
  <c r="I39" i="104"/>
  <c r="I31" i="104"/>
  <c r="I23" i="104"/>
  <c r="I15" i="104"/>
  <c r="I678" i="104"/>
  <c r="I670" i="104"/>
  <c r="I662" i="104"/>
  <c r="I654" i="104"/>
  <c r="I646" i="104"/>
  <c r="I638" i="104"/>
  <c r="I630" i="104"/>
  <c r="I622" i="104"/>
  <c r="I614" i="104"/>
  <c r="I606" i="104"/>
  <c r="I598" i="104"/>
  <c r="I590" i="104"/>
  <c r="I582" i="104"/>
  <c r="I574" i="104"/>
  <c r="I566" i="104"/>
  <c r="I558" i="104"/>
  <c r="I550" i="104"/>
  <c r="I542" i="104"/>
  <c r="I534" i="104"/>
  <c r="I526" i="104"/>
  <c r="I518" i="104"/>
  <c r="I510" i="104"/>
  <c r="I502" i="104"/>
  <c r="I494" i="104"/>
  <c r="I486" i="104"/>
  <c r="I478" i="104"/>
  <c r="I470" i="104"/>
  <c r="I462" i="104"/>
  <c r="I454" i="104"/>
  <c r="I446" i="104"/>
  <c r="I438" i="104"/>
  <c r="I430" i="104"/>
  <c r="I422" i="104"/>
  <c r="I414" i="104"/>
  <c r="I406" i="104"/>
  <c r="I398" i="104"/>
  <c r="I390" i="104"/>
  <c r="I382" i="104"/>
  <c r="I374" i="104"/>
  <c r="I366" i="104"/>
  <c r="I358" i="104"/>
  <c r="I350" i="104"/>
  <c r="I342" i="104"/>
  <c r="I334" i="104"/>
  <c r="I318" i="104"/>
  <c r="I310" i="104"/>
  <c r="I302" i="104"/>
  <c r="I294" i="104"/>
  <c r="I286" i="104"/>
  <c r="I278" i="104"/>
  <c r="I270" i="104"/>
  <c r="I262" i="104"/>
  <c r="I254" i="104"/>
  <c r="I246" i="104"/>
  <c r="I238" i="104"/>
  <c r="I230" i="104"/>
  <c r="I222" i="104"/>
  <c r="I214" i="104"/>
  <c r="I206" i="104"/>
  <c r="I198" i="104"/>
  <c r="I190" i="104"/>
  <c r="I182" i="104"/>
  <c r="I174" i="104"/>
  <c r="I166" i="104"/>
  <c r="I158" i="104"/>
  <c r="I150" i="104"/>
  <c r="I142" i="104"/>
  <c r="I134" i="104"/>
  <c r="I126" i="104"/>
  <c r="I118" i="104"/>
  <c r="I110" i="104"/>
  <c r="I102" i="104"/>
  <c r="I94" i="104"/>
  <c r="I86" i="104"/>
  <c r="I78" i="104"/>
  <c r="I70" i="104"/>
  <c r="I62" i="104"/>
  <c r="I54" i="104"/>
  <c r="I46" i="104"/>
  <c r="I38" i="104"/>
  <c r="I30" i="104"/>
  <c r="I22" i="104"/>
  <c r="I14" i="104"/>
  <c r="I437" i="104"/>
  <c r="I429" i="104"/>
  <c r="I421" i="104"/>
  <c r="I413" i="104"/>
  <c r="I405" i="104"/>
  <c r="I397" i="104"/>
  <c r="I389" i="104"/>
  <c r="I381" i="104"/>
  <c r="I373" i="104"/>
  <c r="I365" i="104"/>
  <c r="I357" i="104"/>
  <c r="I349" i="104"/>
  <c r="I341" i="104"/>
  <c r="I333" i="104"/>
  <c r="I325" i="104"/>
  <c r="I317" i="104"/>
  <c r="I309" i="104"/>
  <c r="I301" i="104"/>
  <c r="I293" i="104"/>
  <c r="I285" i="104"/>
  <c r="I277" i="104"/>
  <c r="I269" i="104"/>
  <c r="I261" i="104"/>
  <c r="I253" i="104"/>
  <c r="I245" i="104"/>
  <c r="I237" i="104"/>
  <c r="I229" i="104"/>
  <c r="I221" i="104"/>
  <c r="I213" i="104"/>
  <c r="I205" i="104"/>
  <c r="I197" i="104"/>
  <c r="I189" i="104"/>
  <c r="I181" i="104"/>
  <c r="I173" i="104"/>
  <c r="I165" i="104"/>
  <c r="I157" i="104"/>
  <c r="I149" i="104"/>
  <c r="I141" i="104"/>
  <c r="I133" i="104"/>
  <c r="I125" i="104"/>
  <c r="I117" i="104"/>
  <c r="I109" i="104"/>
  <c r="I101" i="104"/>
  <c r="I93" i="104"/>
  <c r="I85" i="104"/>
  <c r="I77" i="104"/>
  <c r="I69" i="104"/>
  <c r="I61" i="104"/>
  <c r="I53" i="104"/>
  <c r="I45" i="104"/>
  <c r="I37" i="104"/>
  <c r="I29" i="104"/>
  <c r="I21" i="104"/>
  <c r="I412" i="104"/>
  <c r="I404" i="104"/>
  <c r="I396" i="104"/>
  <c r="I388" i="104"/>
  <c r="I380" i="104"/>
  <c r="I372" i="104"/>
  <c r="I364" i="104"/>
  <c r="I356" i="104"/>
  <c r="I348" i="104"/>
  <c r="I340" i="104"/>
  <c r="I332" i="104"/>
  <c r="I324" i="104"/>
  <c r="I316" i="104"/>
  <c r="I308" i="104"/>
  <c r="I300" i="104"/>
  <c r="I292" i="104"/>
  <c r="I284" i="104"/>
  <c r="I276" i="104"/>
  <c r="I268" i="104"/>
  <c r="I260" i="104"/>
  <c r="I252" i="104"/>
  <c r="I244" i="104"/>
  <c r="I236" i="104"/>
  <c r="I228" i="104"/>
  <c r="I220" i="104"/>
  <c r="I212" i="104"/>
  <c r="I204" i="104"/>
  <c r="I196" i="104"/>
  <c r="I188" i="104"/>
  <c r="I180" i="104"/>
  <c r="I172" i="104"/>
  <c r="I164" i="104"/>
  <c r="I156" i="104"/>
  <c r="I148" i="104"/>
  <c r="I140" i="104"/>
  <c r="I132" i="104"/>
  <c r="I124" i="104"/>
  <c r="I116" i="104"/>
  <c r="I108" i="104"/>
  <c r="I100" i="104"/>
  <c r="I92" i="104"/>
  <c r="I84" i="104"/>
  <c r="I76" i="104"/>
  <c r="I68" i="104"/>
  <c r="I60" i="104"/>
  <c r="I52" i="104"/>
  <c r="I44" i="104"/>
  <c r="I36" i="104"/>
  <c r="I28" i="104"/>
  <c r="I20" i="104"/>
  <c r="G32" i="111" l="1"/>
  <c r="G33" i="111"/>
  <c r="G31" i="111"/>
  <c r="G30" i="111"/>
  <c r="G10" i="111"/>
  <c r="G11" i="111"/>
  <c r="A1" i="125"/>
  <c r="A1" i="124"/>
  <c r="A1" i="123"/>
  <c r="A1" i="122"/>
  <c r="A1" i="121"/>
  <c r="A1" i="120"/>
  <c r="A1" i="119"/>
  <c r="A1" i="118"/>
  <c r="G13" i="111"/>
  <c r="P33" i="111"/>
  <c r="J33" i="111"/>
  <c r="J31" i="111"/>
  <c r="J29" i="111"/>
  <c r="G29" i="111"/>
  <c r="G28" i="111"/>
  <c r="J27" i="111"/>
  <c r="G27" i="111"/>
  <c r="G26" i="111"/>
  <c r="J25" i="111"/>
  <c r="G25" i="111"/>
  <c r="G24" i="111"/>
  <c r="J23" i="111"/>
  <c r="G23" i="111"/>
  <c r="G22" i="111"/>
  <c r="J21" i="111"/>
  <c r="G21" i="111"/>
  <c r="G20" i="111"/>
  <c r="J19" i="111"/>
  <c r="G19" i="111"/>
  <c r="G18" i="111"/>
  <c r="J17" i="111"/>
  <c r="G17" i="111"/>
  <c r="G16" i="111"/>
  <c r="J15" i="111"/>
  <c r="G15" i="111"/>
  <c r="G14" i="111"/>
  <c r="J13" i="111"/>
  <c r="G12" i="111"/>
  <c r="J11" i="111"/>
  <c r="J9" i="111"/>
  <c r="G7" i="111"/>
  <c r="G6" i="111"/>
  <c r="A1" i="115"/>
  <c r="A1" i="112"/>
  <c r="D127" i="107"/>
  <c r="A1" i="117" l="1"/>
  <c r="A1" i="116"/>
  <c r="A1" i="114"/>
  <c r="A1" i="113"/>
  <c r="J95" i="104"/>
  <c r="J94" i="104"/>
  <c r="J96" i="104"/>
  <c r="C11" i="107" l="1"/>
  <c r="C10" i="107"/>
  <c r="C8" i="107"/>
  <c r="C18" i="107"/>
  <c r="C222" i="107"/>
  <c r="C228" i="107"/>
  <c r="C219" i="107"/>
  <c r="C214" i="107"/>
  <c r="C22" i="107"/>
  <c r="C215" i="107"/>
  <c r="C223" i="107"/>
  <c r="C231" i="107"/>
  <c r="C12" i="107"/>
  <c r="C23" i="107"/>
  <c r="C216" i="107"/>
  <c r="C224" i="107"/>
  <c r="C232" i="107"/>
  <c r="C14" i="107"/>
  <c r="C24" i="107"/>
  <c r="C74" i="107"/>
  <c r="C217" i="107"/>
  <c r="C225" i="107"/>
  <c r="C233" i="107"/>
  <c r="C27" i="107"/>
  <c r="C48" i="107"/>
  <c r="C81" i="107"/>
  <c r="C220" i="107"/>
  <c r="C234" i="107"/>
  <c r="C29" i="107"/>
  <c r="C82" i="107"/>
  <c r="C221" i="107"/>
  <c r="C235" i="107"/>
  <c r="C15" i="107"/>
  <c r="C75" i="107"/>
  <c r="C226" i="107"/>
  <c r="C237" i="107"/>
  <c r="C16" i="107"/>
  <c r="C213" i="107"/>
  <c r="C227" i="107"/>
  <c r="C238" i="107"/>
  <c r="C218" i="107"/>
  <c r="C229" i="107"/>
  <c r="C83" i="107"/>
  <c r="C236" i="107"/>
  <c r="C26" i="107"/>
  <c r="C230" i="107"/>
  <c r="J381" i="104"/>
  <c r="J99" i="104"/>
  <c r="J118" i="104"/>
  <c r="D125" i="107"/>
  <c r="J242" i="104"/>
  <c r="D97" i="107"/>
  <c r="J235" i="104"/>
  <c r="D27" i="107"/>
  <c r="J325" i="104"/>
  <c r="J160" i="104"/>
  <c r="J13" i="104"/>
  <c r="J407" i="104"/>
  <c r="J155" i="104"/>
  <c r="J27" i="104"/>
  <c r="D134" i="107"/>
  <c r="J69" i="104"/>
  <c r="D154" i="107"/>
  <c r="J98" i="104"/>
  <c r="J394" i="104"/>
  <c r="J261" i="104"/>
  <c r="J338" i="104"/>
  <c r="J186" i="104"/>
  <c r="D182" i="107"/>
  <c r="D103" i="107"/>
  <c r="D200" i="107"/>
  <c r="D150" i="107"/>
  <c r="J311" i="104"/>
  <c r="J332" i="104"/>
  <c r="J214" i="104"/>
  <c r="J169" i="104"/>
  <c r="J346" i="104"/>
  <c r="D83" i="107"/>
  <c r="J258" i="104"/>
  <c r="J347" i="104"/>
  <c r="J215" i="104"/>
  <c r="D180" i="107"/>
  <c r="J165" i="104"/>
  <c r="J238" i="104"/>
  <c r="J171" i="104"/>
  <c r="J45" i="104"/>
  <c r="D85" i="107"/>
  <c r="J283" i="104"/>
  <c r="J183" i="104"/>
  <c r="D26" i="107"/>
  <c r="D176" i="107"/>
  <c r="J127" i="104"/>
  <c r="D61" i="107"/>
  <c r="D36" i="107"/>
  <c r="J395" i="104"/>
  <c r="J367" i="104"/>
  <c r="D126" i="107"/>
  <c r="J157" i="104"/>
  <c r="J297" i="104"/>
  <c r="D170" i="107"/>
  <c r="J11" i="104"/>
  <c r="J132" i="104"/>
  <c r="J76" i="104"/>
  <c r="J34" i="104"/>
  <c r="J256" i="104"/>
  <c r="D187" i="107"/>
  <c r="J224" i="104"/>
  <c r="J143" i="104"/>
  <c r="J110" i="104"/>
  <c r="D120" i="107"/>
  <c r="J400" i="104"/>
  <c r="D138" i="107"/>
  <c r="J308" i="104"/>
  <c r="J320" i="104"/>
  <c r="J269" i="104"/>
  <c r="D90" i="107"/>
  <c r="D106" i="107"/>
  <c r="J307" i="104"/>
  <c r="J9" i="104"/>
  <c r="J401" i="104"/>
  <c r="J4" i="104"/>
  <c r="D46" i="107"/>
  <c r="J66" i="104"/>
  <c r="J129" i="104"/>
  <c r="J324" i="104"/>
  <c r="J102" i="104"/>
  <c r="J148" i="104"/>
  <c r="J187" i="104"/>
  <c r="D199" i="107"/>
  <c r="J63" i="104"/>
  <c r="J241" i="104"/>
  <c r="J59" i="104"/>
  <c r="D82" i="107"/>
  <c r="D204" i="107"/>
  <c r="J374" i="104"/>
  <c r="J16" i="104"/>
  <c r="J287" i="104"/>
  <c r="J379" i="104"/>
  <c r="J75" i="104"/>
  <c r="J227" i="104"/>
  <c r="J53" i="104"/>
  <c r="J231" i="104"/>
  <c r="J228" i="104"/>
  <c r="J51" i="104"/>
  <c r="J185" i="104"/>
  <c r="D59" i="107"/>
  <c r="J88" i="104"/>
  <c r="D178" i="107"/>
  <c r="D149" i="107"/>
  <c r="J383" i="104"/>
  <c r="D69" i="107"/>
  <c r="J73" i="104"/>
  <c r="J71" i="104"/>
  <c r="J21" i="104"/>
  <c r="D132" i="107"/>
  <c r="J40" i="104"/>
  <c r="J252" i="104"/>
  <c r="D73" i="107"/>
  <c r="J28" i="104"/>
  <c r="J376" i="104"/>
  <c r="J377" i="104"/>
  <c r="J375" i="104"/>
  <c r="D116" i="107"/>
  <c r="J373" i="104"/>
  <c r="J210" i="104"/>
  <c r="J304" i="104"/>
  <c r="J119" i="104"/>
  <c r="J250" i="104"/>
  <c r="J384" i="104"/>
  <c r="J164" i="104"/>
  <c r="D130" i="107"/>
  <c r="J170" i="104"/>
  <c r="D144" i="107"/>
  <c r="J57" i="104"/>
  <c r="J286" i="104"/>
  <c r="J316" i="104"/>
  <c r="D76" i="107"/>
  <c r="J222" i="104"/>
  <c r="J173" i="104"/>
  <c r="J180" i="104"/>
  <c r="J17" i="104"/>
  <c r="J206" i="104"/>
  <c r="J113" i="104"/>
  <c r="J284" i="104"/>
  <c r="D174" i="107"/>
  <c r="J290" i="104"/>
  <c r="J25" i="104"/>
  <c r="D160" i="107"/>
  <c r="D135" i="107"/>
  <c r="J404" i="104"/>
  <c r="J253" i="104"/>
  <c r="J326" i="104"/>
  <c r="D185" i="107"/>
  <c r="J141" i="104"/>
  <c r="J230" i="104"/>
  <c r="D203" i="107"/>
  <c r="J233" i="104"/>
  <c r="D6" i="107"/>
  <c r="J303" i="104"/>
  <c r="J198" i="104"/>
  <c r="D14" i="107"/>
  <c r="J47" i="104"/>
  <c r="J175" i="104"/>
  <c r="J360" i="104"/>
  <c r="D77" i="107"/>
  <c r="J140" i="104"/>
  <c r="J350" i="104"/>
  <c r="J212" i="104"/>
  <c r="D195" i="107"/>
  <c r="J240" i="104"/>
  <c r="D123" i="107"/>
  <c r="D118" i="107"/>
  <c r="J319" i="104"/>
  <c r="J366" i="104"/>
  <c r="D8" i="107"/>
  <c r="J391" i="104"/>
  <c r="D70" i="107"/>
  <c r="J348" i="104"/>
  <c r="J220" i="104"/>
  <c r="D18" i="107"/>
  <c r="J277" i="104"/>
  <c r="J293" i="104"/>
  <c r="J90" i="104"/>
  <c r="D81" i="107"/>
  <c r="D188" i="107"/>
  <c r="J142" i="104"/>
  <c r="D129" i="107"/>
  <c r="J36" i="104"/>
  <c r="J386" i="104"/>
  <c r="D89" i="107"/>
  <c r="J33" i="104"/>
  <c r="D181" i="107"/>
  <c r="J97" i="104"/>
  <c r="J103" i="104"/>
  <c r="J251" i="104"/>
  <c r="J218" i="104"/>
  <c r="D189" i="107"/>
  <c r="D92" i="107"/>
  <c r="J7" i="104"/>
  <c r="D47" i="107"/>
  <c r="J105" i="104"/>
  <c r="J193" i="104"/>
  <c r="J364" i="104"/>
  <c r="D141" i="107"/>
  <c r="D5" i="107"/>
  <c r="J281" i="104"/>
  <c r="J361" i="104"/>
  <c r="D152" i="107"/>
  <c r="D21" i="107"/>
  <c r="J43" i="104"/>
  <c r="D94" i="107"/>
  <c r="J397" i="104"/>
  <c r="J65" i="104"/>
  <c r="J295" i="104"/>
  <c r="J388" i="104"/>
  <c r="D23" i="107"/>
  <c r="D147" i="107"/>
  <c r="J154" i="104"/>
  <c r="J18" i="104"/>
  <c r="J274" i="104"/>
  <c r="J385" i="104"/>
  <c r="J217" i="104"/>
  <c r="J52" i="104"/>
  <c r="J72" i="104"/>
  <c r="D16" i="107"/>
  <c r="J398" i="104"/>
  <c r="J128" i="104"/>
  <c r="J178" i="104"/>
  <c r="J288" i="104"/>
  <c r="J203" i="104"/>
  <c r="D105" i="107"/>
  <c r="J359" i="104"/>
  <c r="J199" i="104"/>
  <c r="J329" i="104"/>
  <c r="J60" i="104"/>
  <c r="J85" i="104"/>
  <c r="J387" i="104"/>
  <c r="J134" i="104"/>
  <c r="J61" i="104"/>
  <c r="J248" i="104"/>
  <c r="D164" i="107"/>
  <c r="J195" i="104"/>
  <c r="D53" i="107"/>
  <c r="J125" i="104"/>
  <c r="J87" i="104"/>
  <c r="J344" i="104"/>
  <c r="J24" i="104"/>
  <c r="J355" i="104"/>
  <c r="J221" i="104"/>
  <c r="J32" i="104"/>
  <c r="D72" i="107"/>
  <c r="J83" i="104"/>
  <c r="J46" i="104"/>
  <c r="J292" i="104"/>
  <c r="J209" i="104"/>
  <c r="J322" i="104"/>
  <c r="J272" i="104"/>
  <c r="J151" i="104"/>
  <c r="J48" i="104"/>
  <c r="J237" i="104"/>
  <c r="J263" i="104"/>
  <c r="J104" i="104"/>
  <c r="J35" i="104"/>
  <c r="D168" i="107"/>
  <c r="D111" i="107"/>
  <c r="D99" i="107"/>
  <c r="J291" i="104"/>
  <c r="J301" i="104"/>
  <c r="D64" i="107"/>
  <c r="D31" i="107"/>
  <c r="J188" i="104"/>
  <c r="J6" i="104"/>
  <c r="D96" i="107"/>
  <c r="J39" i="104"/>
  <c r="J305" i="104"/>
  <c r="J282" i="104"/>
  <c r="J271" i="104"/>
  <c r="D166" i="107"/>
  <c r="J23" i="104"/>
  <c r="J10" i="104"/>
  <c r="D75" i="107"/>
  <c r="D162" i="107"/>
  <c r="J334" i="104"/>
  <c r="J93" i="104"/>
  <c r="J399" i="104"/>
  <c r="J111" i="104"/>
  <c r="J191" i="104"/>
  <c r="D175" i="107"/>
  <c r="J159" i="104"/>
  <c r="J236" i="104"/>
  <c r="J204" i="104"/>
  <c r="J245" i="104"/>
  <c r="D15" i="107"/>
  <c r="J181" i="104"/>
  <c r="D133" i="107"/>
  <c r="J145" i="104"/>
  <c r="D173" i="107"/>
  <c r="J121" i="104"/>
  <c r="J247" i="104"/>
  <c r="J249" i="104"/>
  <c r="J56" i="104"/>
  <c r="J402" i="104"/>
  <c r="J200" i="104"/>
  <c r="J192" i="104"/>
  <c r="J208" i="104"/>
  <c r="D79" i="107"/>
  <c r="J357" i="104"/>
  <c r="D192" i="107"/>
  <c r="J345" i="104"/>
  <c r="D33" i="107"/>
  <c r="J166" i="104"/>
  <c r="J29" i="104"/>
  <c r="J356" i="104"/>
  <c r="D87" i="107"/>
  <c r="J339" i="104"/>
  <c r="J49" i="104"/>
  <c r="J331" i="104"/>
  <c r="D201" i="107"/>
  <c r="J114" i="104"/>
  <c r="J264" i="104"/>
  <c r="J133" i="104"/>
  <c r="J318" i="104"/>
  <c r="J138" i="104"/>
  <c r="J257" i="104"/>
  <c r="J91" i="104"/>
  <c r="J368" i="104"/>
  <c r="J201" i="104"/>
  <c r="J393" i="104"/>
  <c r="J223" i="104"/>
  <c r="J335" i="104"/>
  <c r="J150" i="104"/>
  <c r="D48" i="107"/>
  <c r="J189" i="104"/>
  <c r="J8" i="104"/>
  <c r="J41" i="104"/>
  <c r="J26" i="104"/>
  <c r="J276" i="104"/>
  <c r="J363" i="104"/>
  <c r="J106" i="104"/>
  <c r="J299" i="104"/>
  <c r="D165" i="107"/>
  <c r="J37" i="104"/>
  <c r="J126" i="104"/>
  <c r="D107" i="107"/>
  <c r="J55" i="104"/>
  <c r="J382" i="104"/>
  <c r="D193" i="107"/>
  <c r="J313" i="104"/>
  <c r="J309" i="104"/>
  <c r="J213" i="104"/>
  <c r="J84" i="104"/>
  <c r="J219" i="104"/>
  <c r="J179" i="104"/>
  <c r="J342" i="104"/>
  <c r="J115" i="104"/>
  <c r="J100" i="104"/>
  <c r="D177" i="107"/>
  <c r="J124" i="104"/>
  <c r="J19" i="104"/>
  <c r="D108" i="107"/>
  <c r="J92" i="104"/>
  <c r="J255" i="104"/>
  <c r="J302" i="104"/>
  <c r="D22" i="107"/>
  <c r="J262" i="104"/>
  <c r="J177" i="104"/>
  <c r="D136" i="107"/>
  <c r="J137" i="104"/>
  <c r="J243" i="104"/>
  <c r="J64" i="104"/>
  <c r="D128" i="107"/>
  <c r="D12" i="107"/>
  <c r="J327" i="104"/>
  <c r="J147" i="104"/>
  <c r="J370" i="104"/>
  <c r="J12" i="104"/>
  <c r="J362" i="104"/>
  <c r="J403" i="104"/>
  <c r="J369" i="104"/>
  <c r="J15" i="104"/>
  <c r="J50" i="104"/>
  <c r="J275" i="104"/>
  <c r="D35" i="107"/>
  <c r="D190" i="107"/>
  <c r="D80" i="107"/>
  <c r="J144" i="104"/>
  <c r="J260" i="104"/>
  <c r="J167" i="104"/>
  <c r="J149" i="104"/>
  <c r="D119" i="107"/>
  <c r="J107" i="104"/>
  <c r="J82" i="104"/>
  <c r="J289" i="104"/>
  <c r="J371" i="104"/>
  <c r="J101" i="104"/>
  <c r="J266" i="104"/>
  <c r="D51" i="107"/>
  <c r="D143" i="107"/>
  <c r="J44" i="104"/>
  <c r="J131" i="104"/>
  <c r="D54" i="107"/>
  <c r="D91" i="107"/>
  <c r="J270" i="104"/>
  <c r="J207" i="104"/>
  <c r="J112" i="104"/>
  <c r="J146" i="104"/>
  <c r="J378" i="104"/>
  <c r="J109" i="104"/>
  <c r="D161" i="107"/>
  <c r="J349" i="104"/>
  <c r="J152" i="104"/>
  <c r="D32" i="107"/>
  <c r="J70" i="104"/>
  <c r="J296" i="104"/>
  <c r="J273" i="104"/>
  <c r="J205" i="104"/>
  <c r="J81" i="104"/>
  <c r="J372" i="104"/>
  <c r="J380" i="104"/>
  <c r="J78" i="104"/>
  <c r="D10" i="107"/>
  <c r="D102" i="107"/>
  <c r="J405" i="104"/>
  <c r="J79" i="104"/>
  <c r="J352" i="104"/>
  <c r="J353" i="104"/>
  <c r="D65" i="107"/>
  <c r="J161" i="104"/>
  <c r="J265" i="104"/>
  <c r="J156" i="104"/>
  <c r="D159" i="107"/>
  <c r="D122" i="107"/>
  <c r="J226" i="104"/>
  <c r="J333" i="104"/>
  <c r="J330" i="104"/>
  <c r="J174" i="104"/>
  <c r="J184" i="104"/>
  <c r="J351" i="104"/>
  <c r="J294" i="104"/>
  <c r="J267" i="104"/>
  <c r="J14" i="104"/>
  <c r="J279" i="104"/>
  <c r="J182" i="104"/>
  <c r="J358" i="104"/>
  <c r="J216" i="104"/>
  <c r="J323" i="104"/>
  <c r="D163" i="107"/>
  <c r="J67" i="104"/>
  <c r="J354" i="104"/>
  <c r="J225" i="104"/>
  <c r="J80" i="104"/>
  <c r="J280" i="104"/>
  <c r="J130" i="104"/>
  <c r="J30" i="104"/>
  <c r="J38" i="104"/>
  <c r="J317" i="104"/>
  <c r="J406" i="104"/>
  <c r="J196" i="104"/>
  <c r="J310" i="104"/>
  <c r="D11" i="107"/>
  <c r="J312" i="104"/>
  <c r="J239" i="104"/>
  <c r="J229" i="104"/>
  <c r="J365" i="104"/>
  <c r="J136" i="104"/>
  <c r="J158" i="104"/>
  <c r="J162" i="104"/>
  <c r="J300" i="104"/>
  <c r="J389" i="104"/>
  <c r="J163" i="104"/>
  <c r="J20" i="104"/>
  <c r="J234" i="104"/>
  <c r="D124" i="107"/>
  <c r="J197" i="104"/>
  <c r="J392" i="104"/>
  <c r="J77" i="104"/>
  <c r="J315" i="104"/>
  <c r="J5" i="104"/>
  <c r="J139" i="104"/>
  <c r="J22" i="104"/>
  <c r="J340" i="104"/>
  <c r="J176" i="104"/>
  <c r="D197" i="107"/>
  <c r="D146" i="107"/>
  <c r="J116" i="104"/>
  <c r="J117" i="104"/>
  <c r="D60" i="107"/>
  <c r="J190" i="104"/>
  <c r="D50" i="107"/>
  <c r="J123" i="104"/>
  <c r="D63" i="107"/>
  <c r="J259" i="104"/>
  <c r="J42" i="104"/>
  <c r="D131" i="107"/>
  <c r="D157" i="107"/>
  <c r="D172" i="107"/>
  <c r="J343" i="104"/>
  <c r="D158" i="107"/>
  <c r="J108" i="104"/>
  <c r="D140" i="107"/>
  <c r="J314" i="104"/>
  <c r="D184" i="107"/>
  <c r="J89" i="104"/>
  <c r="D100" i="107"/>
  <c r="J153" i="104"/>
  <c r="J74" i="104"/>
  <c r="D156" i="107"/>
  <c r="J122" i="104"/>
  <c r="J172" i="104"/>
  <c r="J168" i="104"/>
  <c r="J246" i="104"/>
  <c r="J58" i="104"/>
  <c r="J321" i="104"/>
  <c r="D29" i="107"/>
  <c r="J194" i="104"/>
  <c r="D37" i="107"/>
  <c r="J86" i="104"/>
  <c r="J341" i="104"/>
  <c r="J244" i="104"/>
  <c r="J120" i="104"/>
  <c r="J336" i="104"/>
  <c r="J135" i="104"/>
  <c r="J278" i="104"/>
  <c r="D74" i="107"/>
  <c r="J68" i="104"/>
  <c r="J202" i="104"/>
  <c r="D186" i="107"/>
  <c r="J285" i="104"/>
  <c r="D205" i="107"/>
  <c r="J396" i="104"/>
  <c r="D24" i="107"/>
  <c r="D110" i="107"/>
  <c r="J306" i="104"/>
  <c r="J62" i="104"/>
  <c r="J298" i="104"/>
  <c r="J268" i="104"/>
  <c r="J54" i="104"/>
  <c r="J390" i="104"/>
  <c r="J254" i="104"/>
  <c r="J211" i="104"/>
  <c r="D3" i="107"/>
  <c r="J232" i="104"/>
  <c r="J31" i="104"/>
</calcChain>
</file>

<file path=xl/sharedStrings.xml><?xml version="1.0" encoding="utf-8"?>
<sst xmlns="http://schemas.openxmlformats.org/spreadsheetml/2006/main" count="5740" uniqueCount="1224">
  <si>
    <t>硫酸バンド</t>
    <rPh sb="0" eb="2">
      <t>リュウサン</t>
    </rPh>
    <phoneticPr fontId="1"/>
  </si>
  <si>
    <t>Ａ重油</t>
    <rPh sb="1" eb="3">
      <t>ジュウユ</t>
    </rPh>
    <phoneticPr fontId="1"/>
  </si>
  <si>
    <t>塩　酸</t>
    <rPh sb="0" eb="1">
      <t>シオ</t>
    </rPh>
    <rPh sb="2" eb="3">
      <t>サン</t>
    </rPh>
    <phoneticPr fontId="1"/>
  </si>
  <si>
    <t>荒木</t>
    <rPh sb="0" eb="2">
      <t>アラキ</t>
    </rPh>
    <phoneticPr fontId="1"/>
  </si>
  <si>
    <t>荷主</t>
    <rPh sb="0" eb="2">
      <t>ニヌシ</t>
    </rPh>
    <phoneticPr fontId="1"/>
  </si>
  <si>
    <t>品名</t>
    <rPh sb="0" eb="2">
      <t>ヒンメイ</t>
    </rPh>
    <phoneticPr fontId="1"/>
  </si>
  <si>
    <t>車番</t>
    <rPh sb="0" eb="1">
      <t>シャ</t>
    </rPh>
    <rPh sb="1" eb="2">
      <t>バン</t>
    </rPh>
    <phoneticPr fontId="1"/>
  </si>
  <si>
    <t>①回目納品先</t>
    <rPh sb="1" eb="3">
      <t>カイメ</t>
    </rPh>
    <rPh sb="3" eb="5">
      <t>ノウヒン</t>
    </rPh>
    <rPh sb="5" eb="6">
      <t>サキ</t>
    </rPh>
    <phoneticPr fontId="1"/>
  </si>
  <si>
    <t>②回目納品先</t>
    <rPh sb="1" eb="3">
      <t>カイメ</t>
    </rPh>
    <rPh sb="3" eb="5">
      <t>ノウヒン</t>
    </rPh>
    <rPh sb="5" eb="6">
      <t>サキ</t>
    </rPh>
    <phoneticPr fontId="1"/>
  </si>
  <si>
    <t>③回目納品先</t>
    <rPh sb="1" eb="3">
      <t>カイメ</t>
    </rPh>
    <rPh sb="3" eb="5">
      <t>ノウヒン</t>
    </rPh>
    <rPh sb="5" eb="6">
      <t>サキ</t>
    </rPh>
    <phoneticPr fontId="1"/>
  </si>
  <si>
    <t>④回目納品先</t>
    <rPh sb="1" eb="3">
      <t>カイメ</t>
    </rPh>
    <rPh sb="3" eb="5">
      <t>ノウヒン</t>
    </rPh>
    <rPh sb="5" eb="6">
      <t>サキ</t>
    </rPh>
    <phoneticPr fontId="1"/>
  </si>
  <si>
    <t>⑤回目納品先</t>
    <rPh sb="1" eb="3">
      <t>カイメ</t>
    </rPh>
    <rPh sb="3" eb="5">
      <t>ノウヒン</t>
    </rPh>
    <rPh sb="5" eb="6">
      <t>サキ</t>
    </rPh>
    <phoneticPr fontId="1"/>
  </si>
  <si>
    <t>連絡事項：</t>
    <rPh sb="0" eb="2">
      <t>レンラク</t>
    </rPh>
    <rPh sb="2" eb="4">
      <t>ジコウ</t>
    </rPh>
    <phoneticPr fontId="1"/>
  </si>
  <si>
    <t>小林</t>
    <rPh sb="0" eb="2">
      <t>コバヤシ</t>
    </rPh>
    <phoneticPr fontId="1"/>
  </si>
  <si>
    <t>乗務員名</t>
    <rPh sb="0" eb="3">
      <t>ジョウムイン</t>
    </rPh>
    <rPh sb="3" eb="4">
      <t>メイ</t>
    </rPh>
    <phoneticPr fontId="1"/>
  </si>
  <si>
    <t>帰庫予定時間</t>
    <rPh sb="0" eb="2">
      <t>キコ</t>
    </rPh>
    <rPh sb="2" eb="4">
      <t>ヨテイ</t>
    </rPh>
    <rPh sb="4" eb="6">
      <t>ジカン</t>
    </rPh>
    <phoneticPr fontId="1"/>
  </si>
  <si>
    <t>プロセス</t>
    <phoneticPr fontId="1"/>
  </si>
  <si>
    <t>5486</t>
    <phoneticPr fontId="1"/>
  </si>
  <si>
    <t>827</t>
    <phoneticPr fontId="1"/>
  </si>
  <si>
    <t>4055</t>
    <phoneticPr fontId="1"/>
  </si>
  <si>
    <t>1246</t>
    <phoneticPr fontId="1"/>
  </si>
  <si>
    <t>出勤予定時間</t>
    <rPh sb="0" eb="2">
      <t>シュッキン</t>
    </rPh>
    <rPh sb="2" eb="4">
      <t>ヨテイ</t>
    </rPh>
    <rPh sb="4" eb="6">
      <t>ジカン</t>
    </rPh>
    <phoneticPr fontId="1"/>
  </si>
  <si>
    <t>苛　性　ソ　ー　ダ</t>
    <rPh sb="0" eb="1">
      <t>カ</t>
    </rPh>
    <rPh sb="2" eb="3">
      <t>セイ</t>
    </rPh>
    <phoneticPr fontId="1"/>
  </si>
  <si>
    <t>苛性</t>
    <rPh sb="0" eb="2">
      <t>カセイ</t>
    </rPh>
    <phoneticPr fontId="1"/>
  </si>
  <si>
    <t>納品書
確認</t>
    <rPh sb="0" eb="3">
      <t>ノウヒンショ</t>
    </rPh>
    <rPh sb="4" eb="6">
      <t>カクニン</t>
    </rPh>
    <phoneticPr fontId="1"/>
  </si>
  <si>
    <t>出勤予定時間
帰庫予定時間</t>
    <rPh sb="0" eb="2">
      <t>シュッキン</t>
    </rPh>
    <rPh sb="2" eb="4">
      <t>ヨテイ</t>
    </rPh>
    <rPh sb="4" eb="6">
      <t>ジカン</t>
    </rPh>
    <rPh sb="7" eb="9">
      <t>キコ</t>
    </rPh>
    <rPh sb="9" eb="11">
      <t>ヨテイ</t>
    </rPh>
    <rPh sb="11" eb="13">
      <t>ジカン</t>
    </rPh>
    <phoneticPr fontId="1"/>
  </si>
  <si>
    <t>山口</t>
    <rPh sb="0" eb="2">
      <t>ヤマグチ</t>
    </rPh>
    <phoneticPr fontId="1"/>
  </si>
  <si>
    <t>菊地</t>
    <rPh sb="0" eb="2">
      <t>キクチ</t>
    </rPh>
    <phoneticPr fontId="1"/>
  </si>
  <si>
    <t>1447</t>
    <phoneticPr fontId="1"/>
  </si>
  <si>
    <t>895</t>
    <phoneticPr fontId="1"/>
  </si>
  <si>
    <t>(休車)</t>
    <rPh sb="1" eb="3">
      <t>キュウシャ</t>
    </rPh>
    <phoneticPr fontId="1"/>
  </si>
  <si>
    <t>鈴木所長</t>
    <rPh sb="0" eb="2">
      <t>スズキ</t>
    </rPh>
    <rPh sb="2" eb="4">
      <t>ショチョウ</t>
    </rPh>
    <phoneticPr fontId="1"/>
  </si>
  <si>
    <t>佐藤部長</t>
    <rPh sb="0" eb="2">
      <t>サトウ</t>
    </rPh>
    <rPh sb="2" eb="4">
      <t>ブチョウ</t>
    </rPh>
    <phoneticPr fontId="1"/>
  </si>
  <si>
    <t>佐藤ゆうこ</t>
    <rPh sb="0" eb="2">
      <t>サトウ</t>
    </rPh>
    <phoneticPr fontId="1"/>
  </si>
  <si>
    <t>（大郷）
出光</t>
    <rPh sb="1" eb="3">
      <t>オオサト</t>
    </rPh>
    <rPh sb="5" eb="7">
      <t>イデミツ</t>
    </rPh>
    <phoneticPr fontId="1"/>
  </si>
  <si>
    <t>ク　レ　ハ　運　輸　㈱</t>
    <phoneticPr fontId="1"/>
  </si>
  <si>
    <t>（丸運）
ＥＮＥＯＳ</t>
    <rPh sb="1" eb="3">
      <t>マルウン</t>
    </rPh>
    <phoneticPr fontId="1"/>
  </si>
  <si>
    <t>クレハ
運輸㈱</t>
    <rPh sb="4" eb="6">
      <t>ウンユ</t>
    </rPh>
    <phoneticPr fontId="1"/>
  </si>
  <si>
    <t>（㈱日新）
日軽金</t>
    <rPh sb="2" eb="4">
      <t>ニッシン</t>
    </rPh>
    <rPh sb="6" eb="9">
      <t>ニッケイキン</t>
    </rPh>
    <phoneticPr fontId="1"/>
  </si>
  <si>
    <t>大平</t>
    <rPh sb="0" eb="2">
      <t>オオヒラ</t>
    </rPh>
    <phoneticPr fontId="1"/>
  </si>
  <si>
    <t>納入先名（略称）</t>
    <rPh sb="0" eb="3">
      <t>ノウニュウサキ</t>
    </rPh>
    <rPh sb="3" eb="4">
      <t>メイ</t>
    </rPh>
    <rPh sb="5" eb="7">
      <t>リャクショウ</t>
    </rPh>
    <phoneticPr fontId="10"/>
  </si>
  <si>
    <t>カナ順</t>
    <rPh sb="2" eb="3">
      <t>ジュン</t>
    </rPh>
    <phoneticPr fontId="10"/>
  </si>
  <si>
    <t>住所</t>
    <rPh sb="0" eb="2">
      <t>ジュウショ</t>
    </rPh>
    <phoneticPr fontId="10"/>
  </si>
  <si>
    <t>時間指定</t>
    <rPh sb="0" eb="2">
      <t>ジカン</t>
    </rPh>
    <rPh sb="2" eb="4">
      <t>シテイ</t>
    </rPh>
    <phoneticPr fontId="10"/>
  </si>
  <si>
    <t>出勤時間</t>
    <rPh sb="0" eb="2">
      <t>シュッキン</t>
    </rPh>
    <rPh sb="2" eb="4">
      <t>ジカン</t>
    </rPh>
    <phoneticPr fontId="10"/>
  </si>
  <si>
    <t>出発時間
（冬季）</t>
    <rPh sb="0" eb="2">
      <t>シュッパツ</t>
    </rPh>
    <rPh sb="2" eb="4">
      <t>ジカン</t>
    </rPh>
    <rPh sb="6" eb="8">
      <t>トウキ</t>
    </rPh>
    <phoneticPr fontId="10"/>
  </si>
  <si>
    <t>走行距離</t>
    <rPh sb="0" eb="2">
      <t>ソウコウ</t>
    </rPh>
    <rPh sb="2" eb="4">
      <t>キョリ</t>
    </rPh>
    <phoneticPr fontId="10"/>
  </si>
  <si>
    <t>条件</t>
    <rPh sb="0" eb="2">
      <t>ジョウケン</t>
    </rPh>
    <phoneticPr fontId="10"/>
  </si>
  <si>
    <t>ルート</t>
    <phoneticPr fontId="10"/>
  </si>
  <si>
    <t>高速ルート</t>
    <rPh sb="0" eb="2">
      <t>コウソク</t>
    </rPh>
    <phoneticPr fontId="10"/>
  </si>
  <si>
    <t>旧名</t>
    <rPh sb="0" eb="2">
      <t>キュウメイ</t>
    </rPh>
    <phoneticPr fontId="10"/>
  </si>
  <si>
    <t>備考</t>
    <rPh sb="0" eb="2">
      <t>ビコウ</t>
    </rPh>
    <phoneticPr fontId="10"/>
  </si>
  <si>
    <t>製品</t>
    <rPh sb="0" eb="2">
      <t>セイヒン</t>
    </rPh>
    <phoneticPr fontId="10"/>
  </si>
  <si>
    <t>福島県いわき市</t>
    <rPh sb="0" eb="3">
      <t>フクシマケン</t>
    </rPh>
    <rPh sb="6" eb="7">
      <t>シ</t>
    </rPh>
    <phoneticPr fontId="10"/>
  </si>
  <si>
    <t xml:space="preserve">　
</t>
    <phoneticPr fontId="11"/>
  </si>
  <si>
    <t>苛性</t>
    <rPh sb="0" eb="2">
      <t>カセイ</t>
    </rPh>
    <phoneticPr fontId="10"/>
  </si>
  <si>
    <t>昱（外宿浄水場）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</si>
  <si>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福島県郡山市</t>
    <rPh sb="0" eb="3">
      <t>フクシマケン</t>
    </rPh>
    <rPh sb="3" eb="6">
      <t>コオリヤマシ</t>
    </rPh>
    <phoneticPr fontId="11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</si>
  <si>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2回目あり宵積あり
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</si>
  <si>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>2回目ｐｍ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phoneticPr fontId="9"/>
  </si>
  <si>
    <t>茨城県高萩市</t>
    <rPh sb="0" eb="3">
      <t>イバラキケン</t>
    </rPh>
    <rPh sb="3" eb="5">
      <t>タカハギ</t>
    </rPh>
    <rPh sb="5" eb="6">
      <t>シ</t>
    </rPh>
    <phoneticPr fontId="11"/>
  </si>
  <si>
    <t>早朝積込</t>
    <rPh sb="0" eb="2">
      <t>ソウチョウ</t>
    </rPh>
    <rPh sb="2" eb="4">
      <t>ツミコミ</t>
    </rPh>
    <phoneticPr fontId="10"/>
  </si>
  <si>
    <t>ｱﾙﾌﾟｽｱﾙﾊﾟｲﾝ（平）</t>
    <rPh sb="12" eb="13">
      <t>タイラ</t>
    </rPh>
    <phoneticPr fontId="10"/>
  </si>
  <si>
    <t>いわき市中部浄化ｾﾝﾀｰ</t>
    <rPh sb="3" eb="4">
      <t>シ</t>
    </rPh>
    <rPh sb="4" eb="6">
      <t>チュウブ</t>
    </rPh>
    <rPh sb="6" eb="8">
      <t>ジョウカ</t>
    </rPh>
    <phoneticPr fontId="10"/>
  </si>
  <si>
    <t>福島県田村郡小野町</t>
    <rPh sb="0" eb="3">
      <t>フクシマケン</t>
    </rPh>
    <rPh sb="3" eb="6">
      <t>タムラグン</t>
    </rPh>
    <rPh sb="6" eb="9">
      <t>オノマチ</t>
    </rPh>
    <phoneticPr fontId="10"/>
  </si>
  <si>
    <t>福島県本宮市</t>
    <rPh sb="0" eb="3">
      <t>フクシマケン</t>
    </rPh>
    <rPh sb="3" eb="6">
      <t>モトミヤシ</t>
    </rPh>
    <phoneticPr fontId="10"/>
  </si>
  <si>
    <t>浮間化学</t>
    <rPh sb="0" eb="4">
      <t>ウキマカガク</t>
    </rPh>
    <phoneticPr fontId="10"/>
  </si>
  <si>
    <t>ｴｱ･ｳｫｰﾀｰ(小名浜)</t>
    <rPh sb="9" eb="12">
      <t>オナハマ</t>
    </rPh>
    <phoneticPr fontId="9"/>
  </si>
  <si>
    <t>新潟県新潟市</t>
    <rPh sb="0" eb="2">
      <t>ニイガタ</t>
    </rPh>
    <rPh sb="2" eb="3">
      <t>ケン</t>
    </rPh>
    <rPh sb="3" eb="6">
      <t>ニイガタシ</t>
    </rPh>
    <phoneticPr fontId="10"/>
  </si>
  <si>
    <t>磐越道(三和IC～安田）</t>
    <rPh sb="0" eb="2">
      <t>バンエツ</t>
    </rPh>
    <rPh sb="2" eb="3">
      <t>ドウ</t>
    </rPh>
    <rPh sb="4" eb="6">
      <t>ミワ</t>
    </rPh>
    <rPh sb="9" eb="11">
      <t>ヤスダ</t>
    </rPh>
    <phoneticPr fontId="10"/>
  </si>
  <si>
    <t>福島県白河市</t>
    <rPh sb="0" eb="3">
      <t>フクシマケン</t>
    </rPh>
    <rPh sb="3" eb="5">
      <t>シラカワ</t>
    </rPh>
    <rPh sb="5" eb="6">
      <t>シ</t>
    </rPh>
    <phoneticPr fontId="11"/>
  </si>
  <si>
    <t>福島県西郷村</t>
    <rPh sb="0" eb="3">
      <t>フクシマケン</t>
    </rPh>
    <rPh sb="3" eb="6">
      <t>ニシゴウムラ</t>
    </rPh>
    <phoneticPr fontId="11"/>
  </si>
  <si>
    <t>福島県須賀川市</t>
    <rPh sb="0" eb="3">
      <t>フクシマケン</t>
    </rPh>
    <rPh sb="3" eb="6">
      <t>スカガワ</t>
    </rPh>
    <rPh sb="6" eb="7">
      <t>シ</t>
    </rPh>
    <phoneticPr fontId="11"/>
  </si>
  <si>
    <t>福島県南相馬市</t>
    <rPh sb="0" eb="3">
      <t>フクシマケン</t>
    </rPh>
    <rPh sb="3" eb="4">
      <t>ミナミ</t>
    </rPh>
    <rPh sb="4" eb="6">
      <t>ソウマ</t>
    </rPh>
    <rPh sb="6" eb="7">
      <t>シ</t>
    </rPh>
    <phoneticPr fontId="11"/>
  </si>
  <si>
    <t>常磐道（広野IC～南相馬IC）</t>
    <rPh sb="0" eb="3">
      <t>ジョウバンドウ</t>
    </rPh>
    <rPh sb="4" eb="6">
      <t>ヒロノ</t>
    </rPh>
    <rPh sb="9" eb="12">
      <t>ミナミソウマ</t>
    </rPh>
    <phoneticPr fontId="11"/>
  </si>
  <si>
    <t>大谷浄水場</t>
    <rPh sb="0" eb="2">
      <t>オオガイ</t>
    </rPh>
    <rPh sb="2" eb="5">
      <t>ジョウスイジョウ</t>
    </rPh>
    <phoneticPr fontId="10"/>
  </si>
  <si>
    <t>オーガニック川口</t>
    <rPh sb="6" eb="8">
      <t>カワグチ</t>
    </rPh>
    <phoneticPr fontId="10"/>
  </si>
  <si>
    <t>山形県米沢市</t>
    <rPh sb="0" eb="3">
      <t>ヤマガタケン</t>
    </rPh>
    <rPh sb="3" eb="6">
      <t>ヨネザワシ</t>
    </rPh>
    <phoneticPr fontId="10"/>
  </si>
  <si>
    <t>東北道（本宮IC～福島飯坂IC）</t>
    <rPh sb="0" eb="2">
      <t>トウホク</t>
    </rPh>
    <rPh sb="2" eb="3">
      <t>ドウ</t>
    </rPh>
    <rPh sb="4" eb="6">
      <t>モトミヤ</t>
    </rPh>
    <rPh sb="9" eb="11">
      <t>フクシマ</t>
    </rPh>
    <rPh sb="11" eb="13">
      <t>イイザカ</t>
    </rPh>
    <phoneticPr fontId="11"/>
  </si>
  <si>
    <t>栃木県那須塩原市</t>
    <rPh sb="0" eb="3">
      <t>トチギケン</t>
    </rPh>
    <rPh sb="3" eb="8">
      <t>ナスシオバラシ</t>
    </rPh>
    <phoneticPr fontId="11"/>
  </si>
  <si>
    <t>福島県田村市</t>
    <rPh sb="0" eb="3">
      <t>フクシマケン</t>
    </rPh>
    <rPh sb="3" eb="5">
      <t>タムラ</t>
    </rPh>
    <rPh sb="5" eb="6">
      <t>シ</t>
    </rPh>
    <phoneticPr fontId="10"/>
  </si>
  <si>
    <t>小名浜苛性基地</t>
    <rPh sb="0" eb="2">
      <t>オナ</t>
    </rPh>
    <rPh sb="2" eb="3">
      <t>ハマ</t>
    </rPh>
    <rPh sb="3" eb="5">
      <t>カセイ</t>
    </rPh>
    <rPh sb="5" eb="7">
      <t>キチ</t>
    </rPh>
    <phoneticPr fontId="10"/>
  </si>
  <si>
    <t>カゴメ（那須）</t>
    <rPh sb="4" eb="6">
      <t>ナス</t>
    </rPh>
    <phoneticPr fontId="9"/>
  </si>
  <si>
    <t>茨城県土浦市</t>
    <rPh sb="0" eb="3">
      <t>イバラキケン</t>
    </rPh>
    <rPh sb="3" eb="6">
      <t>ツチウラシ</t>
    </rPh>
    <phoneticPr fontId="11"/>
  </si>
  <si>
    <t>常磐道(日立南太田IC～千代田石岡IC）</t>
    <rPh sb="0" eb="3">
      <t>ジョウバンドウ</t>
    </rPh>
    <rPh sb="4" eb="6">
      <t>ヒタチ</t>
    </rPh>
    <rPh sb="6" eb="7">
      <t>ミナミ</t>
    </rPh>
    <rPh sb="7" eb="9">
      <t>オオタ</t>
    </rPh>
    <rPh sb="12" eb="15">
      <t>チヨダ</t>
    </rPh>
    <rPh sb="15" eb="17">
      <t>イシオカ</t>
    </rPh>
    <phoneticPr fontId="10"/>
  </si>
  <si>
    <t>福島県田村市大越町上大越</t>
    <rPh sb="0" eb="2">
      <t>フクシマ</t>
    </rPh>
    <rPh sb="2" eb="3">
      <t>ケン</t>
    </rPh>
    <phoneticPr fontId="10"/>
  </si>
  <si>
    <t>カルビー（宇都宮）</t>
    <rPh sb="5" eb="8">
      <t>ウツノミヤ</t>
    </rPh>
    <phoneticPr fontId="9"/>
  </si>
  <si>
    <t>栃木県宇都宮市</t>
    <rPh sb="0" eb="3">
      <t>トチギケン</t>
    </rPh>
    <rPh sb="3" eb="6">
      <t>ウツノミヤ</t>
    </rPh>
    <rPh sb="6" eb="7">
      <t>シ</t>
    </rPh>
    <phoneticPr fontId="11"/>
  </si>
  <si>
    <t>カルビー（清原）</t>
    <rPh sb="5" eb="7">
      <t>キヨハラ</t>
    </rPh>
    <phoneticPr fontId="9"/>
  </si>
  <si>
    <t>福島県喜多方市</t>
    <rPh sb="0" eb="3">
      <t>フクシマケン</t>
    </rPh>
    <rPh sb="3" eb="6">
      <t>キタカタ</t>
    </rPh>
    <rPh sb="6" eb="7">
      <t>シ</t>
    </rPh>
    <phoneticPr fontId="11"/>
  </si>
  <si>
    <t>磐越道(三和IC～会津若松IC）</t>
    <rPh sb="0" eb="3">
      <t>バンエツドウ</t>
    </rPh>
    <rPh sb="4" eb="6">
      <t>ミワ</t>
    </rPh>
    <rPh sb="9" eb="11">
      <t>アイヅ</t>
    </rPh>
    <rPh sb="11" eb="13">
      <t>ワカマツ</t>
    </rPh>
    <phoneticPr fontId="10"/>
  </si>
  <si>
    <t>栃木県足利市</t>
    <rPh sb="0" eb="3">
      <t>トチギケン</t>
    </rPh>
    <rPh sb="3" eb="6">
      <t>アシカガシ</t>
    </rPh>
    <phoneticPr fontId="10"/>
  </si>
  <si>
    <t>キョウデン東北</t>
    <rPh sb="5" eb="7">
      <t>トウホク</t>
    </rPh>
    <phoneticPr fontId="10"/>
  </si>
  <si>
    <t>福島市飯坂町中野</t>
  </si>
  <si>
    <t>クリ－ン原町センター</t>
    <rPh sb="4" eb="6">
      <t>ハラマチ</t>
    </rPh>
    <phoneticPr fontId="9"/>
  </si>
  <si>
    <t>常磐道(広野IC～南相馬IC）</t>
    <rPh sb="0" eb="3">
      <t>ジョウバンドウ</t>
    </rPh>
    <rPh sb="4" eb="6">
      <t>ヒロノ</t>
    </rPh>
    <rPh sb="9" eb="12">
      <t>ミナミソウマ</t>
    </rPh>
    <phoneticPr fontId="10"/>
  </si>
  <si>
    <t>ｸﾞﾛｰﾊﾞﾙｱﾄﾞﾊﾞﾝｽ(会津)</t>
    <rPh sb="15" eb="17">
      <t>アイヅ</t>
    </rPh>
    <phoneticPr fontId="10"/>
  </si>
  <si>
    <t>福島県会津若松市</t>
    <rPh sb="0" eb="3">
      <t>フクシマケン</t>
    </rPh>
    <rPh sb="3" eb="5">
      <t>アイズ</t>
    </rPh>
    <rPh sb="7" eb="8">
      <t>シ</t>
    </rPh>
    <phoneticPr fontId="11"/>
  </si>
  <si>
    <t>ｸﾞﾛｰﾊﾞﾙｳｴ-ﾊｽﾞ(新潟)</t>
    <rPh sb="14" eb="16">
      <t>ニイガタ</t>
    </rPh>
    <phoneticPr fontId="10"/>
  </si>
  <si>
    <t>新潟県北蒲原郡</t>
    <rPh sb="0" eb="3">
      <t>ニイガタケン</t>
    </rPh>
    <rPh sb="3" eb="6">
      <t>キタカンバラ</t>
    </rPh>
    <rPh sb="6" eb="7">
      <t>グン</t>
    </rPh>
    <phoneticPr fontId="11"/>
  </si>
  <si>
    <t>磐越道(三和IC～安田IC）</t>
    <rPh sb="0" eb="3">
      <t>バンエツドウ</t>
    </rPh>
    <rPh sb="4" eb="6">
      <t>ミワ</t>
    </rPh>
    <rPh sb="9" eb="11">
      <t>ヤスダ</t>
    </rPh>
    <phoneticPr fontId="10"/>
  </si>
  <si>
    <t xml:space="preserve">2回目なし宵積あり
</t>
    <rPh sb="1" eb="3">
      <t>カイメ</t>
    </rPh>
    <rPh sb="5" eb="7">
      <t>ヨイヅミ</t>
    </rPh>
    <phoneticPr fontId="9"/>
  </si>
  <si>
    <t>鴻池組(勿来工場)</t>
    <rPh sb="0" eb="2">
      <t>コウノイケ</t>
    </rPh>
    <rPh sb="2" eb="3">
      <t>ク</t>
    </rPh>
    <rPh sb="4" eb="6">
      <t>ナコソ</t>
    </rPh>
    <rPh sb="6" eb="8">
      <t>コウジョウ</t>
    </rPh>
    <phoneticPr fontId="10"/>
  </si>
  <si>
    <t>向洋産業</t>
    <rPh sb="0" eb="2">
      <t>コウヨウ</t>
    </rPh>
    <rPh sb="2" eb="4">
      <t>サンギョウ</t>
    </rPh>
    <phoneticPr fontId="10"/>
  </si>
  <si>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2回目あり宵積あり
</t>
    </r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</si>
  <si>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t>群馬県邑楽郡</t>
    <rPh sb="0" eb="3">
      <t>グンマケン</t>
    </rPh>
    <rPh sb="3" eb="5">
      <t>オウラ</t>
    </rPh>
    <rPh sb="5" eb="6">
      <t>グン</t>
    </rPh>
    <phoneticPr fontId="10"/>
  </si>
  <si>
    <t>茨城県東茨城郡</t>
    <rPh sb="0" eb="3">
      <t>イバラキケン</t>
    </rPh>
    <rPh sb="3" eb="4">
      <t>ヒガシ</t>
    </rPh>
    <rPh sb="4" eb="7">
      <t>イバラキグン</t>
    </rPh>
    <phoneticPr fontId="10"/>
  </si>
  <si>
    <t>堺（小名浜）</t>
    <rPh sb="0" eb="1">
      <t>サカイ</t>
    </rPh>
    <rPh sb="2" eb="4">
      <t>オナ</t>
    </rPh>
    <rPh sb="4" eb="5">
      <t>ハマ</t>
    </rPh>
    <phoneticPr fontId="10"/>
  </si>
  <si>
    <t>ＳＵＳ福島</t>
    <rPh sb="0" eb="3">
      <t>サス</t>
    </rPh>
    <rPh sb="3" eb="5">
      <t>フクシマ</t>
    </rPh>
    <phoneticPr fontId="9"/>
  </si>
  <si>
    <t>山王東北</t>
    <rPh sb="0" eb="4">
      <t>サンオウトウホク</t>
    </rPh>
    <phoneticPr fontId="9"/>
  </si>
  <si>
    <t>ＪＸ金属（ＡＳＲ）</t>
    <rPh sb="2" eb="4">
      <t>キンゾク</t>
    </rPh>
    <phoneticPr fontId="10"/>
  </si>
  <si>
    <t>茨城県日立市</t>
    <rPh sb="0" eb="3">
      <t>イバラキケン</t>
    </rPh>
    <rPh sb="3" eb="6">
      <t>ヒタチシ</t>
    </rPh>
    <phoneticPr fontId="11"/>
  </si>
  <si>
    <t>ＪＸ金属（ＨＭＣ）</t>
    <rPh sb="2" eb="4">
      <t>キンゾク</t>
    </rPh>
    <phoneticPr fontId="10"/>
  </si>
  <si>
    <t>ＪＸ金属（圧延）</t>
    <rPh sb="2" eb="4">
      <t>キンゾク</t>
    </rPh>
    <rPh sb="5" eb="7">
      <t>アツエン</t>
    </rPh>
    <phoneticPr fontId="10"/>
  </si>
  <si>
    <t>ＪＸ金属（磯原）</t>
    <rPh sb="0" eb="2">
      <t>ジェイエックス</t>
    </rPh>
    <rPh sb="2" eb="4">
      <t>キンゾク</t>
    </rPh>
    <rPh sb="5" eb="7">
      <t>イソハラ</t>
    </rPh>
    <phoneticPr fontId="9"/>
  </si>
  <si>
    <t>茨城県北茨城市磯原町</t>
    <rPh sb="0" eb="3">
      <t>イバラキケン</t>
    </rPh>
    <rPh sb="3" eb="7">
      <t>キタイバラキシ</t>
    </rPh>
    <rPh sb="7" eb="9">
      <t>イソハラ</t>
    </rPh>
    <rPh sb="9" eb="10">
      <t>マチ</t>
    </rPh>
    <phoneticPr fontId="11"/>
  </si>
  <si>
    <t>ＪＸ金属（ユピノーグ）</t>
    <rPh sb="2" eb="4">
      <t>キンゾク</t>
    </rPh>
    <phoneticPr fontId="10"/>
  </si>
  <si>
    <t>福島県南相馬市</t>
    <rPh sb="0" eb="3">
      <t>フクシマケン</t>
    </rPh>
    <rPh sb="3" eb="6">
      <t>ミナミソウマ</t>
    </rPh>
    <rPh sb="6" eb="7">
      <t>シ</t>
    </rPh>
    <phoneticPr fontId="10"/>
  </si>
  <si>
    <t>十全　郡山</t>
    <rPh sb="0" eb="2">
      <t>ジュウゼン</t>
    </rPh>
    <rPh sb="3" eb="5">
      <t>コオリヤマ</t>
    </rPh>
    <phoneticPr fontId="10"/>
  </si>
  <si>
    <t>純正化学</t>
    <rPh sb="0" eb="2">
      <t>ジュンセイ</t>
    </rPh>
    <rPh sb="2" eb="4">
      <t>カガク</t>
    </rPh>
    <phoneticPr fontId="10"/>
  </si>
  <si>
    <t>茨城県北茨城市中郷</t>
    <rPh sb="0" eb="3">
      <t>イバラキケン</t>
    </rPh>
    <rPh sb="3" eb="7">
      <t>キタイバラキシ</t>
    </rPh>
    <rPh sb="7" eb="9">
      <t>ナカゴウ</t>
    </rPh>
    <phoneticPr fontId="11"/>
  </si>
  <si>
    <t>城北化学</t>
    <rPh sb="0" eb="2">
      <t>ジョウホク</t>
    </rPh>
    <rPh sb="2" eb="4">
      <t>カガク</t>
    </rPh>
    <phoneticPr fontId="10"/>
  </si>
  <si>
    <t xml:space="preserve">　
</t>
  </si>
  <si>
    <t>2回目</t>
    <rPh sb="1" eb="3">
      <t>カイメ</t>
    </rPh>
    <phoneticPr fontId="10"/>
  </si>
  <si>
    <t>常磐火力産業（勿来）</t>
    <rPh sb="0" eb="2">
      <t>ジョウバン</t>
    </rPh>
    <rPh sb="2" eb="4">
      <t>カリョク</t>
    </rPh>
    <rPh sb="4" eb="6">
      <t>サンギョウ</t>
    </rPh>
    <rPh sb="7" eb="9">
      <t>ナコソ</t>
    </rPh>
    <phoneticPr fontId="9"/>
  </si>
  <si>
    <t>白土プリント</t>
    <rPh sb="0" eb="2">
      <t>シラド</t>
    </rPh>
    <phoneticPr fontId="9"/>
  </si>
  <si>
    <t>茨城県ひたちなか市</t>
    <rPh sb="0" eb="3">
      <t>イバラキケン</t>
    </rPh>
    <rPh sb="8" eb="9">
      <t>シ</t>
    </rPh>
    <phoneticPr fontId="11"/>
  </si>
  <si>
    <t>城里衛生センター</t>
    <rPh sb="0" eb="2">
      <t>シロサト</t>
    </rPh>
    <rPh sb="2" eb="4">
      <t>エイセイ</t>
    </rPh>
    <phoneticPr fontId="10"/>
  </si>
  <si>
    <t>茨城県東茨城郡</t>
    <rPh sb="0" eb="3">
      <t>イバラキケン</t>
    </rPh>
    <rPh sb="3" eb="7">
      <t>ヒガシイバラキグン</t>
    </rPh>
    <phoneticPr fontId="10"/>
  </si>
  <si>
    <t>信越石英</t>
    <rPh sb="0" eb="4">
      <t>シンエツセキエイ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</si>
  <si>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3回目あり宵積あり
</t>
    </r>
    <rPh sb="2" eb="4">
      <t>カイメ</t>
    </rPh>
    <rPh sb="6" eb="8">
      <t>ヨイヅミ</t>
    </rPh>
    <phoneticPr fontId="9"/>
  </si>
  <si>
    <t>新菱（いわき）</t>
    <rPh sb="0" eb="2">
      <t>シンリョウ</t>
    </rPh>
    <phoneticPr fontId="10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</si>
  <si>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11"/>
  </si>
  <si>
    <t>(旧サイオクス半導体）</t>
    <rPh sb="1" eb="2">
      <t>キュウ</t>
    </rPh>
    <rPh sb="7" eb="10">
      <t>ハンドウタイ</t>
    </rPh>
    <phoneticPr fontId="10"/>
  </si>
  <si>
    <t>塩酸</t>
    <rPh sb="0" eb="2">
      <t>エンサン</t>
    </rPh>
    <phoneticPr fontId="10"/>
  </si>
  <si>
    <t>栃木県真岡市</t>
    <rPh sb="0" eb="3">
      <t>トチギケン</t>
    </rPh>
    <rPh sb="3" eb="5">
      <t>モオカ</t>
    </rPh>
    <rPh sb="5" eb="6">
      <t>シ</t>
    </rPh>
    <phoneticPr fontId="11"/>
  </si>
  <si>
    <t>常磐道（日立南太田IC～水戸IC）</t>
    <rPh sb="0" eb="3">
      <t>ジョウバンドウ</t>
    </rPh>
    <rPh sb="4" eb="7">
      <t>ヒタチミナミ</t>
    </rPh>
    <rPh sb="7" eb="9">
      <t>オオタ</t>
    </rPh>
    <rPh sb="12" eb="14">
      <t>ミト</t>
    </rPh>
    <phoneticPr fontId="10"/>
  </si>
  <si>
    <t>静光産業（福島）</t>
    <rPh sb="0" eb="1">
      <t>シズ</t>
    </rPh>
    <rPh sb="1" eb="2">
      <t>ヒカリ</t>
    </rPh>
    <rPh sb="2" eb="4">
      <t>サンギョウ</t>
    </rPh>
    <rPh sb="5" eb="7">
      <t>フクシマ</t>
    </rPh>
    <phoneticPr fontId="10"/>
  </si>
  <si>
    <t>福島県浪江</t>
    <rPh sb="0" eb="3">
      <t>フクシマケン</t>
    </rPh>
    <rPh sb="3" eb="5">
      <t>ナミエ</t>
    </rPh>
    <phoneticPr fontId="10"/>
  </si>
  <si>
    <t>宮城県宮城郡</t>
    <rPh sb="0" eb="3">
      <t>ミヤギケン</t>
    </rPh>
    <rPh sb="3" eb="6">
      <t>ミヤギグン</t>
    </rPh>
    <phoneticPr fontId="11"/>
  </si>
  <si>
    <t>大紀アルミニウム</t>
    <rPh sb="0" eb="2">
      <t>タイキ</t>
    </rPh>
    <phoneticPr fontId="9"/>
  </si>
  <si>
    <t>茨城県神栖市</t>
    <rPh sb="0" eb="3">
      <t>イバラキケン</t>
    </rPh>
    <rPh sb="3" eb="6">
      <t>カミスシ</t>
    </rPh>
    <phoneticPr fontId="10"/>
  </si>
  <si>
    <t>大建工業</t>
    <rPh sb="0" eb="4">
      <t>ダイケンコウギョウ</t>
    </rPh>
    <phoneticPr fontId="9"/>
  </si>
  <si>
    <t>中央化成</t>
    <rPh sb="0" eb="2">
      <t>チュウオウ</t>
    </rPh>
    <rPh sb="2" eb="4">
      <t>カセイ</t>
    </rPh>
    <phoneticPr fontId="9"/>
  </si>
  <si>
    <t>鶴見鋼管いわき</t>
    <rPh sb="0" eb="2">
      <t>ツルミ</t>
    </rPh>
    <rPh sb="2" eb="4">
      <t>コウカン</t>
    </rPh>
    <phoneticPr fontId="10"/>
  </si>
  <si>
    <t>デンソ－（岩手）</t>
    <rPh sb="5" eb="7">
      <t>イワテ</t>
    </rPh>
    <phoneticPr fontId="10"/>
  </si>
  <si>
    <t>岩手県胆沢郡</t>
    <rPh sb="0" eb="3">
      <t>イワテケン</t>
    </rPh>
    <rPh sb="3" eb="4">
      <t>タン</t>
    </rPh>
    <rPh sb="4" eb="5">
      <t>サワ</t>
    </rPh>
    <rPh sb="5" eb="6">
      <t>グン</t>
    </rPh>
    <phoneticPr fontId="10"/>
  </si>
  <si>
    <t>福島県相馬市</t>
    <rPh sb="0" eb="3">
      <t>フクシマケン</t>
    </rPh>
    <rPh sb="3" eb="5">
      <t>ソウマ</t>
    </rPh>
    <rPh sb="5" eb="6">
      <t>シ</t>
    </rPh>
    <phoneticPr fontId="11"/>
  </si>
  <si>
    <t>福島県広野市</t>
    <rPh sb="0" eb="3">
      <t>フクシマケン</t>
    </rPh>
    <rPh sb="3" eb="5">
      <t>ヒロノ</t>
    </rPh>
    <rPh sb="5" eb="6">
      <t>シ</t>
    </rPh>
    <phoneticPr fontId="11"/>
  </si>
  <si>
    <t>東新工業（いわき）</t>
    <rPh sb="0" eb="4">
      <t>トウシンコウギョウ</t>
    </rPh>
    <phoneticPr fontId="10"/>
  </si>
  <si>
    <t>東新工業（四倉）</t>
    <rPh sb="0" eb="4">
      <t>トウシンコウギョウ</t>
    </rPh>
    <rPh sb="5" eb="7">
      <t>ヨツクラ</t>
    </rPh>
    <phoneticPr fontId="10"/>
  </si>
  <si>
    <t>福島県岩瀬郡鏡石</t>
    <rPh sb="0" eb="3">
      <t>フクシマケン</t>
    </rPh>
    <rPh sb="3" eb="6">
      <t>イワセグン</t>
    </rPh>
    <rPh sb="6" eb="8">
      <t>カガミイシ</t>
    </rPh>
    <phoneticPr fontId="10"/>
  </si>
  <si>
    <t>常磐道（広野IC～南相馬IC）</t>
    <rPh sb="0" eb="3">
      <t>ジョウバンドウ</t>
    </rPh>
    <rPh sb="4" eb="6">
      <t>ヒロノ</t>
    </rPh>
    <rPh sb="9" eb="12">
      <t>ミナミソウマ</t>
    </rPh>
    <phoneticPr fontId="10"/>
  </si>
  <si>
    <t>栃木住友電工</t>
    <rPh sb="0" eb="2">
      <t>トチギ</t>
    </rPh>
    <rPh sb="2" eb="4">
      <t>スミトモ</t>
    </rPh>
    <rPh sb="4" eb="6">
      <t>デンコウ</t>
    </rPh>
    <phoneticPr fontId="9"/>
  </si>
  <si>
    <t>豊通リチウム</t>
    <rPh sb="0" eb="2">
      <t>トヨツウ</t>
    </rPh>
    <phoneticPr fontId="9"/>
  </si>
  <si>
    <t>茨城県龍ヶ崎市</t>
    <rPh sb="0" eb="3">
      <t>イバラキケン</t>
    </rPh>
    <rPh sb="3" eb="6">
      <t>リュウガサキ</t>
    </rPh>
    <rPh sb="6" eb="7">
      <t>シ</t>
    </rPh>
    <phoneticPr fontId="11"/>
  </si>
  <si>
    <t>常磐道(日立南太田IC）～圏央道(牛久阿見IC)</t>
    <rPh sb="0" eb="3">
      <t>ジョウバンドウ</t>
    </rPh>
    <rPh sb="4" eb="7">
      <t>ヒタチミナミ</t>
    </rPh>
    <rPh sb="7" eb="9">
      <t>オオタ</t>
    </rPh>
    <rPh sb="13" eb="16">
      <t>ケンオウドウ</t>
    </rPh>
    <rPh sb="17" eb="19">
      <t>ウシク</t>
    </rPh>
    <rPh sb="19" eb="21">
      <t>アミ</t>
    </rPh>
    <phoneticPr fontId="10"/>
  </si>
  <si>
    <t>福島県耶麻郡</t>
    <rPh sb="0" eb="3">
      <t>フクシマケン</t>
    </rPh>
    <rPh sb="3" eb="6">
      <t>ヤマグン</t>
    </rPh>
    <phoneticPr fontId="11"/>
  </si>
  <si>
    <t>ニッソーファイン（郡山）</t>
    <rPh sb="9" eb="11">
      <t>コオリヤマ</t>
    </rPh>
    <phoneticPr fontId="9"/>
  </si>
  <si>
    <t>福島県福島市</t>
    <rPh sb="0" eb="3">
      <t>フクシマケン</t>
    </rPh>
    <rPh sb="3" eb="5">
      <t>フクシマ</t>
    </rPh>
    <rPh sb="5" eb="6">
      <t>シ</t>
    </rPh>
    <phoneticPr fontId="11"/>
  </si>
  <si>
    <t>栃木県大田原市</t>
    <rPh sb="0" eb="3">
      <t>トチギケン</t>
    </rPh>
    <rPh sb="3" eb="7">
      <t>オオタワラシ</t>
    </rPh>
    <phoneticPr fontId="11"/>
  </si>
  <si>
    <t>日本海水</t>
    <rPh sb="0" eb="4">
      <t>ニホンカイスイ</t>
    </rPh>
    <phoneticPr fontId="10"/>
  </si>
  <si>
    <t>日本海水（積発）</t>
    <rPh sb="0" eb="4">
      <t>ニホンカイスイ</t>
    </rPh>
    <rPh sb="5" eb="7">
      <t>ツミハツ</t>
    </rPh>
    <phoneticPr fontId="10"/>
  </si>
  <si>
    <t>日本化学（第二）</t>
    <rPh sb="0" eb="4">
      <t>ニホンカガク</t>
    </rPh>
    <rPh sb="5" eb="7">
      <t>ダイニ</t>
    </rPh>
    <phoneticPr fontId="10"/>
  </si>
  <si>
    <t>福島県田村郡三春町</t>
    <rPh sb="0" eb="3">
      <t>フクシマケン</t>
    </rPh>
    <rPh sb="3" eb="6">
      <t>タムラグン</t>
    </rPh>
    <rPh sb="6" eb="9">
      <t>ミハルマチ</t>
    </rPh>
    <phoneticPr fontId="10"/>
  </si>
  <si>
    <t>日本化学（第二）（積発）</t>
    <rPh sb="0" eb="4">
      <t>ニホンカガク</t>
    </rPh>
    <rPh sb="5" eb="7">
      <t>ダイニ</t>
    </rPh>
    <rPh sb="9" eb="11">
      <t>ツミハツ</t>
    </rPh>
    <phoneticPr fontId="10"/>
  </si>
  <si>
    <t>日本化学産業</t>
    <rPh sb="0" eb="2">
      <t>ニホン</t>
    </rPh>
    <rPh sb="2" eb="4">
      <t>カガク</t>
    </rPh>
    <rPh sb="4" eb="6">
      <t>サンギョウ</t>
    </rPh>
    <phoneticPr fontId="9"/>
  </si>
  <si>
    <t>日本ケミコン（高萩）</t>
    <rPh sb="0" eb="2">
      <t>ニホン</t>
    </rPh>
    <rPh sb="7" eb="9">
      <t>タカハギ</t>
    </rPh>
    <phoneticPr fontId="10"/>
  </si>
  <si>
    <t>日本ケミコン（高萩）（積発）</t>
    <rPh sb="0" eb="2">
      <t>ニホン</t>
    </rPh>
    <rPh sb="7" eb="9">
      <t>タカハギ</t>
    </rPh>
    <rPh sb="11" eb="13">
      <t>ツミハツ</t>
    </rPh>
    <phoneticPr fontId="10"/>
  </si>
  <si>
    <t>日本工機（白河）</t>
    <rPh sb="0" eb="2">
      <t>ニホン</t>
    </rPh>
    <rPh sb="2" eb="4">
      <t>コウキ</t>
    </rPh>
    <rPh sb="5" eb="7">
      <t>シラカワ</t>
    </rPh>
    <phoneticPr fontId="9"/>
  </si>
  <si>
    <t>日本製紙（岩沼）</t>
    <rPh sb="0" eb="4">
      <t>ニホンセイシ</t>
    </rPh>
    <rPh sb="5" eb="7">
      <t>イワヌマ</t>
    </rPh>
    <phoneticPr fontId="9"/>
  </si>
  <si>
    <t>宮城県岩沼市</t>
    <rPh sb="0" eb="3">
      <t>ミヤギケン</t>
    </rPh>
    <rPh sb="3" eb="6">
      <t>イワヌマシ</t>
    </rPh>
    <phoneticPr fontId="11"/>
  </si>
  <si>
    <t>日本製紙（勿来）</t>
    <rPh sb="0" eb="4">
      <t>ニホンセイシ</t>
    </rPh>
    <rPh sb="5" eb="7">
      <t>ナコソ</t>
    </rPh>
    <phoneticPr fontId="9"/>
  </si>
  <si>
    <t>茨城県筑西市</t>
    <rPh sb="0" eb="3">
      <t>イバラキケン</t>
    </rPh>
    <rPh sb="3" eb="6">
      <t>チクセイシ</t>
    </rPh>
    <phoneticPr fontId="11"/>
  </si>
  <si>
    <t>常磐道（日立北IC～水戸IC）</t>
    <rPh sb="0" eb="3">
      <t>ジョウバンドウ</t>
    </rPh>
    <rPh sb="4" eb="6">
      <t>ヒタチ</t>
    </rPh>
    <rPh sb="6" eb="7">
      <t>キタ</t>
    </rPh>
    <rPh sb="10" eb="12">
      <t>ミト</t>
    </rPh>
    <phoneticPr fontId="10"/>
  </si>
  <si>
    <t>茨城県石岡市</t>
    <rPh sb="0" eb="3">
      <t>イバラキケン</t>
    </rPh>
    <rPh sb="3" eb="5">
      <t>イシオカ</t>
    </rPh>
    <rPh sb="5" eb="6">
      <t>シ</t>
    </rPh>
    <phoneticPr fontId="11"/>
  </si>
  <si>
    <t>常磐道（日立北IC～小美玉スマートIC）</t>
    <rPh sb="0" eb="3">
      <t>ジョウバンドウ</t>
    </rPh>
    <rPh sb="4" eb="6">
      <t>ヒタチ</t>
    </rPh>
    <rPh sb="6" eb="7">
      <t>キタ</t>
    </rPh>
    <rPh sb="10" eb="13">
      <t>オミタマ</t>
    </rPh>
    <phoneticPr fontId="10"/>
  </si>
  <si>
    <t>ネクセライズ小名浜</t>
    <rPh sb="6" eb="9">
      <t>オナハマ</t>
    </rPh>
    <phoneticPr fontId="9"/>
  </si>
  <si>
    <t>パナソニック</t>
  </si>
  <si>
    <t>栃木県日光市</t>
    <rPh sb="0" eb="2">
      <t>トチギ</t>
    </rPh>
    <rPh sb="2" eb="3">
      <t>ケン</t>
    </rPh>
    <rPh sb="3" eb="5">
      <t>ニッコウ</t>
    </rPh>
    <rPh sb="5" eb="6">
      <t>シ</t>
    </rPh>
    <phoneticPr fontId="10"/>
  </si>
  <si>
    <t>常磐道（日立北IC～</t>
    <rPh sb="0" eb="3">
      <t>ジョウバンドウ</t>
    </rPh>
    <rPh sb="4" eb="6">
      <t>ヒタチ</t>
    </rPh>
    <rPh sb="6" eb="7">
      <t>キタ</t>
    </rPh>
    <phoneticPr fontId="10"/>
  </si>
  <si>
    <t>福島県田村郡田村</t>
    <rPh sb="0" eb="3">
      <t>フクシマケン</t>
    </rPh>
    <rPh sb="3" eb="6">
      <t>タムラグン</t>
    </rPh>
    <rPh sb="6" eb="8">
      <t>タムラ</t>
    </rPh>
    <phoneticPr fontId="10"/>
  </si>
  <si>
    <t>ＡＭ</t>
  </si>
  <si>
    <t>福島キャノン</t>
    <rPh sb="0" eb="2">
      <t>フクシマ</t>
    </rPh>
    <phoneticPr fontId="9"/>
  </si>
  <si>
    <t>福島芝浦電子</t>
    <rPh sb="0" eb="2">
      <t>フクシマ</t>
    </rPh>
    <rPh sb="2" eb="4">
      <t>シバウラ</t>
    </rPh>
    <rPh sb="4" eb="6">
      <t>デンシ</t>
    </rPh>
    <phoneticPr fontId="10"/>
  </si>
  <si>
    <t>冨士シャフト</t>
    <rPh sb="0" eb="2">
      <t>フジ</t>
    </rPh>
    <phoneticPr fontId="9"/>
  </si>
  <si>
    <t>福島県二本松市</t>
    <rPh sb="0" eb="3">
      <t>フクシマケン</t>
    </rPh>
    <rPh sb="3" eb="6">
      <t>ニホンマツ</t>
    </rPh>
    <rPh sb="6" eb="7">
      <t>シ</t>
    </rPh>
    <phoneticPr fontId="11"/>
  </si>
  <si>
    <t>古河電池</t>
    <rPh sb="0" eb="2">
      <t>フルカワ</t>
    </rPh>
    <rPh sb="2" eb="4">
      <t>デンチ</t>
    </rPh>
    <phoneticPr fontId="10"/>
  </si>
  <si>
    <t>北越（勝田）</t>
    <rPh sb="0" eb="2">
      <t>ホクエツ</t>
    </rPh>
    <rPh sb="3" eb="5">
      <t>カツタ</t>
    </rPh>
    <phoneticPr fontId="9"/>
  </si>
  <si>
    <t>北越（新潟）</t>
    <rPh sb="0" eb="2">
      <t>ホクエツ</t>
    </rPh>
    <rPh sb="3" eb="5">
      <t>ニイガタ</t>
    </rPh>
    <phoneticPr fontId="10"/>
  </si>
  <si>
    <t>磐越道(三和IC～亀田IC）</t>
    <rPh sb="0" eb="2">
      <t>バンエツ</t>
    </rPh>
    <rPh sb="2" eb="3">
      <t>ドウ</t>
    </rPh>
    <rPh sb="4" eb="6">
      <t>ミワ</t>
    </rPh>
    <rPh sb="9" eb="11">
      <t>カメダ</t>
    </rPh>
    <phoneticPr fontId="10"/>
  </si>
  <si>
    <t>保土谷ロジ</t>
    <rPh sb="0" eb="3">
      <t>ホドガヤ</t>
    </rPh>
    <phoneticPr fontId="9"/>
  </si>
  <si>
    <t>味覚糖</t>
    <rPh sb="0" eb="3">
      <t>ミカクトウ</t>
    </rPh>
    <phoneticPr fontId="9"/>
  </si>
  <si>
    <t>三菱ケミカル（積発）</t>
    <rPh sb="0" eb="2">
      <t>ミツビシ</t>
    </rPh>
    <rPh sb="7" eb="9">
      <t>ツミハツ</t>
    </rPh>
    <phoneticPr fontId="10"/>
  </si>
  <si>
    <t>三星化学（積発）</t>
    <rPh sb="0" eb="4">
      <t>ミツボシカガク</t>
    </rPh>
    <rPh sb="5" eb="7">
      <t>ツミハツ</t>
    </rPh>
    <phoneticPr fontId="9"/>
  </si>
  <si>
    <t>光村印刷</t>
    <rPh sb="0" eb="4">
      <t>ミツムラインサツ</t>
    </rPh>
    <phoneticPr fontId="9"/>
  </si>
  <si>
    <t>立会い９：００～8：30に変更</t>
    <rPh sb="0" eb="2">
      <t>タチア</t>
    </rPh>
    <rPh sb="13" eb="15">
      <t>ヘンコウ</t>
    </rPh>
    <phoneticPr fontId="10"/>
  </si>
  <si>
    <t>ミネベアパワー（原町第一）</t>
    <rPh sb="8" eb="10">
      <t>ハラマチ</t>
    </rPh>
    <rPh sb="10" eb="12">
      <t>ダイイチ</t>
    </rPh>
    <phoneticPr fontId="9"/>
  </si>
  <si>
    <t>常磐道(広野IC～）</t>
    <rPh sb="0" eb="3">
      <t>ジョウバンドウ</t>
    </rPh>
    <rPh sb="4" eb="6">
      <t>ヒロノ</t>
    </rPh>
    <phoneticPr fontId="10"/>
  </si>
  <si>
    <t>ミネベアパワー（原町第二）</t>
    <rPh sb="8" eb="10">
      <t>ハラマチ</t>
    </rPh>
    <rPh sb="10" eb="12">
      <t>ダイニ</t>
    </rPh>
    <phoneticPr fontId="9"/>
  </si>
  <si>
    <t>磐越道(三和IC～）</t>
    <rPh sb="0" eb="3">
      <t>バンエツドウ</t>
    </rPh>
    <rPh sb="4" eb="6">
      <t>ミワ</t>
    </rPh>
    <phoneticPr fontId="10"/>
  </si>
  <si>
    <t>ユニマテック（積発）</t>
    <rPh sb="7" eb="9">
      <t>ツミハツ</t>
    </rPh>
    <phoneticPr fontId="10"/>
  </si>
  <si>
    <t>横関油脂</t>
    <rPh sb="0" eb="2">
      <t>ヨコゼキ</t>
    </rPh>
    <rPh sb="2" eb="4">
      <t>ユシ</t>
    </rPh>
    <phoneticPr fontId="10"/>
  </si>
  <si>
    <t>両毛化学</t>
    <rPh sb="0" eb="2">
      <t>リョウモウ</t>
    </rPh>
    <rPh sb="2" eb="4">
      <t>カガク</t>
    </rPh>
    <phoneticPr fontId="9"/>
  </si>
  <si>
    <t>栃木県足利市</t>
    <rPh sb="0" eb="3">
      <t>トチギケン</t>
    </rPh>
    <rPh sb="3" eb="6">
      <t>アシカガシ</t>
    </rPh>
    <phoneticPr fontId="11"/>
  </si>
  <si>
    <t>レゾナック東長原</t>
    <rPh sb="5" eb="8">
      <t>ヒガシナガハラ</t>
    </rPh>
    <phoneticPr fontId="9"/>
  </si>
  <si>
    <t>レゾナック東長原（積発）</t>
    <rPh sb="5" eb="8">
      <t>ヒガシナガハラ</t>
    </rPh>
    <rPh sb="9" eb="11">
      <t>ツミハツ</t>
    </rPh>
    <phoneticPr fontId="9"/>
  </si>
  <si>
    <t>車番</t>
    <rPh sb="0" eb="2">
      <t>シャバン</t>
    </rPh>
    <phoneticPr fontId="1"/>
  </si>
  <si>
    <t>乗務員</t>
    <rPh sb="0" eb="3">
      <t>ジョウムイン</t>
    </rPh>
    <phoneticPr fontId="1"/>
  </si>
  <si>
    <t>鵜沼</t>
    <rPh sb="0" eb="2">
      <t>ウヌマ</t>
    </rPh>
    <phoneticPr fontId="1"/>
  </si>
  <si>
    <t>齋藤</t>
    <rPh sb="0" eb="2">
      <t>サイトウ</t>
    </rPh>
    <phoneticPr fontId="1"/>
  </si>
  <si>
    <t>列1</t>
    <phoneticPr fontId="1"/>
  </si>
  <si>
    <t>列2</t>
    <phoneticPr fontId="1"/>
  </si>
  <si>
    <t>納入先名（略称）</t>
    <rPh sb="0" eb="3">
      <t>ノウニュウサキ</t>
    </rPh>
    <rPh sb="3" eb="4">
      <t>メイ</t>
    </rPh>
    <rPh sb="5" eb="7">
      <t>リャクショウ</t>
    </rPh>
    <phoneticPr fontId="35"/>
  </si>
  <si>
    <t>カナ順</t>
    <rPh sb="2" eb="3">
      <t>ジュン</t>
    </rPh>
    <phoneticPr fontId="35"/>
  </si>
  <si>
    <t>住所</t>
    <rPh sb="0" eb="2">
      <t>ジュウショ</t>
    </rPh>
    <phoneticPr fontId="35"/>
  </si>
  <si>
    <t>指定時間
（固定）</t>
    <rPh sb="0" eb="2">
      <t>シテイ</t>
    </rPh>
    <rPh sb="2" eb="4">
      <t>ジカン</t>
    </rPh>
    <rPh sb="6" eb="8">
      <t>コテイ</t>
    </rPh>
    <phoneticPr fontId="35"/>
  </si>
  <si>
    <t>出勤時間</t>
    <rPh sb="0" eb="2">
      <t>シュッキン</t>
    </rPh>
    <rPh sb="2" eb="4">
      <t>ジカン</t>
    </rPh>
    <phoneticPr fontId="35"/>
  </si>
  <si>
    <t>出発時間
（冬季）</t>
    <rPh sb="0" eb="2">
      <t>シュッパツ</t>
    </rPh>
    <rPh sb="2" eb="4">
      <t>ジカン</t>
    </rPh>
    <rPh sb="6" eb="8">
      <t>トウキ</t>
    </rPh>
    <phoneticPr fontId="35"/>
  </si>
  <si>
    <t>走行距離</t>
    <rPh sb="0" eb="2">
      <t>ソウコウ</t>
    </rPh>
    <rPh sb="2" eb="4">
      <t>キョリ</t>
    </rPh>
    <phoneticPr fontId="35"/>
  </si>
  <si>
    <t>条件</t>
    <rPh sb="0" eb="2">
      <t>ジョウケン</t>
    </rPh>
    <phoneticPr fontId="35"/>
  </si>
  <si>
    <t>ルート</t>
    <phoneticPr fontId="35"/>
  </si>
  <si>
    <t>高速ルート</t>
    <rPh sb="0" eb="2">
      <t>コウソク</t>
    </rPh>
    <phoneticPr fontId="35"/>
  </si>
  <si>
    <t>旧名</t>
    <rPh sb="0" eb="2">
      <t>キュウメイ</t>
    </rPh>
    <phoneticPr fontId="35"/>
  </si>
  <si>
    <t>備考</t>
    <rPh sb="0" eb="2">
      <t>ビコウ</t>
    </rPh>
    <phoneticPr fontId="35"/>
  </si>
  <si>
    <t>製品</t>
    <rPh sb="0" eb="2">
      <t>セイヒン</t>
    </rPh>
    <phoneticPr fontId="35"/>
  </si>
  <si>
    <t xml:space="preserve">　
</t>
    <phoneticPr fontId="37"/>
  </si>
  <si>
    <t>塩酸</t>
    <rPh sb="0" eb="2">
      <t>エンサン</t>
    </rPh>
    <phoneticPr fontId="35"/>
  </si>
  <si>
    <t>福島県相馬市</t>
    <rPh sb="0" eb="2">
      <t>フクシマ</t>
    </rPh>
    <rPh sb="2" eb="3">
      <t>ケン</t>
    </rPh>
    <rPh sb="3" eb="6">
      <t>ソウマシ</t>
    </rPh>
    <phoneticPr fontId="37"/>
  </si>
  <si>
    <t>ＡＭ</t>
    <phoneticPr fontId="37"/>
  </si>
  <si>
    <t>常磐道(広野IC)～</t>
    <rPh sb="0" eb="3">
      <t>ジョウバンドウ</t>
    </rPh>
    <rPh sb="4" eb="6">
      <t>ヒロノ</t>
    </rPh>
    <phoneticPr fontId="37"/>
  </si>
  <si>
    <t>千葉県市原市</t>
    <rPh sb="0" eb="3">
      <t>チバケン</t>
    </rPh>
    <rPh sb="3" eb="6">
      <t>イチハラシ</t>
    </rPh>
    <phoneticPr fontId="37"/>
  </si>
  <si>
    <t>常磐道(日立北IC)～</t>
    <rPh sb="0" eb="3">
      <t>ジョウバンドウ</t>
    </rPh>
    <rPh sb="4" eb="7">
      <t>ヒタチキタ</t>
    </rPh>
    <phoneticPr fontId="37"/>
  </si>
  <si>
    <t>ＪＸ金属（磯原）</t>
    <rPh sb="2" eb="4">
      <t>キンゾク</t>
    </rPh>
    <rPh sb="5" eb="7">
      <t>イソハラ</t>
    </rPh>
    <phoneticPr fontId="35"/>
  </si>
  <si>
    <t>ＪＸ金属（キレート）</t>
    <rPh sb="2" eb="4">
      <t>キンゾク</t>
    </rPh>
    <phoneticPr fontId="35"/>
  </si>
  <si>
    <t>ＪＸ金属（圧延）</t>
    <rPh sb="2" eb="4">
      <t>キンゾク</t>
    </rPh>
    <rPh sb="5" eb="7">
      <t>アツエン</t>
    </rPh>
    <phoneticPr fontId="35"/>
  </si>
  <si>
    <t>NCテック(新潟)</t>
    <rPh sb="6" eb="8">
      <t>ニイガタ</t>
    </rPh>
    <phoneticPr fontId="37"/>
  </si>
  <si>
    <t>新潟県北蒲原郡</t>
    <rPh sb="0" eb="3">
      <t>ニイガタケン</t>
    </rPh>
    <rPh sb="3" eb="7">
      <t>キタカンバラグン</t>
    </rPh>
    <phoneticPr fontId="37"/>
  </si>
  <si>
    <t>1回配送のみ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7"/>
  </si>
  <si>
    <t>磐越道(三和IC)～</t>
    <rPh sb="0" eb="3">
      <t>バンエツドウ</t>
    </rPh>
    <rPh sb="4" eb="6">
      <t>ミワ</t>
    </rPh>
    <phoneticPr fontId="37"/>
  </si>
  <si>
    <t>新潟県新発田市</t>
    <rPh sb="0" eb="3">
      <t>ニイガタケン</t>
    </rPh>
    <rPh sb="3" eb="7">
      <t>シバタシ</t>
    </rPh>
    <phoneticPr fontId="37"/>
  </si>
  <si>
    <t>宮城県遠田郡</t>
    <rPh sb="0" eb="3">
      <t>ミヤギケン</t>
    </rPh>
    <rPh sb="3" eb="6">
      <t>トオダグン</t>
    </rPh>
    <phoneticPr fontId="37"/>
  </si>
  <si>
    <t>いわき大王製紙</t>
    <rPh sb="3" eb="7">
      <t>ダイオウセイシ</t>
    </rPh>
    <phoneticPr fontId="35"/>
  </si>
  <si>
    <t>福島県いわき市小名浜</t>
    <rPh sb="0" eb="2">
      <t>フクシマ</t>
    </rPh>
    <rPh sb="2" eb="3">
      <t>ケン</t>
    </rPh>
    <rPh sb="6" eb="7">
      <t>シ</t>
    </rPh>
    <rPh sb="7" eb="10">
      <t>オナハマ</t>
    </rPh>
    <phoneticPr fontId="37"/>
  </si>
  <si>
    <t>エフオン（白河）</t>
    <rPh sb="5" eb="7">
      <t>シラカワ</t>
    </rPh>
    <phoneticPr fontId="35"/>
  </si>
  <si>
    <t>大阪シーリング（那須）</t>
    <rPh sb="0" eb="2">
      <t>オオサカ</t>
    </rPh>
    <rPh sb="8" eb="10">
      <t>ナス</t>
    </rPh>
    <phoneticPr fontId="37"/>
  </si>
  <si>
    <t>栃木県那須塩原市</t>
    <rPh sb="0" eb="3">
      <t>トチギケン</t>
    </rPh>
    <rPh sb="3" eb="7">
      <t>ナスシオバラ</t>
    </rPh>
    <rPh sb="7" eb="8">
      <t>シ</t>
    </rPh>
    <phoneticPr fontId="37"/>
  </si>
  <si>
    <t>茨城県神栖市</t>
    <rPh sb="0" eb="3">
      <t>イバラキケン</t>
    </rPh>
    <rPh sb="3" eb="5">
      <t>カミス</t>
    </rPh>
    <rPh sb="5" eb="6">
      <t>シ</t>
    </rPh>
    <phoneticPr fontId="37"/>
  </si>
  <si>
    <t>ＰＭ</t>
    <phoneticPr fontId="37"/>
  </si>
  <si>
    <t>カシマキタョウ</t>
    <phoneticPr fontId="35"/>
  </si>
  <si>
    <t>茨城県日立市</t>
    <rPh sb="0" eb="3">
      <t>イバラキケン</t>
    </rPh>
    <rPh sb="3" eb="6">
      <t>ヒタチシ</t>
    </rPh>
    <phoneticPr fontId="37"/>
  </si>
  <si>
    <t>北日本工業</t>
    <rPh sb="0" eb="1">
      <t>キタ</t>
    </rPh>
    <rPh sb="1" eb="3">
      <t>ニホン</t>
    </rPh>
    <rPh sb="3" eb="5">
      <t>コウギョウ</t>
    </rPh>
    <phoneticPr fontId="37"/>
  </si>
  <si>
    <t>宮城県加美町</t>
    <rPh sb="0" eb="3">
      <t>ミヤギケン</t>
    </rPh>
    <rPh sb="3" eb="5">
      <t>カミ</t>
    </rPh>
    <rPh sb="5" eb="6">
      <t>マチ</t>
    </rPh>
    <phoneticPr fontId="37"/>
  </si>
  <si>
    <t>茨城県岩間市</t>
    <rPh sb="0" eb="3">
      <t>イバラキケン</t>
    </rPh>
    <rPh sb="3" eb="5">
      <t>イワマ</t>
    </rPh>
    <rPh sb="5" eb="6">
      <t>シ</t>
    </rPh>
    <phoneticPr fontId="37"/>
  </si>
  <si>
    <t>2回目配送あり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7"/>
  </si>
  <si>
    <t>新潟県胆内市</t>
    <rPh sb="0" eb="3">
      <t>ニイガタケン</t>
    </rPh>
    <rPh sb="3" eb="4">
      <t>タン</t>
    </rPh>
    <rPh sb="4" eb="5">
      <t>ナイ</t>
    </rPh>
    <rPh sb="5" eb="6">
      <t>シ</t>
    </rPh>
    <phoneticPr fontId="37"/>
  </si>
  <si>
    <t>2回配送のみ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7"/>
  </si>
  <si>
    <t>クレハ環境</t>
    <rPh sb="3" eb="5">
      <t>カンキョウ</t>
    </rPh>
    <phoneticPr fontId="35"/>
  </si>
  <si>
    <t>福島県いわき市</t>
    <rPh sb="0" eb="2">
      <t>フクシマ</t>
    </rPh>
    <rPh sb="2" eb="3">
      <t>ケン</t>
    </rPh>
    <rPh sb="6" eb="7">
      <t>シ</t>
    </rPh>
    <phoneticPr fontId="37"/>
  </si>
  <si>
    <t>クレハ樹脂加工（茨城）</t>
    <rPh sb="3" eb="5">
      <t>ジュシ</t>
    </rPh>
    <rPh sb="5" eb="7">
      <t>カコウ</t>
    </rPh>
    <rPh sb="8" eb="10">
      <t>イバラキ</t>
    </rPh>
    <phoneticPr fontId="35"/>
  </si>
  <si>
    <t>茨城県小美玉市</t>
    <rPh sb="0" eb="3">
      <t>イバラキケン</t>
    </rPh>
    <rPh sb="3" eb="7">
      <t>オミタマシ</t>
    </rPh>
    <phoneticPr fontId="35"/>
  </si>
  <si>
    <t>桑名商事（真岡）</t>
    <rPh sb="0" eb="2">
      <t>クワナ</t>
    </rPh>
    <rPh sb="2" eb="4">
      <t>ショウジ</t>
    </rPh>
    <rPh sb="5" eb="7">
      <t>モオカ</t>
    </rPh>
    <phoneticPr fontId="35"/>
  </si>
  <si>
    <t>栃木県真岡市寺内</t>
    <rPh sb="0" eb="3">
      <t>トチギケン</t>
    </rPh>
    <rPh sb="3" eb="6">
      <t>モオカシ</t>
    </rPh>
    <rPh sb="6" eb="8">
      <t>テラウチ</t>
    </rPh>
    <phoneticPr fontId="35"/>
  </si>
  <si>
    <t>福島県喜多方市</t>
    <rPh sb="0" eb="2">
      <t>フクシマ</t>
    </rPh>
    <rPh sb="2" eb="3">
      <t>ケン</t>
    </rPh>
    <rPh sb="3" eb="7">
      <t>キタカタシ</t>
    </rPh>
    <phoneticPr fontId="37"/>
  </si>
  <si>
    <r>
      <rPr>
        <sz val="11"/>
        <color theme="1"/>
        <rFont val="ＭＳ Ｐゴシック"/>
        <family val="3"/>
        <charset val="128"/>
        <scheme val="minor"/>
      </rPr>
      <t>国道6号､245号､５１号</t>
    </r>
    <r>
      <rPr>
        <sz val="10"/>
        <color theme="1"/>
        <rFont val="ＭＳ Ｐゴシック"/>
        <family val="2"/>
        <charset val="128"/>
        <scheme val="minor"/>
      </rPr>
      <t xml:space="preserve">
</t>
    </r>
    <r>
      <rPr>
        <sz val="11"/>
        <color theme="1"/>
        <rFont val="ＭＳ Ｐゴシック"/>
        <family val="3"/>
        <charset val="128"/>
        <scheme val="minor"/>
      </rPr>
      <t>東関東道（潮来IC)～</t>
    </r>
    <r>
      <rPr>
        <sz val="10"/>
        <color theme="1"/>
        <rFont val="ＭＳ Ｐゴシック"/>
        <family val="2"/>
        <charset val="128"/>
        <scheme val="minor"/>
      </rPr>
      <t xml:space="preserve">
</t>
    </r>
    <rPh sb="0" eb="2">
      <t>コクドウ</t>
    </rPh>
    <rPh sb="3" eb="4">
      <t>ゴウ</t>
    </rPh>
    <rPh sb="8" eb="9">
      <t>ゴウ</t>
    </rPh>
    <rPh sb="12" eb="13">
      <t>ゴウ</t>
    </rPh>
    <rPh sb="14" eb="15">
      <t>ヒガシ</t>
    </rPh>
    <rPh sb="15" eb="17">
      <t>カントウ</t>
    </rPh>
    <rPh sb="17" eb="18">
      <t>ドウ</t>
    </rPh>
    <rPh sb="19" eb="21">
      <t>イタコ</t>
    </rPh>
    <phoneticPr fontId="37"/>
  </si>
  <si>
    <t>東関東道（潮来IC)～</t>
    <rPh sb="0" eb="1">
      <t>ヒガシ</t>
    </rPh>
    <rPh sb="1" eb="3">
      <t>カントウ</t>
    </rPh>
    <rPh sb="3" eb="4">
      <t>ドウ</t>
    </rPh>
    <rPh sb="5" eb="7">
      <t>イタコ</t>
    </rPh>
    <phoneticPr fontId="37"/>
  </si>
  <si>
    <t>宵積あり</t>
    <rPh sb="0" eb="1">
      <t>ヅ</t>
    </rPh>
    <phoneticPr fontId="37"/>
  </si>
  <si>
    <t>群馬県邑楽郡</t>
    <rPh sb="0" eb="3">
      <t>グンマケン</t>
    </rPh>
    <rPh sb="3" eb="6">
      <t>オウラグン</t>
    </rPh>
    <phoneticPr fontId="37"/>
  </si>
  <si>
    <t>常磐道(日立北～桜筑西）</t>
    <rPh sb="0" eb="3">
      <t>ジョウバンドウ</t>
    </rPh>
    <rPh sb="4" eb="6">
      <t>ヒタチ</t>
    </rPh>
    <rPh sb="6" eb="7">
      <t>キタ</t>
    </rPh>
    <rPh sb="8" eb="9">
      <t>サクラ</t>
    </rPh>
    <rPh sb="9" eb="11">
      <t>チクセイ</t>
    </rPh>
    <phoneticPr fontId="37"/>
  </si>
  <si>
    <t>群馬県伊勢崎市</t>
    <rPh sb="0" eb="3">
      <t>グンマケン</t>
    </rPh>
    <rPh sb="3" eb="7">
      <t>イセサキシ</t>
    </rPh>
    <phoneticPr fontId="37"/>
  </si>
  <si>
    <t>コンクリートコーリング</t>
    <phoneticPr fontId="35"/>
  </si>
  <si>
    <t>福島県いわき市泉町</t>
    <rPh sb="0" eb="2">
      <t>フクシマ</t>
    </rPh>
    <rPh sb="2" eb="3">
      <t>ケン</t>
    </rPh>
    <rPh sb="6" eb="7">
      <t>シ</t>
    </rPh>
    <rPh sb="7" eb="8">
      <t>イズミ</t>
    </rPh>
    <rPh sb="8" eb="9">
      <t>マチ</t>
    </rPh>
    <phoneticPr fontId="37"/>
  </si>
  <si>
    <t>新潟県燕市</t>
    <rPh sb="0" eb="3">
      <t>ニイガタケン</t>
    </rPh>
    <rPh sb="3" eb="5">
      <t>ツバメシ</t>
    </rPh>
    <phoneticPr fontId="37"/>
  </si>
  <si>
    <t>堺（小名浜）</t>
    <rPh sb="0" eb="1">
      <t>サカイ</t>
    </rPh>
    <rPh sb="2" eb="5">
      <t>オナハマ</t>
    </rPh>
    <phoneticPr fontId="35"/>
  </si>
  <si>
    <t>昭和産業(鹿島）</t>
    <rPh sb="0" eb="4">
      <t>ショウワサンギョウ</t>
    </rPh>
    <rPh sb="5" eb="7">
      <t>カシマ</t>
    </rPh>
    <phoneticPr fontId="37"/>
  </si>
  <si>
    <t>常磐共同火力</t>
    <rPh sb="0" eb="2">
      <t>ジョウバン</t>
    </rPh>
    <rPh sb="2" eb="4">
      <t>キョウドウ</t>
    </rPh>
    <rPh sb="4" eb="6">
      <t>カリョク</t>
    </rPh>
    <phoneticPr fontId="35"/>
  </si>
  <si>
    <t>福島県いわき市</t>
    <rPh sb="0" eb="2">
      <t>フクシマ</t>
    </rPh>
    <rPh sb="2" eb="3">
      <t>ケン</t>
    </rPh>
    <rPh sb="6" eb="7">
      <t>シ</t>
    </rPh>
    <phoneticPr fontId="35"/>
  </si>
  <si>
    <t>福島県南郡山市</t>
    <rPh sb="0" eb="2">
      <t>フクシマ</t>
    </rPh>
    <rPh sb="2" eb="3">
      <t>ケン</t>
    </rPh>
    <rPh sb="3" eb="4">
      <t>ミナミ</t>
    </rPh>
    <rPh sb="4" eb="6">
      <t>コオリヤマ</t>
    </rPh>
    <rPh sb="6" eb="7">
      <t>シ</t>
    </rPh>
    <phoneticPr fontId="37"/>
  </si>
  <si>
    <t>(旧小名浜蒸留）</t>
    <rPh sb="1" eb="2">
      <t>キュウ</t>
    </rPh>
    <rPh sb="2" eb="5">
      <t>オナハマ</t>
    </rPh>
    <rPh sb="5" eb="7">
      <t>ジョウリュウ</t>
    </rPh>
    <phoneticPr fontId="35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</si>
  <si>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37"/>
  </si>
  <si>
    <t>(旧サイオクス半導体）</t>
    <rPh sb="1" eb="2">
      <t>キュウ</t>
    </rPh>
    <rPh sb="7" eb="10">
      <t>ハンドウタイ</t>
    </rPh>
    <phoneticPr fontId="35"/>
  </si>
  <si>
    <t>宮城県宮城郡</t>
    <rPh sb="0" eb="3">
      <t>ミヤギケン</t>
    </rPh>
    <rPh sb="3" eb="6">
      <t>ミヤギグン</t>
    </rPh>
    <phoneticPr fontId="37"/>
  </si>
  <si>
    <t>2回目無し</t>
    <rPh sb="1" eb="3">
      <t>カイメ</t>
    </rPh>
    <rPh sb="3" eb="4">
      <t>ナ</t>
    </rPh>
    <phoneticPr fontId="37"/>
  </si>
  <si>
    <t>大昌電子(栃木）</t>
    <rPh sb="0" eb="1">
      <t>ダイ</t>
    </rPh>
    <rPh sb="1" eb="2">
      <t>ショウ</t>
    </rPh>
    <rPh sb="2" eb="4">
      <t>デンシ</t>
    </rPh>
    <rPh sb="5" eb="7">
      <t>トチギ</t>
    </rPh>
    <phoneticPr fontId="37"/>
  </si>
  <si>
    <t>栃木県日光市</t>
    <rPh sb="0" eb="3">
      <t>トチギケン</t>
    </rPh>
    <rPh sb="3" eb="6">
      <t>ニッコウシ</t>
    </rPh>
    <phoneticPr fontId="37"/>
  </si>
  <si>
    <t>東京都東村山市</t>
    <rPh sb="0" eb="3">
      <t>トウキョウト</t>
    </rPh>
    <rPh sb="3" eb="7">
      <t>ヒガシムラヤマシ</t>
    </rPh>
    <phoneticPr fontId="37"/>
  </si>
  <si>
    <t>多木化学（千葉）</t>
    <rPh sb="0" eb="4">
      <t>タキカガク</t>
    </rPh>
    <rPh sb="5" eb="7">
      <t>チバ</t>
    </rPh>
    <phoneticPr fontId="37"/>
  </si>
  <si>
    <r>
      <t>　</t>
    </r>
    <r>
      <rPr>
        <sz val="18"/>
        <color theme="1"/>
        <rFont val="ＭＳ Ｐゴシック"/>
        <family val="3"/>
        <charset val="128"/>
        <scheme val="minor"/>
      </rPr>
      <t xml:space="preserve">
</t>
    </r>
    <phoneticPr fontId="37"/>
  </si>
  <si>
    <t>鶴見鋼管（いわき）</t>
    <rPh sb="0" eb="2">
      <t>ツルミ</t>
    </rPh>
    <rPh sb="2" eb="4">
      <t>コウカン</t>
    </rPh>
    <phoneticPr fontId="35"/>
  </si>
  <si>
    <t>福島県いわき市</t>
    <rPh sb="0" eb="3">
      <t>フクシマケン</t>
    </rPh>
    <rPh sb="6" eb="7">
      <t>シ</t>
    </rPh>
    <phoneticPr fontId="35"/>
  </si>
  <si>
    <t>東京色材工業</t>
    <rPh sb="0" eb="2">
      <t>トウキョウ</t>
    </rPh>
    <rPh sb="2" eb="4">
      <t>シキザイ</t>
    </rPh>
    <rPh sb="4" eb="6">
      <t>コウギョウ</t>
    </rPh>
    <phoneticPr fontId="35"/>
  </si>
  <si>
    <t>埼玉県八潮市</t>
    <rPh sb="0" eb="3">
      <t>サイタマケン</t>
    </rPh>
    <rPh sb="3" eb="6">
      <t>ヤシオシ</t>
    </rPh>
    <phoneticPr fontId="37"/>
  </si>
  <si>
    <t>(2回目ケミコン)国道6号～那珂IC～三郷IC～8：40着</t>
    <rPh sb="2" eb="4">
      <t>カイメ</t>
    </rPh>
    <rPh sb="9" eb="11">
      <t>コクドウ</t>
    </rPh>
    <rPh sb="12" eb="13">
      <t>ゴウ</t>
    </rPh>
    <rPh sb="14" eb="16">
      <t>ナカ</t>
    </rPh>
    <rPh sb="19" eb="21">
      <t>ミサト</t>
    </rPh>
    <rPh sb="28" eb="29">
      <t>チャク</t>
    </rPh>
    <phoneticPr fontId="35"/>
  </si>
  <si>
    <t>常磐道(那珂IC)～</t>
    <rPh sb="0" eb="3">
      <t>ジョウバンドウ</t>
    </rPh>
    <rPh sb="4" eb="6">
      <t>ナカ</t>
    </rPh>
    <phoneticPr fontId="37"/>
  </si>
  <si>
    <t>東邦亜鉛</t>
    <rPh sb="0" eb="2">
      <t>トウホウ</t>
    </rPh>
    <rPh sb="2" eb="4">
      <t>アエン</t>
    </rPh>
    <phoneticPr fontId="35"/>
  </si>
  <si>
    <t>トヨツウリチウム</t>
    <phoneticPr fontId="35"/>
  </si>
  <si>
    <t>国道6号線～常磐線(千代田石岡IC)～谷田部東PA(休憩)～圏央道(牛久阿見IC)～県道48号線～国道408号線</t>
    <rPh sb="0" eb="2">
      <t>コクドウ</t>
    </rPh>
    <rPh sb="3" eb="5">
      <t>ゴウセン</t>
    </rPh>
    <rPh sb="6" eb="9">
      <t>ジョウバンセン</t>
    </rPh>
    <rPh sb="10" eb="13">
      <t>チヨダ</t>
    </rPh>
    <rPh sb="13" eb="15">
      <t>イシオカ</t>
    </rPh>
    <rPh sb="19" eb="22">
      <t>ヤタベ</t>
    </rPh>
    <rPh sb="22" eb="23">
      <t>ヒガシ</t>
    </rPh>
    <rPh sb="26" eb="28">
      <t>キュウケイ</t>
    </rPh>
    <rPh sb="30" eb="33">
      <t>ケンオウドウ</t>
    </rPh>
    <rPh sb="34" eb="36">
      <t>ウシク</t>
    </rPh>
    <rPh sb="36" eb="38">
      <t>アミ</t>
    </rPh>
    <rPh sb="42" eb="44">
      <t>ケンドウ</t>
    </rPh>
    <rPh sb="46" eb="48">
      <t>ゴウセン</t>
    </rPh>
    <rPh sb="49" eb="51">
      <t>コクドウ</t>
    </rPh>
    <rPh sb="54" eb="56">
      <t>ゴウセン</t>
    </rPh>
    <phoneticPr fontId="35"/>
  </si>
  <si>
    <t>常磐道(千代田石岡IC)～圏央道(牛久阿見IC)</t>
    <rPh sb="0" eb="3">
      <t>ジョウバンドウ</t>
    </rPh>
    <rPh sb="4" eb="7">
      <t>チヨダ</t>
    </rPh>
    <rPh sb="7" eb="9">
      <t>イシオカ</t>
    </rPh>
    <rPh sb="13" eb="16">
      <t>ケンオウドウ</t>
    </rPh>
    <rPh sb="17" eb="19">
      <t>ウシク</t>
    </rPh>
    <rPh sb="19" eb="21">
      <t>アミ</t>
    </rPh>
    <phoneticPr fontId="37"/>
  </si>
  <si>
    <t>ニッソーファイン（茨城）</t>
    <rPh sb="9" eb="11">
      <t>イバラキ</t>
    </rPh>
    <phoneticPr fontId="35"/>
  </si>
  <si>
    <t>ニッソーファイン（いわき）</t>
    <phoneticPr fontId="35"/>
  </si>
  <si>
    <t>日特（いわき）</t>
    <rPh sb="0" eb="2">
      <t>ニットク</t>
    </rPh>
    <phoneticPr fontId="35"/>
  </si>
  <si>
    <t>積発</t>
    <rPh sb="0" eb="2">
      <t>ツミハツ</t>
    </rPh>
    <phoneticPr fontId="35"/>
  </si>
  <si>
    <t>日本化学産業（広野）</t>
    <rPh sb="0" eb="2">
      <t>ニホン</t>
    </rPh>
    <rPh sb="2" eb="4">
      <t>カガク</t>
    </rPh>
    <rPh sb="4" eb="6">
      <t>サンギョウ</t>
    </rPh>
    <rPh sb="7" eb="9">
      <t>ヒロノ</t>
    </rPh>
    <phoneticPr fontId="35"/>
  </si>
  <si>
    <t>福島県双葉郡広野町</t>
    <rPh sb="0" eb="3">
      <t>フクシマケン</t>
    </rPh>
    <rPh sb="3" eb="6">
      <t>フタバグン</t>
    </rPh>
    <rPh sb="6" eb="9">
      <t>ヒロノマチ</t>
    </rPh>
    <phoneticPr fontId="35"/>
  </si>
  <si>
    <t>群馬県高崎市</t>
    <rPh sb="0" eb="3">
      <t>グンマケン</t>
    </rPh>
    <rPh sb="3" eb="5">
      <t>タカサキ</t>
    </rPh>
    <rPh sb="5" eb="6">
      <t>シ</t>
    </rPh>
    <phoneticPr fontId="37"/>
  </si>
  <si>
    <t>日本ケミコン(新潟）</t>
    <rPh sb="0" eb="2">
      <t>ニホン</t>
    </rPh>
    <rPh sb="7" eb="9">
      <t>ニイガタ</t>
    </rPh>
    <phoneticPr fontId="37"/>
  </si>
  <si>
    <t>日本ｻｰﾌｧｸﾀﾝﾄ（那須）</t>
    <rPh sb="0" eb="2">
      <t>ニホン</t>
    </rPh>
    <rPh sb="11" eb="13">
      <t>ナス</t>
    </rPh>
    <phoneticPr fontId="37"/>
  </si>
  <si>
    <t>栃木県大田原市</t>
    <rPh sb="0" eb="3">
      <t>トチギケン</t>
    </rPh>
    <rPh sb="3" eb="7">
      <t>オオタワラシ</t>
    </rPh>
    <phoneticPr fontId="37"/>
  </si>
  <si>
    <t>日本色材（いわき）</t>
    <rPh sb="0" eb="2">
      <t>ニホン</t>
    </rPh>
    <rPh sb="2" eb="4">
      <t>シキザイ</t>
    </rPh>
    <phoneticPr fontId="35"/>
  </si>
  <si>
    <t>宮城県石巻市</t>
    <rPh sb="0" eb="3">
      <t>ミヤギケン</t>
    </rPh>
    <rPh sb="3" eb="6">
      <t>イシノマキシ</t>
    </rPh>
    <phoneticPr fontId="37"/>
  </si>
  <si>
    <t>日本製鉄（鹿島）</t>
    <rPh sb="0" eb="4">
      <t>ニホンセイテツ</t>
    </rPh>
    <rPh sb="5" eb="7">
      <t>カシマ</t>
    </rPh>
    <phoneticPr fontId="37"/>
  </si>
  <si>
    <t>茨城県鹿島市</t>
    <rPh sb="0" eb="3">
      <t>イバラキケン</t>
    </rPh>
    <rPh sb="3" eb="5">
      <t>カシマ</t>
    </rPh>
    <rPh sb="5" eb="6">
      <t>シ</t>
    </rPh>
    <phoneticPr fontId="37"/>
  </si>
  <si>
    <t>日本電解(下館）</t>
    <rPh sb="0" eb="4">
      <t>ニホンデンカイ</t>
    </rPh>
    <rPh sb="5" eb="7">
      <t>シモダテ</t>
    </rPh>
    <phoneticPr fontId="37"/>
  </si>
  <si>
    <t>茨城県筑西市市</t>
    <rPh sb="0" eb="3">
      <t>イバラキケン</t>
    </rPh>
    <rPh sb="3" eb="6">
      <t>チクセイシ</t>
    </rPh>
    <rPh sb="6" eb="7">
      <t>シ</t>
    </rPh>
    <phoneticPr fontId="37"/>
  </si>
  <si>
    <t>早川器械(日光）</t>
    <rPh sb="0" eb="2">
      <t>ハヤカワ</t>
    </rPh>
    <rPh sb="2" eb="4">
      <t>キカイ</t>
    </rPh>
    <rPh sb="5" eb="7">
      <t>ニッコウ</t>
    </rPh>
    <phoneticPr fontId="37"/>
  </si>
  <si>
    <t>丸善石油（千葉）</t>
    <rPh sb="0" eb="4">
      <t>マルゼンセキユ</t>
    </rPh>
    <rPh sb="5" eb="7">
      <t>チバ</t>
    </rPh>
    <phoneticPr fontId="37"/>
  </si>
  <si>
    <t>ミツエイ</t>
    <phoneticPr fontId="35"/>
  </si>
  <si>
    <t>三菱原子燃料</t>
    <rPh sb="0" eb="2">
      <t>ミツビシ</t>
    </rPh>
    <rPh sb="2" eb="4">
      <t>ゲンシ</t>
    </rPh>
    <rPh sb="4" eb="6">
      <t>ネンリョウ</t>
    </rPh>
    <phoneticPr fontId="35"/>
  </si>
  <si>
    <t>光村印刷(那須）</t>
    <rPh sb="0" eb="2">
      <t>ミツムラ</t>
    </rPh>
    <rPh sb="2" eb="4">
      <t>インサツ</t>
    </rPh>
    <rPh sb="5" eb="7">
      <t>ナス</t>
    </rPh>
    <phoneticPr fontId="37"/>
  </si>
  <si>
    <t>群馬県太田市</t>
    <rPh sb="0" eb="3">
      <t>グンマケン</t>
    </rPh>
    <rPh sb="3" eb="6">
      <t>オオタシ</t>
    </rPh>
    <phoneticPr fontId="37"/>
  </si>
  <si>
    <t>　　3:30</t>
    <phoneticPr fontId="37"/>
  </si>
  <si>
    <t>磐越道(日立北IC)～</t>
    <rPh sb="0" eb="3">
      <t>バンエツドウ</t>
    </rPh>
    <rPh sb="4" eb="7">
      <t>ヒタチキタ</t>
    </rPh>
    <phoneticPr fontId="37"/>
  </si>
  <si>
    <t>有機合成</t>
    <rPh sb="0" eb="4">
      <t>ユウキゴウセイ</t>
    </rPh>
    <phoneticPr fontId="37"/>
  </si>
  <si>
    <t>千葉県野田市</t>
    <rPh sb="0" eb="3">
      <t>チバケン</t>
    </rPh>
    <rPh sb="3" eb="5">
      <t>ノダ</t>
    </rPh>
    <rPh sb="5" eb="6">
      <t>シ</t>
    </rPh>
    <phoneticPr fontId="37"/>
  </si>
  <si>
    <t>3回目配送あり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7"/>
  </si>
  <si>
    <t>宮城県大崎市</t>
    <rPh sb="0" eb="3">
      <t>ミヤギケン</t>
    </rPh>
    <rPh sb="3" eb="6">
      <t>オオサキシ</t>
    </rPh>
    <phoneticPr fontId="37"/>
  </si>
  <si>
    <t>ルネサス(米沢）</t>
    <rPh sb="5" eb="7">
      <t>ヨネザワ</t>
    </rPh>
    <phoneticPr fontId="37"/>
  </si>
  <si>
    <t>山形県米沢市</t>
    <rPh sb="0" eb="3">
      <t>ヤマガタケン</t>
    </rPh>
    <rPh sb="3" eb="6">
      <t>ヨネザワシ</t>
    </rPh>
    <phoneticPr fontId="37"/>
  </si>
  <si>
    <t>レゾナック（川崎）</t>
    <rPh sb="6" eb="8">
      <t>カワサキ</t>
    </rPh>
    <phoneticPr fontId="37"/>
  </si>
  <si>
    <t>神奈川県川崎市</t>
    <rPh sb="0" eb="7">
      <t>カナガワケンカワサキシ</t>
    </rPh>
    <phoneticPr fontId="37"/>
  </si>
  <si>
    <t>列1</t>
    <phoneticPr fontId="1"/>
  </si>
  <si>
    <t>列2</t>
    <phoneticPr fontId="1"/>
  </si>
  <si>
    <r>
      <t>塩酸</t>
    </r>
    <r>
      <rPr>
        <sz val="11"/>
        <rFont val="Segoe UI Symbol"/>
        <family val="1"/>
      </rPr>
      <t>🔎</t>
    </r>
    <rPh sb="0" eb="2">
      <t>エンサン</t>
    </rPh>
    <phoneticPr fontId="1"/>
  </si>
  <si>
    <r>
      <t>苛性</t>
    </r>
    <r>
      <rPr>
        <sz val="11"/>
        <rFont val="Segoe UI Symbol"/>
        <family val="1"/>
      </rPr>
      <t>🔎</t>
    </r>
    <rPh sb="0" eb="2">
      <t>カセイ</t>
    </rPh>
    <phoneticPr fontId="1"/>
  </si>
  <si>
    <t>指示
事項</t>
    <rPh sb="0" eb="2">
      <t>シジ</t>
    </rPh>
    <rPh sb="3" eb="5">
      <t>ジコウ</t>
    </rPh>
    <phoneticPr fontId="1"/>
  </si>
  <si>
    <t>指定時間</t>
    <rPh sb="0" eb="4">
      <t>シテイジカン</t>
    </rPh>
    <phoneticPr fontId="1"/>
  </si>
  <si>
    <t>納入先名</t>
    <rPh sb="0" eb="3">
      <t>ノウニュウサキ</t>
    </rPh>
    <rPh sb="3" eb="4">
      <t>メイ</t>
    </rPh>
    <phoneticPr fontId="1"/>
  </si>
  <si>
    <t>指定時間</t>
    <rPh sb="0" eb="4">
      <t>シテイジカン</t>
    </rPh>
    <phoneticPr fontId="1"/>
  </si>
  <si>
    <t>出勤時間</t>
    <rPh sb="0" eb="4">
      <t>シュッキンジカン</t>
    </rPh>
    <phoneticPr fontId="1"/>
  </si>
  <si>
    <t>高速ルート</t>
    <rPh sb="0" eb="2">
      <t>コウソク</t>
    </rPh>
    <phoneticPr fontId="1"/>
  </si>
  <si>
    <t>㈱日新</t>
    <rPh sb="1" eb="3">
      <t>ニッシン</t>
    </rPh>
    <phoneticPr fontId="1"/>
  </si>
  <si>
    <t>㈱丸運</t>
    <rPh sb="1" eb="3">
      <t>マルウン</t>
    </rPh>
    <phoneticPr fontId="1"/>
  </si>
  <si>
    <r>
      <t>重油</t>
    </r>
    <r>
      <rPr>
        <sz val="11"/>
        <rFont val="Segoe UI Symbol"/>
        <family val="1"/>
      </rPr>
      <t>🔎</t>
    </r>
    <rPh sb="0" eb="2">
      <t>ジュウユ</t>
    </rPh>
    <phoneticPr fontId="1"/>
  </si>
  <si>
    <t>時間</t>
    <rPh sb="0" eb="2">
      <t>ジカン</t>
    </rPh>
    <phoneticPr fontId="1"/>
  </si>
  <si>
    <t>ENEOS
小名浜出荷</t>
    <rPh sb="6" eb="9">
      <t>オナハマ</t>
    </rPh>
    <rPh sb="9" eb="11">
      <t>シュッカ</t>
    </rPh>
    <phoneticPr fontId="1"/>
  </si>
  <si>
    <t>東西OT
小名浜出荷</t>
    <rPh sb="0" eb="2">
      <t>トウザイ</t>
    </rPh>
    <rPh sb="5" eb="8">
      <t>オナハマ</t>
    </rPh>
    <rPh sb="8" eb="10">
      <t>シュッカ</t>
    </rPh>
    <phoneticPr fontId="1"/>
  </si>
  <si>
    <t>積込
(油槽所)</t>
    <rPh sb="0" eb="2">
      <t>ツミコミ</t>
    </rPh>
    <rPh sb="4" eb="7">
      <t>ユソウジョ</t>
    </rPh>
    <phoneticPr fontId="1"/>
  </si>
  <si>
    <t>積み合わせ</t>
    <rPh sb="0" eb="1">
      <t>ツ</t>
    </rPh>
    <rPh sb="2" eb="3">
      <t>ア</t>
    </rPh>
    <phoneticPr fontId="1"/>
  </si>
  <si>
    <t>油種</t>
    <rPh sb="0" eb="2">
      <t>ユシュ</t>
    </rPh>
    <phoneticPr fontId="1"/>
  </si>
  <si>
    <t>A重油</t>
    <rPh sb="1" eb="3">
      <t>ジュウユ</t>
    </rPh>
    <phoneticPr fontId="1"/>
  </si>
  <si>
    <t>LSA</t>
  </si>
  <si>
    <t>ＪＲとまとランド</t>
  </si>
  <si>
    <t>アグリ新舞子</t>
  </si>
  <si>
    <t>夕月</t>
  </si>
  <si>
    <t>長春館病院</t>
  </si>
  <si>
    <t>舞子浜病院</t>
  </si>
  <si>
    <t>金山町国民健康保険診療所</t>
  </si>
  <si>
    <t>西白河病院</t>
  </si>
  <si>
    <t>日本全薬工業</t>
  </si>
  <si>
    <t>福島県県南地方振興局</t>
  </si>
  <si>
    <t>松村総合病院</t>
  </si>
  <si>
    <t>いわき半導体</t>
  </si>
  <si>
    <t>ジャパンパイル</t>
  </si>
  <si>
    <t>いわせ食品</t>
  </si>
  <si>
    <t>塙厚生病院</t>
  </si>
  <si>
    <t>湯遊ランドはなわ</t>
  </si>
  <si>
    <t>ひらた中央病院</t>
  </si>
  <si>
    <t>高砂荘</t>
  </si>
  <si>
    <t>日本果実加工</t>
  </si>
  <si>
    <t>納品先名</t>
    <rPh sb="0" eb="4">
      <t>ノウヒンサキメイ</t>
    </rPh>
    <phoneticPr fontId="1"/>
  </si>
  <si>
    <t>いわき市役所　
公営競技事務所</t>
    <phoneticPr fontId="1"/>
  </si>
  <si>
    <t>いわき藤間温泉
ホテル浬</t>
    <phoneticPr fontId="1"/>
  </si>
  <si>
    <t>エナリス　
北茨城発電所</t>
    <phoneticPr fontId="1"/>
  </si>
  <si>
    <t>カメイ　
いわき油槽所</t>
    <phoneticPr fontId="1"/>
  </si>
  <si>
    <t>カメイ福島　
白河油槽所</t>
    <phoneticPr fontId="1"/>
  </si>
  <si>
    <t>クレハ　
いわき事業所</t>
    <phoneticPr fontId="1"/>
  </si>
  <si>
    <t>玉川繊維工業所　
福島事業所</t>
    <phoneticPr fontId="1"/>
  </si>
  <si>
    <t>古藤工業　
いわき好間工場</t>
    <phoneticPr fontId="1"/>
  </si>
  <si>
    <t>村田基準寝具　
好間工場</t>
    <phoneticPr fontId="1"/>
  </si>
  <si>
    <t>東西しらかわ
農業協同組合表郷ＳＳ</t>
  </si>
  <si>
    <t>㈱安部日鋼工業
須賀川工場</t>
    <phoneticPr fontId="1"/>
  </si>
  <si>
    <t>ｱﾙﾌﾟｽｱﾙﾊﾟｲﾝ
いわき事業所</t>
    <phoneticPr fontId="1"/>
  </si>
  <si>
    <t>ｱﾙﾌﾟｽｱﾙﾊﾟｲﾝ
いわき開発</t>
    <phoneticPr fontId="1"/>
  </si>
  <si>
    <t>ＪＲ東日本　
総合研修ｾﾝﾀｰ</t>
  </si>
  <si>
    <t>磐城実業　
いわき健康ｾﾝﾀｰ</t>
  </si>
  <si>
    <t>いわき中央ｱｽｺﾝ</t>
  </si>
  <si>
    <t>いわき中央ｱｽｺﾝ　
四倉工場</t>
  </si>
  <si>
    <t>日立ｱｽｺﾝ</t>
  </si>
  <si>
    <t>㈱ジプテック　
小名浜工場</t>
  </si>
  <si>
    <t>ＮＯＫ㈱
樹脂ｳﾚﾀﾝ事業部</t>
  </si>
  <si>
    <t>いわき大王製紙㈱</t>
  </si>
  <si>
    <t>マックス常磐㈱</t>
  </si>
  <si>
    <t>ユニマテック㈱</t>
  </si>
  <si>
    <t>堺化学工業㈱　
小名浜事業所</t>
  </si>
  <si>
    <t>城北化学工業㈱
いわき工場</t>
  </si>
  <si>
    <t>常磐共同火力㈱
勿来発電所</t>
  </si>
  <si>
    <t>東レ建材㈱
福島工場　生産課</t>
  </si>
  <si>
    <t>日本化学産業㈱
福島第一工場</t>
  </si>
  <si>
    <t>いわき市
医療ｾﾝﾀｰ</t>
    <phoneticPr fontId="1"/>
  </si>
  <si>
    <t>いわき市小名浜
学校給食共同
調理場</t>
    <phoneticPr fontId="1"/>
  </si>
  <si>
    <t>ｺﾝｸﾘｰﾄｺｰﾘﾝｸﾞ㈱</t>
    <phoneticPr fontId="1"/>
  </si>
  <si>
    <t>スウィン大教
スイミングいわき</t>
    <phoneticPr fontId="1"/>
  </si>
  <si>
    <t>スウィン大教
スイミング小名浜</t>
    <phoneticPr fontId="1"/>
  </si>
  <si>
    <t>スパリゾート
ハワイアンズ</t>
    <phoneticPr fontId="1"/>
  </si>
  <si>
    <t>たむら
クリーンｾﾝﾀｰ</t>
    <phoneticPr fontId="1"/>
  </si>
  <si>
    <t>ナラハプラント
ファクトリー</t>
    <phoneticPr fontId="1"/>
  </si>
  <si>
    <t>ホテル華ノ湯
華風館</t>
    <phoneticPr fontId="1"/>
  </si>
  <si>
    <t>ホテル華ノ湯
松風館</t>
    <phoneticPr fontId="1"/>
  </si>
  <si>
    <t>マルハ産業㈱
北茨城工場（重油</t>
    <phoneticPr fontId="1"/>
  </si>
  <si>
    <t>ﾕﾆﾁｬｰﾑﾌﾟﾛﾀﾞｸﾂ
福島工場</t>
    <phoneticPr fontId="1"/>
  </si>
  <si>
    <t>茨城県漁連
平潟・大津油槽所</t>
    <phoneticPr fontId="1"/>
  </si>
  <si>
    <t>横関油脂工業
南中郷工場</t>
    <phoneticPr fontId="1"/>
  </si>
  <si>
    <t>株式会社ｷｮｳﾃﾞﾝ</t>
    <phoneticPr fontId="1"/>
  </si>
  <si>
    <t>関彰商事
日立支店</t>
    <phoneticPr fontId="1"/>
  </si>
  <si>
    <t>関東ｴﾗｽﾄﾏｰ㈱</t>
    <phoneticPr fontId="1"/>
  </si>
  <si>
    <t>共同企業体
白河ｱｽｺﾝ</t>
    <phoneticPr fontId="1"/>
  </si>
  <si>
    <t>堺化学工業
小名浜事業所
湯本工場</t>
    <phoneticPr fontId="1"/>
  </si>
  <si>
    <t>社会福祉法人
飛鳥　
はなまる共和国</t>
    <phoneticPr fontId="1"/>
  </si>
  <si>
    <t>春雪さぶーる　
サガミハム
白河工場</t>
    <phoneticPr fontId="1"/>
  </si>
  <si>
    <t>純正化学㈱
茨城工場</t>
    <phoneticPr fontId="1"/>
  </si>
  <si>
    <t>小名浜
吉野石膏㈱</t>
    <phoneticPr fontId="1"/>
  </si>
  <si>
    <t>松阪興産㈱
福島工場</t>
    <phoneticPr fontId="1"/>
  </si>
  <si>
    <t>常磐共同火力
小名浜ｽﾃｰｼｮﾝ</t>
    <phoneticPr fontId="1"/>
  </si>
  <si>
    <t>須賀川瓦斯
油槽所　
オイルｾﾝﾀｰ</t>
    <phoneticPr fontId="1"/>
  </si>
  <si>
    <t>太陽の国　
からまつ荘</t>
    <phoneticPr fontId="1"/>
  </si>
  <si>
    <t>大塚ポリテック
福島製作所
小野工場</t>
    <phoneticPr fontId="1"/>
  </si>
  <si>
    <t>大木産業
小名浜工場</t>
    <phoneticPr fontId="1"/>
  </si>
  <si>
    <t>東京アニリン
染料製造㈱</t>
    <phoneticPr fontId="1"/>
  </si>
  <si>
    <t>大野水耕
生産組合</t>
    <phoneticPr fontId="1"/>
  </si>
  <si>
    <t>東邦亜鉛
小名浜製錬所</t>
    <phoneticPr fontId="1"/>
  </si>
  <si>
    <t>東北ポ－ル
白河工場</t>
    <phoneticPr fontId="1"/>
  </si>
  <si>
    <t>東北ミドリ
安全工業</t>
    <phoneticPr fontId="1"/>
  </si>
  <si>
    <t>独立行政法人
国立病院機構
福島病院</t>
    <phoneticPr fontId="1"/>
  </si>
  <si>
    <t>特別養護老人ﾎｰﾑ
こまち荘</t>
    <phoneticPr fontId="1"/>
  </si>
  <si>
    <t>特別養護老人ﾎｰﾑ
寿恵園</t>
    <phoneticPr fontId="1"/>
  </si>
  <si>
    <t>日本特殊
化学工業
小名浜工場</t>
    <phoneticPr fontId="1"/>
  </si>
  <si>
    <t>白河厚生
総合病院</t>
    <phoneticPr fontId="1"/>
  </si>
  <si>
    <t>品川ﾘﾌﾗｸﾄﾘｰｽﾞ　
東日本工場</t>
    <phoneticPr fontId="1"/>
  </si>
  <si>
    <t>富士ﾌｨﾙﾑ
ﾜｺｰｹﾐｶﾙ㈱</t>
    <phoneticPr fontId="1"/>
  </si>
  <si>
    <t>武蔵野
化学研究所
磯原工場</t>
    <phoneticPr fontId="1"/>
  </si>
  <si>
    <t>福島県立
勿来工業
高等学校</t>
    <phoneticPr fontId="1"/>
  </si>
  <si>
    <t>福島労災病院
（Ａ重油）</t>
    <phoneticPr fontId="1"/>
  </si>
  <si>
    <t>北茨城市
環境ｾﾝﾀｰ</t>
    <phoneticPr fontId="1"/>
  </si>
  <si>
    <t>北茨城市
複合防災
学校給食ｾﾝﾀｰ</t>
    <phoneticPr fontId="1"/>
  </si>
  <si>
    <t>勿来温泉
関の湯</t>
    <phoneticPr fontId="1"/>
  </si>
  <si>
    <t>有機合成薬品</t>
    <phoneticPr fontId="1"/>
  </si>
  <si>
    <t>陸上自衛隊
郡山駐屯地</t>
    <phoneticPr fontId="1"/>
  </si>
  <si>
    <t>老人保険施設
久慈の郷</t>
    <phoneticPr fontId="1"/>
  </si>
  <si>
    <t>櫻泳ｽｲﾐﾝｸﾞｽｸｰﾙ</t>
    <phoneticPr fontId="1"/>
  </si>
  <si>
    <t>若松所長</t>
    <rPh sb="0" eb="2">
      <t>ワカマツ</t>
    </rPh>
    <rPh sb="2" eb="4">
      <t>ショチョウ</t>
    </rPh>
    <phoneticPr fontId="1"/>
  </si>
  <si>
    <t>金山室長</t>
    <rPh sb="0" eb="4">
      <t>カナヤマシツチョウ</t>
    </rPh>
    <phoneticPr fontId="1"/>
  </si>
  <si>
    <t>蛭田</t>
    <rPh sb="0" eb="2">
      <t>ヒルタ</t>
    </rPh>
    <phoneticPr fontId="1"/>
  </si>
  <si>
    <t>下山田整備士</t>
    <rPh sb="0" eb="3">
      <t>シモヤマダ</t>
    </rPh>
    <rPh sb="3" eb="6">
      <t>セイビシ</t>
    </rPh>
    <phoneticPr fontId="1"/>
  </si>
  <si>
    <t>水町</t>
    <rPh sb="0" eb="2">
      <t>ミズマチ</t>
    </rPh>
    <phoneticPr fontId="1"/>
  </si>
  <si>
    <t>鈴木(紀)</t>
    <rPh sb="0" eb="2">
      <t>スズキ</t>
    </rPh>
    <rPh sb="3" eb="4">
      <t>キ</t>
    </rPh>
    <phoneticPr fontId="1"/>
  </si>
  <si>
    <t>小沼</t>
    <rPh sb="0" eb="2">
      <t>コヌマ</t>
    </rPh>
    <phoneticPr fontId="1"/>
  </si>
  <si>
    <t>渡辺(敏)</t>
    <rPh sb="0" eb="2">
      <t>ワタナベ</t>
    </rPh>
    <rPh sb="3" eb="4">
      <t>トシ</t>
    </rPh>
    <phoneticPr fontId="1"/>
  </si>
  <si>
    <t>佐原</t>
    <rPh sb="0" eb="2">
      <t>サハラ</t>
    </rPh>
    <phoneticPr fontId="1"/>
  </si>
  <si>
    <t>事務所</t>
    <rPh sb="0" eb="3">
      <t>ジムショ</t>
    </rPh>
    <phoneticPr fontId="1"/>
  </si>
  <si>
    <t>就業場所</t>
    <rPh sb="0" eb="4">
      <t>シュウギョウバショ</t>
    </rPh>
    <phoneticPr fontId="1"/>
  </si>
  <si>
    <t>整備工場</t>
    <rPh sb="0" eb="4">
      <t>セイビコウジョウ</t>
    </rPh>
    <phoneticPr fontId="1"/>
  </si>
  <si>
    <t>仙台(営)</t>
    <rPh sb="0" eb="2">
      <t>センダイ</t>
    </rPh>
    <rPh sb="3" eb="4">
      <t>エイ</t>
    </rPh>
    <phoneticPr fontId="1"/>
  </si>
  <si>
    <t>東京(営)</t>
    <rPh sb="0" eb="2">
      <t>トウキョウ</t>
    </rPh>
    <rPh sb="3" eb="4">
      <t>エイ</t>
    </rPh>
    <phoneticPr fontId="1"/>
  </si>
  <si>
    <t>川崎(営)</t>
    <rPh sb="0" eb="2">
      <t>カワサキ</t>
    </rPh>
    <rPh sb="3" eb="4">
      <t>エイ</t>
    </rPh>
    <phoneticPr fontId="1"/>
  </si>
  <si>
    <t>本社</t>
    <rPh sb="0" eb="2">
      <t>ホンシャ</t>
    </rPh>
    <phoneticPr fontId="1"/>
  </si>
  <si>
    <t>荷主等</t>
    <rPh sb="0" eb="2">
      <t>ニヌシ</t>
    </rPh>
    <rPh sb="2" eb="3">
      <t>トウ</t>
    </rPh>
    <phoneticPr fontId="1"/>
  </si>
  <si>
    <t>その他</t>
    <rPh sb="2" eb="3">
      <t>タ</t>
    </rPh>
    <phoneticPr fontId="1"/>
  </si>
  <si>
    <t>業務内容</t>
    <rPh sb="0" eb="4">
      <t>ギョウムナイヨウ</t>
    </rPh>
    <phoneticPr fontId="1"/>
  </si>
  <si>
    <t>整備</t>
    <rPh sb="0" eb="2">
      <t>セイビ</t>
    </rPh>
    <phoneticPr fontId="1"/>
  </si>
  <si>
    <t>出張</t>
    <rPh sb="0" eb="2">
      <t>シュッチョウ</t>
    </rPh>
    <phoneticPr fontId="1"/>
  </si>
  <si>
    <t>研修・講習</t>
    <rPh sb="0" eb="2">
      <t>ケンシュウ</t>
    </rPh>
    <rPh sb="3" eb="5">
      <t>コウシュウ</t>
    </rPh>
    <phoneticPr fontId="1"/>
  </si>
  <si>
    <t>その他</t>
    <rPh sb="2" eb="3">
      <t>ホカ</t>
    </rPh>
    <phoneticPr fontId="1"/>
  </si>
  <si>
    <t>事務・配車</t>
    <rPh sb="0" eb="2">
      <t>ジム</t>
    </rPh>
    <rPh sb="3" eb="5">
      <t>ハイシャ</t>
    </rPh>
    <phoneticPr fontId="1"/>
  </si>
  <si>
    <t>乗務員名①</t>
    <rPh sb="0" eb="3">
      <t>ジョウムイン</t>
    </rPh>
    <rPh sb="3" eb="4">
      <t>メイ</t>
    </rPh>
    <phoneticPr fontId="1"/>
  </si>
  <si>
    <t>乗務員名②</t>
    <rPh sb="0" eb="4">
      <t>ジョウムインメイ</t>
    </rPh>
    <phoneticPr fontId="1"/>
  </si>
  <si>
    <t>高速道路ほか指示事項</t>
    <rPh sb="0" eb="4">
      <t>コウソクドウロ</t>
    </rPh>
    <rPh sb="6" eb="10">
      <t>シジジコウ</t>
    </rPh>
    <phoneticPr fontId="1"/>
  </si>
  <si>
    <t>洗浄PM</t>
    <rPh sb="0" eb="2">
      <t>センジョウ</t>
    </rPh>
    <phoneticPr fontId="10"/>
  </si>
  <si>
    <t>宵積PM</t>
    <rPh sb="0" eb="2">
      <t>ヨイヅ</t>
    </rPh>
    <phoneticPr fontId="1"/>
  </si>
  <si>
    <t>朝日ラバー</t>
    <rPh sb="0" eb="2">
      <t>アサヒ</t>
    </rPh>
    <phoneticPr fontId="1"/>
  </si>
  <si>
    <t>朝日ラバーAM</t>
    <rPh sb="0" eb="2">
      <t>アサヒ</t>
    </rPh>
    <phoneticPr fontId="9"/>
  </si>
  <si>
    <t>いわき大王製紙</t>
    <rPh sb="3" eb="5">
      <t>ダイオウ</t>
    </rPh>
    <rPh sb="5" eb="7">
      <t>セイシ</t>
    </rPh>
    <phoneticPr fontId="10"/>
  </si>
  <si>
    <t>AM</t>
    <phoneticPr fontId="1"/>
  </si>
  <si>
    <t>PM</t>
    <phoneticPr fontId="1"/>
  </si>
  <si>
    <t>洗浄AM</t>
    <rPh sb="0" eb="2">
      <t>センジョウ</t>
    </rPh>
    <phoneticPr fontId="10"/>
  </si>
  <si>
    <t>宵積みAM</t>
    <rPh sb="0" eb="2">
      <t>ヨイヅ</t>
    </rPh>
    <phoneticPr fontId="10"/>
  </si>
  <si>
    <t>アステラス製薬8：30</t>
    <rPh sb="5" eb="7">
      <t>セイヤク</t>
    </rPh>
    <phoneticPr fontId="9"/>
  </si>
  <si>
    <t>荒川化学9：00</t>
    <rPh sb="0" eb="4">
      <t>アラカワカガク</t>
    </rPh>
    <phoneticPr fontId="1"/>
  </si>
  <si>
    <t>茨城県ひたちなか市</t>
    <rPh sb="0" eb="3">
      <t>イバラキケン</t>
    </rPh>
    <rPh sb="8" eb="9">
      <t>シ</t>
    </rPh>
    <phoneticPr fontId="10"/>
  </si>
  <si>
    <t>福島県郡山市</t>
    <rPh sb="0" eb="6">
      <t>フクシマケンコオリヤマシ</t>
    </rPh>
    <phoneticPr fontId="10"/>
  </si>
  <si>
    <t>茨城県高萩市</t>
    <rPh sb="0" eb="3">
      <t>イバラキケン</t>
    </rPh>
    <rPh sb="3" eb="6">
      <t>タカハギシ</t>
    </rPh>
    <phoneticPr fontId="11"/>
  </si>
  <si>
    <t>福島県西白河郡</t>
    <rPh sb="0" eb="3">
      <t>フクシマケン</t>
    </rPh>
    <rPh sb="3" eb="6">
      <t>ニシシラカワ</t>
    </rPh>
    <rPh sb="6" eb="7">
      <t>グン</t>
    </rPh>
    <phoneticPr fontId="10"/>
  </si>
  <si>
    <t>福島県いわき市</t>
    <rPh sb="0" eb="3">
      <t>フクシマケン</t>
    </rPh>
    <rPh sb="6" eb="7">
      <t>シ</t>
    </rPh>
    <phoneticPr fontId="11"/>
  </si>
  <si>
    <t>指示事項</t>
    <rPh sb="0" eb="4">
      <t>シジジコウ</t>
    </rPh>
    <phoneticPr fontId="1"/>
  </si>
  <si>
    <t>エルナー白河</t>
    <rPh sb="4" eb="6">
      <t>シラカワ</t>
    </rPh>
    <phoneticPr fontId="9"/>
  </si>
  <si>
    <t>大内新興(須賀川）9：00</t>
    <rPh sb="0" eb="2">
      <t>オオウチ</t>
    </rPh>
    <rPh sb="2" eb="4">
      <t>シンコウ</t>
    </rPh>
    <rPh sb="5" eb="8">
      <t>スカガワ</t>
    </rPh>
    <phoneticPr fontId="9"/>
  </si>
  <si>
    <t>大内新興(須賀川)8：00</t>
    <rPh sb="0" eb="2">
      <t>オオウチ</t>
    </rPh>
    <rPh sb="2" eb="4">
      <t>シンコウ</t>
    </rPh>
    <rPh sb="5" eb="8">
      <t>スカガワ</t>
    </rPh>
    <phoneticPr fontId="9"/>
  </si>
  <si>
    <t>大内新興（原町）8：00</t>
    <rPh sb="0" eb="2">
      <t>オオウチ</t>
    </rPh>
    <rPh sb="2" eb="4">
      <t>シンコウ</t>
    </rPh>
    <rPh sb="5" eb="7">
      <t>ハラマチ</t>
    </rPh>
    <phoneticPr fontId="9"/>
  </si>
  <si>
    <t>大内新興(須賀川）9：15</t>
    <rPh sb="0" eb="2">
      <t>オオウチ</t>
    </rPh>
    <rPh sb="2" eb="4">
      <t>シンコウ</t>
    </rPh>
    <rPh sb="5" eb="8">
      <t>スカガワ</t>
    </rPh>
    <phoneticPr fontId="9"/>
  </si>
  <si>
    <t>大内新興（原町）9：00</t>
    <rPh sb="0" eb="2">
      <t>オオウチ</t>
    </rPh>
    <rPh sb="2" eb="4">
      <t>シンコウ</t>
    </rPh>
    <rPh sb="5" eb="7">
      <t>ハラマチ</t>
    </rPh>
    <phoneticPr fontId="9"/>
  </si>
  <si>
    <t>大内新興（原町）13：00</t>
    <rPh sb="0" eb="2">
      <t>オオウチ</t>
    </rPh>
    <rPh sb="2" eb="4">
      <t>シンコウ</t>
    </rPh>
    <rPh sb="5" eb="7">
      <t>ハラマチ</t>
    </rPh>
    <phoneticPr fontId="9"/>
  </si>
  <si>
    <t>常磐道（広野IC～浪江IC）</t>
    <rPh sb="0" eb="3">
      <t>ジョウバンドウ</t>
    </rPh>
    <rPh sb="4" eb="6">
      <t>ヒロノ</t>
    </rPh>
    <rPh sb="9" eb="11">
      <t>ナミエ</t>
    </rPh>
    <phoneticPr fontId="11"/>
  </si>
  <si>
    <t>小名浜製錬9：00</t>
    <rPh sb="0" eb="3">
      <t>オナハマ</t>
    </rPh>
    <rPh sb="3" eb="5">
      <t>セイレン</t>
    </rPh>
    <phoneticPr fontId="10"/>
  </si>
  <si>
    <t>小名浜製錬9：30</t>
    <rPh sb="0" eb="3">
      <t>オナハマ</t>
    </rPh>
    <rPh sb="3" eb="5">
      <t>セイレン</t>
    </rPh>
    <phoneticPr fontId="10"/>
  </si>
  <si>
    <t>小名浜製錬10：00</t>
    <rPh sb="0" eb="3">
      <t>オナハマ</t>
    </rPh>
    <rPh sb="3" eb="5">
      <t>セイレン</t>
    </rPh>
    <phoneticPr fontId="10"/>
  </si>
  <si>
    <t>霞ヶ浦流域下水道事務所8：30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</si>
  <si>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霞ヶ浦流域下水道事務所9：00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</si>
  <si>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片倉ｺｰﾌﾟアグリPM</t>
    <rPh sb="0" eb="2">
      <t>カタクラ</t>
    </rPh>
    <phoneticPr fontId="9"/>
  </si>
  <si>
    <t>喜多方･熱塩浄水場9：00</t>
    <rPh sb="0" eb="3">
      <t>キタカタ</t>
    </rPh>
    <rPh sb="4" eb="6">
      <t>アツシオ</t>
    </rPh>
    <rPh sb="6" eb="9">
      <t>ジョウスイジョウ</t>
    </rPh>
    <phoneticPr fontId="10"/>
  </si>
  <si>
    <t>30分ずつ休憩</t>
    <rPh sb="2" eb="3">
      <t>フン</t>
    </rPh>
    <rPh sb="5" eb="7">
      <t>キュウケイ</t>
    </rPh>
    <phoneticPr fontId="1"/>
  </si>
  <si>
    <t>喜多方･熱塩浄水場13：30</t>
    <rPh sb="0" eb="3">
      <t>キタカタ</t>
    </rPh>
    <rPh sb="4" eb="6">
      <t>アツシオ</t>
    </rPh>
    <rPh sb="6" eb="9">
      <t>ジョウスイジョウ</t>
    </rPh>
    <phoneticPr fontId="10"/>
  </si>
  <si>
    <t>常磐道(日立北IC～足利IC)</t>
    <rPh sb="0" eb="3">
      <t>ジョウバンドウ</t>
    </rPh>
    <rPh sb="4" eb="7">
      <t>ヒタチキタ</t>
    </rPh>
    <rPh sb="10" eb="12">
      <t>アシカガ</t>
    </rPh>
    <phoneticPr fontId="11"/>
  </si>
  <si>
    <t>茨城県北茨城市</t>
    <rPh sb="0" eb="3">
      <t>イバラキケン</t>
    </rPh>
    <rPh sb="3" eb="7">
      <t>キタイバラキシ</t>
    </rPh>
    <phoneticPr fontId="1"/>
  </si>
  <si>
    <t>群馬県伊勢崎市</t>
    <rPh sb="0" eb="3">
      <t>グンマケン</t>
    </rPh>
    <rPh sb="3" eb="7">
      <t>イセサキシ</t>
    </rPh>
    <phoneticPr fontId="1"/>
  </si>
  <si>
    <t>小松浄水場9：00</t>
    <rPh sb="0" eb="2">
      <t>コマツ</t>
    </rPh>
    <rPh sb="2" eb="5">
      <t>ジョウスイジョウ</t>
    </rPh>
    <phoneticPr fontId="10"/>
  </si>
  <si>
    <t>郡山堀口浄水場9：00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</si>
  <si>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コダック（群馬）8：30</t>
    <rPh sb="5" eb="7">
      <t>グンマ</t>
    </rPh>
    <phoneticPr fontId="10"/>
  </si>
  <si>
    <t>郡山食肉センター6：00</t>
    <rPh sb="0" eb="2">
      <t>コオリヤマ</t>
    </rPh>
    <rPh sb="2" eb="4">
      <t>ショクニク</t>
    </rPh>
    <phoneticPr fontId="9"/>
  </si>
  <si>
    <t>ケミコン東日本(喜多方)6：00</t>
    <rPh sb="4" eb="7">
      <t>ヒガシニホン</t>
    </rPh>
    <rPh sb="8" eb="11">
      <t>キタカタ</t>
    </rPh>
    <phoneticPr fontId="9"/>
  </si>
  <si>
    <t>クニミネ工業8：00</t>
    <rPh sb="4" eb="6">
      <t>コウギョウ</t>
    </rPh>
    <phoneticPr fontId="10"/>
  </si>
  <si>
    <t>クレハ環境13：00</t>
    <rPh sb="3" eb="5">
      <t>カンキョウ</t>
    </rPh>
    <phoneticPr fontId="10"/>
  </si>
  <si>
    <t>クリーンテック（第二）9：00</t>
    <rPh sb="8" eb="10">
      <t>ダイニ</t>
    </rPh>
    <phoneticPr fontId="10"/>
  </si>
  <si>
    <t>北関東ケミカル7：00</t>
    <rPh sb="0" eb="3">
      <t>キタカントウ</t>
    </rPh>
    <phoneticPr fontId="10"/>
  </si>
  <si>
    <t>堺（大剣）8：30</t>
    <rPh sb="0" eb="1">
      <t>サカイ</t>
    </rPh>
    <rPh sb="2" eb="4">
      <t>オオツルギ</t>
    </rPh>
    <phoneticPr fontId="10"/>
  </si>
  <si>
    <t>ＪＸ金属（Ｚ炉）</t>
    <rPh sb="2" eb="4">
      <t>キンゾク</t>
    </rPh>
    <rPh sb="6" eb="7">
      <t>ロ</t>
    </rPh>
    <phoneticPr fontId="10"/>
  </si>
  <si>
    <t>ＪＸ金属（Ｚ炉）7：00</t>
    <rPh sb="2" eb="4">
      <t>キンゾク</t>
    </rPh>
    <rPh sb="6" eb="7">
      <t>ロ</t>
    </rPh>
    <phoneticPr fontId="10"/>
  </si>
  <si>
    <t>ＪＸ金属（磯原）9：00</t>
    <rPh sb="0" eb="2">
      <t>ジェイエックス</t>
    </rPh>
    <rPh sb="2" eb="4">
      <t>キンゾク</t>
    </rPh>
    <rPh sb="5" eb="7">
      <t>イソハラ</t>
    </rPh>
    <phoneticPr fontId="9"/>
  </si>
  <si>
    <t>ＪＸ金属（電錬排水）PM</t>
    <rPh sb="0" eb="2">
      <t>ジェイエックス</t>
    </rPh>
    <rPh sb="2" eb="4">
      <t>キンゾク</t>
    </rPh>
    <rPh sb="5" eb="9">
      <t>デンレン</t>
    </rPh>
    <phoneticPr fontId="9"/>
  </si>
  <si>
    <t>ＪＸ金属（ユピノーグ）7：30</t>
    <rPh sb="2" eb="4">
      <t>キンゾク</t>
    </rPh>
    <phoneticPr fontId="10"/>
  </si>
  <si>
    <t>ＪＸ金属銅箔（排水）8：00</t>
    <rPh sb="2" eb="4">
      <t>キンゾク</t>
    </rPh>
    <rPh sb="4" eb="6">
      <t>ドウハク</t>
    </rPh>
    <rPh sb="7" eb="9">
      <t>ハイスイ</t>
    </rPh>
    <phoneticPr fontId="10"/>
  </si>
  <si>
    <t>南相馬雫浄化センター9：00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</si>
  <si>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常磐共同火力AM</t>
    <rPh sb="0" eb="6">
      <t>ジョウバンキョウドウカリョク</t>
    </rPh>
    <phoneticPr fontId="10"/>
  </si>
  <si>
    <t>常磐共同火力8：00</t>
    <rPh sb="0" eb="6">
      <t>ジョウバンキョウドウカリョク</t>
    </rPh>
    <phoneticPr fontId="10"/>
  </si>
  <si>
    <t>大橋機産(船引)</t>
    <rPh sb="0" eb="2">
      <t>オオハシ</t>
    </rPh>
    <rPh sb="2" eb="3">
      <t>キ</t>
    </rPh>
    <rPh sb="3" eb="4">
      <t>サン</t>
    </rPh>
    <rPh sb="5" eb="7">
      <t>フネヒキ</t>
    </rPh>
    <phoneticPr fontId="10"/>
  </si>
  <si>
    <t>ＪＸ金属環境（大雄院）7：00</t>
    <rPh sb="2" eb="4">
      <t>キンゾク</t>
    </rPh>
    <rPh sb="4" eb="6">
      <t>カンキョウ</t>
    </rPh>
    <rPh sb="7" eb="10">
      <t>ダイユウイン</t>
    </rPh>
    <phoneticPr fontId="10"/>
  </si>
  <si>
    <t>勿来IGCCﾊﾟﾜｰ</t>
    <rPh sb="0" eb="2">
      <t>ナコソ</t>
    </rPh>
    <phoneticPr fontId="10"/>
  </si>
  <si>
    <t>新日本電工8：00</t>
    <rPh sb="0" eb="5">
      <t>シンニホンデンコウ</t>
    </rPh>
    <phoneticPr fontId="9"/>
  </si>
  <si>
    <t>新日本電工9：00</t>
    <rPh sb="0" eb="5">
      <t>シンニホンデンコウ</t>
    </rPh>
    <phoneticPr fontId="9"/>
  </si>
  <si>
    <t>新和企業8：30</t>
    <rPh sb="0" eb="2">
      <t>シンワ</t>
    </rPh>
    <rPh sb="2" eb="4">
      <t>キギョウ</t>
    </rPh>
    <phoneticPr fontId="10"/>
  </si>
  <si>
    <t>新和企業9：00</t>
    <rPh sb="0" eb="2">
      <t>シンワ</t>
    </rPh>
    <rPh sb="2" eb="4">
      <t>キギョウ</t>
    </rPh>
    <phoneticPr fontId="10"/>
  </si>
  <si>
    <t>住友化学（茨城）13:30</t>
    <rPh sb="0" eb="2">
      <t>スミトモ</t>
    </rPh>
    <rPh sb="2" eb="4">
      <t>カガク</t>
    </rPh>
    <rPh sb="5" eb="7">
      <t>イバラキ</t>
    </rPh>
    <phoneticPr fontId="10"/>
  </si>
  <si>
    <t>住友化学（茨城）8:30</t>
    <rPh sb="0" eb="2">
      <t>スミトモ</t>
    </rPh>
    <rPh sb="2" eb="4">
      <t>カガク</t>
    </rPh>
    <rPh sb="5" eb="7">
      <t>イバラキ</t>
    </rPh>
    <phoneticPr fontId="10"/>
  </si>
  <si>
    <t>仙波糖化8：00</t>
    <rPh sb="0" eb="4">
      <t>センバトウカ</t>
    </rPh>
    <phoneticPr fontId="9"/>
  </si>
  <si>
    <t>常磐道（広野IC～浪江IC）</t>
    <rPh sb="0" eb="3">
      <t>ジョウバンドウ</t>
    </rPh>
    <rPh sb="4" eb="6">
      <t>ヒロノ</t>
    </rPh>
    <rPh sb="9" eb="11">
      <t>ナミエ</t>
    </rPh>
    <phoneticPr fontId="10"/>
  </si>
  <si>
    <t>相互薬工9：00</t>
    <rPh sb="0" eb="2">
      <t>ソウゴ</t>
    </rPh>
    <rPh sb="2" eb="3">
      <t>ヤク</t>
    </rPh>
    <rPh sb="3" eb="4">
      <t>コウ</t>
    </rPh>
    <phoneticPr fontId="10"/>
  </si>
  <si>
    <t>常磐道(広野IC～仙台港IC）</t>
    <rPh sb="0" eb="3">
      <t>ジョウバンドウ</t>
    </rPh>
    <rPh sb="4" eb="6">
      <t>ヒロノ</t>
    </rPh>
    <rPh sb="9" eb="12">
      <t>センダイコウ</t>
    </rPh>
    <phoneticPr fontId="10"/>
  </si>
  <si>
    <t>ソーダニッカ（七ヶ浜）9：00</t>
    <rPh sb="7" eb="10">
      <t>シチガハマ</t>
    </rPh>
    <phoneticPr fontId="9"/>
  </si>
  <si>
    <t>ソーダニッカ（七ヶ浜）9：30</t>
    <rPh sb="7" eb="10">
      <t>シチガハマ</t>
    </rPh>
    <phoneticPr fontId="9"/>
  </si>
  <si>
    <t>ソーダニッカ（七ヶ浜）10：00</t>
    <rPh sb="7" eb="10">
      <t>シチガハマ</t>
    </rPh>
    <phoneticPr fontId="9"/>
  </si>
  <si>
    <t>大紀アルミニウム8：00</t>
    <rPh sb="0" eb="2">
      <t>タイキ</t>
    </rPh>
    <phoneticPr fontId="9"/>
  </si>
  <si>
    <t>ダイキン（鹿島）9：30</t>
    <rPh sb="5" eb="7">
      <t>カシマ</t>
    </rPh>
    <phoneticPr fontId="10"/>
  </si>
  <si>
    <t>ダイキン（鹿島）8：30</t>
    <rPh sb="5" eb="7">
      <t>カシマ</t>
    </rPh>
    <phoneticPr fontId="10"/>
  </si>
  <si>
    <t>大日ケミカルAM</t>
    <rPh sb="0" eb="2">
      <t>ダイニチ</t>
    </rPh>
    <phoneticPr fontId="10"/>
  </si>
  <si>
    <t>常磐道（広野IC～相馬IC）</t>
    <rPh sb="0" eb="3">
      <t>ジョウバンドウ</t>
    </rPh>
    <rPh sb="4" eb="6">
      <t>ヒロノ</t>
    </rPh>
    <rPh sb="9" eb="11">
      <t>ソウマ</t>
    </rPh>
    <phoneticPr fontId="10"/>
  </si>
  <si>
    <t>東亞合成8：30</t>
    <rPh sb="0" eb="4">
      <t>トウアゴウセイ</t>
    </rPh>
    <phoneticPr fontId="9"/>
  </si>
  <si>
    <t>東京パワー広野10：00</t>
    <rPh sb="0" eb="2">
      <t>トウキョウ</t>
    </rPh>
    <rPh sb="5" eb="7">
      <t>ヒロノ</t>
    </rPh>
    <phoneticPr fontId="9"/>
  </si>
  <si>
    <t>東京パワー広野14：00</t>
    <rPh sb="0" eb="2">
      <t>トウキョウ</t>
    </rPh>
    <rPh sb="5" eb="7">
      <t>ヒロノ</t>
    </rPh>
    <phoneticPr fontId="9"/>
  </si>
  <si>
    <t>広野IGCC発電所9：00</t>
    <rPh sb="0" eb="2">
      <t>ヒロノ</t>
    </rPh>
    <rPh sb="6" eb="8">
      <t>ハツデン</t>
    </rPh>
    <rPh sb="8" eb="9">
      <t>ショ</t>
    </rPh>
    <phoneticPr fontId="1"/>
  </si>
  <si>
    <t>東新工業（四倉）10：00</t>
    <rPh sb="0" eb="4">
      <t>トウシンコウギョウ</t>
    </rPh>
    <rPh sb="5" eb="7">
      <t>ヨツクラ</t>
    </rPh>
    <phoneticPr fontId="1"/>
  </si>
  <si>
    <t>東北電力（原町火力）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</si>
  <si>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東邦亜鉛（１車目）</t>
    <rPh sb="0" eb="4">
      <t>トウホウアエン</t>
    </rPh>
    <rPh sb="6" eb="8">
      <t>シャメ</t>
    </rPh>
    <phoneticPr fontId="10"/>
  </si>
  <si>
    <t>東邦亜鉛（２車目）</t>
    <rPh sb="0" eb="4">
      <t>トウホウアエン</t>
    </rPh>
    <rPh sb="6" eb="8">
      <t>シャメ</t>
    </rPh>
    <phoneticPr fontId="10"/>
  </si>
  <si>
    <t>東邦亜鉛（積発）</t>
    <rPh sb="0" eb="4">
      <t>トウホウアエン</t>
    </rPh>
    <rPh sb="5" eb="7">
      <t>ツミハツ</t>
    </rPh>
    <phoneticPr fontId="10"/>
  </si>
  <si>
    <t>東北旭紙業8：00</t>
    <rPh sb="0" eb="2">
      <t>トウホク</t>
    </rPh>
    <rPh sb="2" eb="3">
      <t>アサヒ</t>
    </rPh>
    <rPh sb="3" eb="5">
      <t>シギョウ</t>
    </rPh>
    <phoneticPr fontId="10"/>
  </si>
  <si>
    <t>東北化学工業8：30</t>
    <rPh sb="0" eb="4">
      <t>トウホクカガク</t>
    </rPh>
    <rPh sb="4" eb="6">
      <t>コウギョウ</t>
    </rPh>
    <phoneticPr fontId="9"/>
  </si>
  <si>
    <t>東北化学工業AM</t>
    <rPh sb="0" eb="4">
      <t>トウホクカガク</t>
    </rPh>
    <rPh sb="4" eb="6">
      <t>コウギョウ</t>
    </rPh>
    <phoneticPr fontId="9"/>
  </si>
  <si>
    <t>東北三之橋7：30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</si>
  <si>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東北三之橋8：00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</si>
  <si>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R49号線</t>
    <rPh sb="3" eb="5">
      <t>ゴウセン</t>
    </rPh>
    <phoneticPr fontId="1"/>
  </si>
  <si>
    <t>日曹金属（会津）7：30</t>
    <rPh sb="0" eb="2">
      <t>ニッソウ</t>
    </rPh>
    <rPh sb="2" eb="4">
      <t>キンゾク</t>
    </rPh>
    <rPh sb="5" eb="7">
      <t>アイヅ</t>
    </rPh>
    <phoneticPr fontId="9"/>
  </si>
  <si>
    <t>日曹金属（会津）8：30</t>
    <rPh sb="0" eb="2">
      <t>ニッソウ</t>
    </rPh>
    <rPh sb="2" eb="4">
      <t>キンゾク</t>
    </rPh>
    <rPh sb="5" eb="7">
      <t>アイヅ</t>
    </rPh>
    <phoneticPr fontId="9"/>
  </si>
  <si>
    <t>日曹金属（会津）8：00</t>
    <rPh sb="0" eb="2">
      <t>ニッソウ</t>
    </rPh>
    <rPh sb="2" eb="4">
      <t>キンゾク</t>
    </rPh>
    <rPh sb="5" eb="7">
      <t>アイヅ</t>
    </rPh>
    <phoneticPr fontId="9"/>
  </si>
  <si>
    <t>日曹金属（会津）7：30（冬季）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</si>
  <si>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日曹金属（会津）8：00（冬季）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</si>
  <si>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日曹金属（会津）8：30（冬季）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</si>
  <si>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磐越道(三和IC～河東IC)</t>
    <rPh sb="0" eb="3">
      <t>バンエツドウ</t>
    </rPh>
    <rPh sb="4" eb="6">
      <t>ミワ</t>
    </rPh>
    <rPh sb="9" eb="11">
      <t>カワヒガシ</t>
    </rPh>
    <phoneticPr fontId="1"/>
  </si>
  <si>
    <t>日東紡（福島）10：00</t>
    <rPh sb="0" eb="3">
      <t>ニットウボウ</t>
    </rPh>
    <rPh sb="4" eb="6">
      <t>フクシマ</t>
    </rPh>
    <phoneticPr fontId="9"/>
  </si>
  <si>
    <t>日東紡資材・ケミカル(郡山)</t>
    <rPh sb="0" eb="3">
      <t>ニットウボウ</t>
    </rPh>
    <rPh sb="3" eb="5">
      <t>シザイ</t>
    </rPh>
    <rPh sb="11" eb="13">
      <t>コオリヤマ</t>
    </rPh>
    <phoneticPr fontId="9"/>
  </si>
  <si>
    <t>ミネベアPD臨海13：00</t>
    <rPh sb="6" eb="8">
      <t>リンカイ</t>
    </rPh>
    <phoneticPr fontId="9"/>
  </si>
  <si>
    <t>小名浜製錬PGM</t>
    <rPh sb="0" eb="3">
      <t>オナハマ</t>
    </rPh>
    <rPh sb="3" eb="5">
      <t>セイレン</t>
    </rPh>
    <phoneticPr fontId="1"/>
  </si>
  <si>
    <t>日本化学（第一）9:00</t>
    <rPh sb="0" eb="4">
      <t>ニホンカガク</t>
    </rPh>
    <rPh sb="5" eb="7">
      <t>ダイイチ</t>
    </rPh>
    <phoneticPr fontId="10"/>
  </si>
  <si>
    <t>日本化学（第一）13:00</t>
    <rPh sb="0" eb="4">
      <t>ニホンカガク</t>
    </rPh>
    <rPh sb="5" eb="7">
      <t>ダイイチ</t>
    </rPh>
    <phoneticPr fontId="10"/>
  </si>
  <si>
    <t>日本化学（第一）（積発）13:00</t>
    <rPh sb="0" eb="4">
      <t>ニホンカガク</t>
    </rPh>
    <rPh sb="5" eb="7">
      <t>ダイイチ</t>
    </rPh>
    <rPh sb="9" eb="11">
      <t>ツミハツ</t>
    </rPh>
    <phoneticPr fontId="10"/>
  </si>
  <si>
    <t>常磐道（広野IC～亘理)</t>
    <rPh sb="0" eb="3">
      <t>ジョウバンドウ</t>
    </rPh>
    <rPh sb="4" eb="6">
      <t>ヒロノ</t>
    </rPh>
    <rPh sb="9" eb="11">
      <t>ワタリ</t>
    </rPh>
    <phoneticPr fontId="10"/>
  </si>
  <si>
    <t>日本製紙（岩沼）8:00</t>
    <rPh sb="0" eb="4">
      <t>ニホンセイシ</t>
    </rPh>
    <rPh sb="5" eb="7">
      <t>イワヌマ</t>
    </rPh>
    <phoneticPr fontId="9"/>
  </si>
  <si>
    <t>日本電解（下館）9：00</t>
    <rPh sb="0" eb="4">
      <t>ニホンデンカイ</t>
    </rPh>
    <rPh sb="5" eb="7">
      <t>シモダテ</t>
    </rPh>
    <phoneticPr fontId="9"/>
  </si>
  <si>
    <t>日本電解（下館）10：00</t>
    <rPh sb="0" eb="4">
      <t>ニホンデンカイ</t>
    </rPh>
    <rPh sb="5" eb="7">
      <t>シモダテ</t>
    </rPh>
    <phoneticPr fontId="9"/>
  </si>
  <si>
    <t>日本電解（下館）11：00</t>
    <rPh sb="0" eb="4">
      <t>ニホンデンカイ</t>
    </rPh>
    <rPh sb="5" eb="7">
      <t>シモダテ</t>
    </rPh>
    <phoneticPr fontId="9"/>
  </si>
  <si>
    <t>日本ナショナル製罐（適宜）</t>
    <rPh sb="0" eb="2">
      <t>ニホン</t>
    </rPh>
    <rPh sb="7" eb="9">
      <t>セイカン</t>
    </rPh>
    <rPh sb="10" eb="12">
      <t>テキギ</t>
    </rPh>
    <phoneticPr fontId="9"/>
  </si>
  <si>
    <t>日立中央工業組合7：00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</si>
  <si>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日立パワー（勝田）14：00</t>
    <rPh sb="0" eb="2">
      <t>ヒタチ</t>
    </rPh>
    <rPh sb="6" eb="8">
      <t>カツタ</t>
    </rPh>
    <phoneticPr fontId="9"/>
  </si>
  <si>
    <t>ひめゆり総業9：00</t>
    <rPh sb="4" eb="6">
      <t>ソウギョウ</t>
    </rPh>
    <phoneticPr fontId="9"/>
  </si>
  <si>
    <t>福島県本宮市</t>
    <rPh sb="3" eb="6">
      <t>モトミヤシ</t>
    </rPh>
    <phoneticPr fontId="10"/>
  </si>
  <si>
    <t>東北ブロイラーAM</t>
    <rPh sb="0" eb="2">
      <t>トウホク</t>
    </rPh>
    <phoneticPr fontId="10"/>
  </si>
  <si>
    <t>福島県食肉センター6：00</t>
    <rPh sb="0" eb="3">
      <t>フクシマケン</t>
    </rPh>
    <rPh sb="3" eb="5">
      <t>ショクニク</t>
    </rPh>
    <phoneticPr fontId="10"/>
  </si>
  <si>
    <t>北越（新潟）AM</t>
    <rPh sb="0" eb="2">
      <t>ホクエツ</t>
    </rPh>
    <rPh sb="3" eb="5">
      <t>ニイガタ</t>
    </rPh>
    <phoneticPr fontId="10"/>
  </si>
  <si>
    <t>堀口浄水場9：00</t>
    <rPh sb="0" eb="5">
      <t>ホリグチジョウスイジョウ</t>
    </rPh>
    <phoneticPr fontId="9"/>
  </si>
  <si>
    <t>丸三製紙8：45</t>
    <rPh sb="0" eb="2">
      <t>マルサン</t>
    </rPh>
    <rPh sb="2" eb="4">
      <t>セイシ</t>
    </rPh>
    <phoneticPr fontId="9"/>
  </si>
  <si>
    <t>ミツエイ（積発）9：00</t>
    <rPh sb="5" eb="7">
      <t>ツミハツ</t>
    </rPh>
    <phoneticPr fontId="10"/>
  </si>
  <si>
    <t>ミツエイ（積発）10：00</t>
    <rPh sb="5" eb="7">
      <t>ツミハツ</t>
    </rPh>
    <phoneticPr fontId="10"/>
  </si>
  <si>
    <t>三菱ケミカル8：30</t>
    <rPh sb="0" eb="2">
      <t>ミツビシ</t>
    </rPh>
    <phoneticPr fontId="10"/>
  </si>
  <si>
    <t>三星化学AM</t>
    <rPh sb="0" eb="4">
      <t>ミツボシカガク</t>
    </rPh>
    <phoneticPr fontId="9"/>
  </si>
  <si>
    <t>福島県南相馬市</t>
    <rPh sb="0" eb="3">
      <t>フクシマケン</t>
    </rPh>
    <rPh sb="3" eb="7">
      <t>ミナミソウマシ</t>
    </rPh>
    <phoneticPr fontId="1"/>
  </si>
  <si>
    <t>南相馬大谷浄水場9：00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</si>
  <si>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森永乳業（福島）13：00</t>
    <rPh sb="0" eb="4">
      <t>モリナガニュウギョウ</t>
    </rPh>
    <rPh sb="5" eb="7">
      <t>フクシマ</t>
    </rPh>
    <phoneticPr fontId="9"/>
  </si>
  <si>
    <t>有機合成</t>
    <rPh sb="0" eb="4">
      <t>ユウキゴウセイ</t>
    </rPh>
    <phoneticPr fontId="10"/>
  </si>
  <si>
    <t>有機合成AM</t>
    <rPh sb="0" eb="4">
      <t>ユウキゴウセイ</t>
    </rPh>
    <phoneticPr fontId="10"/>
  </si>
  <si>
    <t>有機合成（積発）</t>
    <rPh sb="0" eb="4">
      <t>ユウキゴウセイ</t>
    </rPh>
    <rPh sb="5" eb="7">
      <t>ツミハツ</t>
    </rPh>
    <phoneticPr fontId="10"/>
  </si>
  <si>
    <t>有機合成（積発）AM</t>
    <rPh sb="0" eb="4">
      <t>ユウキゴウセイ</t>
    </rPh>
    <rPh sb="5" eb="7">
      <t>ツミハツ</t>
    </rPh>
    <phoneticPr fontId="10"/>
  </si>
  <si>
    <t>茨城県北茨城市</t>
    <rPh sb="0" eb="3">
      <t>イバラキケン</t>
    </rPh>
    <rPh sb="3" eb="7">
      <t>キタイバラキシ</t>
    </rPh>
    <phoneticPr fontId="11"/>
  </si>
  <si>
    <t>茨城県北茨城市　　</t>
    <rPh sb="0" eb="3">
      <t>イバラキケン</t>
    </rPh>
    <rPh sb="3" eb="7">
      <t>キタイバラキシ</t>
    </rPh>
    <phoneticPr fontId="11"/>
  </si>
  <si>
    <t>ルネサス那珂6：30</t>
    <rPh sb="4" eb="6">
      <t>ナカ</t>
    </rPh>
    <phoneticPr fontId="9"/>
  </si>
  <si>
    <t>ルネサス那珂AM</t>
    <rPh sb="4" eb="6">
      <t>ナカ</t>
    </rPh>
    <phoneticPr fontId="9"/>
  </si>
  <si>
    <t>レゾナック東長原PM</t>
    <rPh sb="5" eb="8">
      <t>ヒガシナガハラ</t>
    </rPh>
    <phoneticPr fontId="9"/>
  </si>
  <si>
    <t>JFEスチール8：00</t>
    <phoneticPr fontId="35"/>
  </si>
  <si>
    <t>常磐道(潮来IC)～</t>
    <rPh sb="0" eb="3">
      <t>ジョウバンドウ</t>
    </rPh>
    <rPh sb="4" eb="6">
      <t>イタコ</t>
    </rPh>
    <phoneticPr fontId="37"/>
  </si>
  <si>
    <t>ＪＸ金属（HMC）AM</t>
    <rPh sb="2" eb="4">
      <t>キンゾク</t>
    </rPh>
    <phoneticPr fontId="35"/>
  </si>
  <si>
    <t>ＪＸ金属（貴金属）7：30</t>
    <rPh sb="2" eb="4">
      <t>キンゾク</t>
    </rPh>
    <rPh sb="5" eb="8">
      <t>キキンゾク</t>
    </rPh>
    <phoneticPr fontId="35"/>
  </si>
  <si>
    <t>ＪＸ金属（貴金属）AM</t>
    <rPh sb="2" eb="4">
      <t>キンゾク</t>
    </rPh>
    <rPh sb="5" eb="8">
      <t>キキンゾク</t>
    </rPh>
    <phoneticPr fontId="35"/>
  </si>
  <si>
    <t>栃木県宇都宮</t>
    <rPh sb="0" eb="3">
      <t>トチギケン</t>
    </rPh>
    <rPh sb="3" eb="6">
      <t>ウツノミヤ</t>
    </rPh>
    <phoneticPr fontId="1"/>
  </si>
  <si>
    <t>茨城県日立市</t>
    <rPh sb="0" eb="3">
      <t>イバラキケン</t>
    </rPh>
    <rPh sb="3" eb="6">
      <t>ヒタチシ</t>
    </rPh>
    <phoneticPr fontId="1"/>
  </si>
  <si>
    <t>ＪＸ金属（大雄院ボイラー）7：00</t>
    <rPh sb="2" eb="4">
      <t>キンゾク</t>
    </rPh>
    <rPh sb="5" eb="8">
      <t>ダイユウイン</t>
    </rPh>
    <phoneticPr fontId="35"/>
  </si>
  <si>
    <t>ＪＸ金属（ユピノーグ）7：30</t>
    <rPh sb="2" eb="4">
      <t>キンゾク</t>
    </rPh>
    <phoneticPr fontId="35"/>
  </si>
  <si>
    <t>MGCエレクトロテクノ8：30</t>
    <phoneticPr fontId="35"/>
  </si>
  <si>
    <t>TOPPAN(新潟)8：00</t>
    <rPh sb="7" eb="9">
      <t>ニイガタ</t>
    </rPh>
    <phoneticPr fontId="37"/>
  </si>
  <si>
    <t>TOPPAN(新潟)8：30</t>
    <rPh sb="7" eb="9">
      <t>ニイガタ</t>
    </rPh>
    <phoneticPr fontId="37"/>
  </si>
  <si>
    <t>アサカ理研郡山8：30</t>
    <rPh sb="3" eb="5">
      <t>リケン</t>
    </rPh>
    <rPh sb="5" eb="7">
      <t>コオリヤマ</t>
    </rPh>
    <phoneticPr fontId="35"/>
  </si>
  <si>
    <t>アサカ理研郡山9：00</t>
    <rPh sb="3" eb="5">
      <t>リケン</t>
    </rPh>
    <rPh sb="5" eb="7">
      <t>コオリヤマ</t>
    </rPh>
    <phoneticPr fontId="35"/>
  </si>
  <si>
    <t>福島県西白河郡</t>
    <rPh sb="0" eb="3">
      <t>フクシマケン</t>
    </rPh>
    <rPh sb="3" eb="7">
      <t>ニシシラカワグン</t>
    </rPh>
    <phoneticPr fontId="35"/>
  </si>
  <si>
    <t>アサカ理研（いわき）8：30</t>
    <rPh sb="3" eb="5">
      <t>リケン</t>
    </rPh>
    <phoneticPr fontId="35"/>
  </si>
  <si>
    <t>ｱﾙﾌﾟｽｱﾙﾊﾟｲﾝ（平）13：30</t>
    <rPh sb="12" eb="13">
      <t>タイラ</t>
    </rPh>
    <phoneticPr fontId="35"/>
  </si>
  <si>
    <t>ｱﾙﾌﾟｽｱﾙﾊﾟｲﾝ（平）10：00</t>
    <rPh sb="12" eb="13">
      <t>タイラ</t>
    </rPh>
    <phoneticPr fontId="35"/>
  </si>
  <si>
    <t>ｱﾙﾌﾟｽｱﾙﾊﾟｲﾝ（平）9：00</t>
    <rPh sb="12" eb="13">
      <t>タイラ</t>
    </rPh>
    <phoneticPr fontId="35"/>
  </si>
  <si>
    <t>ｱﾙﾌﾟｽｱﾙﾊﾟｲﾝ（涌谷）</t>
    <rPh sb="12" eb="14">
      <t>ワクヤ</t>
    </rPh>
    <phoneticPr fontId="37"/>
  </si>
  <si>
    <t>ｴｱｰｳｫｰﾀｰ（小名浜）10：00</t>
    <rPh sb="9" eb="12">
      <t>オナハマ</t>
    </rPh>
    <phoneticPr fontId="35"/>
  </si>
  <si>
    <t>小名浜製錬AM</t>
    <rPh sb="0" eb="3">
      <t>オナハマ</t>
    </rPh>
    <rPh sb="3" eb="5">
      <t>セイレン</t>
    </rPh>
    <phoneticPr fontId="35"/>
  </si>
  <si>
    <t>カゴメ（那須）8：00</t>
    <rPh sb="4" eb="6">
      <t>ナス</t>
    </rPh>
    <phoneticPr fontId="37"/>
  </si>
  <si>
    <t>鹿島北共同発電　PM</t>
    <rPh sb="0" eb="2">
      <t>カシマ</t>
    </rPh>
    <rPh sb="2" eb="3">
      <t>キタ</t>
    </rPh>
    <rPh sb="3" eb="7">
      <t>キョウドウハツデン</t>
    </rPh>
    <phoneticPr fontId="37"/>
  </si>
  <si>
    <t>鹿島北共同発電AM</t>
    <rPh sb="0" eb="2">
      <t>カシマ</t>
    </rPh>
    <rPh sb="2" eb="3">
      <t>キタ</t>
    </rPh>
    <rPh sb="3" eb="7">
      <t>キョウドウハツデン</t>
    </rPh>
    <phoneticPr fontId="37"/>
  </si>
  <si>
    <t>カシムラ工業所（日立）7：00</t>
    <rPh sb="4" eb="7">
      <t>コウギョウショ</t>
    </rPh>
    <rPh sb="8" eb="10">
      <t>ヒタチ</t>
    </rPh>
    <phoneticPr fontId="35"/>
  </si>
  <si>
    <t>キャノン(岩間）9：15</t>
    <rPh sb="5" eb="7">
      <t>イワマ</t>
    </rPh>
    <phoneticPr fontId="37"/>
  </si>
  <si>
    <t>福島県いわき市</t>
    <rPh sb="0" eb="3">
      <t>フクシマケン</t>
    </rPh>
    <rPh sb="6" eb="7">
      <t>シ</t>
    </rPh>
    <phoneticPr fontId="1"/>
  </si>
  <si>
    <t>キョウデン東北AM</t>
    <rPh sb="5" eb="7">
      <t>トウホク</t>
    </rPh>
    <phoneticPr fontId="35"/>
  </si>
  <si>
    <t>キョウデン東北</t>
    <rPh sb="5" eb="7">
      <t>トウホク</t>
    </rPh>
    <phoneticPr fontId="35"/>
  </si>
  <si>
    <t>クラレ（新潟）9：00</t>
    <rPh sb="4" eb="6">
      <t>ニイガタ</t>
    </rPh>
    <phoneticPr fontId="37"/>
  </si>
  <si>
    <t>クラレ（新潟）10：30</t>
    <rPh sb="4" eb="6">
      <t>ニイガタ</t>
    </rPh>
    <phoneticPr fontId="37"/>
  </si>
  <si>
    <t>磐越道(三和IC～会津IC)</t>
    <rPh sb="0" eb="3">
      <t>バンエツドウ</t>
    </rPh>
    <rPh sb="4" eb="6">
      <t>ミワ</t>
    </rPh>
    <rPh sb="9" eb="11">
      <t>アイヅ</t>
    </rPh>
    <phoneticPr fontId="37"/>
  </si>
  <si>
    <t>ｹﾐｺﾝ東日本（喜多方）6：00</t>
    <rPh sb="8" eb="11">
      <t>キタカタ</t>
    </rPh>
    <phoneticPr fontId="35"/>
  </si>
  <si>
    <t>コスモ石油（千葉）8：00</t>
    <rPh sb="3" eb="5">
      <t>セキユ</t>
    </rPh>
    <rPh sb="6" eb="8">
      <t>チバ</t>
    </rPh>
    <phoneticPr fontId="37"/>
  </si>
  <si>
    <t>全線高速</t>
    <rPh sb="0" eb="4">
      <t>ゼンセンコウソク</t>
    </rPh>
    <phoneticPr fontId="37"/>
  </si>
  <si>
    <t>コダック（群馬）8：30</t>
    <rPh sb="5" eb="7">
      <t>グンマ</t>
    </rPh>
    <phoneticPr fontId="37"/>
  </si>
  <si>
    <t>小林(伊勢崎)8：30</t>
    <rPh sb="0" eb="2">
      <t>コバヤシ</t>
    </rPh>
    <rPh sb="3" eb="6">
      <t>イセザキ</t>
    </rPh>
    <phoneticPr fontId="37"/>
  </si>
  <si>
    <t>近藤産業(燕市)8：30</t>
    <rPh sb="0" eb="4">
      <t>コンドウサンギョウ</t>
    </rPh>
    <rPh sb="5" eb="7">
      <t>ツバメシ</t>
    </rPh>
    <phoneticPr fontId="37"/>
  </si>
  <si>
    <t>堺（大剣）</t>
    <rPh sb="0" eb="1">
      <t>サカイ</t>
    </rPh>
    <rPh sb="2" eb="4">
      <t>オオツルギ</t>
    </rPh>
    <phoneticPr fontId="35"/>
  </si>
  <si>
    <t>十全（郡山）7：30</t>
    <rPh sb="0" eb="2">
      <t>ジュウゼン</t>
    </rPh>
    <rPh sb="3" eb="5">
      <t>コオリヤマ</t>
    </rPh>
    <phoneticPr fontId="35"/>
  </si>
  <si>
    <t>十全（郡山）5：30</t>
    <rPh sb="0" eb="2">
      <t>ジュウゼン</t>
    </rPh>
    <rPh sb="3" eb="5">
      <t>コオリヤマ</t>
    </rPh>
    <phoneticPr fontId="35"/>
  </si>
  <si>
    <t>純正化学（茨城）AM</t>
    <rPh sb="0" eb="4">
      <t>ジュンセイカガク</t>
    </rPh>
    <rPh sb="5" eb="7">
      <t>イバラキ</t>
    </rPh>
    <phoneticPr fontId="35"/>
  </si>
  <si>
    <t>茨城県北茨城市</t>
    <rPh sb="0" eb="3">
      <t>イバラキケン</t>
    </rPh>
    <rPh sb="3" eb="7">
      <t>キタイバラキシ</t>
    </rPh>
    <phoneticPr fontId="1"/>
  </si>
  <si>
    <t>新日本電工（郡山）6：30</t>
    <rPh sb="0" eb="1">
      <t>シン</t>
    </rPh>
    <rPh sb="1" eb="3">
      <t>ニホン</t>
    </rPh>
    <rPh sb="3" eb="5">
      <t>デンコウ</t>
    </rPh>
    <rPh sb="6" eb="8">
      <t>コオリヤマ</t>
    </rPh>
    <phoneticPr fontId="35"/>
  </si>
  <si>
    <t>新日本電工（郡山）8：00</t>
    <rPh sb="0" eb="1">
      <t>シン</t>
    </rPh>
    <rPh sb="1" eb="3">
      <t>ニホン</t>
    </rPh>
    <rPh sb="3" eb="5">
      <t>デンコウ</t>
    </rPh>
    <rPh sb="6" eb="8">
      <t>コオリヤマ</t>
    </rPh>
    <phoneticPr fontId="35"/>
  </si>
  <si>
    <t>新菱（いわき・タイク工場）8：00</t>
    <rPh sb="0" eb="2">
      <t>シンリョウ</t>
    </rPh>
    <rPh sb="10" eb="12">
      <t>コウジョウ</t>
    </rPh>
    <phoneticPr fontId="35"/>
  </si>
  <si>
    <t>住友化学（茨城）13：00</t>
    <rPh sb="0" eb="2">
      <t>スミトモ</t>
    </rPh>
    <rPh sb="2" eb="4">
      <t>カガク</t>
    </rPh>
    <rPh sb="5" eb="7">
      <t>イバラキ</t>
    </rPh>
    <phoneticPr fontId="35"/>
  </si>
  <si>
    <t>ソーダニッカ（七ヶ浜）10：00</t>
    <rPh sb="3" eb="4">
      <t>ゴウ</t>
    </rPh>
    <rPh sb="7" eb="10">
      <t>シチガハマ</t>
    </rPh>
    <phoneticPr fontId="37"/>
  </si>
  <si>
    <t>ソーダニッカ（七ヶ浜）10：30</t>
    <rPh sb="3" eb="4">
      <t>ゴウ</t>
    </rPh>
    <rPh sb="7" eb="10">
      <t>シチガハマ</t>
    </rPh>
    <phoneticPr fontId="37"/>
  </si>
  <si>
    <t>ソーダニッカ（七ヶ浜）AM</t>
    <rPh sb="3" eb="4">
      <t>ゴウ</t>
    </rPh>
    <rPh sb="7" eb="10">
      <t>シチガハマ</t>
    </rPh>
    <phoneticPr fontId="37"/>
  </si>
  <si>
    <t>ソーダニッカ（七ヶ浜）8：00</t>
    <rPh sb="7" eb="10">
      <t>シチガハマ</t>
    </rPh>
    <phoneticPr fontId="37"/>
  </si>
  <si>
    <t>大建工業（高萩）AM</t>
    <rPh sb="0" eb="4">
      <t>ダイケンコウギョウ</t>
    </rPh>
    <rPh sb="5" eb="7">
      <t>タカハギ</t>
    </rPh>
    <phoneticPr fontId="35"/>
  </si>
  <si>
    <t>茨城県高萩市</t>
    <rPh sb="0" eb="3">
      <t>イバラキケン</t>
    </rPh>
    <rPh sb="3" eb="6">
      <t>タカハギシ</t>
    </rPh>
    <phoneticPr fontId="1"/>
  </si>
  <si>
    <t>大明化学(東京)9：30</t>
    <rPh sb="0" eb="2">
      <t>タイメイ</t>
    </rPh>
    <rPh sb="2" eb="4">
      <t>カガク</t>
    </rPh>
    <rPh sb="5" eb="7">
      <t>トウキョウ</t>
    </rPh>
    <phoneticPr fontId="37"/>
  </si>
  <si>
    <t>茨城県大宮市</t>
    <rPh sb="0" eb="3">
      <t>イバラキケン</t>
    </rPh>
    <rPh sb="3" eb="6">
      <t>オオミヤシ</t>
    </rPh>
    <phoneticPr fontId="1"/>
  </si>
  <si>
    <t>タニオビスジャパン8：30</t>
    <phoneticPr fontId="35"/>
  </si>
  <si>
    <t>ﾃﾞﾝﾛｺｰﾎﾟﾚｰｼｮﾝ(相馬)AM</t>
    <phoneticPr fontId="1"/>
  </si>
  <si>
    <t>福島県相馬市</t>
    <rPh sb="0" eb="3">
      <t>フクシマケン</t>
    </rPh>
    <rPh sb="3" eb="6">
      <t>ソウマシ</t>
    </rPh>
    <phoneticPr fontId="1"/>
  </si>
  <si>
    <t>福島県広野町</t>
    <rPh sb="0" eb="3">
      <t>フクシマケン</t>
    </rPh>
    <rPh sb="3" eb="6">
      <t>ヒロノマチ</t>
    </rPh>
    <phoneticPr fontId="1"/>
  </si>
  <si>
    <t>東京パワー（広野）10：00</t>
    <rPh sb="0" eb="2">
      <t>トウキョウ</t>
    </rPh>
    <rPh sb="6" eb="8">
      <t>ヒロノ</t>
    </rPh>
    <phoneticPr fontId="35"/>
  </si>
  <si>
    <t>東信化学（八潮)AM</t>
    <rPh sb="0" eb="2">
      <t>トウシン</t>
    </rPh>
    <rPh sb="2" eb="4">
      <t>カガク</t>
    </rPh>
    <rPh sb="5" eb="7">
      <t>ヤシオ</t>
    </rPh>
    <phoneticPr fontId="37"/>
  </si>
  <si>
    <t>東北三之橋（相馬）7：30</t>
    <rPh sb="0" eb="2">
      <t>トウホク</t>
    </rPh>
    <rPh sb="2" eb="4">
      <t>サンノ</t>
    </rPh>
    <rPh sb="4" eb="5">
      <t>ハシ</t>
    </rPh>
    <rPh sb="6" eb="8">
      <t>ソウマ</t>
    </rPh>
    <phoneticPr fontId="35"/>
  </si>
  <si>
    <t>双葉郡楢葉町</t>
    <phoneticPr fontId="1"/>
  </si>
  <si>
    <t>豊通リチウムAM</t>
    <phoneticPr fontId="35"/>
  </si>
  <si>
    <t>豊通リチウムPM</t>
    <phoneticPr fontId="35"/>
  </si>
  <si>
    <t>永井製薬所（茨城）9：00</t>
    <rPh sb="0" eb="2">
      <t>ナガイ</t>
    </rPh>
    <rPh sb="2" eb="5">
      <t>セイヤクジョ</t>
    </rPh>
    <phoneticPr fontId="35"/>
  </si>
  <si>
    <t>茨城県稲敷市</t>
    <rPh sb="0" eb="3">
      <t>イバラキケン</t>
    </rPh>
    <rPh sb="3" eb="6">
      <t>イナシキシ</t>
    </rPh>
    <phoneticPr fontId="37"/>
  </si>
  <si>
    <t>福島県郡山市</t>
    <rPh sb="0" eb="3">
      <t>フクシマケン</t>
    </rPh>
    <rPh sb="3" eb="6">
      <t>コオリヤマシ</t>
    </rPh>
    <phoneticPr fontId="1"/>
  </si>
  <si>
    <t>ニッソーファイン（郡山）8：30</t>
    <rPh sb="9" eb="11">
      <t>コオリヤマ</t>
    </rPh>
    <phoneticPr fontId="35"/>
  </si>
  <si>
    <t>日本化学（第一）9：00</t>
    <rPh sb="0" eb="2">
      <t>ニホン</t>
    </rPh>
    <rPh sb="2" eb="4">
      <t>カガク</t>
    </rPh>
    <rPh sb="5" eb="7">
      <t>ダイイチ</t>
    </rPh>
    <phoneticPr fontId="35"/>
  </si>
  <si>
    <t>福島県郡山市</t>
    <rPh sb="0" eb="6">
      <t>フクシマケンコオリヤマシ</t>
    </rPh>
    <phoneticPr fontId="1"/>
  </si>
  <si>
    <t>福島県三春町</t>
    <rPh sb="0" eb="3">
      <t>フクシマケン</t>
    </rPh>
    <rPh sb="3" eb="5">
      <t>ミハル</t>
    </rPh>
    <rPh sb="5" eb="6">
      <t>マチ</t>
    </rPh>
    <phoneticPr fontId="1"/>
  </si>
  <si>
    <t>日本化学（第二）AM</t>
    <rPh sb="0" eb="2">
      <t>ニホン</t>
    </rPh>
    <rPh sb="2" eb="4">
      <t>カガク</t>
    </rPh>
    <rPh sb="5" eb="7">
      <t>ダイニ</t>
    </rPh>
    <phoneticPr fontId="35"/>
  </si>
  <si>
    <t>日本化薬(高崎）8：00</t>
    <rPh sb="0" eb="2">
      <t>ニホン</t>
    </rPh>
    <rPh sb="2" eb="4">
      <t>カヤク</t>
    </rPh>
    <rPh sb="5" eb="7">
      <t>タカサキ</t>
    </rPh>
    <phoneticPr fontId="37"/>
  </si>
  <si>
    <t>日本ケミコン（高萩）</t>
    <rPh sb="0" eb="2">
      <t>ニホン</t>
    </rPh>
    <rPh sb="7" eb="9">
      <t>タカハギ</t>
    </rPh>
    <phoneticPr fontId="35"/>
  </si>
  <si>
    <t>日本製紙(石巻）7：30</t>
    <rPh sb="0" eb="4">
      <t>ニホンセイシ</t>
    </rPh>
    <rPh sb="5" eb="7">
      <t>イシノマキ</t>
    </rPh>
    <phoneticPr fontId="37"/>
  </si>
  <si>
    <t>宮城県岩沼市</t>
    <rPh sb="0" eb="3">
      <t>ミヤギケン</t>
    </rPh>
    <rPh sb="3" eb="6">
      <t>イワヌマシ</t>
    </rPh>
    <phoneticPr fontId="1"/>
  </si>
  <si>
    <t>日本製紙（岩沼）8：30</t>
    <rPh sb="0" eb="2">
      <t>ニホン</t>
    </rPh>
    <rPh sb="2" eb="4">
      <t>セイシ</t>
    </rPh>
    <rPh sb="5" eb="7">
      <t>イワヌマ</t>
    </rPh>
    <phoneticPr fontId="35"/>
  </si>
  <si>
    <t>日本製紙(勿来）13：00</t>
    <rPh sb="0" eb="4">
      <t>ニホンセイシ</t>
    </rPh>
    <rPh sb="5" eb="7">
      <t>ナコソ</t>
    </rPh>
    <phoneticPr fontId="37"/>
  </si>
  <si>
    <t>日本テキサス（会津）AM</t>
    <rPh sb="0" eb="2">
      <t>ニホン</t>
    </rPh>
    <rPh sb="7" eb="9">
      <t>アイズ</t>
    </rPh>
    <phoneticPr fontId="35"/>
  </si>
  <si>
    <t>福島県会津市</t>
    <rPh sb="0" eb="3">
      <t>フクシマケン</t>
    </rPh>
    <rPh sb="3" eb="5">
      <t>アイヅ</t>
    </rPh>
    <rPh sb="5" eb="6">
      <t>シ</t>
    </rPh>
    <phoneticPr fontId="1"/>
  </si>
  <si>
    <t>日本無機（結城）8：35</t>
    <rPh sb="0" eb="2">
      <t>ニホン</t>
    </rPh>
    <rPh sb="2" eb="4">
      <t>ムキ</t>
    </rPh>
    <rPh sb="5" eb="7">
      <t>ユウキ</t>
    </rPh>
    <phoneticPr fontId="35"/>
  </si>
  <si>
    <t>茨城県結城市</t>
    <rPh sb="0" eb="3">
      <t>イバラキケン</t>
    </rPh>
    <rPh sb="3" eb="5">
      <t>ユウキ</t>
    </rPh>
    <rPh sb="5" eb="6">
      <t>シ</t>
    </rPh>
    <phoneticPr fontId="1"/>
  </si>
  <si>
    <t>栃木県栃木市</t>
    <rPh sb="0" eb="3">
      <t>トチギケン</t>
    </rPh>
    <rPh sb="3" eb="6">
      <t>トチギシ</t>
    </rPh>
    <phoneticPr fontId="1"/>
  </si>
  <si>
    <t>日立市清掃センター</t>
    <rPh sb="0" eb="2">
      <t>ヒタチ</t>
    </rPh>
    <rPh sb="2" eb="3">
      <t>シ</t>
    </rPh>
    <rPh sb="3" eb="5">
      <t>セイソウ</t>
    </rPh>
    <phoneticPr fontId="35"/>
  </si>
  <si>
    <t>茨城県勝田市</t>
    <rPh sb="0" eb="3">
      <t>イバラキケン</t>
    </rPh>
    <rPh sb="3" eb="6">
      <t>カツタシ</t>
    </rPh>
    <phoneticPr fontId="1"/>
  </si>
  <si>
    <t>日立パワー（勝田）14：00</t>
    <rPh sb="0" eb="2">
      <t>ヒタチ</t>
    </rPh>
    <rPh sb="6" eb="8">
      <t>カツタ</t>
    </rPh>
    <phoneticPr fontId="35"/>
  </si>
  <si>
    <t>半導体エネルギー研究所9：00</t>
    <rPh sb="0" eb="3">
      <t>ハンドウタイ</t>
    </rPh>
    <rPh sb="8" eb="11">
      <t>ケンキュウジョ</t>
    </rPh>
    <phoneticPr fontId="35"/>
  </si>
  <si>
    <t>ミネベアPD臨海13：00</t>
    <rPh sb="6" eb="8">
      <t>リンカイ</t>
    </rPh>
    <phoneticPr fontId="35"/>
  </si>
  <si>
    <t>富士フィルムワコーケミカルAM</t>
    <rPh sb="0" eb="2">
      <t>フジ</t>
    </rPh>
    <phoneticPr fontId="35"/>
  </si>
  <si>
    <t>小名浜製錬PGM</t>
    <rPh sb="0" eb="3">
      <t>オナハマ</t>
    </rPh>
    <rPh sb="3" eb="5">
      <t>セイレン</t>
    </rPh>
    <phoneticPr fontId="35"/>
  </si>
  <si>
    <t>旧マテリアルエコリファイン</t>
    <rPh sb="0" eb="1">
      <t>キュウ</t>
    </rPh>
    <phoneticPr fontId="1"/>
  </si>
  <si>
    <t>東関東道（潮来IC～)</t>
    <rPh sb="0" eb="1">
      <t>ヒガシ</t>
    </rPh>
    <rPh sb="1" eb="3">
      <t>カントウ</t>
    </rPh>
    <rPh sb="3" eb="4">
      <t>ドウ</t>
    </rPh>
    <rPh sb="5" eb="7">
      <t>イタコ</t>
    </rPh>
    <phoneticPr fontId="37"/>
  </si>
  <si>
    <t>茨城県那珂郡</t>
    <rPh sb="0" eb="3">
      <t>イバラキケン</t>
    </rPh>
    <rPh sb="3" eb="6">
      <t>ナカグン</t>
    </rPh>
    <phoneticPr fontId="1"/>
  </si>
  <si>
    <t>三菱ケミカル小名浜AM</t>
    <rPh sb="0" eb="2">
      <t>ミツビシ</t>
    </rPh>
    <rPh sb="6" eb="9">
      <t>オナハマ</t>
    </rPh>
    <phoneticPr fontId="35"/>
  </si>
  <si>
    <t>三星化学（相馬）AM</t>
    <rPh sb="0" eb="2">
      <t>ミツボシ</t>
    </rPh>
    <rPh sb="2" eb="4">
      <t>カガク</t>
    </rPh>
    <rPh sb="5" eb="7">
      <t>ソウマ</t>
    </rPh>
    <phoneticPr fontId="35"/>
  </si>
  <si>
    <t>福島県南相馬市</t>
    <rPh sb="0" eb="3">
      <t>フクシマケン</t>
    </rPh>
    <rPh sb="3" eb="4">
      <t>ミナミ</t>
    </rPh>
    <rPh sb="4" eb="7">
      <t>ソウマシ</t>
    </rPh>
    <phoneticPr fontId="1"/>
  </si>
  <si>
    <t>福島県南相馬市</t>
    <rPh sb="0" eb="2">
      <t>フクシマ</t>
    </rPh>
    <rPh sb="2" eb="3">
      <t>ケン</t>
    </rPh>
    <rPh sb="3" eb="6">
      <t>ミナミソウマ</t>
    </rPh>
    <rPh sb="6" eb="7">
      <t>シ</t>
    </rPh>
    <phoneticPr fontId="37"/>
  </si>
  <si>
    <t>ミネベア原町（第一）13：00</t>
    <rPh sb="4" eb="6">
      <t>ハラマチ</t>
    </rPh>
    <rPh sb="7" eb="9">
      <t>ダイイチ</t>
    </rPh>
    <phoneticPr fontId="35"/>
  </si>
  <si>
    <t>ミネベア原町（第二）13：00</t>
    <rPh sb="4" eb="6">
      <t>ハラマチ</t>
    </rPh>
    <rPh sb="7" eb="9">
      <t>ダイニ</t>
    </rPh>
    <phoneticPr fontId="35"/>
  </si>
  <si>
    <t>ミネベアPD臨海9：00</t>
    <rPh sb="6" eb="8">
      <t>リンカイ</t>
    </rPh>
    <phoneticPr fontId="35"/>
  </si>
  <si>
    <t>ミネベアPD臨海（積発）13：00</t>
    <rPh sb="6" eb="8">
      <t>リンカイ</t>
    </rPh>
    <phoneticPr fontId="35"/>
  </si>
  <si>
    <t>宮城メイコー(石巻）9：00</t>
    <rPh sb="0" eb="2">
      <t>ミヤギ</t>
    </rPh>
    <rPh sb="7" eb="9">
      <t>イシノマキ</t>
    </rPh>
    <phoneticPr fontId="37"/>
  </si>
  <si>
    <t>メイコー福島9：00</t>
    <rPh sb="4" eb="6">
      <t>フクシマ</t>
    </rPh>
    <phoneticPr fontId="35"/>
  </si>
  <si>
    <t>モメンティブ（太田）6：30</t>
    <rPh sb="7" eb="9">
      <t>オオタ</t>
    </rPh>
    <phoneticPr fontId="37"/>
  </si>
  <si>
    <t>モメンティブ（太田）9：00</t>
    <rPh sb="7" eb="9">
      <t>オオタ</t>
    </rPh>
    <phoneticPr fontId="37"/>
  </si>
  <si>
    <t>モメンティブ（太田）10：30</t>
    <rPh sb="7" eb="9">
      <t>オオタ</t>
    </rPh>
    <phoneticPr fontId="37"/>
  </si>
  <si>
    <t>ラサ工業（伊勢崎）8：30</t>
    <rPh sb="2" eb="4">
      <t>コウギョウ</t>
    </rPh>
    <rPh sb="5" eb="8">
      <t>イセザキ</t>
    </rPh>
    <phoneticPr fontId="37"/>
  </si>
  <si>
    <t>ラサ工業（野田）7：00</t>
    <rPh sb="2" eb="4">
      <t>コウギョウ</t>
    </rPh>
    <rPh sb="5" eb="7">
      <t>ノダ</t>
    </rPh>
    <phoneticPr fontId="37"/>
  </si>
  <si>
    <t>ラサ工業（野田）AM</t>
    <rPh sb="2" eb="4">
      <t>コウギョウ</t>
    </rPh>
    <rPh sb="5" eb="7">
      <t>ノダ</t>
    </rPh>
    <phoneticPr fontId="37"/>
  </si>
  <si>
    <t>ラサ工業（三本木）9：30</t>
    <rPh sb="2" eb="4">
      <t>コウギョウ</t>
    </rPh>
    <phoneticPr fontId="37"/>
  </si>
  <si>
    <t>ラサ工業（三本木）8：30</t>
    <rPh sb="2" eb="4">
      <t>コウギョウ</t>
    </rPh>
    <phoneticPr fontId="37"/>
  </si>
  <si>
    <t>ルネサス(高崎)8：45</t>
    <rPh sb="5" eb="7">
      <t>タカサキ</t>
    </rPh>
    <phoneticPr fontId="37"/>
  </si>
  <si>
    <t>ルネサス（那珂）AM</t>
    <rPh sb="5" eb="7">
      <t>ナカ</t>
    </rPh>
    <phoneticPr fontId="35"/>
  </si>
  <si>
    <t>茨城県那珂市</t>
    <rPh sb="0" eb="3">
      <t>イバラキケン</t>
    </rPh>
    <rPh sb="3" eb="5">
      <t>ナカ</t>
    </rPh>
    <rPh sb="5" eb="6">
      <t>シ</t>
    </rPh>
    <phoneticPr fontId="1"/>
  </si>
  <si>
    <t>雲藤</t>
    <rPh sb="0" eb="2">
      <t>ウンドウ</t>
    </rPh>
    <phoneticPr fontId="1"/>
  </si>
  <si>
    <t>鈴木(浩)</t>
    <rPh sb="0" eb="2">
      <t>スズキ</t>
    </rPh>
    <rPh sb="3" eb="4">
      <t>ヒロ</t>
    </rPh>
    <phoneticPr fontId="1"/>
  </si>
  <si>
    <t>味戸</t>
    <rPh sb="0" eb="2">
      <t>アジト</t>
    </rPh>
    <phoneticPr fontId="1"/>
  </si>
  <si>
    <t>渡邊(浩)</t>
    <rPh sb="0" eb="2">
      <t>ワタナベ</t>
    </rPh>
    <rPh sb="3" eb="4">
      <t>ヒロ</t>
    </rPh>
    <phoneticPr fontId="1"/>
  </si>
  <si>
    <t>JOT郡山
出荷</t>
    <rPh sb="3" eb="5">
      <t>コオリヤマ</t>
    </rPh>
    <rPh sb="6" eb="8">
      <t>シュッカ</t>
    </rPh>
    <phoneticPr fontId="1"/>
  </si>
  <si>
    <t>895号車</t>
    <rPh sb="3" eb="5">
      <t>ゴウシャ</t>
    </rPh>
    <phoneticPr fontId="1"/>
  </si>
  <si>
    <t>5486号車</t>
    <rPh sb="4" eb="6">
      <t>ゴウシャ</t>
    </rPh>
    <phoneticPr fontId="1"/>
  </si>
  <si>
    <t>積6：00/出5：00</t>
    <rPh sb="0" eb="1">
      <t>ツミ</t>
    </rPh>
    <rPh sb="6" eb="7">
      <t>デ</t>
    </rPh>
    <phoneticPr fontId="1"/>
  </si>
  <si>
    <t>積6：30/出5：30</t>
    <rPh sb="0" eb="1">
      <t>ツミ</t>
    </rPh>
    <rPh sb="6" eb="7">
      <t>デ</t>
    </rPh>
    <phoneticPr fontId="1"/>
  </si>
  <si>
    <t>①回目納品先</t>
    <rPh sb="1" eb="3">
      <t>カイメ</t>
    </rPh>
    <rPh sb="3" eb="6">
      <t>ノウヒンサキ</t>
    </rPh>
    <phoneticPr fontId="1"/>
  </si>
  <si>
    <t>②回目納品先</t>
    <rPh sb="1" eb="3">
      <t>カイメ</t>
    </rPh>
    <rPh sb="3" eb="6">
      <t>ノウヒンサキ</t>
    </rPh>
    <phoneticPr fontId="1"/>
  </si>
  <si>
    <t>③回目納品先</t>
    <rPh sb="1" eb="3">
      <t>カイメ</t>
    </rPh>
    <rPh sb="3" eb="6">
      <t>ノウヒンサキ</t>
    </rPh>
    <phoneticPr fontId="1"/>
  </si>
  <si>
    <t>④回目納品先</t>
    <rPh sb="1" eb="3">
      <t>カイメ</t>
    </rPh>
    <rPh sb="3" eb="6">
      <t>ノウヒンサキ</t>
    </rPh>
    <phoneticPr fontId="1"/>
  </si>
  <si>
    <t>氏名</t>
    <rPh sb="0" eb="2">
      <t>シメイ</t>
    </rPh>
    <phoneticPr fontId="1"/>
  </si>
  <si>
    <t>業務場所</t>
    <rPh sb="0" eb="4">
      <t>ギョウムバショ</t>
    </rPh>
    <phoneticPr fontId="1"/>
  </si>
  <si>
    <t>業務内容</t>
    <rPh sb="0" eb="4">
      <t>ギョウムナイヨウ</t>
    </rPh>
    <phoneticPr fontId="1"/>
  </si>
  <si>
    <t>ＫＰＳ×①</t>
    <rPh sb="0" eb="3">
      <t>ケーピーエス</t>
    </rPh>
    <phoneticPr fontId="10"/>
  </si>
  <si>
    <t>ＫＰＳ×②</t>
    <rPh sb="0" eb="3">
      <t>ケーピーエス</t>
    </rPh>
    <phoneticPr fontId="10"/>
  </si>
  <si>
    <t>ＫＰＳ×③</t>
    <rPh sb="0" eb="3">
      <t>ケーピーエス</t>
    </rPh>
    <phoneticPr fontId="10"/>
  </si>
  <si>
    <t>祝日リスト</t>
    <rPh sb="0" eb="2">
      <t>シュクジツ</t>
    </rPh>
    <phoneticPr fontId="37"/>
  </si>
  <si>
    <t>元日</t>
    <rPh sb="0" eb="2">
      <t>ガンジツ</t>
    </rPh>
    <phoneticPr fontId="37"/>
  </si>
  <si>
    <t>成人の日</t>
    <rPh sb="0" eb="2">
      <t>セイジン</t>
    </rPh>
    <rPh sb="3" eb="4">
      <t>ヒ</t>
    </rPh>
    <phoneticPr fontId="37"/>
  </si>
  <si>
    <t>建国記念日</t>
    <rPh sb="0" eb="5">
      <t>ケンコクキネンヒ</t>
    </rPh>
    <phoneticPr fontId="37"/>
  </si>
  <si>
    <t>天皇誕生日</t>
    <rPh sb="0" eb="5">
      <t>テンノウタンジョウビ</t>
    </rPh>
    <phoneticPr fontId="37"/>
  </si>
  <si>
    <t>振替休日</t>
    <rPh sb="0" eb="4">
      <t>フリカエキュウジツ</t>
    </rPh>
    <phoneticPr fontId="37"/>
  </si>
  <si>
    <t>春分の日</t>
    <rPh sb="0" eb="2">
      <t>シュンブン</t>
    </rPh>
    <rPh sb="3" eb="4">
      <t>ヒ</t>
    </rPh>
    <phoneticPr fontId="37"/>
  </si>
  <si>
    <t>昭和の日</t>
    <rPh sb="0" eb="2">
      <t>ショウワ</t>
    </rPh>
    <rPh sb="3" eb="4">
      <t>ヒ</t>
    </rPh>
    <phoneticPr fontId="37"/>
  </si>
  <si>
    <t>憲法記念日</t>
    <rPh sb="0" eb="5">
      <t>ケンポウキネンビ</t>
    </rPh>
    <phoneticPr fontId="37"/>
  </si>
  <si>
    <t>みどりの日</t>
    <rPh sb="4" eb="5">
      <t>ヒ</t>
    </rPh>
    <phoneticPr fontId="37"/>
  </si>
  <si>
    <t>こどもの日</t>
    <rPh sb="4" eb="5">
      <t>ヒ</t>
    </rPh>
    <phoneticPr fontId="37"/>
  </si>
  <si>
    <t>海の日</t>
    <rPh sb="0" eb="1">
      <t>ウミ</t>
    </rPh>
    <rPh sb="2" eb="3">
      <t>ヒ</t>
    </rPh>
    <phoneticPr fontId="37"/>
  </si>
  <si>
    <t>山の日</t>
    <rPh sb="0" eb="1">
      <t>ヤマ</t>
    </rPh>
    <rPh sb="2" eb="3">
      <t>ヒ</t>
    </rPh>
    <phoneticPr fontId="37"/>
  </si>
  <si>
    <t>敬老の日</t>
    <rPh sb="0" eb="2">
      <t>ケイロウ</t>
    </rPh>
    <rPh sb="3" eb="4">
      <t>ヒ</t>
    </rPh>
    <phoneticPr fontId="37"/>
  </si>
  <si>
    <t>秋分の日</t>
    <rPh sb="0" eb="2">
      <t>シュウブン</t>
    </rPh>
    <rPh sb="3" eb="4">
      <t>ヒ</t>
    </rPh>
    <phoneticPr fontId="37"/>
  </si>
  <si>
    <t>スポーツの日</t>
    <rPh sb="5" eb="6">
      <t>ヒ</t>
    </rPh>
    <phoneticPr fontId="37"/>
  </si>
  <si>
    <t>文化の日</t>
    <rPh sb="0" eb="2">
      <t>ブンカ</t>
    </rPh>
    <rPh sb="3" eb="4">
      <t>ヒ</t>
    </rPh>
    <phoneticPr fontId="37"/>
  </si>
  <si>
    <t>勤労感謝の日</t>
    <rPh sb="0" eb="4">
      <t>キンロウカンシャ</t>
    </rPh>
    <rPh sb="5" eb="6">
      <t>ヒ</t>
    </rPh>
    <phoneticPr fontId="37"/>
  </si>
  <si>
    <t>積発</t>
    <rPh sb="0" eb="2">
      <t>ツミハツ</t>
    </rPh>
    <phoneticPr fontId="1"/>
  </si>
  <si>
    <t>車検</t>
    <rPh sb="0" eb="2">
      <t>シャケン</t>
    </rPh>
    <phoneticPr fontId="1"/>
  </si>
  <si>
    <t>消防検査</t>
    <rPh sb="0" eb="4">
      <t>ショウボウケンサ</t>
    </rPh>
    <phoneticPr fontId="1"/>
  </si>
  <si>
    <t>渡邉(進)</t>
    <rPh sb="0" eb="2">
      <t>ワタナベ</t>
    </rPh>
    <rPh sb="3" eb="4">
      <t>シン</t>
    </rPh>
    <phoneticPr fontId="1"/>
  </si>
  <si>
    <t>松本(正)</t>
    <rPh sb="0" eb="2">
      <t>マツモト</t>
    </rPh>
    <rPh sb="3" eb="4">
      <t>マサ</t>
    </rPh>
    <phoneticPr fontId="1"/>
  </si>
  <si>
    <t>会議室</t>
    <rPh sb="0" eb="3">
      <t>カイギシツ</t>
    </rPh>
    <phoneticPr fontId="1"/>
  </si>
  <si>
    <t>早朝点呼</t>
    <rPh sb="0" eb="2">
      <t>ソウチョウ</t>
    </rPh>
    <rPh sb="2" eb="4">
      <t>テンコ</t>
    </rPh>
    <phoneticPr fontId="1"/>
  </si>
  <si>
    <t>日中点呼</t>
    <rPh sb="0" eb="2">
      <t>ニッチュウ</t>
    </rPh>
    <rPh sb="2" eb="4">
      <t>テンコ</t>
    </rPh>
    <phoneticPr fontId="1"/>
  </si>
  <si>
    <t>事務・点呼</t>
    <rPh sb="0" eb="2">
      <t>ジム</t>
    </rPh>
    <rPh sb="3" eb="5">
      <t>テンコ</t>
    </rPh>
    <phoneticPr fontId="1"/>
  </si>
  <si>
    <t>事務</t>
    <rPh sb="0" eb="2">
      <t>ジム</t>
    </rPh>
    <phoneticPr fontId="1"/>
  </si>
  <si>
    <t>巡回</t>
    <rPh sb="0" eb="2">
      <t>ジュンカイ</t>
    </rPh>
    <phoneticPr fontId="1"/>
  </si>
  <si>
    <t>適宜</t>
    <rPh sb="0" eb="2">
      <t>テキギ</t>
    </rPh>
    <phoneticPr fontId="1"/>
  </si>
  <si>
    <t>洗浄</t>
    <rPh sb="0" eb="2">
      <t>センジョウ</t>
    </rPh>
    <phoneticPr fontId="1"/>
  </si>
  <si>
    <t>宵積み</t>
    <rPh sb="0" eb="2">
      <t>ヨイヅ</t>
    </rPh>
    <phoneticPr fontId="1"/>
  </si>
  <si>
    <t>アサカ理研（富久山）</t>
    <rPh sb="3" eb="5">
      <t>リケン</t>
    </rPh>
    <rPh sb="6" eb="9">
      <t>フクヤマ</t>
    </rPh>
    <phoneticPr fontId="9"/>
  </si>
  <si>
    <t>アステラス製薬</t>
    <rPh sb="5" eb="7">
      <t>セイヤク</t>
    </rPh>
    <phoneticPr fontId="9"/>
  </si>
  <si>
    <t>荒川化学</t>
    <rPh sb="0" eb="4">
      <t>アラカワカガク</t>
    </rPh>
    <phoneticPr fontId="1"/>
  </si>
  <si>
    <t>大内新興（須賀川）</t>
    <rPh sb="0" eb="2">
      <t>オオウチ</t>
    </rPh>
    <rPh sb="2" eb="4">
      <t>シンコウ</t>
    </rPh>
    <rPh sb="5" eb="8">
      <t>スカガワ</t>
    </rPh>
    <phoneticPr fontId="9"/>
  </si>
  <si>
    <t>大内新興（原町）</t>
    <rPh sb="0" eb="2">
      <t>オオウチ</t>
    </rPh>
    <rPh sb="2" eb="4">
      <t>シンコウ</t>
    </rPh>
    <rPh sb="5" eb="7">
      <t>ハラマチ</t>
    </rPh>
    <phoneticPr fontId="9"/>
  </si>
  <si>
    <t>小名浜製錬</t>
    <rPh sb="0" eb="3">
      <t>オナハマ</t>
    </rPh>
    <rPh sb="3" eb="5">
      <t>セイレン</t>
    </rPh>
    <phoneticPr fontId="10"/>
  </si>
  <si>
    <t>霞ヶ浦流域下水道事務所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</si>
  <si>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</t>
    <rPh sb="0" eb="2">
      <t>カタクラ</t>
    </rPh>
    <phoneticPr fontId="9"/>
  </si>
  <si>
    <t>昱（外宿浄水場）AM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</si>
  <si>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r>
      <t>アサカ理研（</t>
    </r>
    <r>
      <rPr>
        <sz val="10"/>
        <color indexed="8"/>
        <rFont val="ＭＳ Ｐ明朝"/>
        <family val="1"/>
        <charset val="128"/>
      </rPr>
      <t>富久山）</t>
    </r>
    <r>
      <rPr>
        <sz val="11"/>
        <rFont val="ＭＳ Ｐゴシック"/>
        <family val="3"/>
        <charset val="128"/>
      </rPr>
      <t>8：30</t>
    </r>
    <rPh sb="3" eb="5">
      <t>リケン</t>
    </rPh>
    <rPh sb="6" eb="9">
      <t>フクヤマ</t>
    </rPh>
    <phoneticPr fontId="9"/>
  </si>
  <si>
    <t>ｱﾙﾌﾟｽｱﾙﾊﾟｲﾝ（平）13：30</t>
    <rPh sb="12" eb="13">
      <t>タイラ</t>
    </rPh>
    <phoneticPr fontId="10"/>
  </si>
  <si>
    <t>いわき市中部浄化ｾﾝﾀｰ13：00</t>
    <rPh sb="3" eb="4">
      <t>シ</t>
    </rPh>
    <rPh sb="4" eb="6">
      <t>チュウブ</t>
    </rPh>
    <rPh sb="6" eb="8">
      <t>ジョウカ</t>
    </rPh>
    <phoneticPr fontId="10"/>
  </si>
  <si>
    <t>ｳｫｰﾀｰｴｰｼﾞｪﾝｼｰ（本宮）9：30</t>
    <rPh sb="14" eb="16">
      <t>モトミヤ</t>
    </rPh>
    <phoneticPr fontId="10"/>
  </si>
  <si>
    <t>ｴｱ･ｳｫｰﾀｰ(小名浜)10：00</t>
    <rPh sb="9" eb="12">
      <t>オナハマ</t>
    </rPh>
    <phoneticPr fontId="9"/>
  </si>
  <si>
    <t>エフオン大信発電所8：30</t>
    <rPh sb="4" eb="6">
      <t>タイシン</t>
    </rPh>
    <rPh sb="6" eb="9">
      <t>ハツデンショ</t>
    </rPh>
    <phoneticPr fontId="9"/>
  </si>
  <si>
    <t>大谷浄水場9：00</t>
    <rPh sb="0" eb="2">
      <t>オオガイ</t>
    </rPh>
    <rPh sb="2" eb="5">
      <t>ジョウスイジョウ</t>
    </rPh>
    <phoneticPr fontId="10"/>
  </si>
  <si>
    <t>オーガニック川口9：00</t>
    <rPh sb="6" eb="8">
      <t>カワグチ</t>
    </rPh>
    <phoneticPr fontId="10"/>
  </si>
  <si>
    <t>カゴメ（那須）8：30</t>
    <rPh sb="4" eb="6">
      <t>ナス</t>
    </rPh>
    <phoneticPr fontId="9"/>
  </si>
  <si>
    <t>喜多方･熱塩浄水場</t>
    <rPh sb="0" eb="3">
      <t>キタカタ</t>
    </rPh>
    <rPh sb="4" eb="6">
      <t>アツシオ</t>
    </rPh>
    <rPh sb="6" eb="9">
      <t>ジョウスイジョウ</t>
    </rPh>
    <phoneticPr fontId="10"/>
  </si>
  <si>
    <t>クリーンテック（第二）</t>
    <rPh sb="8" eb="10">
      <t>ダイニ</t>
    </rPh>
    <phoneticPr fontId="10"/>
  </si>
  <si>
    <t>クレハ環境</t>
    <rPh sb="3" eb="5">
      <t>カンキョウ</t>
    </rPh>
    <phoneticPr fontId="10"/>
  </si>
  <si>
    <t>クニミネ工業</t>
    <rPh sb="4" eb="6">
      <t>コウギョウ</t>
    </rPh>
    <phoneticPr fontId="10"/>
  </si>
  <si>
    <t>ケミコン東日本(喜多方)</t>
    <rPh sb="4" eb="7">
      <t>ヒガシニホン</t>
    </rPh>
    <rPh sb="8" eb="11">
      <t>キタカタ</t>
    </rPh>
    <phoneticPr fontId="9"/>
  </si>
  <si>
    <t>郡山食肉センター</t>
    <rPh sb="0" eb="2">
      <t>コオリヤマ</t>
    </rPh>
    <rPh sb="2" eb="4">
      <t>ショクニク</t>
    </rPh>
    <phoneticPr fontId="9"/>
  </si>
  <si>
    <t>郡山堀口浄水場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</si>
  <si>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コダック（群馬）</t>
    <rPh sb="5" eb="7">
      <t>グンマ</t>
    </rPh>
    <phoneticPr fontId="10"/>
  </si>
  <si>
    <t>小林8：30</t>
    <rPh sb="0" eb="2">
      <t>コバヤシ</t>
    </rPh>
    <phoneticPr fontId="9"/>
  </si>
  <si>
    <t>小松浄水場</t>
    <rPh sb="0" eb="2">
      <t>コマツ</t>
    </rPh>
    <rPh sb="2" eb="5">
      <t>ジョウスイジョウ</t>
    </rPh>
    <phoneticPr fontId="10"/>
  </si>
  <si>
    <t>堺（大剣）</t>
    <rPh sb="0" eb="1">
      <t>サカイ</t>
    </rPh>
    <rPh sb="2" eb="4">
      <t>オオツルギ</t>
    </rPh>
    <phoneticPr fontId="1"/>
  </si>
  <si>
    <t>ＳＵＳ福島13：00</t>
    <rPh sb="0" eb="3">
      <t>サス</t>
    </rPh>
    <rPh sb="3" eb="5">
      <t>フクシマ</t>
    </rPh>
    <phoneticPr fontId="9"/>
  </si>
  <si>
    <t>山王東北8：30</t>
    <rPh sb="0" eb="4">
      <t>サンオウトウホク</t>
    </rPh>
    <phoneticPr fontId="9"/>
  </si>
  <si>
    <t>ＪＸ金属（ＨＭＣ）AM</t>
    <rPh sb="2" eb="4">
      <t>キンゾク</t>
    </rPh>
    <phoneticPr fontId="10"/>
  </si>
  <si>
    <t>ＪＸ金属（圧延）AM</t>
    <rPh sb="2" eb="4">
      <t>キンゾク</t>
    </rPh>
    <rPh sb="5" eb="7">
      <t>アツエン</t>
    </rPh>
    <phoneticPr fontId="10"/>
  </si>
  <si>
    <t>ＪＸ金属（電錬排水）</t>
    <rPh sb="0" eb="2">
      <t>ジェイエックス</t>
    </rPh>
    <rPh sb="2" eb="4">
      <t>キンゾク</t>
    </rPh>
    <rPh sb="5" eb="9">
      <t>デンレン</t>
    </rPh>
    <phoneticPr fontId="9"/>
  </si>
  <si>
    <t>ＪＸ金属環境（大雄院）</t>
    <rPh sb="2" eb="4">
      <t>キンゾク</t>
    </rPh>
    <rPh sb="4" eb="6">
      <t>カンキョウ</t>
    </rPh>
    <rPh sb="7" eb="10">
      <t>ダイユウイン</t>
    </rPh>
    <phoneticPr fontId="10"/>
  </si>
  <si>
    <t>ＪＸ金属銅箔（排水）</t>
    <rPh sb="2" eb="4">
      <t>キンゾク</t>
    </rPh>
    <rPh sb="4" eb="6">
      <t>ドウハク</t>
    </rPh>
    <rPh sb="7" eb="9">
      <t>ハイスイ</t>
    </rPh>
    <phoneticPr fontId="10"/>
  </si>
  <si>
    <t>南相馬雫浄化センター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</si>
  <si>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十全　郡山8：00</t>
    <rPh sb="0" eb="2">
      <t>ジュウゼン</t>
    </rPh>
    <rPh sb="3" eb="5">
      <t>コオリヤマ</t>
    </rPh>
    <phoneticPr fontId="10"/>
  </si>
  <si>
    <t>純正化学AM</t>
    <rPh sb="0" eb="2">
      <t>ジュンセイ</t>
    </rPh>
    <rPh sb="2" eb="4">
      <t>カガク</t>
    </rPh>
    <phoneticPr fontId="10"/>
  </si>
  <si>
    <t>城北化学AM</t>
    <rPh sb="0" eb="2">
      <t>ジョウホク</t>
    </rPh>
    <rPh sb="2" eb="4">
      <t>カガク</t>
    </rPh>
    <phoneticPr fontId="10"/>
  </si>
  <si>
    <t>常磐共同火力</t>
    <rPh sb="0" eb="6">
      <t>ジョウバンキョウドウカリョク</t>
    </rPh>
    <phoneticPr fontId="10"/>
  </si>
  <si>
    <t>新日本電工</t>
    <rPh sb="0" eb="5">
      <t>シンニホンデンコウ</t>
    </rPh>
    <phoneticPr fontId="9"/>
  </si>
  <si>
    <t>新和企業</t>
    <rPh sb="0" eb="2">
      <t>シンワ</t>
    </rPh>
    <rPh sb="2" eb="4">
      <t>キギョウ</t>
    </rPh>
    <phoneticPr fontId="10"/>
  </si>
  <si>
    <t>住友化学（茨城）</t>
    <rPh sb="0" eb="2">
      <t>スミトモ</t>
    </rPh>
    <rPh sb="2" eb="4">
      <t>カガク</t>
    </rPh>
    <rPh sb="5" eb="7">
      <t>イバラキ</t>
    </rPh>
    <phoneticPr fontId="10"/>
  </si>
  <si>
    <t>仙波糖化</t>
    <rPh sb="0" eb="4">
      <t>センバトウカ</t>
    </rPh>
    <phoneticPr fontId="9"/>
  </si>
  <si>
    <t>相互薬工</t>
    <rPh sb="0" eb="2">
      <t>ソウゴ</t>
    </rPh>
    <rPh sb="2" eb="3">
      <t>ヤク</t>
    </rPh>
    <rPh sb="3" eb="4">
      <t>コウ</t>
    </rPh>
    <phoneticPr fontId="10"/>
  </si>
  <si>
    <t>ソーダニッカ（七ヶ浜）</t>
    <rPh sb="7" eb="10">
      <t>シチガハマ</t>
    </rPh>
    <phoneticPr fontId="9"/>
  </si>
  <si>
    <t>ダイキン（鹿島）</t>
    <rPh sb="5" eb="7">
      <t>カシマ</t>
    </rPh>
    <phoneticPr fontId="10"/>
  </si>
  <si>
    <t>大日ケミカル</t>
    <rPh sb="0" eb="2">
      <t>ダイニチ</t>
    </rPh>
    <phoneticPr fontId="10"/>
  </si>
  <si>
    <t>デンソ－（岩手）9：30</t>
    <rPh sb="5" eb="7">
      <t>イワテ</t>
    </rPh>
    <phoneticPr fontId="10"/>
  </si>
  <si>
    <t>東亞合成</t>
    <rPh sb="0" eb="4">
      <t>トウアゴウセイ</t>
    </rPh>
    <phoneticPr fontId="9"/>
  </si>
  <si>
    <t>昱（外宿浄水場）13：00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</si>
  <si>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東京パワー広野</t>
    <rPh sb="0" eb="2">
      <t>トウキョウ</t>
    </rPh>
    <rPh sb="5" eb="7">
      <t>ヒロノ</t>
    </rPh>
    <phoneticPr fontId="9"/>
  </si>
  <si>
    <t>東京パワー広野10：00※高速使用</t>
    <rPh sb="0" eb="2">
      <t>トウキョウ</t>
    </rPh>
    <rPh sb="5" eb="7">
      <t>ヒロノ</t>
    </rPh>
    <rPh sb="13" eb="17">
      <t>コウソクシヨウ</t>
    </rPh>
    <phoneticPr fontId="9"/>
  </si>
  <si>
    <t>広野IGCC発電所9：00※高速使用</t>
    <rPh sb="0" eb="2">
      <t>ヒロノ</t>
    </rPh>
    <rPh sb="6" eb="8">
      <t>ハツデン</t>
    </rPh>
    <rPh sb="8" eb="9">
      <t>ショ</t>
    </rPh>
    <rPh sb="14" eb="18">
      <t>コウソクシヨウ</t>
    </rPh>
    <phoneticPr fontId="1"/>
  </si>
  <si>
    <t>広野IGCC発電所</t>
    <rPh sb="0" eb="2">
      <t>ヒロノ</t>
    </rPh>
    <rPh sb="6" eb="8">
      <t>ハツデン</t>
    </rPh>
    <rPh sb="8" eb="9">
      <t>ショ</t>
    </rPh>
    <phoneticPr fontId="1"/>
  </si>
  <si>
    <t>東北電力（原町火力）9：00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</si>
  <si>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</t>
    <rPh sb="0" eb="4">
      <t>トウホウアエン</t>
    </rPh>
    <phoneticPr fontId="10"/>
  </si>
  <si>
    <t>東北旭紙業</t>
    <rPh sb="0" eb="2">
      <t>トウホク</t>
    </rPh>
    <rPh sb="2" eb="3">
      <t>アサヒ</t>
    </rPh>
    <rPh sb="3" eb="5">
      <t>シギョウ</t>
    </rPh>
    <phoneticPr fontId="10"/>
  </si>
  <si>
    <t>東北化学工業</t>
    <rPh sb="0" eb="4">
      <t>トウホクカガク</t>
    </rPh>
    <rPh sb="4" eb="6">
      <t>コウギョウ</t>
    </rPh>
    <phoneticPr fontId="9"/>
  </si>
  <si>
    <t>東北三之橋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</si>
  <si>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日曹金属（会津）</t>
    <rPh sb="0" eb="2">
      <t>ニッソウ</t>
    </rPh>
    <rPh sb="2" eb="4">
      <t>キンゾク</t>
    </rPh>
    <rPh sb="5" eb="7">
      <t>アイヅ</t>
    </rPh>
    <phoneticPr fontId="9"/>
  </si>
  <si>
    <t>ニッソーファイン（郡山）8：30</t>
    <rPh sb="9" eb="11">
      <t>コオリヤマ</t>
    </rPh>
    <phoneticPr fontId="9"/>
  </si>
  <si>
    <t>日東紡（福島）</t>
    <rPh sb="0" eb="3">
      <t>ニットウボウ</t>
    </rPh>
    <rPh sb="4" eb="6">
      <t>フクシマ</t>
    </rPh>
    <phoneticPr fontId="9"/>
  </si>
  <si>
    <t>日東紡資材・ケミカル(郡山)9：00</t>
    <rPh sb="0" eb="3">
      <t>ニットウボウ</t>
    </rPh>
    <rPh sb="3" eb="5">
      <t>シザイ</t>
    </rPh>
    <rPh sb="11" eb="13">
      <t>コオリヤマ</t>
    </rPh>
    <phoneticPr fontId="9"/>
  </si>
  <si>
    <t>日本化学（第一）</t>
    <rPh sb="0" eb="4">
      <t>ニホンカガク</t>
    </rPh>
    <rPh sb="5" eb="7">
      <t>ダイイチ</t>
    </rPh>
    <phoneticPr fontId="10"/>
  </si>
  <si>
    <t>日本化学産業AM</t>
    <rPh sb="0" eb="2">
      <t>ニホン</t>
    </rPh>
    <rPh sb="2" eb="4">
      <t>カガク</t>
    </rPh>
    <rPh sb="4" eb="6">
      <t>サンギョウ</t>
    </rPh>
    <phoneticPr fontId="9"/>
  </si>
  <si>
    <t>日本工機（白河）8：30</t>
    <rPh sb="0" eb="2">
      <t>ニホン</t>
    </rPh>
    <rPh sb="2" eb="4">
      <t>コウキ</t>
    </rPh>
    <rPh sb="5" eb="7">
      <t>シラカワ</t>
    </rPh>
    <phoneticPr fontId="9"/>
  </si>
  <si>
    <t>日本電解（下館）</t>
    <rPh sb="0" eb="4">
      <t>ニホンデンカイ</t>
    </rPh>
    <rPh sb="5" eb="7">
      <t>シモダテ</t>
    </rPh>
    <phoneticPr fontId="9"/>
  </si>
  <si>
    <t>日本ナショナル製罐8：00</t>
    <rPh sb="0" eb="2">
      <t>ニホン</t>
    </rPh>
    <rPh sb="7" eb="9">
      <t>セイカン</t>
    </rPh>
    <phoneticPr fontId="9"/>
  </si>
  <si>
    <t>ネクセライズ小名浜13：00</t>
    <rPh sb="6" eb="9">
      <t>オナハマ</t>
    </rPh>
    <phoneticPr fontId="9"/>
  </si>
  <si>
    <t>早川器械店9：30</t>
    <rPh sb="0" eb="2">
      <t>ハヤカワ</t>
    </rPh>
    <rPh sb="2" eb="4">
      <t>キカイ</t>
    </rPh>
    <rPh sb="4" eb="5">
      <t>テン</t>
    </rPh>
    <phoneticPr fontId="10"/>
  </si>
  <si>
    <t>日立中央工業組合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</si>
  <si>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日立パワー（勝田）</t>
    <rPh sb="0" eb="2">
      <t>ヒタチ</t>
    </rPh>
    <rPh sb="6" eb="8">
      <t>カツタ</t>
    </rPh>
    <phoneticPr fontId="9"/>
  </si>
  <si>
    <t>ひめゆり総業</t>
    <rPh sb="4" eb="6">
      <t>ソウギョウ</t>
    </rPh>
    <phoneticPr fontId="9"/>
  </si>
  <si>
    <t>東北ブロイラー</t>
    <rPh sb="0" eb="2">
      <t>トウホク</t>
    </rPh>
    <phoneticPr fontId="10"/>
  </si>
  <si>
    <t>福島県食肉センター</t>
    <rPh sb="0" eb="3">
      <t>フクシマケン</t>
    </rPh>
    <rPh sb="3" eb="5">
      <t>ショクニク</t>
    </rPh>
    <phoneticPr fontId="10"/>
  </si>
  <si>
    <t>冨士シャフト7：30</t>
    <rPh sb="0" eb="2">
      <t>フジ</t>
    </rPh>
    <phoneticPr fontId="9"/>
  </si>
  <si>
    <t>保土谷ロジAM</t>
    <rPh sb="0" eb="3">
      <t>ホドガヤ</t>
    </rPh>
    <phoneticPr fontId="9"/>
  </si>
  <si>
    <t>堀口浄水場</t>
    <rPh sb="0" eb="5">
      <t>ホリグチジョウスイジョウ</t>
    </rPh>
    <phoneticPr fontId="9"/>
  </si>
  <si>
    <t>丸三製紙</t>
    <rPh sb="0" eb="2">
      <t>マルサン</t>
    </rPh>
    <rPh sb="2" eb="4">
      <t>セイシ</t>
    </rPh>
    <phoneticPr fontId="9"/>
  </si>
  <si>
    <t>三菱ケミカル</t>
    <rPh sb="0" eb="2">
      <t>ミツビシ</t>
    </rPh>
    <phoneticPr fontId="10"/>
  </si>
  <si>
    <t>三星化学</t>
    <rPh sb="0" eb="4">
      <t>ミツボシカガク</t>
    </rPh>
    <phoneticPr fontId="9"/>
  </si>
  <si>
    <t>南相馬大谷浄水場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</si>
  <si>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ミネベアPD臨海</t>
    <rPh sb="6" eb="8">
      <t>リンカイ</t>
    </rPh>
    <phoneticPr fontId="1"/>
  </si>
  <si>
    <t>ミネベアパワー（原町第一）13：00</t>
    <rPh sb="8" eb="10">
      <t>ハラマチ</t>
    </rPh>
    <rPh sb="10" eb="12">
      <t>ダイイチ</t>
    </rPh>
    <phoneticPr fontId="9"/>
  </si>
  <si>
    <t>ミネベアパワー（原町第二）AM</t>
    <rPh sb="8" eb="10">
      <t>ハラマチ</t>
    </rPh>
    <rPh sb="10" eb="12">
      <t>ダイニ</t>
    </rPh>
    <phoneticPr fontId="9"/>
  </si>
  <si>
    <t>森永乳業（福島）</t>
    <rPh sb="0" eb="4">
      <t>モリナガニュウギョウ</t>
    </rPh>
    <rPh sb="5" eb="7">
      <t>フクシマ</t>
    </rPh>
    <phoneticPr fontId="9"/>
  </si>
  <si>
    <t>ルネサス那珂</t>
    <rPh sb="4" eb="6">
      <t>ナカ</t>
    </rPh>
    <phoneticPr fontId="9"/>
  </si>
  <si>
    <t>DNPﾌｧｲﾝｹﾐｶﾙ（宇都宮）</t>
    <rPh sb="12" eb="15">
      <t>ウツノミヤ</t>
    </rPh>
    <phoneticPr fontId="35"/>
  </si>
  <si>
    <t>JFEスチール</t>
    <phoneticPr fontId="1"/>
  </si>
  <si>
    <t>ＪＸ金属（HMC）</t>
    <rPh sb="2" eb="4">
      <t>キンゾク</t>
    </rPh>
    <phoneticPr fontId="35"/>
  </si>
  <si>
    <t>ＪＸ金属（貴金属）</t>
    <rPh sb="2" eb="4">
      <t>キンゾク</t>
    </rPh>
    <rPh sb="5" eb="8">
      <t>キキンゾク</t>
    </rPh>
    <phoneticPr fontId="35"/>
  </si>
  <si>
    <t>ＪＸ金属（大雄院ボイラー）</t>
    <rPh sb="2" eb="4">
      <t>キンゾク</t>
    </rPh>
    <rPh sb="5" eb="8">
      <t>ダイユウイン</t>
    </rPh>
    <phoneticPr fontId="35"/>
  </si>
  <si>
    <t>ＪＸ金属（ユピノーグ)</t>
    <rPh sb="2" eb="4">
      <t>キンゾク</t>
    </rPh>
    <phoneticPr fontId="35"/>
  </si>
  <si>
    <t>MGCエレクトロテクノ</t>
    <phoneticPr fontId="35"/>
  </si>
  <si>
    <t>TOPPAN(新潟)</t>
    <rPh sb="7" eb="9">
      <t>ニイガタ</t>
    </rPh>
    <phoneticPr fontId="37"/>
  </si>
  <si>
    <t>アサカ理研郡山</t>
    <rPh sb="3" eb="5">
      <t>リケン</t>
    </rPh>
    <rPh sb="5" eb="7">
      <t>コオリヤマ</t>
    </rPh>
    <phoneticPr fontId="35"/>
  </si>
  <si>
    <t>アサカ理研（いわき）</t>
    <rPh sb="3" eb="5">
      <t>リケン</t>
    </rPh>
    <phoneticPr fontId="35"/>
  </si>
  <si>
    <t>ｱﾙﾌﾟｽｱﾙﾊﾟｲﾝ（平）</t>
    <rPh sb="12" eb="13">
      <t>タイラ</t>
    </rPh>
    <phoneticPr fontId="35"/>
  </si>
  <si>
    <t>ｴｱｰｳｫｰﾀｰ（小名浜）</t>
    <rPh sb="9" eb="12">
      <t>オナハマ</t>
    </rPh>
    <phoneticPr fontId="35"/>
  </si>
  <si>
    <t>小名浜製錬</t>
    <rPh sb="0" eb="3">
      <t>オナハマ</t>
    </rPh>
    <rPh sb="3" eb="5">
      <t>セイレン</t>
    </rPh>
    <phoneticPr fontId="35"/>
  </si>
  <si>
    <t>カゴメ（那須）</t>
    <rPh sb="4" eb="6">
      <t>ナス</t>
    </rPh>
    <phoneticPr fontId="37"/>
  </si>
  <si>
    <t>鹿島北共同発電</t>
    <rPh sb="0" eb="2">
      <t>カシマ</t>
    </rPh>
    <rPh sb="2" eb="3">
      <t>キタ</t>
    </rPh>
    <rPh sb="3" eb="7">
      <t>キョウドウハツデン</t>
    </rPh>
    <phoneticPr fontId="37"/>
  </si>
  <si>
    <t>カシムラ工業所（日立）</t>
    <rPh sb="4" eb="7">
      <t>コウギョウショ</t>
    </rPh>
    <rPh sb="8" eb="10">
      <t>ヒタチ</t>
    </rPh>
    <phoneticPr fontId="35"/>
  </si>
  <si>
    <t>キャノン(岩間）</t>
    <rPh sb="5" eb="7">
      <t>イワマ</t>
    </rPh>
    <phoneticPr fontId="37"/>
  </si>
  <si>
    <t>クラレ（新潟）</t>
    <rPh sb="4" eb="6">
      <t>ニイガタ</t>
    </rPh>
    <phoneticPr fontId="37"/>
  </si>
  <si>
    <t>ｹﾐｺﾝ東日本（喜多方）</t>
    <rPh sb="8" eb="11">
      <t>キタカタ</t>
    </rPh>
    <phoneticPr fontId="35"/>
  </si>
  <si>
    <t>コスモ石油（千葉）</t>
    <rPh sb="3" eb="5">
      <t>セキユ</t>
    </rPh>
    <rPh sb="6" eb="8">
      <t>チバ</t>
    </rPh>
    <phoneticPr fontId="37"/>
  </si>
  <si>
    <t>コダック（群馬）</t>
    <rPh sb="5" eb="7">
      <t>グンマ</t>
    </rPh>
    <phoneticPr fontId="37"/>
  </si>
  <si>
    <t>小林(伊勢崎)</t>
    <rPh sb="0" eb="2">
      <t>コバヤシ</t>
    </rPh>
    <rPh sb="3" eb="6">
      <t>イセザキ</t>
    </rPh>
    <phoneticPr fontId="37"/>
  </si>
  <si>
    <t>近藤産業(燕市)</t>
    <rPh sb="0" eb="4">
      <t>コンドウサンギョウ</t>
    </rPh>
    <rPh sb="5" eb="7">
      <t>ツバメシ</t>
    </rPh>
    <phoneticPr fontId="37"/>
  </si>
  <si>
    <t>堺（大剣）10：00</t>
    <rPh sb="0" eb="1">
      <t>サカイ</t>
    </rPh>
    <rPh sb="2" eb="4">
      <t>オオツルギ</t>
    </rPh>
    <phoneticPr fontId="35"/>
  </si>
  <si>
    <t>十全（郡山）</t>
    <rPh sb="0" eb="2">
      <t>ジュウゼン</t>
    </rPh>
    <rPh sb="3" eb="5">
      <t>コオリヤマ</t>
    </rPh>
    <phoneticPr fontId="35"/>
  </si>
  <si>
    <t>純正化学（茨城）</t>
    <rPh sb="0" eb="4">
      <t>ジュンセイカガク</t>
    </rPh>
    <rPh sb="5" eb="7">
      <t>イバラキ</t>
    </rPh>
    <phoneticPr fontId="35"/>
  </si>
  <si>
    <t>新日本電工（郡山）</t>
    <rPh sb="0" eb="1">
      <t>シン</t>
    </rPh>
    <rPh sb="1" eb="3">
      <t>ニホン</t>
    </rPh>
    <rPh sb="3" eb="5">
      <t>デンコウ</t>
    </rPh>
    <rPh sb="6" eb="8">
      <t>コオリヤマ</t>
    </rPh>
    <phoneticPr fontId="35"/>
  </si>
  <si>
    <t>新菱（いわき・タイク工場）</t>
    <rPh sb="0" eb="2">
      <t>シンリョウ</t>
    </rPh>
    <rPh sb="10" eb="12">
      <t>コウジョウ</t>
    </rPh>
    <phoneticPr fontId="35"/>
  </si>
  <si>
    <t>住友化学（茨城）</t>
    <rPh sb="0" eb="2">
      <t>スミトモ</t>
    </rPh>
    <rPh sb="2" eb="4">
      <t>カガク</t>
    </rPh>
    <rPh sb="5" eb="7">
      <t>イバラキ</t>
    </rPh>
    <phoneticPr fontId="35"/>
  </si>
  <si>
    <t>ソーダニッカ（七ヶ浜）</t>
    <rPh sb="7" eb="10">
      <t>シチガハマ</t>
    </rPh>
    <phoneticPr fontId="37"/>
  </si>
  <si>
    <t>大建工業（高萩）</t>
    <rPh sb="0" eb="4">
      <t>ダイケンコウギョウ</t>
    </rPh>
    <rPh sb="5" eb="7">
      <t>タカハギ</t>
    </rPh>
    <phoneticPr fontId="35"/>
  </si>
  <si>
    <t>大明化学(東京)</t>
    <rPh sb="0" eb="2">
      <t>タイメイ</t>
    </rPh>
    <rPh sb="2" eb="4">
      <t>カガク</t>
    </rPh>
    <rPh sb="5" eb="7">
      <t>トウキョウ</t>
    </rPh>
    <phoneticPr fontId="37"/>
  </si>
  <si>
    <t>タニオビスジャパン</t>
    <phoneticPr fontId="1"/>
  </si>
  <si>
    <t>ﾃﾞﾝﾛｺｰﾎﾟﾚｰｼｮﾝ(相馬)</t>
    <phoneticPr fontId="1"/>
  </si>
  <si>
    <t>東京パワー（広野）</t>
    <rPh sb="0" eb="2">
      <t>トウキョウ</t>
    </rPh>
    <rPh sb="6" eb="8">
      <t>ヒロノ</t>
    </rPh>
    <phoneticPr fontId="35"/>
  </si>
  <si>
    <t>東信化学（八潮)</t>
    <rPh sb="0" eb="2">
      <t>トウシン</t>
    </rPh>
    <rPh sb="2" eb="4">
      <t>カガク</t>
    </rPh>
    <rPh sb="5" eb="7">
      <t>ヤシオ</t>
    </rPh>
    <phoneticPr fontId="37"/>
  </si>
  <si>
    <t>東北三之橋（相馬）</t>
    <rPh sb="0" eb="2">
      <t>トウホク</t>
    </rPh>
    <rPh sb="2" eb="4">
      <t>サンノ</t>
    </rPh>
    <rPh sb="4" eb="5">
      <t>ハシ</t>
    </rPh>
    <rPh sb="6" eb="8">
      <t>ソウマ</t>
    </rPh>
    <phoneticPr fontId="35"/>
  </si>
  <si>
    <t>豊通リチウム</t>
    <phoneticPr fontId="35"/>
  </si>
  <si>
    <t>永井製薬所（茨城）</t>
    <rPh sb="0" eb="2">
      <t>ナガイ</t>
    </rPh>
    <rPh sb="2" eb="5">
      <t>セイヤクジョ</t>
    </rPh>
    <phoneticPr fontId="35"/>
  </si>
  <si>
    <t>ニッソーファイン（郡山）</t>
    <rPh sb="9" eb="11">
      <t>コオリヤマ</t>
    </rPh>
    <phoneticPr fontId="35"/>
  </si>
  <si>
    <t>日本化学（第一）</t>
    <rPh sb="0" eb="2">
      <t>ニホン</t>
    </rPh>
    <rPh sb="2" eb="4">
      <t>カガク</t>
    </rPh>
    <rPh sb="5" eb="7">
      <t>ダイイチ</t>
    </rPh>
    <phoneticPr fontId="35"/>
  </si>
  <si>
    <t>日本化学（第二）</t>
    <rPh sb="0" eb="2">
      <t>ニホン</t>
    </rPh>
    <rPh sb="2" eb="4">
      <t>カガク</t>
    </rPh>
    <rPh sb="5" eb="7">
      <t>ダイニ</t>
    </rPh>
    <phoneticPr fontId="1"/>
  </si>
  <si>
    <t>日本化薬(高崎）</t>
    <rPh sb="0" eb="2">
      <t>ニホン</t>
    </rPh>
    <rPh sb="2" eb="4">
      <t>カヤク</t>
    </rPh>
    <rPh sb="5" eb="7">
      <t>タカサキ</t>
    </rPh>
    <phoneticPr fontId="37"/>
  </si>
  <si>
    <t>日本製紙(石巻）</t>
    <rPh sb="0" eb="4">
      <t>ニホンセイシ</t>
    </rPh>
    <rPh sb="5" eb="7">
      <t>イシノマキ</t>
    </rPh>
    <phoneticPr fontId="37"/>
  </si>
  <si>
    <t>日本製紙（岩沼）</t>
    <rPh sb="0" eb="2">
      <t>ニホン</t>
    </rPh>
    <rPh sb="2" eb="4">
      <t>セイシ</t>
    </rPh>
    <rPh sb="5" eb="7">
      <t>イワヌマ</t>
    </rPh>
    <phoneticPr fontId="35"/>
  </si>
  <si>
    <t>日本製紙(勿来）</t>
    <rPh sb="0" eb="4">
      <t>ニホンセイシ</t>
    </rPh>
    <rPh sb="5" eb="7">
      <t>ナコソ</t>
    </rPh>
    <phoneticPr fontId="37"/>
  </si>
  <si>
    <t>日本テキサス（会津）</t>
    <rPh sb="0" eb="2">
      <t>ニホン</t>
    </rPh>
    <rPh sb="7" eb="9">
      <t>アイズ</t>
    </rPh>
    <phoneticPr fontId="35"/>
  </si>
  <si>
    <t>日本無機（結城）</t>
    <rPh sb="0" eb="2">
      <t>ニホン</t>
    </rPh>
    <rPh sb="2" eb="4">
      <t>ムキ</t>
    </rPh>
    <rPh sb="5" eb="7">
      <t>ユウキ</t>
    </rPh>
    <phoneticPr fontId="35"/>
  </si>
  <si>
    <t>半導体エネルギー研究所</t>
    <rPh sb="0" eb="3">
      <t>ハンドウタイ</t>
    </rPh>
    <rPh sb="8" eb="11">
      <t>ケンキュウジョ</t>
    </rPh>
    <phoneticPr fontId="35"/>
  </si>
  <si>
    <t>日立パワー（勝田）</t>
    <rPh sb="0" eb="2">
      <t>ヒタチ</t>
    </rPh>
    <rPh sb="6" eb="8">
      <t>カツタ</t>
    </rPh>
    <phoneticPr fontId="35"/>
  </si>
  <si>
    <t>ミネベアPD臨海</t>
    <rPh sb="6" eb="8">
      <t>リンカイ</t>
    </rPh>
    <phoneticPr fontId="35"/>
  </si>
  <si>
    <t>富士フィルムワコーケミカル</t>
    <rPh sb="0" eb="2">
      <t>フジ</t>
    </rPh>
    <phoneticPr fontId="35"/>
  </si>
  <si>
    <t>三菱ケミカル小名浜</t>
    <rPh sb="0" eb="2">
      <t>ミツビシ</t>
    </rPh>
    <rPh sb="6" eb="9">
      <t>オナハマ</t>
    </rPh>
    <phoneticPr fontId="35"/>
  </si>
  <si>
    <t>三星化学（相馬）</t>
    <rPh sb="0" eb="2">
      <t>ミツボシ</t>
    </rPh>
    <rPh sb="2" eb="4">
      <t>カガク</t>
    </rPh>
    <rPh sb="5" eb="7">
      <t>ソウマ</t>
    </rPh>
    <phoneticPr fontId="35"/>
  </si>
  <si>
    <t>ミネベア原町（第一）</t>
    <rPh sb="4" eb="6">
      <t>ハラマチ</t>
    </rPh>
    <rPh sb="7" eb="9">
      <t>ダイイチ</t>
    </rPh>
    <phoneticPr fontId="35"/>
  </si>
  <si>
    <t>ミネベア原町（第二）</t>
    <rPh sb="4" eb="6">
      <t>ハラマチ</t>
    </rPh>
    <rPh sb="7" eb="9">
      <t>ダイニ</t>
    </rPh>
    <phoneticPr fontId="35"/>
  </si>
  <si>
    <t>宮城メイコー(石巻）</t>
    <rPh sb="0" eb="2">
      <t>ミヤギ</t>
    </rPh>
    <rPh sb="7" eb="9">
      <t>イシノマキ</t>
    </rPh>
    <phoneticPr fontId="37"/>
  </si>
  <si>
    <t>メイコー福島</t>
    <rPh sb="4" eb="6">
      <t>フクシマ</t>
    </rPh>
    <phoneticPr fontId="35"/>
  </si>
  <si>
    <t>モメンティブ（太田）</t>
    <rPh sb="7" eb="9">
      <t>オオタ</t>
    </rPh>
    <phoneticPr fontId="37"/>
  </si>
  <si>
    <t>宵積み</t>
    <rPh sb="0" eb="2">
      <t>ヨイヅ</t>
    </rPh>
    <phoneticPr fontId="35"/>
  </si>
  <si>
    <t>ラサ工業（伊勢崎）</t>
    <rPh sb="2" eb="4">
      <t>コウギョウ</t>
    </rPh>
    <rPh sb="5" eb="8">
      <t>イセザキ</t>
    </rPh>
    <phoneticPr fontId="37"/>
  </si>
  <si>
    <t>ラサ工業（野田）PM</t>
    <rPh sb="2" eb="4">
      <t>コウギョウ</t>
    </rPh>
    <rPh sb="5" eb="7">
      <t>ノダ</t>
    </rPh>
    <phoneticPr fontId="37"/>
  </si>
  <si>
    <t>ラサ工業（野田）</t>
    <rPh sb="2" eb="4">
      <t>コウギョウ</t>
    </rPh>
    <rPh sb="5" eb="7">
      <t>ノダ</t>
    </rPh>
    <phoneticPr fontId="37"/>
  </si>
  <si>
    <t>ラサ工業（三本木）</t>
    <rPh sb="2" eb="4">
      <t>コウギョウ</t>
    </rPh>
    <phoneticPr fontId="37"/>
  </si>
  <si>
    <t>ルネサス(高崎)</t>
    <rPh sb="5" eb="7">
      <t>タカサキ</t>
    </rPh>
    <phoneticPr fontId="37"/>
  </si>
  <si>
    <t>ルネサス（那珂）</t>
    <rPh sb="5" eb="7">
      <t>ナカ</t>
    </rPh>
    <phoneticPr fontId="35"/>
  </si>
  <si>
    <t>洗浄AM</t>
    <rPh sb="0" eb="2">
      <t>センジョウ</t>
    </rPh>
    <phoneticPr fontId="1"/>
  </si>
  <si>
    <t>洗浄PM</t>
    <rPh sb="0" eb="2">
      <t>センジョウ</t>
    </rPh>
    <phoneticPr fontId="1"/>
  </si>
  <si>
    <t>洗浄</t>
    <rPh sb="0" eb="2">
      <t>センジョウ</t>
    </rPh>
    <phoneticPr fontId="1"/>
  </si>
  <si>
    <t>福島県いわき市</t>
    <rPh sb="0" eb="3">
      <t>フクシマケン</t>
    </rPh>
    <rPh sb="6" eb="7">
      <t>シ</t>
    </rPh>
    <phoneticPr fontId="1"/>
  </si>
  <si>
    <t>アサヒビール8：30</t>
  </si>
  <si>
    <t>アサヒビール9：00</t>
  </si>
  <si>
    <t>アサヒビールAM</t>
  </si>
  <si>
    <t>アサヒビール</t>
  </si>
  <si>
    <t>MARUWAいわき</t>
  </si>
  <si>
    <t>ｲﾝﾀｰﾅｼｮﾅﾙｹﾐｶﾙ8:30</t>
  </si>
  <si>
    <t>ｲﾝﾀｰﾅｼｮﾅﾙｹﾐｶﾙ</t>
  </si>
  <si>
    <t>ｳｲｽﾞ・ｳｴｽﾄ・ｼﾞｬﾊﾟﾝ13：00</t>
  </si>
  <si>
    <t>エヌシーテック7：00</t>
  </si>
  <si>
    <t>コンクリートコ－リング</t>
  </si>
  <si>
    <t>タンガロイ（いわき）</t>
  </si>
  <si>
    <t>デンロコーポレーションAM</t>
  </si>
  <si>
    <t>デンロコーポレーション8：30</t>
  </si>
  <si>
    <t>デンロコーポレーション</t>
  </si>
  <si>
    <t>ニイタカつくば9：00</t>
  </si>
  <si>
    <t>ニイタカつくば10：00</t>
  </si>
  <si>
    <t>ニイタカつくば</t>
  </si>
  <si>
    <t>早川器械店</t>
  </si>
  <si>
    <t>ビシェイ　ポリテック</t>
  </si>
  <si>
    <t>フィードワン8：30</t>
  </si>
  <si>
    <t>フィードワン</t>
  </si>
  <si>
    <t>ミツエイ8：00</t>
  </si>
  <si>
    <t>ミツエイ10：00</t>
  </si>
  <si>
    <t>ミツエイ</t>
  </si>
  <si>
    <t>ユニマテック</t>
  </si>
  <si>
    <t>AM</t>
  </si>
  <si>
    <t>ＡＰＩ</t>
  </si>
  <si>
    <t>ＰＭ</t>
  </si>
  <si>
    <t>　</t>
  </si>
  <si>
    <t>福島県本宮市糠沢</t>
  </si>
  <si>
    <t>出勤予定時間
積込予定時間</t>
    <rPh sb="0" eb="2">
      <t>シュッキン</t>
    </rPh>
    <rPh sb="2" eb="4">
      <t>ヨテイ</t>
    </rPh>
    <rPh sb="4" eb="6">
      <t>ジカン</t>
    </rPh>
    <rPh sb="7" eb="9">
      <t>ツミコミ</t>
    </rPh>
    <rPh sb="9" eb="11">
      <t>ヨテイ</t>
    </rPh>
    <rPh sb="11" eb="13">
      <t>ジカン</t>
    </rPh>
    <phoneticPr fontId="1"/>
  </si>
  <si>
    <t>⑤回目納品先</t>
    <rPh sb="1" eb="3">
      <t>カイメ</t>
    </rPh>
    <rPh sb="3" eb="6">
      <t>ノウヒンサキ</t>
    </rPh>
    <phoneticPr fontId="1"/>
  </si>
  <si>
    <t>長井製薬所(茨城)</t>
    <rPh sb="0" eb="2">
      <t>ナガイ</t>
    </rPh>
    <rPh sb="2" eb="5">
      <t>セイヤクショ</t>
    </rPh>
    <rPh sb="6" eb="8">
      <t>イバラキ</t>
    </rPh>
    <phoneticPr fontId="1"/>
  </si>
  <si>
    <t>太陽工業（羽生）</t>
    <rPh sb="0" eb="2">
      <t>タイヨウ</t>
    </rPh>
    <rPh sb="2" eb="4">
      <t>コウギョウ</t>
    </rPh>
    <rPh sb="5" eb="7">
      <t>ハニュウ</t>
    </rPh>
    <phoneticPr fontId="1"/>
  </si>
  <si>
    <t>日立製作所(大みか)</t>
    <rPh sb="0" eb="5">
      <t>ヒタチセイサクジョ</t>
    </rPh>
    <rPh sb="6" eb="7">
      <t>オオ</t>
    </rPh>
    <phoneticPr fontId="1"/>
  </si>
  <si>
    <t>茨城県日立市</t>
    <rPh sb="0" eb="3">
      <t>イバラキケン</t>
    </rPh>
    <rPh sb="3" eb="5">
      <t>ヒタチ</t>
    </rPh>
    <rPh sb="5" eb="6">
      <t>シ</t>
    </rPh>
    <phoneticPr fontId="1"/>
  </si>
  <si>
    <t>1447号車
(TOYO　TIRES）</t>
    <rPh sb="4" eb="6">
      <t>ゴウシャ</t>
    </rPh>
    <phoneticPr fontId="1"/>
  </si>
  <si>
    <t>訓練</t>
    <rPh sb="0" eb="2">
      <t>クンレン</t>
    </rPh>
    <phoneticPr fontId="1"/>
  </si>
  <si>
    <t>ＫＰＳ新設備</t>
    <rPh sb="3" eb="6">
      <t>シンセツビ</t>
    </rPh>
    <phoneticPr fontId="1"/>
  </si>
  <si>
    <t>日立インダストリアルプロダクツ</t>
    <rPh sb="0" eb="2">
      <t>ヒタチ</t>
    </rPh>
    <phoneticPr fontId="1"/>
  </si>
  <si>
    <t>日東粉化工業　福島工場</t>
    <rPh sb="0" eb="2">
      <t>ニットウ</t>
    </rPh>
    <rPh sb="2" eb="4">
      <t>フンカ</t>
    </rPh>
    <rPh sb="4" eb="6">
      <t>コウギョウ</t>
    </rPh>
    <rPh sb="7" eb="11">
      <t>フクシマコウジョウ</t>
    </rPh>
    <phoneticPr fontId="1"/>
  </si>
  <si>
    <t>添乗</t>
    <rPh sb="0" eb="2">
      <t>テンジョウ</t>
    </rPh>
    <phoneticPr fontId="1"/>
  </si>
  <si>
    <t>レゾナック山崎事業(桜川)</t>
    <rPh sb="5" eb="7">
      <t>ヤマザキ</t>
    </rPh>
    <rPh sb="7" eb="9">
      <t>ジギョウ</t>
    </rPh>
    <rPh sb="10" eb="12">
      <t>サクラガワ</t>
    </rPh>
    <phoneticPr fontId="1"/>
  </si>
  <si>
    <t>南相馬市クリーン原町センター</t>
    <rPh sb="0" eb="4">
      <t>ミナミソウマシ</t>
    </rPh>
    <rPh sb="8" eb="10">
      <t>ハラマチ</t>
    </rPh>
    <phoneticPr fontId="1"/>
  </si>
  <si>
    <t>福島県南相馬市</t>
    <rPh sb="0" eb="3">
      <t>フクシマケン</t>
    </rPh>
    <rPh sb="3" eb="7">
      <t>ミナミソウマシ</t>
    </rPh>
    <phoneticPr fontId="1"/>
  </si>
  <si>
    <t>住化加工紙</t>
    <rPh sb="0" eb="1">
      <t>ス</t>
    </rPh>
    <rPh sb="1" eb="2">
      <t>カ</t>
    </rPh>
    <rPh sb="2" eb="4">
      <t>カコウ</t>
    </rPh>
    <rPh sb="4" eb="5">
      <t>カミ</t>
    </rPh>
    <phoneticPr fontId="1"/>
  </si>
  <si>
    <t>水澤化学(新潟)</t>
    <rPh sb="0" eb="2">
      <t>ミズサワ</t>
    </rPh>
    <rPh sb="2" eb="4">
      <t>カガク</t>
    </rPh>
    <rPh sb="5" eb="7">
      <t>ニイガタ</t>
    </rPh>
    <phoneticPr fontId="37"/>
  </si>
  <si>
    <t>SCREEN SPEいわき</t>
  </si>
  <si>
    <t>大陽工業（羽生）8：30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</si>
  <si>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仙台ニコン</t>
    <rPh sb="0" eb="2">
      <t>センダイ</t>
    </rPh>
    <phoneticPr fontId="1"/>
  </si>
  <si>
    <t>埼玉県羽生市</t>
    <rPh sb="0" eb="3">
      <t>サイタマケン</t>
    </rPh>
    <rPh sb="3" eb="5">
      <t>ハニュウ</t>
    </rPh>
    <rPh sb="5" eb="6">
      <t>シ</t>
    </rPh>
    <phoneticPr fontId="1"/>
  </si>
  <si>
    <t>宮城県名取市</t>
    <rPh sb="0" eb="3">
      <t>ミヤギケン</t>
    </rPh>
    <rPh sb="3" eb="6">
      <t>ナトリシ</t>
    </rPh>
    <phoneticPr fontId="1"/>
  </si>
  <si>
    <t>㈱T・A・D</t>
    <phoneticPr fontId="1"/>
  </si>
  <si>
    <t>㈲久保木商会</t>
    <phoneticPr fontId="1"/>
  </si>
  <si>
    <t>ブイエス科工㈱</t>
    <rPh sb="4" eb="5">
      <t>カ</t>
    </rPh>
    <rPh sb="5" eb="6">
      <t>コウ</t>
    </rPh>
    <phoneticPr fontId="1"/>
  </si>
  <si>
    <t>㈱ケミクレア　
小名浜工場</t>
    <phoneticPr fontId="1"/>
  </si>
  <si>
    <t>タニオビス・ジャパン</t>
  </si>
  <si>
    <t>茨城県額大宮市</t>
    <rPh sb="0" eb="3">
      <t>イバラキケン</t>
    </rPh>
    <rPh sb="3" eb="7">
      <t>ヒタイオオミヤシ</t>
    </rPh>
    <phoneticPr fontId="1"/>
  </si>
  <si>
    <t>揚水</t>
    <rPh sb="0" eb="2">
      <t>ヨウスイ</t>
    </rPh>
    <phoneticPr fontId="1"/>
  </si>
  <si>
    <t>福島県いわき市</t>
    <rPh sb="0" eb="3">
      <t>フクシマケン</t>
    </rPh>
    <rPh sb="6" eb="7">
      <t>シ</t>
    </rPh>
    <phoneticPr fontId="1"/>
  </si>
  <si>
    <t>エンリゾート
グランデコホテル</t>
    <phoneticPr fontId="1"/>
  </si>
  <si>
    <t>エイブルエナジー</t>
    <phoneticPr fontId="1"/>
  </si>
  <si>
    <t>福島県いわき市</t>
    <rPh sb="0" eb="3">
      <t>フクシマケン</t>
    </rPh>
    <rPh sb="6" eb="7">
      <t>シ</t>
    </rPh>
    <phoneticPr fontId="1"/>
  </si>
  <si>
    <t>ミツエイ9：00</t>
    <phoneticPr fontId="1"/>
  </si>
  <si>
    <t>福島市飯坂町中野</t>
    <phoneticPr fontId="1"/>
  </si>
  <si>
    <t>30分ずつ休憩</t>
    <phoneticPr fontId="1"/>
  </si>
  <si>
    <t>塩酸</t>
    <rPh sb="0" eb="2">
      <t>エンサン</t>
    </rPh>
    <phoneticPr fontId="1"/>
  </si>
  <si>
    <t>クリーンテック（第二）9:30</t>
    <phoneticPr fontId="1"/>
  </si>
  <si>
    <t>JX金属(電解)</t>
    <rPh sb="2" eb="4">
      <t>キンゾク</t>
    </rPh>
    <rPh sb="5" eb="7">
      <t>デンカイ</t>
    </rPh>
    <phoneticPr fontId="1"/>
  </si>
  <si>
    <t>茨城県日立市</t>
    <rPh sb="0" eb="3">
      <t>イバラキケン</t>
    </rPh>
    <rPh sb="3" eb="6">
      <t>ヒタチシ</t>
    </rPh>
    <phoneticPr fontId="1"/>
  </si>
  <si>
    <t>テスコグリーン
サイクルいわき</t>
    <phoneticPr fontId="1"/>
  </si>
  <si>
    <t>健康診断</t>
    <rPh sb="0" eb="4">
      <t>ケンコウシンダン</t>
    </rPh>
    <phoneticPr fontId="1"/>
  </si>
  <si>
    <t>吉田(哲)</t>
    <rPh sb="0" eb="2">
      <t>ヨシダ</t>
    </rPh>
    <rPh sb="3" eb="4">
      <t>テツ</t>
    </rPh>
    <phoneticPr fontId="1"/>
  </si>
  <si>
    <t>松本(誠)</t>
    <rPh sb="0" eb="2">
      <t>マツモト</t>
    </rPh>
    <rPh sb="3" eb="4">
      <t>マコト</t>
    </rPh>
    <phoneticPr fontId="1"/>
  </si>
  <si>
    <t>日本サーファクタント（那須）</t>
    <rPh sb="0" eb="2">
      <t>ニホン</t>
    </rPh>
    <rPh sb="11" eb="13">
      <t>ナス</t>
    </rPh>
    <phoneticPr fontId="1"/>
  </si>
  <si>
    <t>ＪＸ金属（浄液）9：00</t>
    <rPh sb="2" eb="4">
      <t>キンゾク</t>
    </rPh>
    <rPh sb="5" eb="6">
      <t>ジョウ</t>
    </rPh>
    <rPh sb="6" eb="7">
      <t>エキ</t>
    </rPh>
    <phoneticPr fontId="10"/>
  </si>
  <si>
    <t>ＪＸ金属（浄液）</t>
    <rPh sb="2" eb="4">
      <t>キンゾク</t>
    </rPh>
    <rPh sb="5" eb="6">
      <t>ジョウ</t>
    </rPh>
    <rPh sb="6" eb="7">
      <t>エキ</t>
    </rPh>
    <phoneticPr fontId="10"/>
  </si>
  <si>
    <t>茨城県那珂市</t>
    <rPh sb="0" eb="3">
      <t>イバラキケン</t>
    </rPh>
    <rPh sb="3" eb="6">
      <t>ナカシ</t>
    </rPh>
    <phoneticPr fontId="1"/>
  </si>
  <si>
    <t>量子科学技術(那珂)</t>
    <rPh sb="0" eb="2">
      <t>リョウシ</t>
    </rPh>
    <rPh sb="2" eb="4">
      <t>カガク</t>
    </rPh>
    <rPh sb="4" eb="6">
      <t>ギジュツ</t>
    </rPh>
    <rPh sb="7" eb="9">
      <t>ナカ</t>
    </rPh>
    <phoneticPr fontId="1"/>
  </si>
  <si>
    <t>八洲ゴム</t>
    <rPh sb="0" eb="2">
      <t>ヤシマ</t>
    </rPh>
    <phoneticPr fontId="1"/>
  </si>
  <si>
    <t>Grandeco
小野川寮</t>
    <rPh sb="9" eb="12">
      <t>オノカワ</t>
    </rPh>
    <rPh sb="12" eb="13">
      <t>リョウ</t>
    </rPh>
    <phoneticPr fontId="1"/>
  </si>
  <si>
    <t>福島県いわき市</t>
    <rPh sb="0" eb="3">
      <t>フクシマケン</t>
    </rPh>
    <rPh sb="6" eb="7">
      <t>シ</t>
    </rPh>
    <phoneticPr fontId="1"/>
  </si>
  <si>
    <t>いわき市清掃管理事務所</t>
    <rPh sb="3" eb="4">
      <t>シ</t>
    </rPh>
    <rPh sb="4" eb="6">
      <t>セイソウ</t>
    </rPh>
    <rPh sb="6" eb="8">
      <t>カンリ</t>
    </rPh>
    <rPh sb="8" eb="11">
      <t>ジムショ</t>
    </rPh>
    <phoneticPr fontId="1"/>
  </si>
  <si>
    <t>【往路】日立北IC～桜土浦IC
【復路】草加IC～日立北IC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2">
      <t>ソウカ</t>
    </rPh>
    <rPh sb="25" eb="28">
      <t>ヒタチキタ</t>
    </rPh>
    <phoneticPr fontId="1"/>
  </si>
  <si>
    <t>【往路】日立南太田IC～桜土浦IC
【復路】桜土浦IC～日立北IC</t>
    <rPh sb="1" eb="3">
      <t>オウロ</t>
    </rPh>
    <rPh sb="4" eb="6">
      <t>ヒタチ</t>
    </rPh>
    <rPh sb="6" eb="9">
      <t>ミナミオオタ</t>
    </rPh>
    <rPh sb="12" eb="13">
      <t>サクラ</t>
    </rPh>
    <rPh sb="13" eb="15">
      <t>ツチウラ</t>
    </rPh>
    <rPh sb="19" eb="21">
      <t>フクロ</t>
    </rPh>
    <rPh sb="22" eb="25">
      <t>サクラツチウラ</t>
    </rPh>
    <rPh sb="28" eb="31">
      <t>ヒタチキタ</t>
    </rPh>
    <phoneticPr fontId="1"/>
  </si>
  <si>
    <t>【往路】日立北IC～桜土浦IC
【復路】桜土浦IC～日立北IC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6" eb="29">
      <t>ヒタチキタ</t>
    </rPh>
    <phoneticPr fontId="1"/>
  </si>
  <si>
    <t>【往路】日立北IC～桜土浦IC
【復路】桜土浦IC～いわき小名浜IC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9" eb="32">
      <t>オナハマ</t>
    </rPh>
    <phoneticPr fontId="1"/>
  </si>
  <si>
    <t>【往復】いわき小名浜IC～草加IC</t>
    <rPh sb="1" eb="3">
      <t>オウフク</t>
    </rPh>
    <rPh sb="7" eb="10">
      <t>オナハマ</t>
    </rPh>
    <rPh sb="13" eb="15">
      <t>ソウカ</t>
    </rPh>
    <phoneticPr fontId="1"/>
  </si>
  <si>
    <t>【往路】いわき小名浜IC～桜土浦IC
【復路】桜土浦IC～日立北IC</t>
    <rPh sb="1" eb="3">
      <t>オウロ</t>
    </rPh>
    <rPh sb="7" eb="10">
      <t>オナハマ</t>
    </rPh>
    <rPh sb="13" eb="14">
      <t>サクラ</t>
    </rPh>
    <rPh sb="14" eb="16">
      <t>ツチウラ</t>
    </rPh>
    <rPh sb="20" eb="22">
      <t>フクロ</t>
    </rPh>
    <rPh sb="23" eb="26">
      <t>サクラツチウラ</t>
    </rPh>
    <rPh sb="29" eb="32">
      <t>ヒタチキタ</t>
    </rPh>
    <phoneticPr fontId="1"/>
  </si>
  <si>
    <t>【往復】いわき小名浜IC～草加IC
【出勤】9：00　【荷卸】16：00</t>
    <rPh sb="1" eb="3">
      <t>オウフク</t>
    </rPh>
    <rPh sb="7" eb="10">
      <t>オナハマ</t>
    </rPh>
    <rPh sb="13" eb="15">
      <t>ソウカ</t>
    </rPh>
    <rPh sb="19" eb="21">
      <t>シュッキン</t>
    </rPh>
    <rPh sb="28" eb="30">
      <t>ニオロ</t>
    </rPh>
    <phoneticPr fontId="1"/>
  </si>
  <si>
    <t>常磐道(いわき小名浜IC)～</t>
    <rPh sb="0" eb="3">
      <t>ジョウバンドウ</t>
    </rPh>
    <rPh sb="7" eb="10">
      <t>オナハマ</t>
    </rPh>
    <phoneticPr fontId="37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</si>
  <si>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37"/>
  </si>
  <si>
    <t>常磐道(いわき小名浜IC～日立南IC)</t>
    <rPh sb="0" eb="3">
      <t>ジョウバンドウ</t>
    </rPh>
    <rPh sb="7" eb="10">
      <t>オナハマ</t>
    </rPh>
    <rPh sb="13" eb="15">
      <t>ヒタチ</t>
    </rPh>
    <rPh sb="15" eb="16">
      <t>ミナミ</t>
    </rPh>
    <phoneticPr fontId="1"/>
  </si>
  <si>
    <t>東北道(本宮IC～福島飯坂IC)</t>
    <phoneticPr fontId="1"/>
  </si>
  <si>
    <t>常磐道(いわき小名浜IC）～東北道(館林IC）</t>
    <rPh sb="0" eb="3">
      <t>ジョウバンドウ</t>
    </rPh>
    <rPh sb="7" eb="10">
      <t>オナハマ</t>
    </rPh>
    <rPh sb="14" eb="16">
      <t>トウホク</t>
    </rPh>
    <rPh sb="16" eb="17">
      <t>ドウ</t>
    </rPh>
    <rPh sb="18" eb="20">
      <t>タテバヤシ</t>
    </rPh>
    <phoneticPr fontId="11"/>
  </si>
  <si>
    <t>常磐道(いわき小名浜IC）～北関東道(伊勢崎IC）</t>
    <rPh sb="0" eb="3">
      <t>ジョウバンドウ</t>
    </rPh>
    <rPh sb="7" eb="10">
      <t>オナハマ</t>
    </rPh>
    <rPh sb="14" eb="18">
      <t>キタカントウドウ</t>
    </rPh>
    <rPh sb="19" eb="22">
      <t>イセザキ</t>
    </rPh>
    <phoneticPr fontId="11"/>
  </si>
  <si>
    <t>常磐道(いわき小名浜IC～水沢IC)</t>
    <rPh sb="0" eb="3">
      <t>ジョウバンドウ</t>
    </rPh>
    <rPh sb="7" eb="10">
      <t>オナハマ</t>
    </rPh>
    <rPh sb="13" eb="15">
      <t>ミズサワ</t>
    </rPh>
    <phoneticPr fontId="10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</si>
  <si>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10"/>
  </si>
  <si>
    <t>常磐道(いわき小名浜IC～足利IC）</t>
    <rPh sb="0" eb="3">
      <t>ジョウバンドウ</t>
    </rPh>
    <rPh sb="7" eb="10">
      <t>オナハマ</t>
    </rPh>
    <rPh sb="13" eb="15">
      <t>アシカガ</t>
    </rPh>
    <phoneticPr fontId="10"/>
  </si>
  <si>
    <t>常磐道(いわき小名浜IC)～磐越道（河東IC）</t>
    <rPh sb="0" eb="3">
      <t>ジョウバンドウ</t>
    </rPh>
    <rPh sb="7" eb="10">
      <t>オナハマ</t>
    </rPh>
    <rPh sb="14" eb="17">
      <t>バンエツドウ</t>
    </rPh>
    <rPh sb="18" eb="20">
      <t>カワヒガシ</t>
    </rPh>
    <phoneticPr fontId="10"/>
  </si>
  <si>
    <t>【往路】いわき小名浜IC～草加IC
【復路】桜土浦IC～日立北IC</t>
    <rPh sb="1" eb="3">
      <t>オウロ</t>
    </rPh>
    <rPh sb="7" eb="10">
      <t>オナハマ</t>
    </rPh>
    <rPh sb="13" eb="15">
      <t>ソウカ</t>
    </rPh>
    <rPh sb="19" eb="21">
      <t>フクロ</t>
    </rPh>
    <rPh sb="22" eb="25">
      <t>サクラツチウラ</t>
    </rPh>
    <rPh sb="28" eb="31">
      <t>ヒタチキタ</t>
    </rPh>
    <phoneticPr fontId="1"/>
  </si>
  <si>
    <t>永谷園ﾌｰｽﾞ
ｻﾝﾌﾚｯｸｽ泉工場</t>
    <rPh sb="0" eb="3">
      <t>ナガタニエン</t>
    </rPh>
    <rPh sb="15" eb="16">
      <t>イズミ</t>
    </rPh>
    <rPh sb="16" eb="18">
      <t>コウジョウ</t>
    </rPh>
    <phoneticPr fontId="1"/>
  </si>
  <si>
    <t>デュポン(新潟)8:30</t>
    <rPh sb="5" eb="7">
      <t>ニイガタ</t>
    </rPh>
    <phoneticPr fontId="37"/>
  </si>
  <si>
    <t>デュポン(新潟)</t>
    <rPh sb="5" eb="7">
      <t>ニイガタ</t>
    </rPh>
    <phoneticPr fontId="37"/>
  </si>
  <si>
    <t>茨城県神栖市</t>
    <rPh sb="0" eb="3">
      <t>イバラキケン</t>
    </rPh>
    <rPh sb="3" eb="6">
      <t>カミスシ</t>
    </rPh>
    <phoneticPr fontId="1"/>
  </si>
  <si>
    <t>ニチノーサービス（鹿島）AM</t>
    <rPh sb="9" eb="11">
      <t>カシマ</t>
    </rPh>
    <phoneticPr fontId="1"/>
  </si>
  <si>
    <t>大和化成研究所(福島)AM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</si>
  <si>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大和化成研究所(福島)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</si>
  <si>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Ｔ・Ａ・Ｄ（いわき）</t>
    <phoneticPr fontId="1"/>
  </si>
  <si>
    <t>ニッソーファインいわき13：00</t>
    <phoneticPr fontId="1"/>
  </si>
  <si>
    <t>苛性</t>
    <rPh sb="0" eb="2">
      <t>カセイ</t>
    </rPh>
    <phoneticPr fontId="1"/>
  </si>
  <si>
    <t>スソニティ①車目</t>
    <rPh sb="6" eb="8">
      <t>シャメ</t>
    </rPh>
    <phoneticPr fontId="1"/>
  </si>
  <si>
    <t>スソニティ①車目(生産日)</t>
    <rPh sb="6" eb="8">
      <t>シャメ</t>
    </rPh>
    <rPh sb="9" eb="12">
      <t>セイサンビ</t>
    </rPh>
    <phoneticPr fontId="1"/>
  </si>
  <si>
    <t>スソニティ①車目（特別運行）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</si>
  <si>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スソニティ②車目</t>
    <rPh sb="6" eb="8">
      <t>シャメ</t>
    </rPh>
    <phoneticPr fontId="1"/>
  </si>
  <si>
    <t>スソニティ②車目(生産日)※前日条件なし</t>
    <rPh sb="6" eb="8">
      <t>シャメ</t>
    </rPh>
    <rPh sb="9" eb="12">
      <t>セイサンビ</t>
    </rPh>
    <rPh sb="14" eb="16">
      <t>ゼンジツ</t>
    </rPh>
    <rPh sb="16" eb="18">
      <t>ジョウケン</t>
    </rPh>
    <phoneticPr fontId="1"/>
  </si>
  <si>
    <t>スソニティ②車目（生産日前日）</t>
    <rPh sb="6" eb="7">
      <t>シャ</t>
    </rPh>
    <rPh sb="7" eb="8">
      <t>メ</t>
    </rPh>
    <rPh sb="9" eb="12">
      <t>セイサンビ</t>
    </rPh>
    <rPh sb="12" eb="14">
      <t>ゼンジツ</t>
    </rPh>
    <phoneticPr fontId="1"/>
  </si>
  <si>
    <t>スソニティ②車目（生産日）※前日条件あり</t>
    <rPh sb="6" eb="7">
      <t>シャ</t>
    </rPh>
    <rPh sb="7" eb="8">
      <t>メ</t>
    </rPh>
    <rPh sb="9" eb="12">
      <t>セイサンビ</t>
    </rPh>
    <rPh sb="14" eb="18">
      <t>ゼンジツジョウケン</t>
    </rPh>
    <phoneticPr fontId="1"/>
  </si>
  <si>
    <t>スソニティ②車目（特別運行）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</si>
  <si>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スソニティ①車目（3往復運行の場合）</t>
    <rPh sb="14" eb="15">
      <t>シャ</t>
    </rPh>
    <rPh sb="15" eb="16">
      <t>メオウフクウンコウバアイ</t>
    </rPh>
    <phoneticPr fontId="1"/>
  </si>
  <si>
    <t>スソニティ②車目(3往復運行の場合)</t>
    <rPh sb="14" eb="16">
      <t>シャメオウフクウンコウバアイ</t>
    </rPh>
    <phoneticPr fontId="1"/>
  </si>
  <si>
    <t>スソニティ③車目（3往復運行の場合）</t>
    <rPh sb="6" eb="7">
      <t>シャ</t>
    </rPh>
    <rPh sb="7" eb="8">
      <t>メ</t>
    </rPh>
    <rPh sb="10" eb="12">
      <t>オウフク</t>
    </rPh>
    <rPh sb="12" eb="14">
      <t>ウンコウ</t>
    </rPh>
    <rPh sb="15" eb="17">
      <t>バアイ</t>
    </rPh>
    <phoneticPr fontId="1"/>
  </si>
  <si>
    <t>スソニティジャパン8：30</t>
    <phoneticPr fontId="35"/>
  </si>
  <si>
    <t>スソニティジャパン3：00</t>
    <phoneticPr fontId="35"/>
  </si>
  <si>
    <t>スソニティジャパン</t>
    <phoneticPr fontId="1"/>
  </si>
  <si>
    <t>スソニティジャパン13：00</t>
    <phoneticPr fontId="1"/>
  </si>
  <si>
    <t>福島県
やまぶき荘</t>
    <phoneticPr fontId="1"/>
  </si>
  <si>
    <t>福島県
かしわ荘</t>
    <phoneticPr fontId="1"/>
  </si>
  <si>
    <t>福島県
いわき海浜
自然の家</t>
    <phoneticPr fontId="1"/>
  </si>
  <si>
    <t>太陽の里
いわき</t>
    <phoneticPr fontId="1"/>
  </si>
  <si>
    <t>ﾌｨﾙﾑﾃｯｸ･ｳｫｰﾀｰ･ｼﾞｬﾊﾟﾝAM</t>
    <phoneticPr fontId="35"/>
  </si>
  <si>
    <t>ﾌｨﾙﾑﾃｯｸ･ｳｫｰﾀｰ･ｼﾞｬﾊﾟﾝ</t>
    <phoneticPr fontId="1"/>
  </si>
  <si>
    <t>広野IGCC発電所8:10</t>
    <rPh sb="0" eb="2">
      <t>ヒロノ</t>
    </rPh>
    <rPh sb="6" eb="9">
      <t>ハツデンショ</t>
    </rPh>
    <phoneticPr fontId="1"/>
  </si>
  <si>
    <t>荏原製作所(福島)</t>
    <rPh sb="0" eb="2">
      <t>エバラ</t>
    </rPh>
    <rPh sb="2" eb="5">
      <t>セイサクショ</t>
    </rPh>
    <rPh sb="6" eb="8">
      <t>フクシマ</t>
    </rPh>
    <phoneticPr fontId="1"/>
  </si>
  <si>
    <t>福島県福島市</t>
    <rPh sb="0" eb="3">
      <t>フクシマケン</t>
    </rPh>
    <rPh sb="3" eb="6">
      <t>フクシマシ</t>
    </rPh>
    <phoneticPr fontId="1"/>
  </si>
  <si>
    <t>ニッソーファイン(磯原)</t>
    <rPh sb="9" eb="11">
      <t>イソハラ</t>
    </rPh>
    <phoneticPr fontId="1"/>
  </si>
  <si>
    <t>茨城県北茨城市</t>
    <rPh sb="0" eb="3">
      <t>イバラキケン</t>
    </rPh>
    <rPh sb="3" eb="4">
      <t>キタ</t>
    </rPh>
    <rPh sb="4" eb="6">
      <t>イバラキ</t>
    </rPh>
    <rPh sb="6" eb="7">
      <t>シ</t>
    </rPh>
    <phoneticPr fontId="1"/>
  </si>
  <si>
    <t>富士フィルムワコーケミカルAM</t>
    <rPh sb="0" eb="2">
      <t>フジ</t>
    </rPh>
    <phoneticPr fontId="9"/>
  </si>
  <si>
    <t>富士フィルムワコーケミカル</t>
    <rPh sb="0" eb="2">
      <t>フジ</t>
    </rPh>
    <phoneticPr fontId="9"/>
  </si>
  <si>
    <t>王子マテリア㈱（宇都宮）</t>
    <rPh sb="0" eb="2">
      <t>オウジ</t>
    </rPh>
    <rPh sb="8" eb="11">
      <t>ウツノミヤ</t>
    </rPh>
    <phoneticPr fontId="1"/>
  </si>
  <si>
    <t>栃木県宇都宮市</t>
    <rPh sb="0" eb="3">
      <t>トチギケン</t>
    </rPh>
    <rPh sb="3" eb="6">
      <t>ウツノミヤ</t>
    </rPh>
    <rPh sb="6" eb="7">
      <t>シ</t>
    </rPh>
    <phoneticPr fontId="1"/>
  </si>
  <si>
    <t>大阪シ－リング</t>
    <rPh sb="0" eb="2">
      <t>オオサカ</t>
    </rPh>
    <phoneticPr fontId="9"/>
  </si>
  <si>
    <t>住友ゴム工業㈱白河</t>
    <rPh sb="0" eb="2">
      <t>スミトモ</t>
    </rPh>
    <rPh sb="4" eb="6">
      <t>コウギョウ</t>
    </rPh>
    <rPh sb="7" eb="9">
      <t>シラカワ</t>
    </rPh>
    <phoneticPr fontId="1"/>
  </si>
  <si>
    <t>クレハ充填場巡回日(味戸班長)　/　危険物講習（AM）・適性検査（PM）（松本乗務員）</t>
    <rPh sb="3" eb="5">
      <t>ジュウテン</t>
    </rPh>
    <rPh sb="5" eb="6">
      <t>バ</t>
    </rPh>
    <rPh sb="6" eb="8">
      <t>ジュンカイ</t>
    </rPh>
    <rPh sb="8" eb="9">
      <t>ビ</t>
    </rPh>
    <rPh sb="10" eb="11">
      <t>アジ</t>
    </rPh>
    <rPh sb="11" eb="12">
      <t>ト</t>
    </rPh>
    <rPh sb="12" eb="14">
      <t>ハンチョウ</t>
    </rPh>
    <rPh sb="18" eb="21">
      <t>キケンブツ</t>
    </rPh>
    <rPh sb="21" eb="23">
      <t>コウシュウ</t>
    </rPh>
    <rPh sb="28" eb="30">
      <t>テキセイ</t>
    </rPh>
    <rPh sb="30" eb="32">
      <t>ケンサ</t>
    </rPh>
    <rPh sb="37" eb="39">
      <t>マツモト</t>
    </rPh>
    <rPh sb="39" eb="42">
      <t>ジョウムイン</t>
    </rPh>
    <phoneticPr fontId="1"/>
  </si>
  <si>
    <t>山王東北8：30</t>
  </si>
  <si>
    <t>いわき大王製紙</t>
  </si>
  <si>
    <t>ＪＸ金属（Ｚ炉）</t>
  </si>
  <si>
    <t>堺（小名浜）</t>
  </si>
  <si>
    <t>堺（大剣）</t>
  </si>
  <si>
    <t>時間指定　PM</t>
    <rPh sb="0" eb="4">
      <t>ジカンシテイ</t>
    </rPh>
    <phoneticPr fontId="1"/>
  </si>
  <si>
    <t>堺（大剣）8：30</t>
  </si>
  <si>
    <t>ＪＸ金属（電錬排水）PM</t>
  </si>
  <si>
    <t>大内新興(須賀川）9：15</t>
  </si>
  <si>
    <t>日本化学（第一）13:00</t>
  </si>
  <si>
    <t>※車検</t>
    <rPh sb="1" eb="3">
      <t>シャケン</t>
    </rPh>
    <phoneticPr fontId="1"/>
  </si>
  <si>
    <t>日曹金属（会津）7：30</t>
  </si>
  <si>
    <t>有機合成</t>
  </si>
  <si>
    <t>ミネベアパワー（原町第二）</t>
  </si>
  <si>
    <t>冨士シャフト7：30</t>
  </si>
  <si>
    <t>勿来IGCCﾊﾟﾜｰ</t>
  </si>
  <si>
    <t>ｴｱ･ｳｫｰﾀｰ(小名浜)</t>
  </si>
  <si>
    <t>スソニティジャパン13：00</t>
  </si>
  <si>
    <t>東京パワー広野14：00</t>
  </si>
  <si>
    <t>日本化学（第一）9:00</t>
  </si>
  <si>
    <t>日本ケミコン（高萩）</t>
  </si>
  <si>
    <t>新日本電工（郡山）8：30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</si>
  <si>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AGC鹿島引き取り</t>
    <rPh sb="3" eb="5">
      <t>カシマ</t>
    </rPh>
    <rPh sb="5" eb="6">
      <t>ヒ</t>
    </rPh>
    <rPh sb="7" eb="8">
      <t>ト</t>
    </rPh>
    <phoneticPr fontId="1"/>
  </si>
  <si>
    <t>茨城県鹿嶋市</t>
    <rPh sb="0" eb="3">
      <t>イバラキケン</t>
    </rPh>
    <rPh sb="3" eb="6">
      <t>カシマシ</t>
    </rPh>
    <phoneticPr fontId="1"/>
  </si>
  <si>
    <t>AGC鹿島引き取り</t>
  </si>
  <si>
    <t>ラサ工業（三本木）9：30</t>
  </si>
  <si>
    <t>ルネサス（那珂）AM</t>
  </si>
  <si>
    <t>時間指定　10:00</t>
    <rPh sb="0" eb="4">
      <t>ジカンシテイ</t>
    </rPh>
    <phoneticPr fontId="1"/>
  </si>
  <si>
    <t>棚倉開発    　　棚倉田舎倶楽部</t>
  </si>
  <si>
    <t>定期添乗</t>
    <rPh sb="0" eb="4">
      <t>テイキテンジョウ</t>
    </rPh>
    <phoneticPr fontId="1"/>
  </si>
  <si>
    <t>ソーダニッカ（七ヶ浜）10：30</t>
  </si>
  <si>
    <t>東北電力（原町火力）9：00</t>
  </si>
  <si>
    <t>宵積み</t>
  </si>
  <si>
    <t>東邦亜鉛（１車目）</t>
  </si>
  <si>
    <t>ミネベアPD臨海13：00</t>
  </si>
  <si>
    <t>日本化学産業AM</t>
  </si>
  <si>
    <t>昱（外宿浄水場）13：00</t>
  </si>
  <si>
    <t>ＪＸ金属（磯原）</t>
  </si>
  <si>
    <t>王子マテリア㈱（宇都宮）</t>
  </si>
  <si>
    <t>東邦亜鉛（２車目）</t>
  </si>
  <si>
    <t>時間指定　11：00</t>
    <rPh sb="0" eb="4">
      <t>ジカンシテイ</t>
    </rPh>
    <phoneticPr fontId="1"/>
  </si>
  <si>
    <t>スパリゾート
ハワイアンズ</t>
  </si>
  <si>
    <t>勿来温泉
関の湯</t>
  </si>
  <si>
    <t>東邦福島㈱
ホテルNAGISA</t>
  </si>
  <si>
    <t>東北ポ－ル
白河工場</t>
  </si>
  <si>
    <t>※ 時間指定13:00</t>
    <rPh sb="2" eb="6">
      <t>ジカンシテイ</t>
    </rPh>
    <phoneticPr fontId="1"/>
  </si>
  <si>
    <t>東邦福島㈱
ホテルNAGISA</t>
    <phoneticPr fontId="1"/>
  </si>
  <si>
    <t>棚倉開発
棚倉田舎倶楽部</t>
    <phoneticPr fontId="1"/>
  </si>
  <si>
    <t>佐川商店</t>
    <phoneticPr fontId="1"/>
  </si>
  <si>
    <t>福島県
かえで荘</t>
    <phoneticPr fontId="1"/>
  </si>
  <si>
    <t>太陽の国　
洗濯センター</t>
    <phoneticPr fontId="1"/>
  </si>
  <si>
    <t>航空自衛隊
大滝根山分屯基地</t>
    <phoneticPr fontId="1"/>
  </si>
  <si>
    <t>モリマーコンポジット㈱（中郷）</t>
    <phoneticPr fontId="1"/>
  </si>
  <si>
    <t>モリマーコンポジット㈱（関本）</t>
    <phoneticPr fontId="1"/>
  </si>
  <si>
    <t>岩村製餡工場</t>
    <phoneticPr fontId="1"/>
  </si>
  <si>
    <t>ダイキン（鹿島）9：30</t>
  </si>
  <si>
    <t>ＪＸ金属（ユピノーグ）7：30</t>
  </si>
  <si>
    <t>常磐火力産業（勿来）</t>
  </si>
  <si>
    <t>大内新興(須賀川)8：00</t>
  </si>
  <si>
    <t>ソーダニッカ（七ヶ浜）8：00</t>
  </si>
  <si>
    <t>常磐道(日立北IC～宇都宮IC）</t>
    <rPh sb="0" eb="3">
      <t>ジョウバンドウ</t>
    </rPh>
    <rPh sb="4" eb="6">
      <t>ヒタチ</t>
    </rPh>
    <rPh sb="6" eb="7">
      <t>キタ</t>
    </rPh>
    <rPh sb="10" eb="13">
      <t>ウツノミヤ</t>
    </rPh>
    <phoneticPr fontId="10"/>
  </si>
  <si>
    <t>㈲久保木商会</t>
  </si>
  <si>
    <t>常磐共同火力
小名浜ｽﾃｰｼｮﾝ</t>
  </si>
  <si>
    <t>ニッソーファイン　いわき製造部</t>
    <rPh sb="12" eb="15">
      <t>セイゾウブ</t>
    </rPh>
    <phoneticPr fontId="1"/>
  </si>
  <si>
    <t>ニッソーファイン　いわき製造部</t>
  </si>
  <si>
    <t>ＳＵＳ福島13：00</t>
  </si>
  <si>
    <t>大和化成研究所(福島)AM</t>
  </si>
  <si>
    <t>エフオン大信発電所8：30</t>
  </si>
  <si>
    <t>日本化学（第二）</t>
  </si>
  <si>
    <t>信越石英</t>
  </si>
  <si>
    <t>時間指定　13:00</t>
    <rPh sb="0" eb="4">
      <t>ジカンシテイ</t>
    </rPh>
    <phoneticPr fontId="1"/>
  </si>
  <si>
    <t>住友化学（茨城）13：00</t>
  </si>
  <si>
    <t>有機合成（積発）</t>
  </si>
  <si>
    <t>カメイ福島　
白河油槽所</t>
  </si>
  <si>
    <t>カメイ　
いわき油槽所</t>
  </si>
  <si>
    <t>※ 時間指定10:00</t>
    <rPh sb="2" eb="6">
      <t>ジカンシテイ</t>
    </rPh>
    <phoneticPr fontId="1"/>
  </si>
  <si>
    <t>キョウデン東北</t>
  </si>
  <si>
    <t>日本電解（下館）11：00</t>
  </si>
  <si>
    <t>東邦亜鉛</t>
  </si>
  <si>
    <t>クニミネ工業8：00</t>
  </si>
  <si>
    <t>時間指定　AM</t>
    <rPh sb="0" eb="4">
      <t>ジカンシテイ</t>
    </rPh>
    <phoneticPr fontId="1"/>
  </si>
  <si>
    <t>保土谷ロジ</t>
  </si>
  <si>
    <t>大内新興（原町）8：00</t>
  </si>
  <si>
    <t>東新工業（四倉）</t>
  </si>
  <si>
    <t>東新工業（いわき）</t>
  </si>
  <si>
    <t>※積合わせ</t>
    <rPh sb="1" eb="2">
      <t>ツミ</t>
    </rPh>
    <rPh sb="2" eb="3">
      <t>ア</t>
    </rPh>
    <phoneticPr fontId="1"/>
  </si>
  <si>
    <t>陸上自衛隊
郡山駐屯地</t>
  </si>
  <si>
    <t>振替休日(勤労感謝の日)</t>
    <rPh sb="0" eb="2">
      <t>フリカエ</t>
    </rPh>
    <rPh sb="2" eb="4">
      <t>キュウジツ</t>
    </rPh>
    <rPh sb="5" eb="9">
      <t>キンロウカンシャ</t>
    </rPh>
    <rPh sb="10" eb="11">
      <t>ヒ</t>
    </rPh>
    <phoneticPr fontId="1"/>
  </si>
  <si>
    <t>勤労感謝の日</t>
    <rPh sb="0" eb="4">
      <t>キンロウカンシャ</t>
    </rPh>
    <rPh sb="5" eb="6">
      <t>ヒ</t>
    </rPh>
    <phoneticPr fontId="1"/>
  </si>
  <si>
    <t>有機合成AM</t>
  </si>
  <si>
    <t>ＪＸ金属銅箔（排水）8：00</t>
  </si>
  <si>
    <t>向洋産業</t>
  </si>
  <si>
    <t>ルネサス那珂6：30</t>
  </si>
  <si>
    <t>北越（新潟）</t>
  </si>
  <si>
    <t>ＪＸ金属環境（大雄院）7：00</t>
  </si>
  <si>
    <t>保土谷ロジAM</t>
  </si>
  <si>
    <t>大谷浄水場9：00</t>
  </si>
  <si>
    <t>城北化学</t>
  </si>
  <si>
    <t>新日本電工8：00</t>
  </si>
  <si>
    <t>朝日ラバー</t>
  </si>
  <si>
    <t>ＪＸ金属（貴金属）</t>
  </si>
  <si>
    <t>ラサ工業（三本木）</t>
  </si>
  <si>
    <t>常磐道(広野IC～)</t>
    <rPh sb="0" eb="3">
      <t>ジョウバンドウ</t>
    </rPh>
    <rPh sb="4" eb="6">
      <t>ヒロノ</t>
    </rPh>
    <phoneticPr fontId="1"/>
  </si>
  <si>
    <t>※　高速使用</t>
    <rPh sb="2" eb="6">
      <t>コウソクシヨウ</t>
    </rPh>
    <phoneticPr fontId="1"/>
  </si>
  <si>
    <t>スソニティジャパン</t>
  </si>
  <si>
    <t>ﾕﾆﾁｬｰﾑﾌﾟﾛﾀﾞｸﾂ
福島工場</t>
  </si>
  <si>
    <t>関東ｴﾗｽﾄﾏｰ㈱</t>
  </si>
  <si>
    <t>㈱T・A・D</t>
  </si>
  <si>
    <t>東邦亜鉛（積発）</t>
  </si>
  <si>
    <t>森永乳業（福島）13：00</t>
  </si>
  <si>
    <t>浮間化学</t>
  </si>
  <si>
    <t>日本製紙(足利)</t>
  </si>
  <si>
    <t>日本製紙(足利)</t>
    <rPh sb="0" eb="4">
      <t>ニホンセイシ</t>
    </rPh>
    <rPh sb="5" eb="7">
      <t>アシカガ</t>
    </rPh>
    <phoneticPr fontId="1"/>
  </si>
  <si>
    <t>栃木県足利市</t>
    <rPh sb="0" eb="3">
      <t>トチギケン</t>
    </rPh>
    <rPh sb="3" eb="6">
      <t>アシカガシ</t>
    </rPh>
    <phoneticPr fontId="1"/>
  </si>
  <si>
    <t>※　適宜高速道路使用</t>
    <rPh sb="2" eb="4">
      <t>テキギ</t>
    </rPh>
    <rPh sb="4" eb="8">
      <t>コウソクドウロ</t>
    </rPh>
    <rPh sb="8" eb="10">
      <t>シヨウ</t>
    </rPh>
    <phoneticPr fontId="1"/>
  </si>
  <si>
    <t>いわき市北白土第二ポンプ場</t>
    <rPh sb="3" eb="4">
      <t>シ</t>
    </rPh>
    <rPh sb="4" eb="7">
      <t>キタシラド</t>
    </rPh>
    <rPh sb="7" eb="9">
      <t>ダイニ</t>
    </rPh>
    <rPh sb="12" eb="13">
      <t>ジョウ</t>
    </rPh>
    <phoneticPr fontId="1"/>
  </si>
  <si>
    <t>いわき市北白土第二ポンプ場</t>
  </si>
  <si>
    <t>スウィン大教
スイミングいわき</t>
  </si>
  <si>
    <t>株式会社ｷｮｳﾃﾞﾝ</t>
  </si>
  <si>
    <t>ＪＸ金属（圧延）AM</t>
  </si>
  <si>
    <t>小名浜苛性基地</t>
  </si>
  <si>
    <t>ＪＸ金属（ＨＭＣ）AM</t>
  </si>
  <si>
    <t>郡山堀口浄水場9：00</t>
  </si>
  <si>
    <t>※28日車検のため宵積み不可</t>
    <rPh sb="3" eb="4">
      <t>ヒ</t>
    </rPh>
    <rPh sb="4" eb="6">
      <t>シャケン</t>
    </rPh>
    <rPh sb="9" eb="11">
      <t>ヨイヅ</t>
    </rPh>
    <rPh sb="12" eb="14">
      <t>フカ</t>
    </rPh>
    <phoneticPr fontId="1"/>
  </si>
  <si>
    <t>時間指定　11:00</t>
    <rPh sb="0" eb="4">
      <t>ジカンシテイ</t>
    </rPh>
    <phoneticPr fontId="1"/>
  </si>
  <si>
    <t>ソーダニッカ（七ヶ浜）AM</t>
  </si>
  <si>
    <t>生産日　・　V-009タンク卸</t>
    <rPh sb="0" eb="3">
      <t>セイサンビ</t>
    </rPh>
    <rPh sb="14" eb="15">
      <t>オロシ</t>
    </rPh>
    <phoneticPr fontId="1"/>
  </si>
  <si>
    <t>時間指定　PM</t>
    <rPh sb="0" eb="4">
      <t>ジカンシテイ</t>
    </rPh>
    <phoneticPr fontId="1"/>
  </si>
  <si>
    <t>マルハ産業㈱
北茨城工場（重油</t>
  </si>
  <si>
    <t>大野水耕
生産組合</t>
  </si>
  <si>
    <t>時間指定　14：00</t>
    <rPh sb="0" eb="4">
      <t>ジカンシテイ</t>
    </rPh>
    <phoneticPr fontId="1"/>
  </si>
  <si>
    <t>常磐共同火力AM</t>
  </si>
  <si>
    <t>常磐共同火力</t>
  </si>
  <si>
    <t>ｸﾞﾛｰﾊﾞﾙｱﾄﾞﾊﾞﾝｽ(会津)</t>
  </si>
  <si>
    <t>指定時間　9：00</t>
    <rPh sb="0" eb="4">
      <t>シテイジカン</t>
    </rPh>
    <phoneticPr fontId="1"/>
  </si>
  <si>
    <t>日本製紙（岩沼）</t>
  </si>
  <si>
    <t>※DIP積込後に仙台（営）へ回送</t>
    <rPh sb="4" eb="6">
      <t>ツミコミ</t>
    </rPh>
    <rPh sb="6" eb="7">
      <t>ゴ</t>
    </rPh>
    <rPh sb="8" eb="10">
      <t>センダイ</t>
    </rPh>
    <rPh sb="11" eb="12">
      <t>エイ</t>
    </rPh>
    <rPh sb="14" eb="16">
      <t>カイソウ</t>
    </rPh>
    <phoneticPr fontId="1"/>
  </si>
  <si>
    <t>櫻泳ｽｲﾐﾝｸﾞｽｸｰﾙ</t>
  </si>
  <si>
    <t>特別養護老人ﾎｰﾑ
こまち荘</t>
  </si>
  <si>
    <t>日本化学（第一）（積発）13:00</t>
  </si>
  <si>
    <t>電錬排水キャンセル</t>
    <rPh sb="0" eb="4">
      <t>デンレンハイスイ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</si>
</sst>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¥&quot;#,##0;[Red]&quot;¥&quot;\-#,##0"/>
    <numFmt numFmtId="176" formatCode="h:mm&quot;出荷&quot;"/>
    <numFmt numFmtId="177" formatCode="h:mm;@"/>
    <numFmt numFmtId="178" formatCode="0.00&quot;㎘&quot;"/>
    <numFmt numFmtId="179" formatCode="0.0&quot;t&quot;"/>
    <numFmt numFmtId="180" formatCode="0&quot;㎘&quot;"/>
    <numFmt numFmtId="181" formatCode="h:mm;;"/>
    <numFmt numFmtId="182" formatCode="yyyy&quot;年&quot;m&quot;月&quot;d&quot;日&quot;\(aaaa\)"/>
    <numFmt numFmtId="183" formatCode="m&quot;月&quot;d&quot;日&quot;;@"/>
    <numFmt numFmtId="184" formatCode="m&quot;月&quot;"/>
  </numFmts>
  <fonts count="5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b/>
      <u val="double"/>
      <sz val="2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8"/>
      <name val="ＭＳ Ｐ明朝"/>
      <family val="1"/>
      <charset val="128"/>
    </font>
    <font>
      <sz val="24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6"/>
      <name val="ＭＳ Ｐ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20"/>
      <color rgb="FFFF0000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color theme="1"/>
      <name val="ＭＳ Ｐ明朝"/>
      <family val="1"/>
      <charset val="128"/>
    </font>
    <font>
      <sz val="24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8"/>
      <color rgb="FFFF0000"/>
      <name val="ＭＳ Ｐ明朝"/>
      <family val="1"/>
      <charset val="128"/>
    </font>
    <font>
      <sz val="24"/>
      <color rgb="FFFF0000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4"/>
      <name val="ＭＳ Ｐ明朝"/>
      <family val="1"/>
      <charset val="128"/>
    </font>
    <font>
      <sz val="6"/>
      <name val="ＭＳ Ｐ明朝"/>
      <family val="2"/>
      <charset val="128"/>
    </font>
    <font>
      <sz val="24"/>
      <color theme="1"/>
      <name val="ＭＳ Ｐ明朝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ＭＳ Ｐ明朝"/>
      <family val="2"/>
      <charset val="128"/>
    </font>
    <font>
      <sz val="18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明朝"/>
      <family val="2"/>
      <charset val="128"/>
    </font>
    <font>
      <sz val="16"/>
      <color theme="1"/>
      <name val="ＭＳ Ｐゴシック"/>
      <family val="3"/>
      <charset val="128"/>
      <scheme val="minor"/>
    </font>
    <font>
      <sz val="18"/>
      <color theme="1"/>
      <name val="ＭＳ Ｐ明朝"/>
      <family val="2"/>
      <charset val="128"/>
    </font>
    <font>
      <sz val="11"/>
      <name val="Segoe UI Symbol"/>
      <family val="1"/>
    </font>
    <font>
      <sz val="1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11"/>
      <color rgb="FF000000"/>
      <name val="ＭＳ Ｐゴシック"/>
      <family val="3"/>
      <charset val="128"/>
    </font>
    <font>
      <b/>
      <sz val="20"/>
      <color rgb="FF000000"/>
      <name val="ＭＳ Ｐ明朝"/>
      <family val="1"/>
      <charset val="128"/>
    </font>
    <font>
      <b/>
      <sz val="16"/>
      <color rgb="FFFF0000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uble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498">
    <xf numFmtId="0" fontId="0" fillId="0" borderId="0" xfId="0"/>
    <xf numFmtId="0" fontId="2" fillId="0" borderId="0" xfId="0" applyFon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4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176" fontId="2" fillId="0" borderId="0" xfId="0" applyNumberFormat="1" applyFont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/>
    </xf>
    <xf numFmtId="0" fontId="21" fillId="2" borderId="10" xfId="0" applyFont="1" applyFill="1" applyBorder="1" applyAlignment="1">
      <alignment vertical="center"/>
    </xf>
    <xf numFmtId="0" fontId="21" fillId="2" borderId="6" xfId="0" applyFont="1" applyFill="1" applyBorder="1" applyAlignment="1">
      <alignment vertical="center"/>
    </xf>
    <xf numFmtId="177" fontId="21" fillId="2" borderId="10" xfId="0" applyNumberFormat="1" applyFont="1" applyFill="1" applyBorder="1" applyAlignment="1">
      <alignment vertical="center"/>
    </xf>
    <xf numFmtId="0" fontId="21" fillId="2" borderId="10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9" fillId="0" borderId="10" xfId="0" applyFont="1" applyBorder="1" applyAlignment="1">
      <alignment vertical="center"/>
    </xf>
    <xf numFmtId="177" fontId="22" fillId="0" borderId="10" xfId="0" applyNumberFormat="1" applyFont="1" applyBorder="1" applyAlignment="1">
      <alignment vertical="center" wrapText="1"/>
    </xf>
    <xf numFmtId="177" fontId="23" fillId="0" borderId="10" xfId="0" applyNumberFormat="1" applyFont="1" applyBorder="1" applyAlignment="1">
      <alignment horizontal="right" vertical="center"/>
    </xf>
    <xf numFmtId="177" fontId="24" fillId="0" borderId="10" xfId="0" applyNumberFormat="1" applyFont="1" applyBorder="1" applyAlignment="1">
      <alignment horizontal="center" vertical="center"/>
    </xf>
    <xf numFmtId="177" fontId="24" fillId="0" borderId="10" xfId="0" applyNumberFormat="1" applyFont="1" applyBorder="1" applyAlignment="1">
      <alignment horizontal="left" vertical="center"/>
    </xf>
    <xf numFmtId="178" fontId="0" fillId="0" borderId="10" xfId="0" applyNumberFormat="1" applyBorder="1" applyAlignment="1">
      <alignment horizontal="right" vertical="center"/>
    </xf>
    <xf numFmtId="6" fontId="0" fillId="0" borderId="10" xfId="0" applyNumberFormat="1" applyBorder="1" applyAlignment="1">
      <alignment horizontal="right" vertical="center"/>
    </xf>
    <xf numFmtId="0" fontId="21" fillId="0" borderId="10" xfId="0" applyFont="1" applyBorder="1" applyAlignment="1">
      <alignment vertical="center"/>
    </xf>
    <xf numFmtId="0" fontId="23" fillId="0" borderId="10" xfId="0" applyFont="1" applyBorder="1" applyAlignment="1">
      <alignment vertical="center" wrapText="1"/>
    </xf>
    <xf numFmtId="0" fontId="21" fillId="0" borderId="6" xfId="0" applyFont="1" applyBorder="1" applyAlignment="1">
      <alignment vertical="center" wrapText="1"/>
    </xf>
    <xf numFmtId="20" fontId="23" fillId="0" borderId="6" xfId="0" applyNumberFormat="1" applyFont="1" applyBorder="1" applyAlignment="1">
      <alignment horizontal="right" vertical="center"/>
    </xf>
    <xf numFmtId="20" fontId="25" fillId="0" borderId="6" xfId="0" applyNumberFormat="1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20" fontId="23" fillId="0" borderId="10" xfId="0" applyNumberFormat="1" applyFont="1" applyBorder="1" applyAlignment="1">
      <alignment horizontal="right" vertical="center"/>
    </xf>
    <xf numFmtId="20" fontId="25" fillId="0" borderId="10" xfId="0" applyNumberFormat="1" applyFont="1" applyBorder="1" applyAlignment="1">
      <alignment vertical="center"/>
    </xf>
    <xf numFmtId="0" fontId="21" fillId="0" borderId="10" xfId="0" applyFont="1" applyBorder="1" applyAlignment="1">
      <alignment vertical="center" wrapText="1"/>
    </xf>
    <xf numFmtId="177" fontId="21" fillId="0" borderId="10" xfId="0" applyNumberFormat="1" applyFont="1" applyBorder="1" applyAlignment="1">
      <alignment horizontal="left" vertical="center"/>
    </xf>
    <xf numFmtId="177" fontId="23" fillId="3" borderId="10" xfId="0" applyNumberFormat="1" applyFont="1" applyFill="1" applyBorder="1" applyAlignment="1">
      <alignment horizontal="right" vertical="center"/>
    </xf>
    <xf numFmtId="178" fontId="21" fillId="0" borderId="10" xfId="0" applyNumberFormat="1" applyFont="1" applyBorder="1" applyAlignment="1">
      <alignment horizontal="left" vertical="center"/>
    </xf>
    <xf numFmtId="178" fontId="21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 wrapText="1"/>
    </xf>
    <xf numFmtId="177" fontId="23" fillId="0" borderId="10" xfId="0" applyNumberFormat="1" applyFont="1" applyBorder="1" applyAlignment="1">
      <alignment vertical="center" wrapText="1"/>
    </xf>
    <xf numFmtId="6" fontId="21" fillId="0" borderId="10" xfId="0" applyNumberFormat="1" applyFont="1" applyBorder="1" applyAlignment="1">
      <alignment horizontal="right" vertical="center"/>
    </xf>
    <xf numFmtId="0" fontId="21" fillId="4" borderId="10" xfId="0" applyFont="1" applyFill="1" applyBorder="1" applyAlignment="1">
      <alignment vertical="center"/>
    </xf>
    <xf numFmtId="177" fontId="23" fillId="3" borderId="10" xfId="0" applyNumberFormat="1" applyFont="1" applyFill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177" fontId="14" fillId="0" borderId="10" xfId="0" applyNumberFormat="1" applyFont="1" applyBorder="1" applyAlignment="1">
      <alignment horizontal="right" vertical="center"/>
    </xf>
    <xf numFmtId="177" fontId="15" fillId="0" borderId="10" xfId="0" applyNumberFormat="1" applyFont="1" applyBorder="1" applyAlignment="1">
      <alignment horizontal="center" vertical="center"/>
    </xf>
    <xf numFmtId="177" fontId="15" fillId="0" borderId="10" xfId="0" applyNumberFormat="1" applyFont="1" applyBorder="1" applyAlignment="1">
      <alignment horizontal="left" vertical="center"/>
    </xf>
    <xf numFmtId="178" fontId="2" fillId="0" borderId="10" xfId="0" applyNumberFormat="1" applyFont="1" applyBorder="1" applyAlignment="1">
      <alignment horizontal="right" vertical="center"/>
    </xf>
    <xf numFmtId="6" fontId="2" fillId="0" borderId="10" xfId="0" applyNumberFormat="1" applyFont="1" applyBorder="1" applyAlignment="1">
      <alignment horizontal="right" vertical="center"/>
    </xf>
    <xf numFmtId="0" fontId="21" fillId="0" borderId="17" xfId="0" applyFont="1" applyBorder="1" applyAlignment="1">
      <alignment vertical="center"/>
    </xf>
    <xf numFmtId="177" fontId="26" fillId="0" borderId="10" xfId="0" applyNumberFormat="1" applyFont="1" applyBorder="1" applyAlignment="1">
      <alignment vertical="center" wrapText="1"/>
    </xf>
    <xf numFmtId="177" fontId="24" fillId="0" borderId="10" xfId="0" applyNumberFormat="1" applyFont="1" applyBorder="1" applyAlignment="1">
      <alignment vertical="center"/>
    </xf>
    <xf numFmtId="177" fontId="24" fillId="3" borderId="1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177" fontId="29" fillId="0" borderId="10" xfId="0" applyNumberFormat="1" applyFont="1" applyBorder="1" applyAlignment="1">
      <alignment horizontal="right" vertical="center"/>
    </xf>
    <xf numFmtId="177" fontId="30" fillId="3" borderId="10" xfId="0" applyNumberFormat="1" applyFont="1" applyFill="1" applyBorder="1" applyAlignment="1">
      <alignment horizontal="center" vertical="center"/>
    </xf>
    <xf numFmtId="177" fontId="30" fillId="0" borderId="10" xfId="0" applyNumberFormat="1" applyFont="1" applyBorder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177" fontId="26" fillId="0" borderId="10" xfId="0" applyNumberFormat="1" applyFont="1" applyBorder="1" applyAlignment="1">
      <alignment horizontal="right" vertical="center"/>
    </xf>
    <xf numFmtId="177" fontId="26" fillId="0" borderId="10" xfId="0" applyNumberFormat="1" applyFont="1" applyBorder="1" applyAlignment="1">
      <alignment horizontal="center" vertical="center"/>
    </xf>
    <xf numFmtId="178" fontId="26" fillId="0" borderId="10" xfId="0" applyNumberFormat="1" applyFont="1" applyBorder="1" applyAlignment="1">
      <alignment horizontal="right" vertical="center"/>
    </xf>
    <xf numFmtId="6" fontId="21" fillId="0" borderId="10" xfId="0" applyNumberFormat="1" applyFont="1" applyBorder="1" applyAlignment="1">
      <alignment horizontal="left" vertical="center"/>
    </xf>
    <xf numFmtId="49" fontId="23" fillId="0" borderId="10" xfId="0" applyNumberFormat="1" applyFont="1" applyBorder="1" applyAlignment="1">
      <alignment horizontal="right" vertical="center"/>
    </xf>
    <xf numFmtId="49" fontId="21" fillId="0" borderId="10" xfId="0" applyNumberFormat="1" applyFont="1" applyBorder="1" applyAlignment="1">
      <alignment horizontal="center" vertical="center"/>
    </xf>
    <xf numFmtId="177" fontId="27" fillId="0" borderId="10" xfId="0" applyNumberFormat="1" applyFont="1" applyBorder="1" applyAlignment="1">
      <alignment horizontal="center" vertical="top" wrapText="1"/>
    </xf>
    <xf numFmtId="178" fontId="31" fillId="0" borderId="10" xfId="0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177" fontId="23" fillId="0" borderId="9" xfId="0" applyNumberFormat="1" applyFont="1" applyBorder="1" applyAlignment="1">
      <alignment horizontal="right" vertical="center"/>
    </xf>
    <xf numFmtId="177" fontId="24" fillId="0" borderId="9" xfId="0" applyNumberFormat="1" applyFont="1" applyBorder="1" applyAlignment="1">
      <alignment horizontal="center" vertical="center"/>
    </xf>
    <xf numFmtId="177" fontId="24" fillId="0" borderId="9" xfId="0" applyNumberFormat="1" applyFont="1" applyBorder="1" applyAlignment="1">
      <alignment horizontal="left" vertical="center"/>
    </xf>
    <xf numFmtId="6" fontId="0" fillId="0" borderId="9" xfId="0" applyNumberFormat="1" applyBorder="1" applyAlignment="1">
      <alignment horizontal="right" vertical="center"/>
    </xf>
    <xf numFmtId="177" fontId="24" fillId="0" borderId="10" xfId="0" applyNumberFormat="1" applyFont="1" applyBorder="1" applyAlignment="1">
      <alignment horizontal="left" vertical="center" wrapText="1"/>
    </xf>
    <xf numFmtId="178" fontId="21" fillId="0" borderId="9" xfId="0" applyNumberFormat="1" applyFont="1" applyBorder="1" applyAlignment="1">
      <alignment horizontal="right" vertical="center"/>
    </xf>
    <xf numFmtId="6" fontId="21" fillId="0" borderId="9" xfId="0" applyNumberFormat="1" applyFont="1" applyBorder="1" applyAlignment="1">
      <alignment horizontal="right" vertical="center"/>
    </xf>
    <xf numFmtId="178" fontId="21" fillId="0" borderId="17" xfId="0" applyNumberFormat="1" applyFont="1" applyBorder="1" applyAlignment="1">
      <alignment horizontal="right" vertical="center"/>
    </xf>
    <xf numFmtId="0" fontId="23" fillId="0" borderId="10" xfId="0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0" fontId="21" fillId="0" borderId="17" xfId="0" applyFont="1" applyBorder="1" applyAlignment="1">
      <alignment vertical="center" wrapText="1"/>
    </xf>
    <xf numFmtId="177" fontId="28" fillId="0" borderId="10" xfId="0" applyNumberFormat="1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19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19" fillId="0" borderId="17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0" fontId="32" fillId="0" borderId="10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7" xfId="0" applyBorder="1" applyAlignment="1">
      <alignment vertical="center" wrapText="1"/>
    </xf>
    <xf numFmtId="177" fontId="23" fillId="0" borderId="10" xfId="0" applyNumberFormat="1" applyFont="1" applyBorder="1" applyAlignment="1">
      <alignment horizontal="right" vertical="center" wrapText="1"/>
    </xf>
    <xf numFmtId="20" fontId="23" fillId="0" borderId="10" xfId="0" applyNumberFormat="1" applyFont="1" applyBorder="1" applyAlignment="1">
      <alignment horizontal="right" vertical="center" wrapText="1"/>
    </xf>
    <xf numFmtId="20" fontId="33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177" fontId="23" fillId="0" borderId="0" xfId="0" applyNumberFormat="1" applyFont="1" applyAlignment="1">
      <alignment vertical="center"/>
    </xf>
    <xf numFmtId="177" fontId="23" fillId="0" borderId="0" xfId="0" applyNumberFormat="1" applyFont="1" applyAlignment="1">
      <alignment horizontal="right" vertical="center"/>
    </xf>
    <xf numFmtId="49" fontId="23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6" fontId="0" fillId="0" borderId="0" xfId="0" applyNumberFormat="1" applyAlignment="1">
      <alignment horizontal="right" vertical="center"/>
    </xf>
    <xf numFmtId="0" fontId="2" fillId="0" borderId="19" xfId="0" applyFont="1" applyBorder="1" applyAlignment="1">
      <alignment vertical="center" shrinkToFit="1"/>
    </xf>
    <xf numFmtId="0" fontId="2" fillId="0" borderId="20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1" fillId="4" borderId="6" xfId="0" applyFont="1" applyFill="1" applyBorder="1" applyAlignment="1">
      <alignment vertical="center"/>
    </xf>
    <xf numFmtId="0" fontId="21" fillId="0" borderId="53" xfId="0" applyFont="1" applyBorder="1" applyAlignment="1">
      <alignment vertical="center"/>
    </xf>
    <xf numFmtId="0" fontId="21" fillId="2" borderId="53" xfId="0" applyFont="1" applyFill="1" applyBorder="1" applyAlignment="1">
      <alignment vertical="center"/>
    </xf>
    <xf numFmtId="0" fontId="0" fillId="0" borderId="53" xfId="0" applyBorder="1" applyAlignment="1">
      <alignment vertical="center"/>
    </xf>
    <xf numFmtId="20" fontId="38" fillId="0" borderId="10" xfId="0" applyNumberFormat="1" applyFont="1" applyBorder="1" applyAlignment="1">
      <alignment vertical="center"/>
    </xf>
    <xf numFmtId="0" fontId="38" fillId="0" borderId="10" xfId="0" applyFont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19" fillId="0" borderId="1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wrapText="1"/>
    </xf>
    <xf numFmtId="20" fontId="0" fillId="0" borderId="0" xfId="0" applyNumberFormat="1" applyAlignment="1">
      <alignment vertical="center"/>
    </xf>
    <xf numFmtId="0" fontId="0" fillId="0" borderId="10" xfId="0" applyBorder="1"/>
    <xf numFmtId="20" fontId="0" fillId="0" borderId="10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 shrinkToFit="1"/>
    </xf>
    <xf numFmtId="6" fontId="27" fillId="0" borderId="10" xfId="0" applyNumberFormat="1" applyFont="1" applyBorder="1" applyAlignment="1">
      <alignment horizontal="right" vertical="center"/>
    </xf>
    <xf numFmtId="177" fontId="14" fillId="0" borderId="10" xfId="0" applyNumberFormat="1" applyFont="1" applyBorder="1" applyAlignment="1">
      <alignment vertical="center" wrapText="1"/>
    </xf>
    <xf numFmtId="0" fontId="21" fillId="0" borderId="9" xfId="0" applyFont="1" applyBorder="1" applyAlignment="1">
      <alignment vertical="center" wrapText="1"/>
    </xf>
    <xf numFmtId="177" fontId="21" fillId="0" borderId="10" xfId="0" applyNumberFormat="1" applyFont="1" applyBorder="1" applyAlignment="1">
      <alignment vertical="center"/>
    </xf>
    <xf numFmtId="0" fontId="2" fillId="0" borderId="20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wrapText="1" shrinkToFit="1"/>
      <protection locked="0"/>
    </xf>
    <xf numFmtId="0" fontId="2" fillId="0" borderId="106" xfId="0" applyFont="1" applyBorder="1" applyAlignment="1" applyProtection="1">
      <alignment vertical="center" wrapText="1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0" borderId="13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9" xfId="0" applyFont="1" applyBorder="1" applyAlignment="1" applyProtection="1">
      <alignment horizontal="center" vertical="center" textRotation="255" wrapText="1"/>
      <protection locked="0"/>
    </xf>
    <xf numFmtId="0" fontId="2" fillId="0" borderId="9" xfId="0" applyFont="1" applyBorder="1" applyAlignment="1" applyProtection="1">
      <alignment horizontal="center" vertical="center" textRotation="255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7" fillId="0" borderId="12" xfId="0" applyFont="1" applyBorder="1" applyAlignment="1" applyProtection="1">
      <alignment horizontal="center" vertical="center" wrapText="1" shrinkToFit="1"/>
      <protection locked="0"/>
    </xf>
    <xf numFmtId="0" fontId="7" fillId="0" borderId="6" xfId="0" applyFont="1" applyBorder="1" applyAlignment="1" applyProtection="1">
      <alignment horizontal="center" vertical="center" wrapText="1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1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124" xfId="0" applyFont="1" applyBorder="1" applyAlignment="1" applyProtection="1">
      <alignment horizontal="center" vertical="center" wrapText="1" shrinkToFit="1"/>
      <protection locked="0"/>
    </xf>
    <xf numFmtId="0" fontId="2" fillId="0" borderId="134" xfId="0" applyFont="1" applyBorder="1" applyAlignment="1">
      <alignment horizontal="center" vertical="center" shrinkToFit="1"/>
    </xf>
    <xf numFmtId="0" fontId="2" fillId="0" borderId="147" xfId="0" applyFont="1" applyBorder="1" applyAlignment="1">
      <alignment vertical="center" shrinkToFit="1"/>
    </xf>
    <xf numFmtId="0" fontId="2" fillId="0" borderId="18" xfId="0" applyFont="1" applyBorder="1" applyAlignment="1">
      <alignment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50" xfId="0" applyFont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wrapText="1" shrinkToFit="1"/>
    </xf>
    <xf numFmtId="0" fontId="2" fillId="5" borderId="151" xfId="0" applyFont="1" applyFill="1" applyBorder="1" applyAlignment="1" applyProtection="1">
      <alignment vertical="center" shrinkToFit="1"/>
      <protection locked="0"/>
    </xf>
    <xf numFmtId="0" fontId="2" fillId="0" borderId="151" xfId="0" applyFont="1" applyBorder="1" applyAlignment="1">
      <alignment vertical="center" shrinkToFit="1"/>
    </xf>
    <xf numFmtId="0" fontId="2" fillId="0" borderId="149" xfId="0" applyFont="1" applyBorder="1" applyAlignment="1">
      <alignment vertical="center" shrinkToFit="1"/>
    </xf>
    <xf numFmtId="0" fontId="2" fillId="0" borderId="151" xfId="0" applyFont="1" applyBorder="1" applyAlignment="1">
      <alignment horizontal="center" vertical="center" shrinkToFit="1"/>
    </xf>
    <xf numFmtId="0" fontId="2" fillId="0" borderId="152" xfId="0" applyFont="1" applyBorder="1" applyAlignment="1">
      <alignment horizontal="center" vertical="center" shrinkToFit="1"/>
    </xf>
    <xf numFmtId="0" fontId="2" fillId="0" borderId="134" xfId="0" applyFont="1" applyBorder="1" applyAlignment="1">
      <alignment horizontal="center" vertical="center" wrapText="1" shrinkToFit="1"/>
    </xf>
    <xf numFmtId="0" fontId="2" fillId="0" borderId="120" xfId="0" applyFont="1" applyBorder="1" applyAlignment="1" applyProtection="1">
      <alignment horizontal="center" vertical="center" wrapText="1" shrinkToFit="1"/>
      <protection locked="0"/>
    </xf>
    <xf numFmtId="0" fontId="2" fillId="0" borderId="127" xfId="0" applyFont="1" applyBorder="1" applyAlignment="1">
      <alignment horizontal="center" vertical="center" shrinkToFit="1"/>
    </xf>
    <xf numFmtId="0" fontId="2" fillId="0" borderId="128" xfId="0" applyFont="1" applyBorder="1" applyAlignment="1">
      <alignment horizontal="center" vertical="center" shrinkToFit="1"/>
    </xf>
    <xf numFmtId="0" fontId="2" fillId="0" borderId="159" xfId="0" applyFont="1" applyBorder="1" applyAlignment="1" applyProtection="1">
      <alignment vertical="center" wrapText="1" shrinkToFit="1"/>
      <protection locked="0"/>
    </xf>
    <xf numFmtId="0" fontId="46" fillId="0" borderId="10" xfId="0" applyFont="1" applyBorder="1" applyAlignment="1">
      <alignment wrapText="1"/>
    </xf>
    <xf numFmtId="0" fontId="46" fillId="0" borderId="10" xfId="0" applyFont="1" applyBorder="1"/>
    <xf numFmtId="183" fontId="0" fillId="0" borderId="10" xfId="0" applyNumberFormat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34" fillId="6" borderId="133" xfId="0" applyFont="1" applyFill="1" applyBorder="1" applyAlignment="1" applyProtection="1">
      <alignment horizontal="center" vertical="center" shrinkToFit="1"/>
      <protection locked="0"/>
    </xf>
    <xf numFmtId="0" fontId="34" fillId="6" borderId="29" xfId="0" applyFont="1" applyFill="1" applyBorder="1" applyAlignment="1" applyProtection="1">
      <alignment horizontal="center" vertical="center" shrinkToFit="1"/>
      <protection locked="0"/>
    </xf>
    <xf numFmtId="180" fontId="2" fillId="6" borderId="75" xfId="0" applyNumberFormat="1" applyFont="1" applyFill="1" applyBorder="1" applyAlignment="1" applyProtection="1">
      <alignment vertical="center" wrapText="1" shrinkToFit="1"/>
      <protection locked="0"/>
    </xf>
    <xf numFmtId="180" fontId="2" fillId="6" borderId="76" xfId="0" applyNumberFormat="1" applyFont="1" applyFill="1" applyBorder="1" applyAlignment="1" applyProtection="1">
      <alignment vertical="center" wrapText="1" shrinkToFit="1"/>
      <protection locked="0"/>
    </xf>
    <xf numFmtId="183" fontId="0" fillId="0" borderId="0" xfId="0" applyNumberFormat="1" applyAlignment="1">
      <alignment vertical="center"/>
    </xf>
    <xf numFmtId="184" fontId="0" fillId="0" borderId="0" xfId="0" applyNumberFormat="1"/>
    <xf numFmtId="20" fontId="0" fillId="0" borderId="0" xfId="0" applyNumberFormat="1" applyAlignment="1">
      <alignment vertical="center" wrapText="1"/>
    </xf>
    <xf numFmtId="0" fontId="22" fillId="0" borderId="10" xfId="0" applyFont="1" applyBorder="1" applyAlignment="1">
      <alignment vertical="center"/>
    </xf>
    <xf numFmtId="20" fontId="22" fillId="0" borderId="10" xfId="0" applyNumberFormat="1" applyFont="1" applyBorder="1" applyAlignment="1">
      <alignment vertical="center"/>
    </xf>
    <xf numFmtId="177" fontId="23" fillId="0" borderId="10" xfId="0" applyNumberFormat="1" applyFont="1" applyBorder="1" applyAlignment="1">
      <alignment vertical="center"/>
    </xf>
    <xf numFmtId="177" fontId="36" fillId="0" borderId="10" xfId="0" applyNumberFormat="1" applyFont="1" applyBorder="1" applyAlignment="1">
      <alignment vertical="center"/>
    </xf>
    <xf numFmtId="178" fontId="0" fillId="0" borderId="10" xfId="0" applyNumberFormat="1" applyBorder="1" applyAlignment="1">
      <alignment vertical="center"/>
    </xf>
    <xf numFmtId="6" fontId="0" fillId="0" borderId="10" xfId="0" applyNumberFormat="1" applyBorder="1" applyAlignment="1">
      <alignment vertical="center"/>
    </xf>
    <xf numFmtId="20" fontId="22" fillId="0" borderId="6" xfId="0" applyNumberFormat="1" applyFont="1" applyBorder="1" applyAlignment="1">
      <alignment vertical="center"/>
    </xf>
    <xf numFmtId="177" fontId="23" fillId="0" borderId="6" xfId="0" applyNumberFormat="1" applyFont="1" applyBorder="1" applyAlignment="1">
      <alignment vertical="center"/>
    </xf>
    <xf numFmtId="177" fontId="36" fillId="0" borderId="6" xfId="0" applyNumberFormat="1" applyFont="1" applyBorder="1" applyAlignment="1">
      <alignment vertical="center"/>
    </xf>
    <xf numFmtId="178" fontId="0" fillId="0" borderId="6" xfId="0" applyNumberFormat="1" applyBorder="1" applyAlignment="1">
      <alignment vertical="center"/>
    </xf>
    <xf numFmtId="6" fontId="0" fillId="0" borderId="6" xfId="0" applyNumberFormat="1" applyBorder="1" applyAlignment="1">
      <alignment vertical="center"/>
    </xf>
    <xf numFmtId="49" fontId="23" fillId="0" borderId="6" xfId="0" applyNumberFormat="1" applyFont="1" applyBorder="1" applyAlignment="1">
      <alignment vertical="center"/>
    </xf>
    <xf numFmtId="49" fontId="0" fillId="0" borderId="6" xfId="0" applyNumberFormat="1" applyBorder="1" applyAlignment="1">
      <alignment vertical="center"/>
    </xf>
    <xf numFmtId="0" fontId="22" fillId="0" borderId="6" xfId="0" applyFont="1" applyBorder="1" applyAlignment="1">
      <alignment vertical="center"/>
    </xf>
    <xf numFmtId="20" fontId="23" fillId="0" borderId="10" xfId="0" applyNumberFormat="1" applyFont="1" applyBorder="1" applyAlignment="1">
      <alignment vertical="center"/>
    </xf>
    <xf numFmtId="0" fontId="32" fillId="0" borderId="10" xfId="0" applyFont="1" applyBorder="1" applyAlignment="1">
      <alignment vertical="center"/>
    </xf>
    <xf numFmtId="178" fontId="31" fillId="0" borderId="10" xfId="0" applyNumberFormat="1" applyFont="1" applyBorder="1" applyAlignment="1">
      <alignment vertical="center"/>
    </xf>
    <xf numFmtId="20" fontId="39" fillId="0" borderId="10" xfId="0" applyNumberFormat="1" applyFont="1" applyBorder="1" applyAlignment="1">
      <alignment vertical="center"/>
    </xf>
    <xf numFmtId="0" fontId="45" fillId="0" borderId="10" xfId="0" applyFont="1" applyBorder="1" applyAlignment="1">
      <alignment vertical="center"/>
    </xf>
    <xf numFmtId="20" fontId="39" fillId="3" borderId="10" xfId="0" applyNumberFormat="1" applyFont="1" applyFill="1" applyBorder="1" applyAlignment="1">
      <alignment vertical="center"/>
    </xf>
    <xf numFmtId="20" fontId="23" fillId="3" borderId="10" xfId="0" applyNumberFormat="1" applyFont="1" applyFill="1" applyBorder="1" applyAlignment="1">
      <alignment vertical="center"/>
    </xf>
    <xf numFmtId="49" fontId="23" fillId="0" borderId="10" xfId="0" applyNumberFormat="1" applyFont="1" applyBorder="1" applyAlignment="1">
      <alignment vertical="center"/>
    </xf>
    <xf numFmtId="49" fontId="0" fillId="0" borderId="10" xfId="0" applyNumberForma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39" fillId="0" borderId="10" xfId="0" applyFont="1" applyBorder="1" applyAlignment="1">
      <alignment vertical="center"/>
    </xf>
    <xf numFmtId="20" fontId="22" fillId="3" borderId="10" xfId="0" applyNumberFormat="1" applyFont="1" applyFill="1" applyBorder="1" applyAlignment="1">
      <alignment vertical="center"/>
    </xf>
    <xf numFmtId="178" fontId="0" fillId="0" borderId="17" xfId="0" applyNumberFormat="1" applyBorder="1" applyAlignment="1">
      <alignment vertical="center"/>
    </xf>
    <xf numFmtId="177" fontId="36" fillId="3" borderId="10" xfId="0" applyNumberFormat="1" applyFont="1" applyFill="1" applyBorder="1" applyAlignment="1">
      <alignment vertical="center"/>
    </xf>
    <xf numFmtId="177" fontId="41" fillId="0" borderId="10" xfId="0" applyNumberFormat="1" applyFont="1" applyBorder="1" applyAlignment="1">
      <alignment vertical="center"/>
    </xf>
    <xf numFmtId="0" fontId="42" fillId="0" borderId="10" xfId="0" applyFont="1" applyBorder="1" applyAlignment="1">
      <alignment vertical="center"/>
    </xf>
    <xf numFmtId="178" fontId="47" fillId="0" borderId="10" xfId="0" applyNumberFormat="1" applyFont="1" applyBorder="1" applyAlignment="1">
      <alignment vertical="center"/>
    </xf>
    <xf numFmtId="20" fontId="22" fillId="0" borderId="17" xfId="0" applyNumberFormat="1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20" fontId="33" fillId="0" borderId="10" xfId="0" applyNumberFormat="1" applyFont="1" applyBorder="1" applyAlignment="1">
      <alignment vertical="center"/>
    </xf>
    <xf numFmtId="0" fontId="21" fillId="0" borderId="38" xfId="0" applyFont="1" applyBorder="1" applyAlignment="1">
      <alignment vertical="center"/>
    </xf>
    <xf numFmtId="0" fontId="19" fillId="0" borderId="9" xfId="0" applyFont="1" applyBorder="1" applyAlignment="1">
      <alignment vertical="center" wrapText="1"/>
    </xf>
    <xf numFmtId="177" fontId="0" fillId="0" borderId="0" xfId="0" applyNumberFormat="1" applyAlignment="1">
      <alignment vertical="center"/>
    </xf>
    <xf numFmtId="177" fontId="22" fillId="0" borderId="9" xfId="0" applyNumberFormat="1" applyFont="1" applyBorder="1" applyAlignment="1">
      <alignment vertical="center" wrapText="1"/>
    </xf>
    <xf numFmtId="177" fontId="23" fillId="0" borderId="9" xfId="0" applyNumberFormat="1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0" fillId="0" borderId="0" xfId="0" applyAlignment="1">
      <alignment horizontal="right" vertical="center"/>
    </xf>
    <xf numFmtId="20" fontId="2" fillId="0" borderId="36" xfId="0" applyNumberFormat="1" applyFont="1" applyBorder="1" applyAlignment="1" applyProtection="1">
      <alignment horizontal="center" vertical="center" shrinkToFit="1"/>
      <protection locked="0"/>
    </xf>
    <xf numFmtId="20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20" fontId="2" fillId="0" borderId="33" xfId="0" applyNumberFormat="1" applyFont="1" applyBorder="1" applyAlignment="1" applyProtection="1">
      <alignment horizontal="center" vertical="center" shrinkToFit="1"/>
      <protection locked="0"/>
    </xf>
    <xf numFmtId="20" fontId="2" fillId="0" borderId="22" xfId="0" applyNumberFormat="1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39" xfId="0" applyNumberFormat="1" applyFont="1" applyBorder="1" applyAlignment="1" applyProtection="1">
      <alignment horizontal="center" vertical="center"/>
      <protection locked="0"/>
    </xf>
    <xf numFmtId="20" fontId="2" fillId="0" borderId="27" xfId="0" applyNumberFormat="1" applyFont="1" applyBorder="1" applyAlignment="1" applyProtection="1">
      <alignment horizontal="center" vertical="center" shrinkToFit="1"/>
      <protection locked="0"/>
    </xf>
    <xf numFmtId="20" fontId="2" fillId="0" borderId="29" xfId="0" applyNumberFormat="1" applyFont="1" applyBorder="1" applyAlignment="1" applyProtection="1">
      <alignment horizontal="center" vertical="center" shrinkToFit="1"/>
      <protection locked="0"/>
    </xf>
    <xf numFmtId="0" fontId="2" fillId="0" borderId="43" xfId="0" applyFont="1" applyBorder="1" applyAlignment="1" applyProtection="1">
      <alignment horizontal="center" vertical="center" shrinkToFit="1"/>
      <protection locked="0"/>
    </xf>
    <xf numFmtId="0" fontId="2" fillId="0" borderId="44" xfId="0" applyFont="1" applyBorder="1" applyAlignment="1" applyProtection="1">
      <alignment horizontal="center" vertical="center" shrinkToFit="1"/>
      <protection locked="0"/>
    </xf>
    <xf numFmtId="0" fontId="2" fillId="0" borderId="45" xfId="0" applyFont="1" applyBorder="1" applyAlignment="1" applyProtection="1">
      <alignment horizontal="center" vertical="center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27" xfId="0" applyFont="1" applyBorder="1" applyAlignment="1" applyProtection="1">
      <alignment horizontal="center" vertical="center" wrapText="1" shrinkToFit="1"/>
      <protection locked="0"/>
    </xf>
    <xf numFmtId="0" fontId="2" fillId="0" borderId="28" xfId="0" applyFont="1" applyBorder="1" applyAlignment="1" applyProtection="1">
      <alignment horizontal="center" vertical="center" wrapText="1" shrinkToFit="1"/>
      <protection locked="0"/>
    </xf>
    <xf numFmtId="0" fontId="2" fillId="0" borderId="29" xfId="0" applyFont="1" applyBorder="1" applyAlignment="1" applyProtection="1">
      <alignment horizontal="center" vertical="center" wrapText="1" shrinkToFit="1"/>
      <protection locked="0"/>
    </xf>
    <xf numFmtId="0" fontId="2" fillId="0" borderId="4" xfId="0" applyFont="1" applyBorder="1" applyAlignment="1" applyProtection="1">
      <alignment horizontal="center" vertical="center" textRotation="255" wrapText="1"/>
      <protection locked="0"/>
    </xf>
    <xf numFmtId="0" fontId="2" fillId="0" borderId="2" xfId="0" applyFont="1" applyBorder="1" applyAlignment="1" applyProtection="1">
      <alignment horizontal="center" vertical="center" textRotation="255"/>
      <protection locked="0"/>
    </xf>
    <xf numFmtId="0" fontId="2" fillId="0" borderId="16" xfId="0" applyFont="1" applyBorder="1" applyAlignment="1" applyProtection="1">
      <alignment horizontal="center" vertical="center" textRotation="255"/>
      <protection locked="0"/>
    </xf>
    <xf numFmtId="0" fontId="3" fillId="0" borderId="4" xfId="0" applyFont="1" applyBorder="1" applyAlignment="1" applyProtection="1">
      <alignment horizontal="center" vertical="center" textRotation="255" shrinkToFit="1"/>
      <protection locked="0"/>
    </xf>
    <xf numFmtId="0" fontId="3" fillId="0" borderId="2" xfId="0" applyFont="1" applyBorder="1" applyAlignment="1" applyProtection="1">
      <alignment horizontal="center" vertical="center" textRotation="255" shrinkToFit="1"/>
      <protection locked="0"/>
    </xf>
    <xf numFmtId="0" fontId="3" fillId="0" borderId="16" xfId="0" applyFont="1" applyBorder="1" applyAlignment="1" applyProtection="1">
      <alignment horizontal="center" vertical="center" textRotation="255" shrinkToFit="1"/>
      <protection locked="0"/>
    </xf>
    <xf numFmtId="49" fontId="2" fillId="0" borderId="33" xfId="0" applyNumberFormat="1" applyFont="1" applyBorder="1" applyAlignment="1" applyProtection="1">
      <alignment horizontal="center" vertical="center"/>
      <protection locked="0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34" xfId="0" applyNumberFormat="1" applyFont="1" applyBorder="1" applyAlignment="1" applyProtection="1">
      <alignment horizontal="center" vertical="center"/>
      <protection locked="0"/>
    </xf>
    <xf numFmtId="0" fontId="2" fillId="0" borderId="46" xfId="0" applyFont="1" applyBorder="1" applyAlignment="1" applyProtection="1">
      <alignment horizontal="center" vertical="center" shrinkToFit="1"/>
      <protection locked="0"/>
    </xf>
    <xf numFmtId="0" fontId="2" fillId="0" borderId="47" xfId="0" applyFont="1" applyBorder="1" applyAlignment="1" applyProtection="1">
      <alignment horizontal="center" vertical="center" shrinkToFit="1"/>
      <protection locked="0"/>
    </xf>
    <xf numFmtId="0" fontId="2" fillId="0" borderId="48" xfId="0" applyFont="1" applyBorder="1" applyAlignment="1" applyProtection="1">
      <alignment horizontal="center" vertical="center" shrinkToFit="1"/>
      <protection locked="0"/>
    </xf>
    <xf numFmtId="49" fontId="2" fillId="0" borderId="36" xfId="0" applyNumberFormat="1" applyFont="1" applyBorder="1" applyAlignment="1" applyProtection="1">
      <alignment horizontal="center" vertical="center"/>
      <protection locked="0"/>
    </xf>
    <xf numFmtId="49" fontId="2" fillId="0" borderId="37" xfId="0" applyNumberFormat="1" applyFont="1" applyBorder="1" applyAlignment="1" applyProtection="1">
      <alignment horizontal="center" vertical="center"/>
      <protection locked="0"/>
    </xf>
    <xf numFmtId="49" fontId="2" fillId="0" borderId="49" xfId="0" applyNumberFormat="1" applyFont="1" applyBorder="1" applyAlignment="1" applyProtection="1">
      <alignment horizontal="center" vertical="center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shrinkToFit="1"/>
      <protection locked="0"/>
    </xf>
    <xf numFmtId="0" fontId="2" fillId="0" borderId="41" xfId="0" applyFont="1" applyBorder="1" applyAlignment="1" applyProtection="1">
      <alignment horizontal="center" vertical="center" shrinkToFit="1"/>
      <protection locked="0"/>
    </xf>
    <xf numFmtId="0" fontId="2" fillId="0" borderId="42" xfId="0" applyFont="1" applyBorder="1" applyAlignment="1" applyProtection="1">
      <alignment horizontal="center" vertical="center" shrinkToFit="1"/>
      <protection locked="0"/>
    </xf>
    <xf numFmtId="0" fontId="2" fillId="0" borderId="16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 applyProtection="1">
      <alignment horizontal="center" vertical="center" shrinkToFit="1"/>
      <protection locked="0"/>
    </xf>
    <xf numFmtId="0" fontId="2" fillId="0" borderId="53" xfId="0" applyFont="1" applyBorder="1" applyAlignment="1" applyProtection="1">
      <alignment horizontal="center" vertical="center" shrinkToFit="1"/>
      <protection locked="0"/>
    </xf>
    <xf numFmtId="0" fontId="3" fillId="0" borderId="4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2" xfId="0" applyFont="1" applyBorder="1" applyAlignment="1" applyProtection="1">
      <alignment horizontal="center" vertical="center" textRotation="255" wrapText="1" shrinkToFit="1"/>
      <protection locked="0"/>
    </xf>
    <xf numFmtId="0" fontId="2" fillId="0" borderId="35" xfId="0" applyFont="1" applyBorder="1" applyAlignment="1" applyProtection="1">
      <alignment horizontal="center" vertical="center" wrapText="1" shrinkToFit="1"/>
      <protection locked="0"/>
    </xf>
    <xf numFmtId="0" fontId="2" fillId="0" borderId="22" xfId="0" applyFont="1" applyBorder="1" applyAlignment="1" applyProtection="1">
      <alignment horizontal="center" vertical="center" wrapText="1" shrinkToFit="1"/>
      <protection locked="0"/>
    </xf>
    <xf numFmtId="49" fontId="2" fillId="0" borderId="52" xfId="0" applyNumberFormat="1" applyFont="1" applyBorder="1" applyAlignment="1" applyProtection="1">
      <alignment horizontal="center" vertical="center"/>
      <protection locked="0"/>
    </xf>
    <xf numFmtId="49" fontId="2" fillId="0" borderId="53" xfId="0" applyNumberFormat="1" applyFont="1" applyBorder="1" applyAlignment="1" applyProtection="1">
      <alignment horizontal="center" vertical="center"/>
      <protection locked="0"/>
    </xf>
    <xf numFmtId="49" fontId="2" fillId="0" borderId="54" xfId="0" applyNumberFormat="1" applyFont="1" applyBorder="1" applyAlignment="1" applyProtection="1">
      <alignment horizontal="center" vertical="center"/>
      <protection locked="0"/>
    </xf>
    <xf numFmtId="20" fontId="2" fillId="0" borderId="52" xfId="0" applyNumberFormat="1" applyFont="1" applyBorder="1" applyAlignment="1" applyProtection="1">
      <alignment horizontal="center" vertical="center" shrinkToFit="1"/>
      <protection locked="0"/>
    </xf>
    <xf numFmtId="20" fontId="2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15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wrapText="1" shrinkToFit="1"/>
      <protection locked="0"/>
    </xf>
    <xf numFmtId="0" fontId="2" fillId="0" borderId="41" xfId="0" applyFont="1" applyBorder="1" applyAlignment="1" applyProtection="1">
      <alignment horizontal="center" vertical="center" wrapText="1" shrinkToFit="1"/>
      <protection locked="0"/>
    </xf>
    <xf numFmtId="0" fontId="2" fillId="0" borderId="42" xfId="0" applyFont="1" applyBorder="1" applyAlignment="1" applyProtection="1">
      <alignment horizontal="center" vertical="center" wrapText="1" shrinkToFi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 shrinkToFit="1"/>
      <protection locked="0"/>
    </xf>
    <xf numFmtId="0" fontId="2" fillId="0" borderId="21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 applyProtection="1">
      <alignment horizontal="center"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2" fillId="0" borderId="15" xfId="0" applyFont="1" applyBorder="1" applyAlignment="1" applyProtection="1">
      <alignment horizontal="center" vertical="center" wrapText="1" shrinkToFit="1"/>
      <protection locked="0"/>
    </xf>
    <xf numFmtId="0" fontId="2" fillId="0" borderId="50" xfId="0" applyFont="1" applyBorder="1" applyAlignment="1" applyProtection="1">
      <alignment horizontal="center" vertical="center" shrinkToFit="1"/>
      <protection locked="0"/>
    </xf>
    <xf numFmtId="0" fontId="2" fillId="0" borderId="51" xfId="0" applyFont="1" applyBorder="1" applyAlignment="1" applyProtection="1">
      <alignment horizontal="center" vertical="center" shrinkToFit="1"/>
      <protection locked="0"/>
    </xf>
    <xf numFmtId="0" fontId="2" fillId="0" borderId="55" xfId="0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 shrinkToFit="1"/>
      <protection locked="0"/>
    </xf>
    <xf numFmtId="0" fontId="2" fillId="0" borderId="57" xfId="0" applyFont="1" applyBorder="1" applyAlignment="1" applyProtection="1">
      <alignment horizontal="center" vertical="center" shrinkToFit="1"/>
      <protection locked="0"/>
    </xf>
    <xf numFmtId="0" fontId="2" fillId="0" borderId="58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61" xfId="0" applyFont="1" applyBorder="1" applyAlignment="1" applyProtection="1">
      <alignment horizontal="center" vertical="center" shrinkToFit="1"/>
      <protection locked="0"/>
    </xf>
    <xf numFmtId="0" fontId="2" fillId="0" borderId="62" xfId="0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horizontal="center" vertical="center" shrinkToFit="1"/>
      <protection locked="0"/>
    </xf>
    <xf numFmtId="0" fontId="2" fillId="0" borderId="30" xfId="0" applyFont="1" applyBorder="1" applyAlignment="1" applyProtection="1">
      <alignment horizontal="center" vertical="center" shrinkToFit="1"/>
      <protection locked="0"/>
    </xf>
    <xf numFmtId="0" fontId="2" fillId="0" borderId="63" xfId="0" applyFont="1" applyBorder="1" applyAlignment="1" applyProtection="1">
      <alignment horizontal="center" vertical="center" shrinkToFit="1"/>
      <protection locked="0"/>
    </xf>
    <xf numFmtId="0" fontId="2" fillId="0" borderId="64" xfId="0" applyFont="1" applyBorder="1" applyAlignment="1" applyProtection="1">
      <alignment horizontal="center" vertical="center" shrinkToFit="1"/>
      <protection locked="0"/>
    </xf>
    <xf numFmtId="0" fontId="7" fillId="0" borderId="30" xfId="0" applyFont="1" applyBorder="1" applyAlignment="1" applyProtection="1">
      <alignment horizontal="center" vertical="center" wrapText="1" shrinkToFit="1"/>
      <protection locked="0"/>
    </xf>
    <xf numFmtId="0" fontId="2" fillId="0" borderId="59" xfId="0" applyFont="1" applyBorder="1" applyAlignment="1" applyProtection="1">
      <alignment horizontal="center" vertical="center" shrinkToFit="1"/>
      <protection locked="0"/>
    </xf>
    <xf numFmtId="0" fontId="2" fillId="0" borderId="113" xfId="0" applyFont="1" applyBorder="1" applyAlignment="1" applyProtection="1">
      <alignment horizontal="center" vertical="center" shrinkToFit="1"/>
      <protection locked="0"/>
    </xf>
    <xf numFmtId="0" fontId="2" fillId="0" borderId="67" xfId="0" applyFont="1" applyBorder="1" applyAlignment="1" applyProtection="1">
      <alignment horizontal="center" vertical="center" shrinkToFit="1"/>
      <protection locked="0"/>
    </xf>
    <xf numFmtId="0" fontId="2" fillId="0" borderId="68" xfId="0" applyFont="1" applyBorder="1" applyAlignment="1" applyProtection="1">
      <alignment horizontal="center" vertical="center" shrinkToFit="1"/>
      <protection locked="0"/>
    </xf>
    <xf numFmtId="0" fontId="2" fillId="0" borderId="69" xfId="0" applyFont="1" applyBorder="1" applyAlignment="1" applyProtection="1">
      <alignment horizontal="center" vertical="center" shrinkToFit="1"/>
      <protection locked="0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2" fillId="0" borderId="71" xfId="0" applyFont="1" applyBorder="1" applyAlignment="1" applyProtection="1">
      <alignment horizontal="center" vertical="center" shrinkToFit="1"/>
      <protection locked="0"/>
    </xf>
    <xf numFmtId="0" fontId="2" fillId="0" borderId="72" xfId="0" applyFont="1" applyBorder="1" applyAlignment="1" applyProtection="1">
      <alignment horizontal="center" vertical="center" shrinkToFit="1"/>
      <protection locked="0"/>
    </xf>
    <xf numFmtId="0" fontId="2" fillId="0" borderId="73" xfId="0" applyFont="1" applyBorder="1" applyAlignment="1" applyProtection="1">
      <alignment horizontal="center" vertical="center" shrinkToFit="1"/>
      <protection locked="0"/>
    </xf>
    <xf numFmtId="0" fontId="2" fillId="0" borderId="74" xfId="0" applyFont="1" applyBorder="1" applyAlignment="1" applyProtection="1">
      <alignment horizontal="center" vertical="center" shrinkToFit="1"/>
      <protection locked="0"/>
    </xf>
    <xf numFmtId="0" fontId="2" fillId="0" borderId="75" xfId="0" applyFont="1" applyBorder="1" applyAlignment="1" applyProtection="1">
      <alignment horizontal="center" vertical="center" shrinkToFit="1"/>
      <protection locked="0"/>
    </xf>
    <xf numFmtId="0" fontId="2" fillId="0" borderId="76" xfId="0" applyFont="1" applyBorder="1" applyAlignment="1" applyProtection="1">
      <alignment horizontal="center" vertical="center" shrinkToFit="1"/>
      <protection locked="0"/>
    </xf>
    <xf numFmtId="0" fontId="2" fillId="0" borderId="77" xfId="0" applyFont="1" applyBorder="1" applyAlignment="1" applyProtection="1">
      <alignment horizontal="center" vertical="center" shrinkToFit="1"/>
      <protection locked="0"/>
    </xf>
    <xf numFmtId="0" fontId="2" fillId="0" borderId="78" xfId="0" applyFont="1" applyBorder="1" applyAlignment="1" applyProtection="1">
      <alignment horizontal="center" vertical="center" shrinkToFit="1"/>
      <protection locked="0"/>
    </xf>
    <xf numFmtId="0" fontId="2" fillId="0" borderId="79" xfId="0" applyFont="1" applyBorder="1" applyAlignment="1" applyProtection="1">
      <alignment horizontal="center" vertical="center" shrinkToFit="1"/>
      <protection locked="0"/>
    </xf>
    <xf numFmtId="0" fontId="2" fillId="0" borderId="60" xfId="0" applyFont="1" applyBorder="1" applyAlignment="1" applyProtection="1">
      <alignment horizontal="center" vertical="center" shrinkToFit="1"/>
      <protection locked="0"/>
    </xf>
    <xf numFmtId="0" fontId="2" fillId="0" borderId="31" xfId="0" applyFont="1" applyBorder="1" applyAlignment="1" applyProtection="1">
      <alignment horizontal="center" vertical="center" shrinkToFit="1"/>
      <protection locked="0"/>
    </xf>
    <xf numFmtId="0" fontId="2" fillId="0" borderId="81" xfId="0" applyFont="1" applyBorder="1" applyAlignment="1" applyProtection="1">
      <alignment horizontal="center" vertical="center" shrinkToFit="1"/>
      <protection locked="0"/>
    </xf>
    <xf numFmtId="0" fontId="2" fillId="0" borderId="112" xfId="0" applyFont="1" applyBorder="1" applyAlignment="1" applyProtection="1">
      <alignment horizontal="center" vertical="center" shrinkToFit="1"/>
      <protection locked="0"/>
    </xf>
    <xf numFmtId="0" fontId="2" fillId="0" borderId="66" xfId="0" applyFont="1" applyBorder="1" applyAlignment="1" applyProtection="1">
      <alignment horizontal="center" vertical="center" shrinkToFit="1"/>
      <protection locked="0"/>
    </xf>
    <xf numFmtId="0" fontId="2" fillId="0" borderId="65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2" fillId="0" borderId="84" xfId="0" applyFont="1" applyBorder="1" applyAlignment="1">
      <alignment horizontal="center" vertical="center" shrinkToFit="1"/>
    </xf>
    <xf numFmtId="0" fontId="2" fillId="0" borderId="85" xfId="0" applyFont="1" applyBorder="1" applyAlignment="1">
      <alignment horizontal="center" vertical="center" shrinkToFit="1"/>
    </xf>
    <xf numFmtId="0" fontId="2" fillId="0" borderId="86" xfId="0" applyFont="1" applyBorder="1" applyAlignment="1" applyProtection="1">
      <alignment horizontal="center" vertical="center" shrinkToFit="1"/>
      <protection locked="0"/>
    </xf>
    <xf numFmtId="0" fontId="2" fillId="0" borderId="82" xfId="0" applyFont="1" applyBorder="1" applyAlignment="1" applyProtection="1">
      <alignment horizontal="center" vertical="center" shrinkToFit="1"/>
      <protection locked="0"/>
    </xf>
    <xf numFmtId="0" fontId="2" fillId="0" borderId="107" xfId="0" applyFont="1" applyBorder="1" applyAlignment="1" applyProtection="1">
      <alignment horizontal="center" vertical="center" shrinkToFit="1"/>
      <protection locked="0"/>
    </xf>
    <xf numFmtId="0" fontId="2" fillId="0" borderId="109" xfId="0" applyFont="1" applyBorder="1" applyAlignment="1" applyProtection="1">
      <alignment horizontal="center" vertical="center" shrinkToFit="1"/>
      <protection locked="0"/>
    </xf>
    <xf numFmtId="0" fontId="2" fillId="0" borderId="110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181" fontId="2" fillId="0" borderId="123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1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87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 shrinkToFit="1"/>
    </xf>
    <xf numFmtId="0" fontId="2" fillId="0" borderId="83" xfId="0" applyFont="1" applyBorder="1" applyAlignment="1">
      <alignment horizontal="center" vertical="center" shrinkToFit="1"/>
    </xf>
    <xf numFmtId="0" fontId="3" fillId="0" borderId="63" xfId="0" applyFont="1" applyBorder="1" applyAlignment="1" applyProtection="1">
      <alignment horizontal="center" vertical="center" wrapText="1" shrinkToFit="1"/>
      <protection locked="0"/>
    </xf>
    <xf numFmtId="0" fontId="3" fillId="0" borderId="157" xfId="0" applyFont="1" applyBorder="1" applyAlignment="1" applyProtection="1">
      <alignment horizontal="center" vertical="center" wrapText="1" shrinkToFit="1"/>
      <protection locked="0"/>
    </xf>
    <xf numFmtId="0" fontId="2" fillId="0" borderId="158" xfId="0" applyFont="1" applyBorder="1" applyAlignment="1">
      <alignment horizontal="center" vertical="center" textRotation="255" wrapText="1"/>
    </xf>
    <xf numFmtId="0" fontId="2" fillId="0" borderId="160" xfId="0" applyFont="1" applyBorder="1" applyAlignment="1">
      <alignment horizontal="center" vertical="center" textRotation="255" wrapText="1"/>
    </xf>
    <xf numFmtId="0" fontId="2" fillId="0" borderId="89" xfId="0" applyFont="1" applyBorder="1" applyAlignment="1">
      <alignment horizontal="center" vertical="center" textRotation="255" shrinkToFit="1"/>
    </xf>
    <xf numFmtId="0" fontId="2" fillId="0" borderId="75" xfId="0" applyFont="1" applyBorder="1" applyAlignment="1">
      <alignment horizontal="center" vertical="center" textRotation="255" shrinkToFit="1"/>
    </xf>
    <xf numFmtId="49" fontId="2" fillId="0" borderId="80" xfId="0" applyNumberFormat="1" applyFont="1" applyBorder="1" applyAlignment="1" applyProtection="1">
      <alignment horizontal="center" vertical="center"/>
      <protection locked="0"/>
    </xf>
    <xf numFmtId="49" fontId="2" fillId="0" borderId="93" xfId="0" applyNumberFormat="1" applyFont="1" applyBorder="1" applyAlignment="1" applyProtection="1">
      <alignment horizontal="center" vertical="center"/>
      <protection locked="0"/>
    </xf>
    <xf numFmtId="49" fontId="2" fillId="0" borderId="74" xfId="0" applyNumberFormat="1" applyFont="1" applyBorder="1" applyAlignment="1" applyProtection="1">
      <alignment horizontal="center" vertical="center"/>
      <protection locked="0"/>
    </xf>
    <xf numFmtId="49" fontId="2" fillId="0" borderId="101" xfId="0" applyNumberFormat="1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 shrinkToFit="1"/>
      <protection locked="0"/>
    </xf>
    <xf numFmtId="0" fontId="2" fillId="0" borderId="34" xfId="0" applyFont="1" applyBorder="1" applyAlignment="1" applyProtection="1">
      <alignment horizontal="center" vertical="center" shrinkToFit="1"/>
      <protection locked="0"/>
    </xf>
    <xf numFmtId="181" fontId="2" fillId="0" borderId="102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3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90" xfId="0" applyFont="1" applyBorder="1" applyAlignment="1" applyProtection="1">
      <alignment horizontal="center" vertical="center" wrapText="1" shrinkToFit="1"/>
      <protection locked="0"/>
    </xf>
    <xf numFmtId="0" fontId="2" fillId="0" borderId="89" xfId="0" applyFont="1" applyBorder="1" applyAlignment="1" applyProtection="1">
      <alignment horizontal="center" vertical="center" wrapText="1" shrinkToFit="1"/>
      <protection locked="0"/>
    </xf>
    <xf numFmtId="0" fontId="2" fillId="0" borderId="104" xfId="0" applyFont="1" applyBorder="1" applyAlignment="1" applyProtection="1">
      <alignment horizontal="center" vertical="center" wrapText="1" shrinkToFit="1"/>
      <protection locked="0"/>
    </xf>
    <xf numFmtId="0" fontId="2" fillId="0" borderId="74" xfId="0" applyFont="1" applyBorder="1" applyAlignment="1" applyProtection="1">
      <alignment horizontal="center" vertical="center" wrapText="1" shrinkToFit="1"/>
      <protection locked="0"/>
    </xf>
    <xf numFmtId="0" fontId="2" fillId="0" borderId="75" xfId="0" applyFont="1" applyBorder="1" applyAlignment="1" applyProtection="1">
      <alignment horizontal="center" vertical="center" wrapText="1" shrinkToFit="1"/>
      <protection locked="0"/>
    </xf>
    <xf numFmtId="0" fontId="2" fillId="0" borderId="105" xfId="0" applyFont="1" applyBorder="1" applyAlignment="1" applyProtection="1">
      <alignment horizontal="center" vertical="center" wrapText="1" shrinkToFit="1"/>
      <protection locked="0"/>
    </xf>
    <xf numFmtId="0" fontId="3" fillId="0" borderId="156" xfId="0" applyFont="1" applyBorder="1" applyAlignment="1" applyProtection="1">
      <alignment horizontal="center" vertical="center" wrapText="1" shrinkToFit="1"/>
      <protection locked="0"/>
    </xf>
    <xf numFmtId="0" fontId="2" fillId="0" borderId="63" xfId="0" applyFont="1" applyBorder="1" applyAlignment="1">
      <alignment horizontal="center" vertical="center" shrinkToFit="1"/>
    </xf>
    <xf numFmtId="0" fontId="2" fillId="0" borderId="156" xfId="0" applyFont="1" applyBorder="1" applyAlignment="1">
      <alignment horizontal="center" vertical="center" shrinkToFit="1"/>
    </xf>
    <xf numFmtId="0" fontId="2" fillId="0" borderId="59" xfId="0" applyFont="1" applyBorder="1" applyAlignment="1">
      <alignment horizontal="center" vertical="center" shrinkToFit="1"/>
    </xf>
    <xf numFmtId="0" fontId="2" fillId="0" borderId="154" xfId="0" applyFont="1" applyBorder="1" applyAlignment="1">
      <alignment horizontal="center" vertical="center" shrinkToFit="1"/>
    </xf>
    <xf numFmtId="0" fontId="7" fillId="0" borderId="155" xfId="0" applyFont="1" applyBorder="1" applyAlignment="1">
      <alignment horizontal="center" vertical="center" wrapText="1" shrinkToFit="1"/>
    </xf>
    <xf numFmtId="0" fontId="2" fillId="0" borderId="121" xfId="0" applyFont="1" applyBorder="1" applyAlignment="1" applyProtection="1">
      <alignment horizontal="center" vertical="center" shrinkToFit="1"/>
      <protection locked="0"/>
    </xf>
    <xf numFmtId="0" fontId="2" fillId="0" borderId="122" xfId="0" applyFont="1" applyBorder="1" applyAlignment="1" applyProtection="1">
      <alignment horizontal="center" vertical="center" shrinkToFit="1"/>
      <protection locked="0"/>
    </xf>
    <xf numFmtId="0" fontId="2" fillId="0" borderId="23" xfId="0" applyFont="1" applyBorder="1" applyAlignment="1" applyProtection="1">
      <alignment horizontal="center" vertical="center" shrinkToFit="1"/>
      <protection locked="0"/>
    </xf>
    <xf numFmtId="0" fontId="2" fillId="0" borderId="26" xfId="0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shrinkToFit="1"/>
      <protection locked="0"/>
    </xf>
    <xf numFmtId="0" fontId="2" fillId="0" borderId="80" xfId="0" applyFont="1" applyBorder="1" applyAlignment="1" applyProtection="1">
      <alignment horizontal="center" vertical="center" shrinkToFit="1"/>
      <protection locked="0"/>
    </xf>
    <xf numFmtId="0" fontId="2" fillId="0" borderId="141" xfId="0" applyFont="1" applyBorder="1" applyAlignment="1" applyProtection="1">
      <alignment horizontal="center" vertical="center" shrinkToFit="1"/>
      <protection locked="0"/>
    </xf>
    <xf numFmtId="181" fontId="2" fillId="0" borderId="153" xfId="0" applyNumberFormat="1" applyFont="1" applyBorder="1" applyAlignment="1" applyProtection="1">
      <alignment horizontal="center" vertical="center" shrinkToFit="1"/>
      <protection locked="0"/>
    </xf>
    <xf numFmtId="181" fontId="2" fillId="0" borderId="126" xfId="0" applyNumberFormat="1" applyFont="1" applyBorder="1" applyAlignment="1" applyProtection="1">
      <alignment horizontal="center" vertical="center" shrinkToFit="1"/>
      <protection locked="0"/>
    </xf>
    <xf numFmtId="0" fontId="48" fillId="0" borderId="121" xfId="0" applyFont="1" applyBorder="1" applyAlignment="1">
      <alignment horizontal="center" vertical="center" wrapText="1" shrinkToFit="1"/>
    </xf>
    <xf numFmtId="0" fontId="48" fillId="0" borderId="125" xfId="0" applyFont="1" applyBorder="1" applyAlignment="1">
      <alignment horizontal="center" vertical="center" wrapText="1" shrinkToFit="1"/>
    </xf>
    <xf numFmtId="0" fontId="48" fillId="0" borderId="126" xfId="0" applyFont="1" applyBorder="1" applyAlignment="1">
      <alignment horizontal="center" vertical="center" wrapText="1" shrinkToFit="1"/>
    </xf>
    <xf numFmtId="0" fontId="2" fillId="0" borderId="121" xfId="0" applyFont="1" applyBorder="1" applyAlignment="1" applyProtection="1">
      <alignment horizontal="center" vertical="center" wrapText="1" shrinkToFit="1"/>
      <protection locked="0"/>
    </xf>
    <xf numFmtId="0" fontId="2" fillId="0" borderId="125" xfId="0" applyFont="1" applyBorder="1" applyAlignment="1" applyProtection="1">
      <alignment horizontal="center" vertical="center" wrapText="1" shrinkToFit="1"/>
      <protection locked="0"/>
    </xf>
    <xf numFmtId="0" fontId="2" fillId="0" borderId="126" xfId="0" applyFont="1" applyBorder="1" applyAlignment="1" applyProtection="1">
      <alignment horizontal="center" vertical="center" wrapText="1" shrinkToFit="1"/>
      <protection locked="0"/>
    </xf>
    <xf numFmtId="0" fontId="2" fillId="0" borderId="130" xfId="0" applyFont="1" applyBorder="1" applyAlignment="1" applyProtection="1">
      <alignment horizontal="center" vertical="center" shrinkToFit="1"/>
      <protection locked="0"/>
    </xf>
    <xf numFmtId="0" fontId="2" fillId="0" borderId="135" xfId="0" applyFont="1" applyBorder="1" applyAlignment="1" applyProtection="1">
      <alignment horizontal="center" vertical="center" shrinkToFit="1"/>
      <protection locked="0"/>
    </xf>
    <xf numFmtId="0" fontId="28" fillId="0" borderId="130" xfId="0" applyFont="1" applyBorder="1" applyAlignment="1" applyProtection="1">
      <alignment horizontal="center" vertical="center" shrinkToFit="1"/>
      <protection locked="0"/>
    </xf>
    <xf numFmtId="0" fontId="28" fillId="0" borderId="135" xfId="0" applyFont="1" applyBorder="1" applyAlignment="1" applyProtection="1">
      <alignment horizontal="center" vertical="center" shrinkToFit="1"/>
      <protection locked="0"/>
    </xf>
    <xf numFmtId="0" fontId="2" fillId="0" borderId="140" xfId="0" applyFont="1" applyBorder="1" applyAlignment="1" applyProtection="1">
      <alignment horizontal="center" vertical="center" shrinkToFit="1"/>
      <protection locked="0"/>
    </xf>
    <xf numFmtId="0" fontId="2" fillId="0" borderId="49" xfId="0" applyFont="1" applyBorder="1" applyAlignment="1" applyProtection="1">
      <alignment horizontal="center" vertical="center" shrinkToFit="1"/>
      <protection locked="0"/>
    </xf>
    <xf numFmtId="181" fontId="2" fillId="0" borderId="100" xfId="0" applyNumberFormat="1" applyFont="1" applyBorder="1" applyAlignment="1" applyProtection="1">
      <alignment horizontal="center" vertical="center" shrinkToFit="1"/>
      <protection locked="0"/>
    </xf>
    <xf numFmtId="181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48" fillId="0" borderId="36" xfId="0" applyFont="1" applyBorder="1" applyAlignment="1">
      <alignment horizontal="center" vertical="center" wrapText="1" shrinkToFit="1"/>
    </xf>
    <xf numFmtId="0" fontId="48" fillId="0" borderId="91" xfId="0" applyFont="1" applyBorder="1" applyAlignment="1">
      <alignment horizontal="center" vertical="center" wrapText="1" shrinkToFit="1"/>
    </xf>
    <xf numFmtId="0" fontId="48" fillId="0" borderId="37" xfId="0" applyFont="1" applyBorder="1" applyAlignment="1">
      <alignment horizontal="center" vertical="center" wrapText="1" shrinkToFit="1"/>
    </xf>
    <xf numFmtId="0" fontId="28" fillId="0" borderId="36" xfId="0" applyFont="1" applyBorder="1" applyAlignment="1" applyProtection="1">
      <alignment horizontal="center" vertical="center" wrapText="1" shrinkToFit="1"/>
      <protection locked="0"/>
    </xf>
    <xf numFmtId="0" fontId="28" fillId="0" borderId="91" xfId="0" applyFont="1" applyBorder="1" applyAlignment="1" applyProtection="1">
      <alignment horizontal="center" vertical="center" wrapText="1" shrinkToFit="1"/>
      <protection locked="0"/>
    </xf>
    <xf numFmtId="0" fontId="28" fillId="0" borderId="37" xfId="0" applyFont="1" applyBorder="1" applyAlignment="1" applyProtection="1">
      <alignment horizontal="center" vertical="center" wrapText="1" shrinkToFit="1"/>
      <protection locked="0"/>
    </xf>
    <xf numFmtId="0" fontId="2" fillId="0" borderId="127" xfId="0" applyFont="1" applyBorder="1" applyAlignment="1">
      <alignment horizontal="center" vertical="center" textRotation="255" wrapText="1" shrinkToFit="1"/>
    </xf>
    <xf numFmtId="0" fontId="2" fillId="0" borderId="136" xfId="0" applyFont="1" applyBorder="1" applyAlignment="1">
      <alignment horizontal="center" vertical="center" textRotation="255" wrapText="1" shrinkToFit="1"/>
    </xf>
    <xf numFmtId="0" fontId="2" fillId="0" borderId="142" xfId="0" applyFont="1" applyBorder="1" applyAlignment="1">
      <alignment horizontal="center" vertical="center" textRotation="255" wrapText="1" shrinkToFit="1"/>
    </xf>
    <xf numFmtId="0" fontId="2" fillId="0" borderId="128" xfId="0" applyFont="1" applyBorder="1" applyAlignment="1">
      <alignment horizontal="center" vertical="center" textRotation="255" shrinkToFit="1"/>
    </xf>
    <xf numFmtId="0" fontId="2" fillId="0" borderId="9" xfId="0" applyFont="1" applyBorder="1" applyAlignment="1">
      <alignment horizontal="center" vertical="center" textRotation="255" shrinkToFit="1"/>
    </xf>
    <xf numFmtId="0" fontId="2" fillId="0" borderId="120" xfId="0" applyFont="1" applyBorder="1" applyAlignment="1">
      <alignment horizontal="center" vertical="center" textRotation="255" shrinkToFit="1"/>
    </xf>
    <xf numFmtId="49" fontId="2" fillId="0" borderId="70" xfId="0" applyNumberFormat="1" applyFont="1" applyBorder="1" applyAlignment="1" applyProtection="1">
      <alignment horizontal="center" vertical="center"/>
      <protection locked="0"/>
    </xf>
    <xf numFmtId="49" fontId="2" fillId="0" borderId="129" xfId="0" applyNumberFormat="1" applyFont="1" applyBorder="1" applyAlignment="1" applyProtection="1">
      <alignment horizontal="center" vertical="center"/>
      <protection locked="0"/>
    </xf>
    <xf numFmtId="0" fontId="2" fillId="0" borderId="131" xfId="0" applyFont="1" applyBorder="1" applyAlignment="1" applyProtection="1">
      <alignment horizontal="center" vertical="center" shrinkToFit="1"/>
      <protection locked="0"/>
    </xf>
    <xf numFmtId="181" fontId="2" fillId="0" borderId="132" xfId="0" applyNumberFormat="1" applyFont="1" applyBorder="1" applyAlignment="1" applyProtection="1">
      <alignment horizontal="center" vertical="center" shrinkToFit="1"/>
      <protection locked="0"/>
    </xf>
    <xf numFmtId="181" fontId="2" fillId="0" borderId="133" xfId="0" applyNumberFormat="1" applyFont="1" applyBorder="1" applyAlignment="1" applyProtection="1">
      <alignment horizontal="center" vertical="center" shrinkToFit="1"/>
      <protection locked="0"/>
    </xf>
    <xf numFmtId="181" fontId="2" fillId="0" borderId="99" xfId="0" applyNumberFormat="1" applyFont="1" applyBorder="1" applyAlignment="1" applyProtection="1">
      <alignment horizontal="center" vertical="center" shrinkToFit="1"/>
      <protection locked="0"/>
    </xf>
    <xf numFmtId="181" fontId="2" fillId="0" borderId="22" xfId="0" applyNumberFormat="1" applyFont="1" applyBorder="1" applyAlignment="1" applyProtection="1">
      <alignment horizontal="center" vertical="center" shrinkToFit="1"/>
      <protection locked="0"/>
    </xf>
    <xf numFmtId="181" fontId="28" fillId="0" borderId="123" xfId="0" applyNumberFormat="1" applyFont="1" applyBorder="1" applyAlignment="1" applyProtection="1">
      <alignment horizontal="center" vertical="center" shrinkToFit="1"/>
      <protection locked="0"/>
    </xf>
    <xf numFmtId="181" fontId="28" fillId="0" borderId="101" xfId="0" applyNumberFormat="1" applyFont="1" applyBorder="1" applyAlignment="1" applyProtection="1">
      <alignment horizontal="center" vertical="center" shrinkToFit="1"/>
      <protection locked="0"/>
    </xf>
    <xf numFmtId="0" fontId="28" fillId="0" borderId="121" xfId="0" applyFont="1" applyBorder="1" applyAlignment="1">
      <alignment horizontal="center" vertical="center" shrinkToFit="1"/>
    </xf>
    <xf numFmtId="0" fontId="28" fillId="0" borderId="125" xfId="0" applyFont="1" applyBorder="1" applyAlignment="1">
      <alignment horizontal="center" vertical="center" shrinkToFit="1"/>
    </xf>
    <xf numFmtId="0" fontId="28" fillId="0" borderId="126" xfId="0" applyFont="1" applyBorder="1" applyAlignment="1">
      <alignment horizontal="center" vertical="center" shrinkToFit="1"/>
    </xf>
    <xf numFmtId="0" fontId="28" fillId="0" borderId="121" xfId="0" applyFont="1" applyBorder="1" applyAlignment="1" applyProtection="1">
      <alignment horizontal="center" vertical="center" shrinkToFit="1"/>
      <protection locked="0"/>
    </xf>
    <xf numFmtId="0" fontId="28" fillId="0" borderId="125" xfId="0" applyFont="1" applyBorder="1" applyAlignment="1" applyProtection="1">
      <alignment horizontal="center" vertical="center" shrinkToFit="1"/>
      <protection locked="0"/>
    </xf>
    <xf numFmtId="0" fontId="28" fillId="0" borderId="126" xfId="0" applyFont="1" applyBorder="1" applyAlignment="1" applyProtection="1">
      <alignment horizontal="center" vertical="center" shrinkToFit="1"/>
      <protection locked="0"/>
    </xf>
    <xf numFmtId="177" fontId="6" fillId="0" borderId="23" xfId="0" applyNumberFormat="1" applyFont="1" applyBorder="1" applyAlignment="1" applyProtection="1">
      <alignment horizontal="center" vertical="center" shrinkToFit="1"/>
      <protection locked="0"/>
    </xf>
    <xf numFmtId="177" fontId="6" fillId="0" borderId="26" xfId="0" applyNumberFormat="1" applyFont="1" applyBorder="1" applyAlignment="1" applyProtection="1">
      <alignment horizontal="center" vertical="center" shrinkToFit="1"/>
      <protection locked="0"/>
    </xf>
    <xf numFmtId="0" fontId="2" fillId="0" borderId="27" xfId="0" applyFont="1" applyBorder="1" applyAlignment="1" applyProtection="1">
      <alignment horizontal="center" vertical="center" shrinkToFit="1"/>
      <protection locked="0"/>
    </xf>
    <xf numFmtId="0" fontId="2" fillId="0" borderId="39" xfId="0" applyFont="1" applyBorder="1" applyAlignment="1" applyProtection="1">
      <alignment horizontal="center" vertical="center" shrinkToFit="1"/>
      <protection locked="0"/>
    </xf>
    <xf numFmtId="181" fontId="28" fillId="0" borderId="25" xfId="0" applyNumberFormat="1" applyFont="1" applyBorder="1" applyAlignment="1" applyProtection="1">
      <alignment horizontal="center" vertical="center" shrinkToFit="1"/>
      <protection locked="0"/>
    </xf>
    <xf numFmtId="181" fontId="28" fillId="0" borderId="24" xfId="0" applyNumberFormat="1" applyFont="1" applyBorder="1" applyAlignment="1" applyProtection="1">
      <alignment horizontal="center" vertical="center" shrinkToFit="1"/>
      <protection locked="0"/>
    </xf>
    <xf numFmtId="0" fontId="28" fillId="0" borderId="36" xfId="0" applyFont="1" applyBorder="1" applyAlignment="1">
      <alignment horizontal="center" vertical="center" shrinkToFit="1"/>
    </xf>
    <xf numFmtId="0" fontId="28" fillId="0" borderId="91" xfId="0" applyFont="1" applyBorder="1" applyAlignment="1">
      <alignment horizontal="center" vertical="center" shrinkToFit="1"/>
    </xf>
    <xf numFmtId="0" fontId="28" fillId="0" borderId="37" xfId="0" applyFont="1" applyBorder="1" applyAlignment="1">
      <alignment horizontal="center" vertical="center" shrinkToFit="1"/>
    </xf>
    <xf numFmtId="0" fontId="28" fillId="0" borderId="36" xfId="0" applyFont="1" applyBorder="1" applyAlignment="1" applyProtection="1">
      <alignment horizontal="center" vertical="center" shrinkToFit="1"/>
      <protection locked="0"/>
    </xf>
    <xf numFmtId="0" fontId="28" fillId="0" borderId="91" xfId="0" applyFont="1" applyBorder="1" applyAlignment="1" applyProtection="1">
      <alignment horizontal="center" vertical="center" shrinkToFit="1"/>
      <protection locked="0"/>
    </xf>
    <xf numFmtId="0" fontId="28" fillId="0" borderId="37" xfId="0" applyFont="1" applyBorder="1" applyAlignment="1" applyProtection="1">
      <alignment horizontal="center" vertical="center" shrinkToFit="1"/>
      <protection locked="0"/>
    </xf>
    <xf numFmtId="49" fontId="2" fillId="0" borderId="23" xfId="0" applyNumberFormat="1" applyFont="1" applyBorder="1" applyAlignment="1" applyProtection="1">
      <alignment horizontal="center" vertical="center"/>
      <protection locked="0"/>
    </xf>
    <xf numFmtId="49" fontId="2" fillId="0" borderId="24" xfId="0" applyNumberFormat="1" applyFont="1" applyBorder="1" applyAlignment="1" applyProtection="1">
      <alignment horizontal="center" vertical="center"/>
      <protection locked="0"/>
    </xf>
    <xf numFmtId="0" fontId="2" fillId="0" borderId="114" xfId="0" applyFont="1" applyBorder="1" applyAlignment="1" applyProtection="1">
      <alignment horizontal="center" vertical="center" shrinkToFit="1"/>
      <protection locked="0"/>
    </xf>
    <xf numFmtId="0" fontId="2" fillId="0" borderId="138" xfId="0" applyFont="1" applyBorder="1" applyAlignment="1" applyProtection="1">
      <alignment horizontal="center" vertical="center" shrinkToFit="1"/>
      <protection locked="0"/>
    </xf>
    <xf numFmtId="0" fontId="2" fillId="0" borderId="139" xfId="0" applyFont="1" applyBorder="1" applyAlignment="1" applyProtection="1">
      <alignment horizontal="center" vertical="center" shrinkToFit="1"/>
      <protection locked="0"/>
    </xf>
    <xf numFmtId="0" fontId="2" fillId="0" borderId="115" xfId="0" applyFont="1" applyBorder="1" applyAlignment="1" applyProtection="1">
      <alignment horizontal="center" vertical="center" shrinkToFit="1"/>
      <protection locked="0"/>
    </xf>
    <xf numFmtId="0" fontId="2" fillId="0" borderId="116" xfId="0" applyFont="1" applyBorder="1" applyAlignment="1" applyProtection="1">
      <alignment horizontal="center" vertical="center" shrinkToFit="1"/>
      <protection locked="0"/>
    </xf>
    <xf numFmtId="181" fontId="28" fillId="0" borderId="117" xfId="0" applyNumberFormat="1" applyFont="1" applyBorder="1" applyAlignment="1" applyProtection="1">
      <alignment horizontal="center" vertical="center" shrinkToFit="1"/>
      <protection locked="0"/>
    </xf>
    <xf numFmtId="181" fontId="28" fillId="0" borderId="118" xfId="0" applyNumberFormat="1" applyFont="1" applyBorder="1" applyAlignment="1" applyProtection="1">
      <alignment horizontal="center" vertical="center" shrinkToFit="1"/>
      <protection locked="0"/>
    </xf>
    <xf numFmtId="0" fontId="28" fillId="0" borderId="115" xfId="0" applyFont="1" applyBorder="1" applyAlignment="1">
      <alignment horizontal="center" vertical="center" shrinkToFit="1"/>
    </xf>
    <xf numFmtId="0" fontId="28" fillId="0" borderId="119" xfId="0" applyFont="1" applyBorder="1" applyAlignment="1">
      <alignment horizontal="center" vertical="center" shrinkToFit="1"/>
    </xf>
    <xf numFmtId="0" fontId="28" fillId="0" borderId="118" xfId="0" applyFont="1" applyBorder="1" applyAlignment="1">
      <alignment horizontal="center" vertical="center" shrinkToFit="1"/>
    </xf>
    <xf numFmtId="0" fontId="28" fillId="0" borderId="115" xfId="0" applyFont="1" applyBorder="1" applyAlignment="1" applyProtection="1">
      <alignment horizontal="center" vertical="center" shrinkToFit="1"/>
      <protection locked="0"/>
    </xf>
    <xf numFmtId="0" fontId="28" fillId="0" borderId="119" xfId="0" applyFont="1" applyBorder="1" applyAlignment="1" applyProtection="1">
      <alignment horizontal="center" vertical="center" shrinkToFit="1"/>
      <protection locked="0"/>
    </xf>
    <xf numFmtId="0" fontId="28" fillId="0" borderId="118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49" fontId="2" fillId="0" borderId="32" xfId="0" applyNumberFormat="1" applyFon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0" fontId="2" fillId="0" borderId="94" xfId="0" applyFont="1" applyBorder="1" applyAlignment="1" applyProtection="1">
      <alignment horizontal="center" vertical="center" shrinkToFit="1"/>
      <protection locked="0"/>
    </xf>
    <xf numFmtId="181" fontId="2" fillId="0" borderId="25" xfId="0" applyNumberFormat="1" applyFont="1" applyBorder="1" applyAlignment="1" applyProtection="1">
      <alignment horizontal="center" vertical="center" shrinkToFit="1"/>
      <protection locked="0"/>
    </xf>
    <xf numFmtId="181" fontId="2" fillId="0" borderId="24" xfId="0" applyNumberFormat="1" applyFont="1" applyBorder="1" applyAlignment="1" applyProtection="1">
      <alignment horizontal="center" vertical="center" shrinkToFit="1"/>
      <protection locked="0"/>
    </xf>
    <xf numFmtId="0" fontId="2" fillId="0" borderId="137" xfId="0" applyFont="1" applyBorder="1" applyAlignment="1" applyProtection="1">
      <alignment horizontal="center" vertical="center" shrinkToFit="1"/>
      <protection locked="0"/>
    </xf>
    <xf numFmtId="181" fontId="28" fillId="0" borderId="92" xfId="0" applyNumberFormat="1" applyFont="1" applyBorder="1" applyAlignment="1" applyProtection="1">
      <alignment horizontal="center" vertical="center" shrinkToFit="1"/>
      <protection locked="0"/>
    </xf>
    <xf numFmtId="181" fontId="28" fillId="0" borderId="29" xfId="0" applyNumberFormat="1" applyFont="1" applyBorder="1" applyAlignment="1" applyProtection="1">
      <alignment horizontal="center" vertical="center" shrinkToFit="1"/>
      <protection locked="0"/>
    </xf>
    <xf numFmtId="0" fontId="28" fillId="0" borderId="27" xfId="0" applyFont="1" applyBorder="1" applyAlignment="1">
      <alignment horizontal="center" vertical="center" shrinkToFit="1"/>
    </xf>
    <xf numFmtId="0" fontId="28" fillId="0" borderId="28" xfId="0" applyFont="1" applyBorder="1" applyAlignment="1">
      <alignment horizontal="center" vertical="center" shrinkToFit="1"/>
    </xf>
    <xf numFmtId="0" fontId="28" fillId="0" borderId="29" xfId="0" applyFont="1" applyBorder="1" applyAlignment="1">
      <alignment horizontal="center" vertical="center" shrinkToFit="1"/>
    </xf>
    <xf numFmtId="0" fontId="28" fillId="0" borderId="27" xfId="0" applyFont="1" applyBorder="1" applyAlignment="1" applyProtection="1">
      <alignment horizontal="center" vertical="center" shrinkToFit="1"/>
      <protection locked="0"/>
    </xf>
    <xf numFmtId="0" fontId="28" fillId="0" borderId="28" xfId="0" applyFont="1" applyBorder="1" applyAlignment="1" applyProtection="1">
      <alignment horizontal="center" vertical="center" shrinkToFit="1"/>
      <protection locked="0"/>
    </xf>
    <xf numFmtId="0" fontId="28" fillId="0" borderId="29" xfId="0" applyFont="1" applyBorder="1" applyAlignment="1" applyProtection="1">
      <alignment horizontal="center" vertical="center" shrinkToFit="1"/>
      <protection locked="0"/>
    </xf>
    <xf numFmtId="177" fontId="6" fillId="0" borderId="27" xfId="0" applyNumberFormat="1" applyFont="1" applyBorder="1" applyAlignment="1" applyProtection="1">
      <alignment horizontal="center" vertical="center" shrinkToFit="1"/>
      <protection locked="0"/>
    </xf>
    <xf numFmtId="177" fontId="6" fillId="0" borderId="28" xfId="0" applyNumberFormat="1" applyFont="1" applyBorder="1" applyAlignment="1" applyProtection="1">
      <alignment horizontal="center" vertical="center" shrinkToFit="1"/>
      <protection locked="0"/>
    </xf>
    <xf numFmtId="0" fontId="28" fillId="0" borderId="114" xfId="0" applyFont="1" applyBorder="1" applyAlignment="1">
      <alignment horizontal="center" vertical="center" shrinkToFit="1"/>
    </xf>
    <xf numFmtId="0" fontId="28" fillId="0" borderId="161" xfId="0" applyFont="1" applyBorder="1" applyAlignment="1">
      <alignment horizontal="center" vertical="center" shrinkToFit="1"/>
    </xf>
    <xf numFmtId="0" fontId="28" fillId="0" borderId="162" xfId="0" applyFont="1" applyBorder="1" applyAlignment="1">
      <alignment horizontal="center" vertical="center" shrinkToFit="1"/>
    </xf>
    <xf numFmtId="0" fontId="28" fillId="0" borderId="114" xfId="0" applyFont="1" applyBorder="1" applyAlignment="1" applyProtection="1">
      <alignment horizontal="center" vertical="center" shrinkToFit="1"/>
      <protection locked="0"/>
    </xf>
    <xf numFmtId="0" fontId="28" fillId="0" borderId="161" xfId="0" applyFont="1" applyBorder="1" applyAlignment="1" applyProtection="1">
      <alignment horizontal="center" vertical="center" shrinkToFit="1"/>
      <protection locked="0"/>
    </xf>
    <xf numFmtId="0" fontId="28" fillId="0" borderId="162" xfId="0" applyFont="1" applyBorder="1" applyAlignment="1" applyProtection="1">
      <alignment horizontal="center" vertical="center" shrinkToFit="1"/>
      <protection locked="0"/>
    </xf>
    <xf numFmtId="0" fontId="2" fillId="0" borderId="148" xfId="0" applyFont="1" applyBorder="1" applyAlignment="1">
      <alignment horizontal="center" vertical="center" wrapText="1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27" xfId="0" applyFont="1" applyBorder="1" applyAlignment="1">
      <alignment horizontal="center" vertical="center" textRotation="255" shrinkToFit="1"/>
    </xf>
    <xf numFmtId="0" fontId="2" fillId="0" borderId="136" xfId="0" applyFont="1" applyBorder="1" applyAlignment="1">
      <alignment horizontal="center" vertical="center" textRotation="255" shrinkToFit="1"/>
    </xf>
    <xf numFmtId="0" fontId="2" fillId="0" borderId="142" xfId="0" applyFont="1" applyBorder="1" applyAlignment="1">
      <alignment horizontal="center" vertical="center" textRotation="255" shrinkToFit="1"/>
    </xf>
    <xf numFmtId="0" fontId="2" fillId="0" borderId="8" xfId="0" applyFont="1" applyBorder="1" applyAlignment="1">
      <alignment horizontal="center" vertical="center" textRotation="255" shrinkToFit="1"/>
    </xf>
    <xf numFmtId="177" fontId="6" fillId="0" borderId="130" xfId="0" applyNumberFormat="1" applyFont="1" applyBorder="1" applyAlignment="1" applyProtection="1">
      <alignment horizontal="center" vertical="center" shrinkToFit="1"/>
      <protection locked="0"/>
    </xf>
    <xf numFmtId="177" fontId="6" fillId="0" borderId="135" xfId="0" applyNumberFormat="1" applyFont="1" applyBorder="1" applyAlignment="1" applyProtection="1">
      <alignment horizontal="center" vertical="center" shrinkToFit="1"/>
      <protection locked="0"/>
    </xf>
    <xf numFmtId="0" fontId="2" fillId="0" borderId="96" xfId="0" applyFont="1" applyBorder="1" applyAlignment="1">
      <alignment horizontal="center" vertical="center" shrinkToFit="1"/>
    </xf>
    <xf numFmtId="0" fontId="2" fillId="0" borderId="38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0" borderId="80" xfId="0" applyFont="1" applyBorder="1" applyAlignment="1">
      <alignment horizontal="center" vertical="center" shrinkToFit="1"/>
    </xf>
    <xf numFmtId="0" fontId="2" fillId="0" borderId="141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 shrinkToFit="1"/>
    </xf>
    <xf numFmtId="0" fontId="2" fillId="0" borderId="14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95" xfId="0" applyFont="1" applyBorder="1" applyAlignment="1">
      <alignment horizontal="center" vertical="center" shrinkToFit="1"/>
    </xf>
    <xf numFmtId="0" fontId="2" fillId="0" borderId="53" xfId="0" applyFont="1" applyBorder="1" applyAlignment="1">
      <alignment horizontal="center" vertical="center" shrinkToFit="1"/>
    </xf>
    <xf numFmtId="182" fontId="5" fillId="0" borderId="75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143" xfId="0" applyFont="1" applyBorder="1" applyAlignment="1">
      <alignment horizontal="distributed" vertical="center" shrinkToFit="1"/>
    </xf>
    <xf numFmtId="0" fontId="6" fillId="0" borderId="71" xfId="0" applyFont="1" applyBorder="1" applyAlignment="1">
      <alignment horizontal="distributed" vertical="center" shrinkToFit="1"/>
    </xf>
    <xf numFmtId="0" fontId="18" fillId="0" borderId="144" xfId="0" applyFont="1" applyBorder="1" applyAlignment="1" applyProtection="1">
      <alignment horizontal="left" vertical="center" shrinkToFit="1"/>
      <protection locked="0"/>
    </xf>
    <xf numFmtId="0" fontId="18" fillId="0" borderId="145" xfId="0" applyFont="1" applyBorder="1" applyAlignment="1" applyProtection="1">
      <alignment horizontal="left" vertical="center" shrinkToFit="1"/>
      <protection locked="0"/>
    </xf>
    <xf numFmtId="0" fontId="2" fillId="0" borderId="146" xfId="0" applyFont="1" applyBorder="1" applyAlignment="1">
      <alignment horizontal="center" vertical="center" shrinkToFit="1"/>
    </xf>
    <xf numFmtId="0" fontId="2" fillId="0" borderId="13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93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97" xfId="0" applyFont="1" applyBorder="1" applyAlignment="1">
      <alignment horizontal="center" vertical="center" shrinkToFit="1"/>
    </xf>
    <xf numFmtId="0" fontId="2" fillId="0" borderId="98" xfId="0" applyFont="1" applyBorder="1" applyAlignment="1">
      <alignment horizontal="center" vertical="center" shrinkToFit="1"/>
    </xf>
    <xf numFmtId="182" fontId="5" fillId="0" borderId="75" xfId="0" applyNumberFormat="1" applyFont="1" applyBorder="1" applyAlignment="1" applyProtection="1">
      <alignment horizontal="center" vertical="center" shrinkToFit="1"/>
      <protection locked="0"/>
    </xf>
    <xf numFmtId="56" fontId="50" fillId="0" borderId="75" xfId="0" applyNumberFormat="1" applyFont="1" applyBorder="1" applyAlignment="1">
      <alignment horizontal="center" vertical="center" shrinkToFit="1"/>
    </xf>
    <xf numFmtId="182" fontId="5" fillId="0" borderId="0" xfId="0" applyNumberFormat="1" applyFont="1" applyAlignment="1">
      <alignment horizontal="center" vertical="center" shrinkToFit="1"/>
    </xf>
    <xf numFmtId="0" fontId="51" fillId="0" borderId="144" xfId="0" applyFont="1" applyBorder="1" applyAlignment="1" applyProtection="1">
      <alignment horizontal="left" vertical="center" shrinkToFit="1"/>
      <protection locked="0"/>
    </xf>
    <xf numFmtId="0" fontId="51" fillId="0" borderId="145" xfId="0" applyFont="1" applyBorder="1" applyAlignment="1" applyProtection="1">
      <alignment horizontal="left" vertical="center" shrinkToFit="1"/>
      <protection locked="0"/>
    </xf>
    <xf numFmtId="0" fontId="28" fillId="0" borderId="121" xfId="0" applyFont="1" applyBorder="1" applyAlignment="1" applyProtection="1">
      <alignment horizontal="center" vertical="center" wrapText="1" shrinkToFit="1"/>
      <protection locked="0"/>
    </xf>
    <xf numFmtId="0" fontId="28" fillId="0" borderId="125" xfId="0" applyFont="1" applyBorder="1" applyAlignment="1" applyProtection="1">
      <alignment horizontal="center" vertical="center" wrapText="1" shrinkToFit="1"/>
      <protection locked="0"/>
    </xf>
    <xf numFmtId="0" fontId="28" fillId="0" borderId="126" xfId="0" applyFont="1" applyBorder="1" applyAlignment="1" applyProtection="1">
      <alignment horizontal="center" vertical="center" wrapText="1" shrinkToFit="1"/>
      <protection locked="0"/>
    </xf>
  </cellXfs>
  <cellStyles count="1">
    <cellStyle name="標準" xfId="0" builtinId="0"/>
  </cellStyles>
  <dxfs count="77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5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104775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5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56</xdr:row>
          <xdr:rowOff>57150</xdr:rowOff>
        </xdr:from>
        <xdr:to>
          <xdr:col>6</xdr:col>
          <xdr:colOff>352425</xdr:colOff>
          <xdr:row>56</xdr:row>
          <xdr:rowOff>342900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5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月変更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EA9208-2545-41F6-8E30-6F5804392995}" name="テーブル1" displayName="テーブル1" ref="G3:I1113" totalsRowShown="0" headerRowDxfId="76" dataDxfId="74" headerRowBorderDxfId="75" tableBorderDxfId="73">
  <autoFilter ref="G3:I1113" xr:uid="{8BEA9208-2545-41F6-8E30-6F5804392995}"/>
  <tableColumns count="3">
    <tableColumn id="1" xr3:uid="{E6ED2840-AF43-4A62-8654-90171B877153}" name="納入先名（略称）" dataDxfId="72"/>
    <tableColumn id="2" xr3:uid="{8DB7AB42-883A-4448-B8C2-383571A23B3D}" name="列1" dataDxfId="71">
      <calculatedColumnFormula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G4)),
  ROW(),
  ""
)</calculatedColumnFormula>
    </tableColumn>
    <tableColumn id="3" xr3:uid="{0C428464-3CA6-493E-AC98-A53074DEC3AA}" name="列2" dataDxfId="70">
      <calculatedColumnFormula>INDEX(G:G,SMALL($H$4:$H$1113,ROW(G1)))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59886-127E-4F96-9AA7-F32523B6B5DA}" name="テーブル3" displayName="テーブル3" ref="A2:O1039" totalsRowShown="0" headerRowDxfId="69" dataDxfId="67" headerRowBorderDxfId="68" tableBorderDxfId="66">
  <autoFilter ref="A2:O1039" xr:uid="{05159886-127E-4F96-9AA7-F32523B6B5DA}"/>
  <tableColumns count="15">
    <tableColumn id="1" xr3:uid="{8B78D27F-632F-44A7-B0F0-041D3096CC49}" name="納入先名（略称）" dataDxfId="65"/>
    <tableColumn id="2" xr3:uid="{084F7C80-36BD-407B-8E78-A42A37ADAB0A}" name="列1" dataDxfId="64">
      <calculatedColumnFormula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3)),ROW(),"")</calculatedColumnFormula>
    </tableColumn>
    <tableColumn id="3" xr3:uid="{A8B51F2F-5DB8-4A4A-A768-8DD9A547967D}" name="列2" dataDxfId="63">
      <calculatedColumnFormula>INDEX(A:A,SMALL($B$3:$B$1039,ROW(A1)))</calculatedColumnFormula>
    </tableColumn>
    <tableColumn id="4" xr3:uid="{B1AFD6BF-B92C-4C30-A31B-40E1506AE2ED}" name="カナ順" dataDxfId="62">
      <calculatedColumnFormula>PHONETIC(A3)</calculatedColumnFormula>
    </tableColumn>
    <tableColumn id="5" xr3:uid="{7723F3D2-C927-45EB-811D-7D10E6449B93}" name="住所" dataDxfId="61"/>
    <tableColumn id="6" xr3:uid="{CBC6BFCC-ACA8-4BA3-B1B1-EB815D8E0377}" name="指定時間_x000a_（固定）" dataDxfId="60"/>
    <tableColumn id="7" xr3:uid="{322529C9-D438-4372-8C80-36560C1F68CE}" name="出勤時間" dataDxfId="59"/>
    <tableColumn id="8" xr3:uid="{895B0FA6-6A21-4027-BA77-43DE4479CA50}" name="出発時間_x000a_（冬季）" dataDxfId="58"/>
    <tableColumn id="9" xr3:uid="{CD407B63-2241-46AF-BDCE-07F9FBB52207}" name="走行距離" dataDxfId="57"/>
    <tableColumn id="10" xr3:uid="{C5E03EBB-E160-4A27-8CA5-7BE16C80FF34}" name="条件" dataDxfId="56"/>
    <tableColumn id="11" xr3:uid="{28BFE8B6-7F94-407A-BA7B-CAF04A8991CD}" name="ルート" dataDxfId="55"/>
    <tableColumn id="12" xr3:uid="{6E0B64E6-B594-482B-B61B-9A9CFDCFDBD9}" name="高速ルート" dataDxfId="54"/>
    <tableColumn id="13" xr3:uid="{DA4DBC63-5E84-44BF-AFC8-3534A7C033DA}" name="旧名" dataDxfId="53"/>
    <tableColumn id="14" xr3:uid="{0F8178A4-256B-4E72-88A6-A791881BEA89}" name="備考" dataDxfId="52"/>
    <tableColumn id="15" xr3:uid="{12B79085-5E87-4654-A8DF-76B4C9B43F06}" name="製品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FAE56-DCEE-4D74-9E04-6AC7B8F3A9C1}" name="テーブル2" displayName="テーブル2" ref="C1:E597" totalsRowShown="0" headerRowDxfId="50">
  <autoFilter ref="C1:E597" xr:uid="{D05FAE56-DCEE-4D74-9E04-6AC7B8F3A9C1}"/>
  <tableColumns count="3">
    <tableColumn id="1" xr3:uid="{7029E6E8-DAA1-4556-8E02-944F247AA0AD}" name="納品先名"/>
    <tableColumn id="2" xr3:uid="{8819766B-5AAE-4C57-A6FD-925243689426}" name="列1" dataDxfId="49">
      <calculatedColumnFormula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C2)),
  ROW(),
  ""
)</calculatedColumnFormula>
    </tableColumn>
    <tableColumn id="3" xr3:uid="{A2AC7F4C-7E0A-4739-8755-755FBBB62CDF}" name="列2" dataDxfId="48">
      <calculatedColumnFormula>INDEX(C$1:C$1487,SMALL($D$2:$D$1490,ROW(C1)))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875">
          <a:solidFill>
            <a:srgbClr val="FF0000"/>
          </a:solidFill>
        </a:ln>
      </a:spPr>
      <a:bodyPr vertOverflow="clip" horzOverflow="clip" rtlCol="0" anchor="t"/>
      <a:lstStyle>
        <a:defPPr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3D933-AD45-4859-83A4-4F3DFC2A9933}">
  <sheetPr codeName="Sheet1"/>
  <dimension ref="A1:U1113"/>
  <sheetViews>
    <sheetView zoomScale="80" zoomScaleNormal="80" workbookViewId="0">
      <selection activeCell="A24" sqref="A24"/>
    </sheetView>
  </sheetViews>
  <sheetFormatPr defaultColWidth="9" defaultRowHeight="21" x14ac:dyDescent="0.15"/>
  <cols>
    <col min="1" max="1" width="9" style="13"/>
    <col min="2" max="2" width="14.75" style="13" customWidth="1"/>
    <col min="3" max="6" width="9" style="13"/>
    <col min="7" max="9" width="27.625" style="13" customWidth="1"/>
    <col min="10" max="10" width="27.125" style="13" customWidth="1"/>
    <col min="11" max="11" width="25.625" style="13" customWidth="1"/>
    <col min="12" max="12" width="11.625" style="95" customWidth="1"/>
    <col min="13" max="13" width="11.75" style="96" customWidth="1"/>
    <col min="14" max="14" width="11.875" style="97" hidden="1" customWidth="1"/>
    <col min="15" max="15" width="11.625" style="98" hidden="1" customWidth="1"/>
    <col min="16" max="16" width="14.875" style="98" hidden="1" customWidth="1"/>
    <col min="17" max="17" width="24" style="98" hidden="1" customWidth="1"/>
    <col min="18" max="18" width="25.375" style="215" customWidth="1"/>
    <col min="19" max="19" width="18.125" style="100" hidden="1" customWidth="1"/>
    <col min="20" max="21" width="10.25" style="101" customWidth="1"/>
    <col min="22" max="16384" width="9" style="13"/>
  </cols>
  <sheetData>
    <row r="1" spans="1:21" ht="13.5" x14ac:dyDescent="0.15">
      <c r="B1" s="13" t="s">
        <v>30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210">
        <v>6</v>
      </c>
      <c r="M1" s="210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</row>
    <row r="2" spans="1:21" ht="13.5" x14ac:dyDescent="0.15">
      <c r="L2" s="210"/>
      <c r="M2" s="210"/>
      <c r="N2" s="13"/>
      <c r="O2" s="13"/>
      <c r="P2" s="13"/>
      <c r="Q2" s="13"/>
      <c r="R2" s="13"/>
      <c r="S2" s="13"/>
      <c r="T2" s="13"/>
      <c r="U2" s="13"/>
    </row>
    <row r="3" spans="1:21" ht="21.75" customHeight="1" x14ac:dyDescent="0.15">
      <c r="A3" s="13" t="s">
        <v>207</v>
      </c>
      <c r="B3" s="13" t="s">
        <v>208</v>
      </c>
      <c r="C3" s="13" t="s">
        <v>343</v>
      </c>
      <c r="D3" s="13" t="s">
        <v>459</v>
      </c>
      <c r="E3" s="13" t="s">
        <v>492</v>
      </c>
      <c r="F3" s="13" t="s">
        <v>467</v>
      </c>
      <c r="G3" s="15" t="s">
        <v>40</v>
      </c>
      <c r="H3" s="108" t="s">
        <v>211</v>
      </c>
      <c r="I3" s="108" t="s">
        <v>212</v>
      </c>
      <c r="J3" s="15" t="s">
        <v>41</v>
      </c>
      <c r="K3" s="14" t="s">
        <v>42</v>
      </c>
      <c r="L3" s="16" t="s">
        <v>43</v>
      </c>
      <c r="M3" s="16" t="s">
        <v>44</v>
      </c>
      <c r="N3" s="17" t="s">
        <v>45</v>
      </c>
      <c r="O3" s="14" t="s">
        <v>46</v>
      </c>
      <c r="P3" s="14" t="s">
        <v>47</v>
      </c>
      <c r="Q3" s="14" t="s">
        <v>48</v>
      </c>
      <c r="R3" s="14" t="s">
        <v>49</v>
      </c>
      <c r="S3" s="14" t="s">
        <v>50</v>
      </c>
      <c r="T3" s="17" t="s">
        <v>51</v>
      </c>
      <c r="U3" s="17" t="s">
        <v>52</v>
      </c>
    </row>
    <row r="4" spans="1:21" ht="21.75" customHeight="1" x14ac:dyDescent="0.15">
      <c r="A4" s="13">
        <v>18</v>
      </c>
      <c r="B4" s="13" t="s">
        <v>30</v>
      </c>
      <c r="C4" s="118" t="s">
        <v>481</v>
      </c>
      <c r="D4" s="118" t="s">
        <v>458</v>
      </c>
      <c r="E4" s="118" t="s">
        <v>766</v>
      </c>
      <c r="F4" s="13" t="s">
        <v>775</v>
      </c>
      <c r="G4" s="18" t="s">
        <v>483</v>
      </c>
      <c r="H4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G4)),
  ROW(),
  ""
)</f>
        <v>4</v>
      </c>
      <c r="I4" s="18" t="str">
        <f>INDEX(G:G,SMALL($H$4:$H$1113,ROW(G1)))</f>
        <v>洗浄AM</v>
      </c>
      <c r="J4" s="19" t="str">
        <f t="shared" ref="J4:J41" si="0">PHONETIC(G4)</f>
        <v>センジョウAM</v>
      </c>
      <c r="K4" s="18" t="s">
        <v>53</v>
      </c>
      <c r="L4" s="20" t="s">
        <v>122</v>
      </c>
      <c r="M4" s="20">
        <v>0.27083333333333331</v>
      </c>
      <c r="N4" s="21"/>
      <c r="O4" s="22"/>
      <c r="P4" s="23"/>
      <c r="Q4" s="23"/>
      <c r="R4" s="213" t="s">
        <v>122</v>
      </c>
      <c r="S4" s="24"/>
      <c r="T4" s="25"/>
      <c r="U4" s="25" t="s">
        <v>55</v>
      </c>
    </row>
    <row r="5" spans="1:21" ht="21.75" customHeight="1" x14ac:dyDescent="0.15">
      <c r="A5" s="13">
        <v>1589</v>
      </c>
      <c r="B5" s="13" t="s">
        <v>729</v>
      </c>
      <c r="C5" s="118" t="s">
        <v>482</v>
      </c>
      <c r="D5" s="118" t="s">
        <v>460</v>
      </c>
      <c r="E5" s="118" t="s">
        <v>777</v>
      </c>
      <c r="F5" s="13" t="s">
        <v>472</v>
      </c>
      <c r="G5" s="18" t="s">
        <v>476</v>
      </c>
      <c r="H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G5)),
  ROW(),
  ""
)</f>
        <v>5</v>
      </c>
      <c r="I5" s="18" t="str">
        <f t="shared" ref="I5:I35" si="1">INDEX(G:G,SMALL($H$4:$H$1113,ROW(G2)))</f>
        <v>洗浄PM</v>
      </c>
      <c r="J5" s="19" t="str">
        <f t="shared" ref="J5" si="2">PHONETIC(G5)</f>
        <v>センジョウPM</v>
      </c>
      <c r="K5" s="18" t="s">
        <v>53</v>
      </c>
      <c r="L5" s="20"/>
      <c r="M5" s="20">
        <v>0.47916666666666669</v>
      </c>
      <c r="N5" s="21"/>
      <c r="O5" s="22"/>
      <c r="P5" s="23"/>
      <c r="Q5" s="23"/>
      <c r="R5" s="213"/>
      <c r="S5" s="24"/>
      <c r="T5" s="25"/>
      <c r="U5" s="25" t="s">
        <v>55</v>
      </c>
    </row>
    <row r="6" spans="1:21" ht="21.75" customHeight="1" x14ac:dyDescent="0.15">
      <c r="A6" s="13">
        <v>299</v>
      </c>
      <c r="B6" s="13" t="s">
        <v>730</v>
      </c>
      <c r="C6" s="118">
        <v>2.0833333333333332E-2</v>
      </c>
      <c r="D6" s="118" t="s">
        <v>771</v>
      </c>
      <c r="E6" s="118"/>
      <c r="F6" s="13" t="s">
        <v>774</v>
      </c>
      <c r="G6" s="18" t="s">
        <v>778</v>
      </c>
      <c r="H6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G6)),
  ROW(),
  ""
)</f>
        <v>6</v>
      </c>
      <c r="I6" s="18" t="str">
        <f t="shared" si="1"/>
        <v>洗浄</v>
      </c>
      <c r="J6" s="19" t="str">
        <f t="shared" si="0"/>
        <v>センジョウ</v>
      </c>
      <c r="K6" s="18" t="s">
        <v>53</v>
      </c>
      <c r="L6" s="20" t="s">
        <v>122</v>
      </c>
      <c r="M6" s="20"/>
      <c r="N6" s="21"/>
      <c r="O6" s="22"/>
      <c r="P6" s="22"/>
      <c r="Q6" s="22"/>
      <c r="R6" s="213" t="s">
        <v>122</v>
      </c>
      <c r="S6" s="24"/>
      <c r="T6" s="25"/>
      <c r="U6" s="25" t="s">
        <v>55</v>
      </c>
    </row>
    <row r="7" spans="1:21" ht="21.75" customHeight="1" x14ac:dyDescent="0.15">
      <c r="A7" s="13">
        <v>1116</v>
      </c>
      <c r="B7" s="13" t="s">
        <v>731</v>
      </c>
      <c r="C7" s="118">
        <v>4.1666666666666664E-2</v>
      </c>
      <c r="D7" s="118" t="s">
        <v>461</v>
      </c>
      <c r="E7" s="118"/>
      <c r="F7" s="13" t="s">
        <v>772</v>
      </c>
      <c r="G7" s="18" t="s">
        <v>484</v>
      </c>
      <c r="H7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G7)),
  ROW(),
  ""
)</f>
        <v>7</v>
      </c>
      <c r="I7" s="18" t="str">
        <f t="shared" si="1"/>
        <v>宵積みAM</v>
      </c>
      <c r="J7" s="19" t="str">
        <f t="shared" si="0"/>
        <v>ヨイヅミAM</v>
      </c>
      <c r="K7" s="18" t="s">
        <v>53</v>
      </c>
      <c r="L7" s="20" t="s">
        <v>122</v>
      </c>
      <c r="M7" s="20">
        <v>0.25</v>
      </c>
      <c r="N7" s="21"/>
      <c r="O7" s="22"/>
      <c r="P7" s="23"/>
      <c r="Q7" s="23"/>
      <c r="R7" s="213" t="s">
        <v>122</v>
      </c>
      <c r="S7" s="24"/>
      <c r="T7" s="25"/>
      <c r="U7" s="25" t="s">
        <v>55</v>
      </c>
    </row>
    <row r="8" spans="1:21" ht="21.75" customHeight="1" x14ac:dyDescent="0.15">
      <c r="A8" s="13">
        <v>19</v>
      </c>
      <c r="B8" s="13" t="s">
        <v>732</v>
      </c>
      <c r="C8" s="118">
        <v>6.25E-2</v>
      </c>
      <c r="D8" s="118" t="s">
        <v>462</v>
      </c>
      <c r="E8" s="118"/>
      <c r="F8" s="13" t="s">
        <v>773</v>
      </c>
      <c r="G8" s="18" t="s">
        <v>477</v>
      </c>
      <c r="H8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G8)),
  ROW(),
  ""
)</f>
        <v>8</v>
      </c>
      <c r="I8" s="18" t="str">
        <f t="shared" si="1"/>
        <v>宵積PM</v>
      </c>
      <c r="J8" s="19" t="str">
        <f t="shared" si="0"/>
        <v>ヨイヅPM</v>
      </c>
      <c r="K8" s="18" t="s">
        <v>53</v>
      </c>
      <c r="L8" s="20" t="s">
        <v>122</v>
      </c>
      <c r="M8" s="20">
        <v>0.47916666666666669</v>
      </c>
      <c r="N8" s="21"/>
      <c r="O8" s="22"/>
      <c r="P8" s="23"/>
      <c r="Q8" s="23"/>
      <c r="R8" s="213" t="s">
        <v>122</v>
      </c>
      <c r="S8" s="24"/>
      <c r="T8" s="25"/>
      <c r="U8" s="25" t="s">
        <v>55</v>
      </c>
    </row>
    <row r="9" spans="1:21" ht="21.75" customHeight="1" x14ac:dyDescent="0.15">
      <c r="A9" s="13">
        <v>154</v>
      </c>
      <c r="B9" s="13" t="s">
        <v>13</v>
      </c>
      <c r="C9" s="118">
        <v>8.3333333333333329E-2</v>
      </c>
      <c r="D9" s="118" t="s">
        <v>463</v>
      </c>
      <c r="E9" s="118"/>
      <c r="F9" s="13" t="s">
        <v>468</v>
      </c>
      <c r="G9" s="18" t="s">
        <v>779</v>
      </c>
      <c r="H9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G9)),
  ROW(),
  ""
)</f>
        <v>9</v>
      </c>
      <c r="I9" s="18" t="str">
        <f t="shared" si="1"/>
        <v>宵積み</v>
      </c>
      <c r="J9" s="19" t="str">
        <f>PHONETIC(G9)</f>
        <v>ヨイヅミ</v>
      </c>
      <c r="K9" s="18" t="s">
        <v>53</v>
      </c>
      <c r="L9" s="20"/>
      <c r="M9" s="20"/>
      <c r="N9" s="21"/>
      <c r="O9" s="22"/>
      <c r="P9" s="23"/>
      <c r="Q9" s="23"/>
      <c r="R9" s="213"/>
      <c r="S9" s="24"/>
      <c r="T9" s="25"/>
      <c r="U9" s="25" t="s">
        <v>55</v>
      </c>
    </row>
    <row r="10" spans="1:21" ht="21.75" customHeight="1" x14ac:dyDescent="0.15">
      <c r="A10" s="13">
        <v>643</v>
      </c>
      <c r="B10" s="13" t="s">
        <v>209</v>
      </c>
      <c r="C10" s="118">
        <v>0.10416666666666667</v>
      </c>
      <c r="D10" s="118" t="s">
        <v>464</v>
      </c>
      <c r="E10" s="118"/>
      <c r="F10" s="13" t="s">
        <v>976</v>
      </c>
      <c r="G10" s="18" t="s">
        <v>56</v>
      </c>
      <c r="H10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G10)),
  ROW(),
  ""
)</f>
        <v>10</v>
      </c>
      <c r="I10" s="18" t="str">
        <f t="shared" si="1"/>
        <v>昱（外宿浄水場）</v>
      </c>
      <c r="J10" s="19" t="str">
        <f t="shared" ref="J10:J13" si="3">PHONETIC(G10)</f>
        <v>アキラ（ガイシュクジョウスイジョウ）</v>
      </c>
      <c r="K10" s="18" t="s">
        <v>487</v>
      </c>
      <c r="L10" s="20"/>
      <c r="M10" s="20"/>
      <c r="N10" s="21"/>
      <c r="O10" s="22"/>
      <c r="P10" s="23"/>
      <c r="Q10" s="23"/>
      <c r="R10" s="213"/>
      <c r="S10" s="24"/>
      <c r="T10" s="25"/>
      <c r="U10" s="25" t="s">
        <v>55</v>
      </c>
    </row>
    <row r="11" spans="1:21" ht="21.75" customHeight="1" x14ac:dyDescent="0.15">
      <c r="A11" s="13">
        <v>700</v>
      </c>
      <c r="B11" s="13" t="s">
        <v>39</v>
      </c>
      <c r="C11" s="118">
        <v>0.125</v>
      </c>
      <c r="D11" s="118" t="s">
        <v>465</v>
      </c>
      <c r="E11" s="118"/>
      <c r="F11" s="13" t="s">
        <v>980</v>
      </c>
      <c r="G11" s="18" t="s">
        <v>788</v>
      </c>
      <c r="H11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G11)),
  ROW(),
  ""
)</f>
        <v>11</v>
      </c>
      <c r="I11" s="18" t="str">
        <f t="shared" si="1"/>
        <v>昱（外宿浄水場）AM</v>
      </c>
      <c r="J11" s="19" t="str">
        <f t="shared" si="3"/>
        <v>アキラ（ガイシュクジョウスイジョウ）AM</v>
      </c>
      <c r="K11" s="18" t="s">
        <v>487</v>
      </c>
      <c r="L11" s="20" t="s">
        <v>964</v>
      </c>
      <c r="M11" s="20">
        <v>0.22916666666666666</v>
      </c>
      <c r="N11" s="21"/>
      <c r="O11" s="22"/>
      <c r="P11" s="23"/>
      <c r="Q11" s="23"/>
      <c r="R11" s="213"/>
      <c r="S11" s="24"/>
      <c r="T11" s="25"/>
      <c r="U11" s="25" t="s">
        <v>55</v>
      </c>
    </row>
    <row r="12" spans="1:21" ht="21.75" customHeight="1" x14ac:dyDescent="0.15">
      <c r="A12" s="13">
        <v>1136</v>
      </c>
      <c r="B12" s="13" t="s">
        <v>3</v>
      </c>
      <c r="C12" s="118">
        <v>0.14583333333333334</v>
      </c>
      <c r="D12" s="118" t="s">
        <v>466</v>
      </c>
      <c r="E12" s="118"/>
      <c r="F12" s="13" t="s">
        <v>469</v>
      </c>
      <c r="G12" s="18" t="s">
        <v>831</v>
      </c>
      <c r="H12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G12)),
  ROW(),
  ""
)</f>
        <v>12</v>
      </c>
      <c r="I12" s="18" t="str">
        <f t="shared" si="1"/>
        <v>昱（外宿浄水場）13：00</v>
      </c>
      <c r="J12" s="19" t="str">
        <f t="shared" si="3"/>
        <v>アキラ（ガイシュクジョウスイジョウ）13：00</v>
      </c>
      <c r="K12" s="18" t="s">
        <v>487</v>
      </c>
      <c r="L12" s="20">
        <v>0.54166666666666663</v>
      </c>
      <c r="M12" s="20"/>
      <c r="N12" s="21"/>
      <c r="O12" s="22"/>
      <c r="P12" s="23"/>
      <c r="Q12" s="23"/>
      <c r="R12" s="213"/>
      <c r="S12" s="24"/>
      <c r="T12" s="25"/>
      <c r="U12" s="25" t="s">
        <v>55</v>
      </c>
    </row>
    <row r="13" spans="1:21" ht="21.75" customHeight="1" x14ac:dyDescent="0.15">
      <c r="A13" s="13">
        <v>1693</v>
      </c>
      <c r="B13" s="13" t="s">
        <v>1011</v>
      </c>
      <c r="C13" s="118">
        <v>0.16666666666666666</v>
      </c>
      <c r="D13" s="173" t="s">
        <v>975</v>
      </c>
      <c r="E13" s="118"/>
      <c r="F13" s="13" t="s">
        <v>470</v>
      </c>
      <c r="G13" s="18" t="s">
        <v>789</v>
      </c>
      <c r="H13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G13)),
  ROW(),
  ""
)</f>
        <v>13</v>
      </c>
      <c r="I13" s="18" t="str">
        <f t="shared" si="1"/>
        <v>アサカ理研（富久山）8：30</v>
      </c>
      <c r="J13" s="19" t="str">
        <f t="shared" si="3"/>
        <v>アサカリケン（フクヤマ）8：30</v>
      </c>
      <c r="K13" s="18" t="s">
        <v>488</v>
      </c>
      <c r="L13" s="20">
        <v>0.35416666666666669</v>
      </c>
      <c r="M13" s="20">
        <v>0.20833333333333334</v>
      </c>
      <c r="N13" s="21"/>
      <c r="O13" s="22"/>
      <c r="P13" s="23"/>
      <c r="Q13" s="23"/>
      <c r="R13" s="213"/>
      <c r="S13" s="24"/>
      <c r="T13" s="25"/>
      <c r="U13" s="25" t="s">
        <v>55</v>
      </c>
    </row>
    <row r="14" spans="1:21" ht="21.75" customHeight="1" x14ac:dyDescent="0.15">
      <c r="A14" s="13">
        <v>3640</v>
      </c>
      <c r="B14" s="13" t="s">
        <v>27</v>
      </c>
      <c r="C14" s="118">
        <v>0.1875</v>
      </c>
      <c r="D14" s="118" t="s">
        <v>734</v>
      </c>
      <c r="E14" s="118"/>
      <c r="F14" s="13" t="s">
        <v>776</v>
      </c>
      <c r="G14" s="18" t="s">
        <v>780</v>
      </c>
      <c r="H14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G14)),
  ROW(),
  ""
)</f>
        <v>14</v>
      </c>
      <c r="I14" s="18" t="str">
        <f t="shared" si="1"/>
        <v>アサカ理研（富久山）</v>
      </c>
      <c r="J14" s="19" t="str">
        <f t="shared" ref="J14:J15" si="4">PHONETIC(G14)</f>
        <v>アサカリケン（フクヤマ）</v>
      </c>
      <c r="K14" s="18" t="s">
        <v>65</v>
      </c>
      <c r="L14" s="20"/>
      <c r="M14" s="20"/>
      <c r="N14" s="21"/>
      <c r="O14" s="22"/>
      <c r="P14" s="23"/>
      <c r="Q14" s="23"/>
      <c r="R14" s="213"/>
      <c r="S14" s="24"/>
      <c r="T14" s="25"/>
      <c r="U14" s="25" t="s">
        <v>55</v>
      </c>
    </row>
    <row r="15" spans="1:21" ht="21.75" customHeight="1" x14ac:dyDescent="0.15">
      <c r="A15" s="13">
        <v>2401</v>
      </c>
      <c r="B15" s="13" t="s">
        <v>1012</v>
      </c>
      <c r="C15" s="118">
        <v>0.20833333333333301</v>
      </c>
      <c r="D15" s="118" t="s">
        <v>735</v>
      </c>
      <c r="E15" s="118"/>
      <c r="F15" s="13" t="s">
        <v>1010</v>
      </c>
      <c r="G15" s="18" t="s">
        <v>939</v>
      </c>
      <c r="H1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G15)),
  ROW(),
  ""
)</f>
        <v>15</v>
      </c>
      <c r="I15" s="18" t="str">
        <f t="shared" si="1"/>
        <v>アサヒビール8：30</v>
      </c>
      <c r="J15" s="19" t="str">
        <f t="shared" si="4"/>
        <v>アサヒビール8：30</v>
      </c>
      <c r="K15" s="18" t="s">
        <v>65</v>
      </c>
      <c r="L15" s="20">
        <v>0.35416666666666669</v>
      </c>
      <c r="M15" s="20">
        <v>0.22916666666666666</v>
      </c>
      <c r="N15" s="21"/>
      <c r="O15" s="22"/>
      <c r="P15" s="23"/>
      <c r="Q15" s="23"/>
      <c r="R15" s="213"/>
      <c r="S15" s="24"/>
      <c r="T15" s="25"/>
      <c r="U15" s="25" t="s">
        <v>55</v>
      </c>
    </row>
    <row r="16" spans="1:21" ht="23.25" customHeight="1" x14ac:dyDescent="0.15">
      <c r="A16" s="13">
        <v>384</v>
      </c>
      <c r="B16" s="13" t="s">
        <v>26</v>
      </c>
      <c r="C16" s="118">
        <v>0.22916666666666699</v>
      </c>
      <c r="D16" s="118"/>
      <c r="E16" s="118"/>
      <c r="F16" s="13" t="s">
        <v>471</v>
      </c>
      <c r="G16" s="18" t="s">
        <v>940</v>
      </c>
      <c r="H1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G16)),
  ROW(),
  ""
)</f>
        <v>16</v>
      </c>
      <c r="I16" s="18" t="str">
        <f t="shared" si="1"/>
        <v>アサヒビール9：00</v>
      </c>
      <c r="J16" s="26" t="str">
        <f t="shared" si="0"/>
        <v>アサヒビール9：00</v>
      </c>
      <c r="K16" s="18" t="s">
        <v>65</v>
      </c>
      <c r="L16" s="20">
        <v>0.375</v>
      </c>
      <c r="M16" s="20">
        <v>0.22916666666666666</v>
      </c>
      <c r="N16" s="21"/>
      <c r="O16" s="22"/>
      <c r="P16" s="23"/>
      <c r="Q16" s="27" t="s">
        <v>122</v>
      </c>
      <c r="R16" s="34" t="s">
        <v>122</v>
      </c>
      <c r="S16" s="27" t="s">
        <v>122</v>
      </c>
      <c r="T16" s="27" t="s">
        <v>122</v>
      </c>
      <c r="U16" s="25" t="s">
        <v>55</v>
      </c>
    </row>
    <row r="17" spans="1:21" ht="21.75" customHeight="1" x14ac:dyDescent="0.15">
      <c r="A17" s="13">
        <v>1170</v>
      </c>
      <c r="B17" s="13" t="s">
        <v>769</v>
      </c>
      <c r="C17" s="118">
        <v>0.25</v>
      </c>
      <c r="D17" s="118"/>
      <c r="E17" s="118"/>
      <c r="F17" s="13" t="s">
        <v>736</v>
      </c>
      <c r="G17" s="26" t="s">
        <v>941</v>
      </c>
      <c r="H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G17)),
  ROW(),
  ""
)</f>
        <v>17</v>
      </c>
      <c r="I17" s="18" t="str">
        <f t="shared" si="1"/>
        <v>アサヒビールAM</v>
      </c>
      <c r="J17" s="26" t="str">
        <f t="shared" si="0"/>
        <v>アサヒビールAM</v>
      </c>
      <c r="K17" s="18" t="s">
        <v>65</v>
      </c>
      <c r="L17" s="40" t="s">
        <v>182</v>
      </c>
      <c r="M17" s="21">
        <v>0.22916666666666666</v>
      </c>
      <c r="N17" s="29"/>
      <c r="O17" s="30"/>
      <c r="P17" s="28" t="s">
        <v>58</v>
      </c>
      <c r="Q17" s="27" t="s">
        <v>122</v>
      </c>
      <c r="R17" s="34" t="s">
        <v>122</v>
      </c>
      <c r="S17" s="27" t="s">
        <v>122</v>
      </c>
      <c r="T17" s="27" t="s">
        <v>122</v>
      </c>
      <c r="U17" s="25" t="s">
        <v>55</v>
      </c>
    </row>
    <row r="18" spans="1:21" ht="21.75" customHeight="1" x14ac:dyDescent="0.15">
      <c r="A18" s="13">
        <v>530</v>
      </c>
      <c r="B18" s="13" t="s">
        <v>210</v>
      </c>
      <c r="C18" s="118">
        <v>0.27083333333333298</v>
      </c>
      <c r="D18" s="118"/>
      <c r="E18" s="118"/>
      <c r="F18" s="13" t="s">
        <v>737</v>
      </c>
      <c r="G18" s="26" t="s">
        <v>942</v>
      </c>
      <c r="H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G18)),
  ROW(),
  ""
)</f>
        <v>18</v>
      </c>
      <c r="I18" s="18" t="str">
        <f t="shared" si="1"/>
        <v>アサヒビール</v>
      </c>
      <c r="J18" s="26" t="str">
        <f t="shared" ref="J18" si="5">PHONETIC(G18)</f>
        <v>アサヒビール</v>
      </c>
      <c r="K18" s="18" t="s">
        <v>65</v>
      </c>
      <c r="L18" s="40"/>
      <c r="M18" s="21"/>
      <c r="N18" s="29"/>
      <c r="O18" s="30"/>
      <c r="P18" s="28"/>
      <c r="Q18" s="27"/>
      <c r="R18" s="34"/>
      <c r="S18" s="27"/>
      <c r="T18" s="27"/>
      <c r="U18" s="25" t="s">
        <v>23</v>
      </c>
    </row>
    <row r="19" spans="1:21" ht="21.75" customHeight="1" x14ac:dyDescent="0.15">
      <c r="A19" s="13">
        <v>885</v>
      </c>
      <c r="C19" s="118">
        <v>0.29166666666666602</v>
      </c>
      <c r="D19" s="118"/>
      <c r="E19" s="118"/>
      <c r="G19" s="28" t="s">
        <v>478</v>
      </c>
      <c r="H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G19)),
  ROW(),
  ""
)</f>
        <v>19</v>
      </c>
      <c r="I19" s="18" t="str">
        <f t="shared" si="1"/>
        <v>朝日ラバー</v>
      </c>
      <c r="J19" s="26" t="str">
        <f>PHONETIC(G19)</f>
        <v>アサヒラバー</v>
      </c>
      <c r="K19" s="18" t="s">
        <v>490</v>
      </c>
      <c r="L19" s="40"/>
      <c r="M19" s="21">
        <v>0.22916666666666666</v>
      </c>
      <c r="N19" s="32"/>
      <c r="O19" s="33"/>
      <c r="P19" s="34" t="s">
        <v>58</v>
      </c>
      <c r="Q19" s="27" t="s">
        <v>122</v>
      </c>
      <c r="R19" s="34" t="s">
        <v>122</v>
      </c>
      <c r="S19" s="27" t="s">
        <v>122</v>
      </c>
      <c r="T19" s="27" t="s">
        <v>122</v>
      </c>
      <c r="U19" s="25" t="s">
        <v>55</v>
      </c>
    </row>
    <row r="20" spans="1:21" ht="21.75" customHeight="1" x14ac:dyDescent="0.15">
      <c r="A20" s="13">
        <v>1447</v>
      </c>
      <c r="C20" s="118">
        <v>0.3125</v>
      </c>
      <c r="D20" s="118"/>
      <c r="E20" s="118"/>
      <c r="G20" s="31" t="s">
        <v>479</v>
      </c>
      <c r="H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G20)),
  ROW(),
  ""
)</f>
        <v>20</v>
      </c>
      <c r="I20" s="18" t="str">
        <f t="shared" si="1"/>
        <v>朝日ラバーAM</v>
      </c>
      <c r="J20" s="26" t="str">
        <f t="shared" si="0"/>
        <v>アサヒラバーAM</v>
      </c>
      <c r="K20" s="18" t="s">
        <v>490</v>
      </c>
      <c r="L20" s="40" t="s">
        <v>182</v>
      </c>
      <c r="M20" s="21">
        <v>0.22916666666666666</v>
      </c>
      <c r="N20" s="32"/>
      <c r="O20" s="33"/>
      <c r="P20" s="34"/>
      <c r="Q20" s="27" t="s">
        <v>122</v>
      </c>
      <c r="R20" s="34" t="s">
        <v>122</v>
      </c>
      <c r="S20" s="27" t="s">
        <v>122</v>
      </c>
      <c r="T20" s="27" t="s">
        <v>122</v>
      </c>
      <c r="U20" s="25" t="s">
        <v>55</v>
      </c>
    </row>
    <row r="21" spans="1:21" ht="21.75" customHeight="1" x14ac:dyDescent="0.15">
      <c r="A21" s="13">
        <v>2501</v>
      </c>
      <c r="C21" s="118">
        <v>0.33333333333333298</v>
      </c>
      <c r="D21" s="118"/>
      <c r="E21" s="118"/>
      <c r="G21" s="31" t="s">
        <v>943</v>
      </c>
      <c r="H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G21)),
  ROW(),
  ""
)</f>
        <v>21</v>
      </c>
      <c r="I21" s="18" t="str">
        <f t="shared" si="1"/>
        <v>MARUWAいわき</v>
      </c>
      <c r="J21" s="26" t="str">
        <f t="shared" ref="J21" si="6">PHONETIC(G21)</f>
        <v>MARUWAイワキ</v>
      </c>
      <c r="K21" s="18" t="s">
        <v>640</v>
      </c>
      <c r="L21" s="40"/>
      <c r="M21" s="21"/>
      <c r="N21" s="32"/>
      <c r="O21" s="33"/>
      <c r="P21" s="34" t="s">
        <v>59</v>
      </c>
      <c r="Q21" s="27" t="s">
        <v>122</v>
      </c>
      <c r="R21" s="34" t="s">
        <v>122</v>
      </c>
      <c r="S21" s="27" t="s">
        <v>122</v>
      </c>
      <c r="T21" s="27" t="s">
        <v>122</v>
      </c>
      <c r="U21" s="25" t="s">
        <v>55</v>
      </c>
    </row>
    <row r="22" spans="1:21" ht="21.75" customHeight="1" x14ac:dyDescent="0.15">
      <c r="A22" s="13">
        <v>2403</v>
      </c>
      <c r="B22" s="13" t="s">
        <v>449</v>
      </c>
      <c r="C22" s="118">
        <v>0.35416666666666602</v>
      </c>
      <c r="D22" s="118"/>
      <c r="E22" s="118"/>
      <c r="G22" s="31" t="s">
        <v>485</v>
      </c>
      <c r="H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G22)),
  ROW(),
  ""
)</f>
        <v>22</v>
      </c>
      <c r="I22" s="18" t="str">
        <f t="shared" si="1"/>
        <v>アステラス製薬8：30</v>
      </c>
      <c r="J22" s="26" t="str">
        <f t="shared" si="0"/>
        <v>アステラスセイヤク8：30</v>
      </c>
      <c r="K22" s="26" t="s">
        <v>489</v>
      </c>
      <c r="L22" s="40">
        <v>0.35416666666666669</v>
      </c>
      <c r="M22" s="21">
        <v>0.29166666666666669</v>
      </c>
      <c r="N22" s="32"/>
      <c r="O22" s="33"/>
      <c r="P22" s="34"/>
      <c r="Q22" s="27" t="s">
        <v>122</v>
      </c>
      <c r="R22" s="34" t="s">
        <v>122</v>
      </c>
      <c r="S22" s="27" t="s">
        <v>122</v>
      </c>
      <c r="T22" s="27" t="s">
        <v>122</v>
      </c>
      <c r="U22" s="25" t="s">
        <v>55</v>
      </c>
    </row>
    <row r="23" spans="1:21" ht="21.75" customHeight="1" x14ac:dyDescent="0.15">
      <c r="A23" s="13">
        <v>1246</v>
      </c>
      <c r="B23" s="13" t="s">
        <v>450</v>
      </c>
      <c r="C23" s="118">
        <v>0.374999999999999</v>
      </c>
      <c r="D23" s="118"/>
      <c r="E23" s="118"/>
      <c r="G23" s="28" t="s">
        <v>781</v>
      </c>
      <c r="H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G23)),
  ROW(),
  ""
)</f>
        <v>23</v>
      </c>
      <c r="I23" s="31" t="str">
        <f t="shared" si="1"/>
        <v>アステラス製薬</v>
      </c>
      <c r="J23" s="26" t="str">
        <f t="shared" si="0"/>
        <v>アステラスセイヤク</v>
      </c>
      <c r="K23" s="26" t="s">
        <v>491</v>
      </c>
      <c r="L23" s="40"/>
      <c r="M23" s="21"/>
      <c r="N23" s="32"/>
      <c r="O23" s="33"/>
      <c r="P23" s="34"/>
      <c r="Q23" s="27" t="s">
        <v>122</v>
      </c>
      <c r="R23" s="34" t="s">
        <v>122</v>
      </c>
      <c r="S23" s="27" t="s">
        <v>122</v>
      </c>
      <c r="T23" s="27" t="s">
        <v>122</v>
      </c>
      <c r="U23" s="25" t="s">
        <v>55</v>
      </c>
    </row>
    <row r="24" spans="1:21" ht="21.75" customHeight="1" x14ac:dyDescent="0.15">
      <c r="B24" s="13" t="s">
        <v>452</v>
      </c>
      <c r="C24" s="118">
        <v>0.39583333333333298</v>
      </c>
      <c r="D24" s="118"/>
      <c r="E24" s="118"/>
      <c r="G24" s="28" t="s">
        <v>486</v>
      </c>
      <c r="H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G24)),
  ROW(),
  ""
)</f>
        <v>24</v>
      </c>
      <c r="I24" s="31" t="str">
        <f t="shared" si="1"/>
        <v>荒川化学9：00</v>
      </c>
      <c r="J24" s="26" t="str">
        <f t="shared" si="0"/>
        <v>アラカワカガク9：00</v>
      </c>
      <c r="K24" s="26" t="s">
        <v>491</v>
      </c>
      <c r="L24" s="40">
        <v>0.375</v>
      </c>
      <c r="M24" s="21">
        <v>0.35416666666666669</v>
      </c>
      <c r="N24" s="21"/>
      <c r="O24" s="22"/>
      <c r="P24" s="23"/>
      <c r="Q24" s="27" t="s">
        <v>122</v>
      </c>
      <c r="R24" s="34" t="s">
        <v>122</v>
      </c>
      <c r="S24" s="27" t="s">
        <v>122</v>
      </c>
      <c r="T24" s="27" t="s">
        <v>122</v>
      </c>
      <c r="U24" s="25" t="s">
        <v>55</v>
      </c>
    </row>
    <row r="25" spans="1:21" ht="21.75" customHeight="1" x14ac:dyDescent="0.15">
      <c r="B25" s="13" t="s">
        <v>453</v>
      </c>
      <c r="C25" s="118">
        <v>0.41666666666666602</v>
      </c>
      <c r="D25" s="118"/>
      <c r="E25" s="118"/>
      <c r="G25" s="31" t="s">
        <v>782</v>
      </c>
      <c r="H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G25)),
  ROW(),
  ""
)</f>
        <v>25</v>
      </c>
      <c r="I25" s="31" t="str">
        <f t="shared" si="1"/>
        <v>荒川化学</v>
      </c>
      <c r="J25" s="26" t="str">
        <f t="shared" si="0"/>
        <v>アラカワカガク</v>
      </c>
      <c r="K25" s="26" t="s">
        <v>491</v>
      </c>
      <c r="L25" s="40"/>
      <c r="M25" s="21"/>
      <c r="N25" s="21"/>
      <c r="O25" s="22"/>
      <c r="P25" s="35" t="s">
        <v>61</v>
      </c>
      <c r="Q25" s="27" t="s">
        <v>122</v>
      </c>
      <c r="R25" s="34" t="s">
        <v>122</v>
      </c>
      <c r="S25" s="27" t="s">
        <v>122</v>
      </c>
      <c r="T25" s="27" t="s">
        <v>122</v>
      </c>
      <c r="U25" s="25" t="s">
        <v>55</v>
      </c>
    </row>
    <row r="26" spans="1:21" ht="24.75" customHeight="1" x14ac:dyDescent="0.15">
      <c r="B26" s="13" t="s">
        <v>451</v>
      </c>
      <c r="C26" s="118">
        <v>0.437499999999999</v>
      </c>
      <c r="D26" s="118"/>
      <c r="E26" s="118"/>
      <c r="G26" s="31" t="s">
        <v>790</v>
      </c>
      <c r="H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G26)),
  ROW(),
  ""
)</f>
        <v>26</v>
      </c>
      <c r="I26" s="31" t="str">
        <f t="shared" si="1"/>
        <v>ｱﾙﾌﾟｽｱﾙﾊﾟｲﾝ（平）13：30</v>
      </c>
      <c r="J26" s="26" t="str">
        <f t="shared" si="0"/>
        <v>アルプスアルパイン（タイラ）13：30</v>
      </c>
      <c r="K26" s="26" t="s">
        <v>53</v>
      </c>
      <c r="L26" s="40">
        <v>0.5625</v>
      </c>
      <c r="M26" s="21"/>
      <c r="N26" s="21"/>
      <c r="O26" s="22"/>
      <c r="P26" s="23"/>
      <c r="Q26" s="27" t="s">
        <v>122</v>
      </c>
      <c r="R26" s="34" t="s">
        <v>122</v>
      </c>
      <c r="S26" s="27" t="s">
        <v>122</v>
      </c>
      <c r="T26" s="27" t="s">
        <v>122</v>
      </c>
      <c r="U26" s="25" t="s">
        <v>55</v>
      </c>
    </row>
    <row r="27" spans="1:21" ht="21.75" customHeight="1" x14ac:dyDescent="0.15">
      <c r="B27" s="13" t="s">
        <v>454</v>
      </c>
      <c r="C27" s="118">
        <v>0.45833333333333298</v>
      </c>
      <c r="D27" s="118"/>
      <c r="E27" s="118"/>
      <c r="G27" s="31" t="s">
        <v>62</v>
      </c>
      <c r="H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G27)),
  ROW(),
  ""
)</f>
        <v>27</v>
      </c>
      <c r="I27" s="31" t="str">
        <f t="shared" si="1"/>
        <v>ｱﾙﾌﾟｽｱﾙﾊﾟｲﾝ（平）</v>
      </c>
      <c r="J27" s="26" t="str">
        <f t="shared" si="0"/>
        <v>アルプスアルパイン（タイラ）</v>
      </c>
      <c r="K27" s="26" t="s">
        <v>53</v>
      </c>
      <c r="L27" s="40"/>
      <c r="M27" s="21"/>
      <c r="N27" s="21"/>
      <c r="O27" s="22"/>
      <c r="P27" s="23"/>
      <c r="Q27" s="27"/>
      <c r="R27" s="34"/>
      <c r="S27" s="27"/>
      <c r="T27" s="27"/>
      <c r="U27" s="25" t="s">
        <v>55</v>
      </c>
    </row>
    <row r="28" spans="1:21" ht="21.75" customHeight="1" x14ac:dyDescent="0.15">
      <c r="B28" s="13" t="s">
        <v>455</v>
      </c>
      <c r="C28" s="118">
        <v>0.47916666666666602</v>
      </c>
      <c r="D28" s="118"/>
      <c r="E28" s="118"/>
      <c r="G28" s="31" t="s">
        <v>791</v>
      </c>
      <c r="H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G28)),
  ROW(),
  ""
)</f>
        <v>28</v>
      </c>
      <c r="I28" s="31" t="str">
        <f t="shared" si="1"/>
        <v>いわき市中部浄化ｾﾝﾀｰ13：00</v>
      </c>
      <c r="J28" s="26" t="str">
        <f t="shared" si="0"/>
        <v>イワキシチュウブジョウカセンター13：00</v>
      </c>
      <c r="K28" s="26" t="s">
        <v>53</v>
      </c>
      <c r="L28" s="40">
        <v>0.54166666666666663</v>
      </c>
      <c r="M28" s="21"/>
      <c r="N28" s="21"/>
      <c r="O28" s="22"/>
      <c r="P28" s="23"/>
      <c r="Q28" s="27" t="s">
        <v>122</v>
      </c>
      <c r="R28" s="34" t="s">
        <v>122</v>
      </c>
      <c r="S28" s="27" t="s">
        <v>122</v>
      </c>
      <c r="T28" s="27" t="s">
        <v>122</v>
      </c>
      <c r="U28" s="25" t="s">
        <v>55</v>
      </c>
    </row>
    <row r="29" spans="1:21" ht="21.75" customHeight="1" x14ac:dyDescent="0.15">
      <c r="B29" s="13" t="s">
        <v>456</v>
      </c>
      <c r="C29" s="118">
        <v>0.499999999999999</v>
      </c>
      <c r="D29" s="118"/>
      <c r="E29" s="118"/>
      <c r="G29" s="31" t="s">
        <v>63</v>
      </c>
      <c r="H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G29)),
  ROW(),
  ""
)</f>
        <v>29</v>
      </c>
      <c r="I29" s="31" t="str">
        <f t="shared" si="1"/>
        <v>いわき市中部浄化ｾﾝﾀｰ</v>
      </c>
      <c r="J29" s="26" t="str">
        <f t="shared" si="0"/>
        <v>イワキシチュウブジョウカセンター</v>
      </c>
      <c r="K29" s="26" t="s">
        <v>53</v>
      </c>
      <c r="L29" s="40"/>
      <c r="M29" s="21"/>
      <c r="N29" s="21"/>
      <c r="O29" s="22"/>
      <c r="P29" s="23"/>
      <c r="Q29" s="27" t="s">
        <v>122</v>
      </c>
      <c r="R29" s="34" t="s">
        <v>122</v>
      </c>
      <c r="S29" s="27" t="s">
        <v>122</v>
      </c>
      <c r="T29" s="27" t="s">
        <v>122</v>
      </c>
      <c r="U29" s="25" t="s">
        <v>55</v>
      </c>
    </row>
    <row r="30" spans="1:21" ht="21.75" customHeight="1" x14ac:dyDescent="0.15">
      <c r="B30" s="13" t="s">
        <v>770</v>
      </c>
      <c r="C30" s="118">
        <v>0.52083333333333337</v>
      </c>
      <c r="D30" s="118"/>
      <c r="E30" s="118"/>
      <c r="G30" s="26" t="s">
        <v>480</v>
      </c>
      <c r="H30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G30)),
  ROW(),
  ""
)</f>
        <v>30</v>
      </c>
      <c r="I30" s="26" t="str">
        <f t="shared" si="1"/>
        <v>いわき大王製紙</v>
      </c>
      <c r="J30" s="26" t="str">
        <f t="shared" si="0"/>
        <v>イワキダイオウセイシ</v>
      </c>
      <c r="K30" s="26" t="s">
        <v>53</v>
      </c>
      <c r="L30" s="40" t="s">
        <v>122</v>
      </c>
      <c r="M30" s="36">
        <v>0.25</v>
      </c>
      <c r="N30" s="21"/>
      <c r="O30" s="22"/>
      <c r="P30" s="23"/>
      <c r="Q30" s="27" t="s">
        <v>122</v>
      </c>
      <c r="R30" s="34" t="s">
        <v>122</v>
      </c>
      <c r="S30" s="27" t="s">
        <v>122</v>
      </c>
      <c r="T30" s="27" t="s">
        <v>122</v>
      </c>
      <c r="U30" s="25" t="s">
        <v>55</v>
      </c>
    </row>
    <row r="31" spans="1:21" ht="21.75" customHeight="1" x14ac:dyDescent="0.15">
      <c r="B31" s="13" t="s">
        <v>457</v>
      </c>
      <c r="C31" s="118">
        <v>0.54166666666666796</v>
      </c>
      <c r="G31" s="26" t="s">
        <v>944</v>
      </c>
      <c r="H31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G31)),
  ROW(),
  ""
)</f>
        <v>31</v>
      </c>
      <c r="I31" s="26" t="str">
        <f t="shared" si="1"/>
        <v>ｲﾝﾀｰﾅｼｮﾅﾙｹﾐｶﾙ8:30</v>
      </c>
      <c r="J31" s="26" t="str">
        <f t="shared" si="0"/>
        <v>インターナショナルケミカル8:30</v>
      </c>
      <c r="K31" s="26" t="s">
        <v>53</v>
      </c>
      <c r="L31" s="40">
        <v>0.35416666666666669</v>
      </c>
      <c r="M31" s="36">
        <v>0.3125</v>
      </c>
      <c r="N31" s="21"/>
      <c r="O31" s="22"/>
      <c r="P31" s="23"/>
      <c r="Q31" s="27" t="s">
        <v>122</v>
      </c>
      <c r="R31" s="34" t="s">
        <v>122</v>
      </c>
      <c r="S31" s="27" t="s">
        <v>122</v>
      </c>
      <c r="T31" s="27" t="s">
        <v>122</v>
      </c>
      <c r="U31" s="25" t="s">
        <v>55</v>
      </c>
    </row>
    <row r="32" spans="1:21" ht="21.75" customHeight="1" x14ac:dyDescent="0.15">
      <c r="C32" s="118">
        <v>0.562500000000002</v>
      </c>
      <c r="G32" s="26" t="s">
        <v>945</v>
      </c>
      <c r="H32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G32)),
  ROW(),
  ""
)</f>
        <v>32</v>
      </c>
      <c r="I32" s="26" t="str">
        <f t="shared" si="1"/>
        <v>ｲﾝﾀｰﾅｼｮﾅﾙｹﾐｶﾙ</v>
      </c>
      <c r="J32" s="26" t="str">
        <f t="shared" si="0"/>
        <v>インターナショナルケミカル</v>
      </c>
      <c r="K32" s="26" t="s">
        <v>53</v>
      </c>
      <c r="L32" s="40"/>
      <c r="M32" s="36"/>
      <c r="N32" s="21"/>
      <c r="O32" s="22"/>
      <c r="P32" s="23"/>
      <c r="Q32" s="27" t="s">
        <v>122</v>
      </c>
      <c r="R32" s="34" t="s">
        <v>122</v>
      </c>
      <c r="S32" s="27" t="s">
        <v>122</v>
      </c>
      <c r="T32" s="27" t="s">
        <v>122</v>
      </c>
      <c r="U32" s="25" t="s">
        <v>55</v>
      </c>
    </row>
    <row r="33" spans="3:21" ht="21.75" customHeight="1" x14ac:dyDescent="0.15">
      <c r="C33" s="118">
        <v>0.58333333333333603</v>
      </c>
      <c r="G33" s="26" t="s">
        <v>946</v>
      </c>
      <c r="H33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G33)),
  ROW(),
  ""
)</f>
        <v>33</v>
      </c>
      <c r="I33" s="26" t="str">
        <f t="shared" si="1"/>
        <v>ｳｲｽﾞ・ｳｴｽﾄ・ｼﾞｬﾊﾟﾝ13：00</v>
      </c>
      <c r="J33" s="26" t="str">
        <f t="shared" si="0"/>
        <v>ウイズ・ウエスト・ジャパン13：00</v>
      </c>
      <c r="K33" s="26" t="s">
        <v>64</v>
      </c>
      <c r="L33" s="40">
        <v>0.54166666666666663</v>
      </c>
      <c r="M33" s="40"/>
      <c r="N33" s="21"/>
      <c r="O33" s="22"/>
      <c r="P33" s="23"/>
      <c r="Q33" s="27"/>
      <c r="R33" s="34"/>
      <c r="S33" s="27"/>
      <c r="T33" s="27"/>
      <c r="U33" s="25"/>
    </row>
    <row r="34" spans="3:21" ht="21.75" customHeight="1" x14ac:dyDescent="0.15">
      <c r="C34" s="118">
        <v>0.60416666666667096</v>
      </c>
      <c r="G34" s="26" t="s">
        <v>792</v>
      </c>
      <c r="H34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G34)),
  ROW(),
  ""
)</f>
        <v>34</v>
      </c>
      <c r="I34" s="26" t="str">
        <f t="shared" si="1"/>
        <v>ｳｫｰﾀｰｴｰｼﾞｪﾝｼｰ（本宮）9：30</v>
      </c>
      <c r="J34" s="26" t="str">
        <f t="shared" si="0"/>
        <v>ウォーターエージェンシー（モトミヤ）9：30</v>
      </c>
      <c r="K34" s="26" t="s">
        <v>65</v>
      </c>
      <c r="L34" s="40">
        <v>0.39583333333333331</v>
      </c>
      <c r="M34" s="36">
        <v>0.25</v>
      </c>
      <c r="N34" s="21"/>
      <c r="O34" s="22"/>
      <c r="P34" s="23"/>
      <c r="Q34" s="27" t="s">
        <v>122</v>
      </c>
      <c r="R34" s="34" t="s">
        <v>122</v>
      </c>
      <c r="S34" s="27" t="s">
        <v>965</v>
      </c>
      <c r="T34" s="27" t="s">
        <v>122</v>
      </c>
      <c r="U34" s="25" t="s">
        <v>55</v>
      </c>
    </row>
    <row r="35" spans="3:21" ht="21.75" customHeight="1" x14ac:dyDescent="0.15">
      <c r="C35" s="118">
        <v>0.625000000000005</v>
      </c>
      <c r="G35" s="26" t="s">
        <v>66</v>
      </c>
      <c r="H35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G35)),
  ROW(),
  ""
)</f>
        <v>35</v>
      </c>
      <c r="I35" s="26" t="str">
        <f t="shared" si="1"/>
        <v>浮間化学</v>
      </c>
      <c r="J35" s="26" t="str">
        <f t="shared" si="0"/>
        <v>ウキマカガク</v>
      </c>
      <c r="K35" s="26" t="s">
        <v>53</v>
      </c>
      <c r="L35" s="40"/>
      <c r="M35" s="40"/>
      <c r="N35" s="21"/>
      <c r="O35" s="22"/>
      <c r="P35" s="23"/>
      <c r="Q35" s="27" t="s">
        <v>122</v>
      </c>
      <c r="R35" s="34" t="s">
        <v>122</v>
      </c>
      <c r="S35" s="37" t="s">
        <v>965</v>
      </c>
      <c r="T35" s="27" t="s">
        <v>122</v>
      </c>
      <c r="U35" s="25" t="s">
        <v>55</v>
      </c>
    </row>
    <row r="36" spans="3:21" ht="21.75" customHeight="1" x14ac:dyDescent="0.15">
      <c r="C36" s="118">
        <v>0.64583333333334003</v>
      </c>
      <c r="G36" s="26" t="s">
        <v>793</v>
      </c>
      <c r="H3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G36)),
  ROW(),
  ""
)</f>
        <v>36</v>
      </c>
      <c r="I36" s="26" t="str">
        <f t="shared" ref="I36:I67" si="7">INDEX(G:G,SMALL($H$4:$H$1113,ROW(G33)))</f>
        <v>ｴｱ･ｳｫｰﾀｰ(小名浜)10：00</v>
      </c>
      <c r="J36" s="26" t="str">
        <f t="shared" si="0"/>
        <v>エア･ウォーター(オナハマ)10：00</v>
      </c>
      <c r="K36" s="26" t="s">
        <v>53</v>
      </c>
      <c r="L36" s="40">
        <v>0.41666666666666669</v>
      </c>
      <c r="M36" s="40">
        <v>0.39583333333333331</v>
      </c>
      <c r="N36" s="21"/>
      <c r="O36" s="22"/>
      <c r="P36" s="23"/>
      <c r="Q36" s="27"/>
      <c r="R36" s="34"/>
      <c r="S36" s="37"/>
      <c r="T36" s="27"/>
      <c r="U36" s="25" t="s">
        <v>55</v>
      </c>
    </row>
    <row r="37" spans="3:21" ht="21.75" customHeight="1" x14ac:dyDescent="0.15">
      <c r="C37" s="118">
        <v>0.66666666666667396</v>
      </c>
      <c r="G37" s="26" t="s">
        <v>67</v>
      </c>
      <c r="H37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G37)),
  ROW(),
  ""
)</f>
        <v>37</v>
      </c>
      <c r="I37" s="26" t="str">
        <f t="shared" si="7"/>
        <v>ｴｱ･ｳｫｰﾀｰ(小名浜)</v>
      </c>
      <c r="J37" s="26" t="str">
        <f t="shared" si="0"/>
        <v>エア･ウォーター(オナハマ)</v>
      </c>
      <c r="K37" s="26" t="s">
        <v>53</v>
      </c>
      <c r="L37" s="40"/>
      <c r="M37" s="40"/>
      <c r="N37" s="21"/>
      <c r="O37" s="22"/>
      <c r="P37" s="23"/>
      <c r="Q37" s="27" t="s">
        <v>122</v>
      </c>
      <c r="R37" s="34" t="s">
        <v>122</v>
      </c>
      <c r="S37" s="37" t="s">
        <v>122</v>
      </c>
      <c r="T37" s="27" t="s">
        <v>122</v>
      </c>
      <c r="U37" s="25" t="s">
        <v>55</v>
      </c>
    </row>
    <row r="38" spans="3:21" ht="21.75" customHeight="1" x14ac:dyDescent="0.15">
      <c r="C38" s="118">
        <v>0.68750000000000799</v>
      </c>
      <c r="G38" s="26" t="s">
        <v>947</v>
      </c>
      <c r="H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G38)),
  ROW(),
  ""
)</f>
        <v>38</v>
      </c>
      <c r="I38" s="26" t="str">
        <f t="shared" si="7"/>
        <v>エヌシーテック7：00</v>
      </c>
      <c r="J38" s="26" t="str">
        <f t="shared" si="0"/>
        <v>エヌシーテック7：00</v>
      </c>
      <c r="K38" s="26" t="s">
        <v>68</v>
      </c>
      <c r="L38" s="40">
        <v>0.29166666666666669</v>
      </c>
      <c r="M38" s="40">
        <v>6.25E-2</v>
      </c>
      <c r="N38" s="32"/>
      <c r="O38" s="33"/>
      <c r="P38" s="34"/>
      <c r="Q38" s="27"/>
      <c r="R38" s="34" t="s">
        <v>69</v>
      </c>
      <c r="S38" s="27"/>
      <c r="T38" s="27"/>
      <c r="U38" s="25" t="s">
        <v>55</v>
      </c>
    </row>
    <row r="39" spans="3:21" ht="21.75" customHeight="1" x14ac:dyDescent="0.15">
      <c r="C39" s="118"/>
      <c r="G39" s="26" t="s">
        <v>794</v>
      </c>
      <c r="H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G39)),
  ROW(),
  ""
)</f>
        <v>39</v>
      </c>
      <c r="I39" s="26" t="str">
        <f t="shared" si="7"/>
        <v>エフオン大信発電所8：30</v>
      </c>
      <c r="J39" s="26" t="str">
        <f t="shared" si="0"/>
        <v>エフオンタイシンハツデンショ8：30</v>
      </c>
      <c r="K39" s="26" t="s">
        <v>70</v>
      </c>
      <c r="L39" s="40">
        <v>0.35416666666666669</v>
      </c>
      <c r="M39" s="40">
        <v>0.22916666666666666</v>
      </c>
      <c r="N39" s="32"/>
      <c r="O39" s="33"/>
      <c r="P39" s="34"/>
      <c r="Q39" s="27" t="s">
        <v>122</v>
      </c>
      <c r="R39" s="34" t="s">
        <v>122</v>
      </c>
      <c r="S39" s="27" t="s">
        <v>122</v>
      </c>
      <c r="T39" s="27" t="s">
        <v>122</v>
      </c>
      <c r="U39" s="25" t="s">
        <v>55</v>
      </c>
    </row>
    <row r="40" spans="3:21" ht="21.75" customHeight="1" x14ac:dyDescent="0.15">
      <c r="C40" s="118"/>
      <c r="G40" s="26" t="s">
        <v>493</v>
      </c>
      <c r="H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G40)),
  ROW(),
  ""
)</f>
        <v>40</v>
      </c>
      <c r="I40" s="26" t="str">
        <f t="shared" si="7"/>
        <v>エルナー白河</v>
      </c>
      <c r="J40" s="26" t="str">
        <f t="shared" si="0"/>
        <v>エルナーシラカワ</v>
      </c>
      <c r="K40" s="26" t="s">
        <v>71</v>
      </c>
      <c r="L40" s="40"/>
      <c r="M40" s="21">
        <v>0.22916666666666666</v>
      </c>
      <c r="N40" s="32"/>
      <c r="O40" s="33"/>
      <c r="P40" s="34"/>
      <c r="Q40" s="27" t="s">
        <v>122</v>
      </c>
      <c r="R40" s="34" t="s">
        <v>122</v>
      </c>
      <c r="S40" s="27" t="s">
        <v>122</v>
      </c>
      <c r="T40" s="27" t="s">
        <v>122</v>
      </c>
      <c r="U40" s="25" t="s">
        <v>55</v>
      </c>
    </row>
    <row r="41" spans="3:21" ht="21.75" customHeight="1" x14ac:dyDescent="0.15">
      <c r="G41" s="26" t="s">
        <v>495</v>
      </c>
      <c r="H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G41)),
  ROW(),
  ""
)</f>
        <v>41</v>
      </c>
      <c r="I41" s="26" t="str">
        <f t="shared" si="7"/>
        <v>大内新興(須賀川)8：00</v>
      </c>
      <c r="J41" s="26" t="str">
        <f t="shared" si="0"/>
        <v>オオウチシンコウ(スカガワ)8：00</v>
      </c>
      <c r="K41" s="26" t="s">
        <v>72</v>
      </c>
      <c r="L41" s="40">
        <v>0.33333333333333331</v>
      </c>
      <c r="M41" s="21">
        <v>0.22916666666666666</v>
      </c>
      <c r="N41" s="32"/>
      <c r="O41" s="33"/>
      <c r="P41" s="34"/>
      <c r="Q41" s="27" t="s">
        <v>122</v>
      </c>
      <c r="R41" s="34" t="s">
        <v>122</v>
      </c>
      <c r="S41" s="27" t="s">
        <v>122</v>
      </c>
      <c r="T41" s="27" t="s">
        <v>122</v>
      </c>
      <c r="U41" s="25" t="s">
        <v>55</v>
      </c>
    </row>
    <row r="42" spans="3:21" ht="21.75" customHeight="1" x14ac:dyDescent="0.15">
      <c r="G42" s="26" t="s">
        <v>494</v>
      </c>
      <c r="H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G42)),
  ROW(),
  ""
)</f>
        <v>42</v>
      </c>
      <c r="I42" s="26" t="str">
        <f t="shared" si="7"/>
        <v>大内新興(須賀川）9：00</v>
      </c>
      <c r="J42" s="31" t="str">
        <f t="shared" ref="J42:J125" si="8">PHONETIC(G42)</f>
        <v>オオウチシンコウ(スカガワ）9：00</v>
      </c>
      <c r="K42" s="26" t="s">
        <v>72</v>
      </c>
      <c r="L42" s="40">
        <v>0.375</v>
      </c>
      <c r="M42" s="21">
        <v>0.22916666666666666</v>
      </c>
      <c r="N42" s="32"/>
      <c r="O42" s="33"/>
      <c r="P42" s="34"/>
      <c r="Q42" s="27" t="s">
        <v>122</v>
      </c>
      <c r="R42" s="34" t="s">
        <v>122</v>
      </c>
      <c r="S42" s="27" t="s">
        <v>122</v>
      </c>
      <c r="T42" s="27" t="s">
        <v>122</v>
      </c>
      <c r="U42" s="25" t="s">
        <v>55</v>
      </c>
    </row>
    <row r="43" spans="3:21" ht="21.75" customHeight="1" x14ac:dyDescent="0.15">
      <c r="G43" s="26" t="s">
        <v>497</v>
      </c>
      <c r="H4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G43)),
  ROW(),
  ""
)</f>
        <v>43</v>
      </c>
      <c r="I43" s="31" t="str">
        <f t="shared" si="7"/>
        <v>大内新興(須賀川）9：15</v>
      </c>
      <c r="J43" s="31" t="str">
        <f t="shared" si="8"/>
        <v>オオウチシンコウ(スカガワ）9：15</v>
      </c>
      <c r="K43" s="26" t="s">
        <v>72</v>
      </c>
      <c r="L43" s="40">
        <v>0.38541666666666669</v>
      </c>
      <c r="M43" s="21">
        <v>0.22916666666666666</v>
      </c>
      <c r="N43" s="32"/>
      <c r="O43" s="33"/>
      <c r="P43" s="34"/>
      <c r="Q43" s="27"/>
      <c r="R43" s="34"/>
      <c r="S43" s="27"/>
      <c r="T43" s="27"/>
      <c r="U43" s="25" t="s">
        <v>55</v>
      </c>
    </row>
    <row r="44" spans="3:21" ht="21.75" customHeight="1" x14ac:dyDescent="0.15">
      <c r="G44" s="26" t="s">
        <v>783</v>
      </c>
      <c r="H4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G44)),
  ROW(),
  ""
)</f>
        <v>44</v>
      </c>
      <c r="I44" s="31" t="str">
        <f t="shared" si="7"/>
        <v>大内新興（須賀川）</v>
      </c>
      <c r="J44" s="31" t="str">
        <f t="shared" si="8"/>
        <v>オオウチシンコウ（スカガワ）</v>
      </c>
      <c r="K44" s="26" t="s">
        <v>72</v>
      </c>
      <c r="L44" s="40"/>
      <c r="M44" s="21"/>
      <c r="N44" s="32"/>
      <c r="O44" s="33"/>
      <c r="P44" s="26"/>
      <c r="Q44" s="26" t="s">
        <v>122</v>
      </c>
      <c r="R44" s="34" t="s">
        <v>122</v>
      </c>
      <c r="S44" s="38" t="s">
        <v>122</v>
      </c>
      <c r="T44" s="39" t="s">
        <v>122</v>
      </c>
      <c r="U44" s="25" t="s">
        <v>55</v>
      </c>
    </row>
    <row r="45" spans="3:21" ht="21.75" customHeight="1" x14ac:dyDescent="0.15">
      <c r="G45" s="34" t="s">
        <v>496</v>
      </c>
      <c r="H4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G45)),
  ROW(),
  ""
)</f>
        <v>45</v>
      </c>
      <c r="I45" s="31" t="str">
        <f t="shared" si="7"/>
        <v>大内新興（原町）8：00</v>
      </c>
      <c r="J45" s="31" t="str">
        <f t="shared" si="8"/>
        <v>オオウチシンコウ（ハラマチ）8：00</v>
      </c>
      <c r="K45" s="26" t="s">
        <v>73</v>
      </c>
      <c r="L45" s="40">
        <v>0.33333333333333331</v>
      </c>
      <c r="M45" s="21">
        <v>0.20833333333333334</v>
      </c>
      <c r="N45" s="32"/>
      <c r="O45" s="33"/>
      <c r="P45" s="34"/>
      <c r="Q45" s="27" t="s">
        <v>122</v>
      </c>
      <c r="R45" s="34" t="s">
        <v>500</v>
      </c>
      <c r="S45" s="27" t="s">
        <v>122</v>
      </c>
      <c r="T45" s="27" t="s">
        <v>122</v>
      </c>
      <c r="U45" s="25" t="s">
        <v>55</v>
      </c>
    </row>
    <row r="46" spans="3:21" ht="21.75" customHeight="1" x14ac:dyDescent="0.15">
      <c r="G46" s="34" t="s">
        <v>498</v>
      </c>
      <c r="H4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G46)),
  ROW(),
  ""
)</f>
        <v>46</v>
      </c>
      <c r="I46" s="26" t="str">
        <f t="shared" si="7"/>
        <v>大内新興（原町）9：00</v>
      </c>
      <c r="J46" s="26" t="str">
        <f t="shared" si="8"/>
        <v>オオウチシンコウ（ハラマチ）9：00</v>
      </c>
      <c r="K46" s="26" t="s">
        <v>73</v>
      </c>
      <c r="L46" s="40">
        <v>0.375</v>
      </c>
      <c r="M46" s="21">
        <v>0.20833333333333334</v>
      </c>
      <c r="N46" s="32"/>
      <c r="O46" s="33"/>
      <c r="P46" s="34"/>
      <c r="Q46" s="27" t="s">
        <v>122</v>
      </c>
      <c r="R46" s="34" t="s">
        <v>500</v>
      </c>
      <c r="S46" s="27" t="s">
        <v>122</v>
      </c>
      <c r="T46" s="27" t="s">
        <v>122</v>
      </c>
      <c r="U46" s="25" t="s">
        <v>55</v>
      </c>
    </row>
    <row r="47" spans="3:21" ht="21.75" customHeight="1" x14ac:dyDescent="0.15">
      <c r="G47" s="34" t="s">
        <v>499</v>
      </c>
      <c r="H4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G47)),
  ROW(),
  ""
)</f>
        <v>47</v>
      </c>
      <c r="I47" s="31" t="str">
        <f t="shared" si="7"/>
        <v>大内新興（原町）13：00</v>
      </c>
      <c r="J47" s="31" t="str">
        <f t="shared" si="8"/>
        <v>オオウチシンコウ（ハラマチ）13：00</v>
      </c>
      <c r="K47" s="26" t="s">
        <v>73</v>
      </c>
      <c r="L47" s="40">
        <v>0.54166666666666663</v>
      </c>
      <c r="M47" s="40"/>
      <c r="N47" s="21"/>
      <c r="O47" s="22"/>
      <c r="P47" s="23"/>
      <c r="Q47" s="27" t="s">
        <v>122</v>
      </c>
      <c r="R47" s="34" t="s">
        <v>500</v>
      </c>
      <c r="S47" s="27" t="s">
        <v>122</v>
      </c>
      <c r="T47" s="27" t="s">
        <v>122</v>
      </c>
      <c r="U47" s="25" t="s">
        <v>55</v>
      </c>
    </row>
    <row r="48" spans="3:21" ht="21.75" customHeight="1" x14ac:dyDescent="0.15">
      <c r="G48" s="34" t="s">
        <v>784</v>
      </c>
      <c r="H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G48)),
  ROW(),
  ""
)</f>
        <v>48</v>
      </c>
      <c r="I48" s="31" t="str">
        <f t="shared" si="7"/>
        <v>大内新興（原町）</v>
      </c>
      <c r="J48" s="31" t="str">
        <f t="shared" si="8"/>
        <v>オオウチシンコウ（ハラマチ）</v>
      </c>
      <c r="K48" s="26" t="s">
        <v>73</v>
      </c>
      <c r="L48" s="40"/>
      <c r="M48" s="40"/>
      <c r="N48" s="21"/>
      <c r="O48" s="22"/>
      <c r="P48" s="23"/>
      <c r="Q48" s="27" t="s">
        <v>122</v>
      </c>
      <c r="R48" s="34" t="s">
        <v>500</v>
      </c>
      <c r="S48" s="27" t="s">
        <v>122</v>
      </c>
      <c r="T48" s="27" t="s">
        <v>122</v>
      </c>
      <c r="U48" s="25" t="s">
        <v>55</v>
      </c>
    </row>
    <row r="49" spans="7:21" ht="21.75" customHeight="1" x14ac:dyDescent="0.15">
      <c r="G49" s="34" t="s">
        <v>795</v>
      </c>
      <c r="H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G49)),
  ROW(),
  ""
)</f>
        <v>49</v>
      </c>
      <c r="I49" s="31" t="str">
        <f t="shared" si="7"/>
        <v>大谷浄水場9：00</v>
      </c>
      <c r="J49" s="31" t="str">
        <f t="shared" si="8"/>
        <v>オオガイジョウスイジョウ9：00</v>
      </c>
      <c r="K49" s="26" t="s">
        <v>73</v>
      </c>
      <c r="L49" s="40">
        <v>0.375</v>
      </c>
      <c r="M49" s="40">
        <v>0.25</v>
      </c>
      <c r="N49" s="21"/>
      <c r="O49" s="22"/>
      <c r="P49" s="23"/>
      <c r="Q49" s="27" t="s">
        <v>122</v>
      </c>
      <c r="R49" s="34" t="s">
        <v>74</v>
      </c>
      <c r="S49" s="27" t="s">
        <v>122</v>
      </c>
      <c r="T49" s="27" t="s">
        <v>122</v>
      </c>
      <c r="U49" s="25" t="s">
        <v>55</v>
      </c>
    </row>
    <row r="50" spans="7:21" ht="21.75" customHeight="1" x14ac:dyDescent="0.15">
      <c r="G50" s="26" t="s">
        <v>75</v>
      </c>
      <c r="H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G50)),
  ROW(),
  ""
)</f>
        <v>50</v>
      </c>
      <c r="I50" s="31" t="str">
        <f t="shared" si="7"/>
        <v>大谷浄水場</v>
      </c>
      <c r="J50" s="31" t="str">
        <f t="shared" si="8"/>
        <v>オオガイジョウスイジョウ</v>
      </c>
      <c r="K50" s="26" t="s">
        <v>73</v>
      </c>
      <c r="L50" s="40"/>
      <c r="M50" s="21"/>
      <c r="N50" s="32"/>
      <c r="O50" s="33"/>
      <c r="P50" s="34"/>
      <c r="Q50" s="27" t="s">
        <v>122</v>
      </c>
      <c r="R50" s="34" t="s">
        <v>74</v>
      </c>
      <c r="S50" s="27" t="s">
        <v>122</v>
      </c>
      <c r="T50" s="27" t="s">
        <v>122</v>
      </c>
      <c r="U50" s="25" t="s">
        <v>55</v>
      </c>
    </row>
    <row r="51" spans="7:21" ht="21.75" customHeight="1" x14ac:dyDescent="0.15">
      <c r="G51" s="26" t="s">
        <v>796</v>
      </c>
      <c r="H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G51)),
  ROW(),
  ""
)</f>
        <v>51</v>
      </c>
      <c r="I51" s="31" t="str">
        <f t="shared" si="7"/>
        <v>オーガニック川口9：00</v>
      </c>
      <c r="J51" s="31" t="str">
        <f t="shared" si="8"/>
        <v>オーガニックカワグチ9：00</v>
      </c>
      <c r="K51" s="26" t="s">
        <v>77</v>
      </c>
      <c r="L51" s="40">
        <v>0.375</v>
      </c>
      <c r="M51" s="21">
        <v>0.16666666666666666</v>
      </c>
      <c r="N51" s="32"/>
      <c r="O51" s="33"/>
      <c r="P51" s="34"/>
      <c r="Q51" s="27"/>
      <c r="R51" s="34" t="s">
        <v>78</v>
      </c>
      <c r="S51" s="27"/>
      <c r="T51" s="27"/>
      <c r="U51" s="25" t="s">
        <v>55</v>
      </c>
    </row>
    <row r="52" spans="7:21" ht="21.75" customHeight="1" x14ac:dyDescent="0.15">
      <c r="G52" s="26" t="s">
        <v>76</v>
      </c>
      <c r="H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G52)),
  ROW(),
  ""
)</f>
        <v>52</v>
      </c>
      <c r="I52" s="31" t="str">
        <f t="shared" si="7"/>
        <v>オーガニック川口</v>
      </c>
      <c r="J52" s="31" t="str">
        <f t="shared" si="8"/>
        <v>オーガニックカワグチ</v>
      </c>
      <c r="K52" s="26"/>
      <c r="L52" s="40"/>
      <c r="M52" s="21"/>
      <c r="N52" s="32"/>
      <c r="O52" s="33"/>
      <c r="P52" s="34"/>
      <c r="Q52" s="34"/>
      <c r="R52" s="34"/>
      <c r="S52" s="38"/>
      <c r="T52" s="26"/>
      <c r="U52" s="25" t="s">
        <v>55</v>
      </c>
    </row>
    <row r="53" spans="7:21" ht="21.75" customHeight="1" x14ac:dyDescent="0.15">
      <c r="G53" s="26" t="s">
        <v>1080</v>
      </c>
      <c r="H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G53)),
  ROW(),
  ""
)</f>
        <v>53</v>
      </c>
      <c r="I53" s="31" t="str">
        <f t="shared" si="7"/>
        <v>大阪シ－リング</v>
      </c>
      <c r="J53" s="31" t="str">
        <f t="shared" si="8"/>
        <v>オオサカシ－リング</v>
      </c>
      <c r="K53" s="26" t="s">
        <v>79</v>
      </c>
      <c r="L53" s="40"/>
      <c r="M53" s="36">
        <v>0.20833333333333334</v>
      </c>
      <c r="N53" s="32"/>
      <c r="O53" s="33"/>
      <c r="P53" s="34"/>
      <c r="Q53" s="27"/>
      <c r="R53" s="34" t="s">
        <v>122</v>
      </c>
      <c r="S53" s="27"/>
      <c r="T53" s="27"/>
      <c r="U53" s="25" t="s">
        <v>55</v>
      </c>
    </row>
    <row r="54" spans="7:21" ht="21.75" customHeight="1" x14ac:dyDescent="0.15">
      <c r="G54" s="26" t="s">
        <v>532</v>
      </c>
      <c r="H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G54)),
  ROW(),
  ""
)</f>
        <v>54</v>
      </c>
      <c r="I54" s="31" t="str">
        <f t="shared" si="7"/>
        <v>大橋機産(船引)</v>
      </c>
      <c r="J54" s="31" t="str">
        <f t="shared" si="8"/>
        <v>オオハシキサン(フネヒキ)</v>
      </c>
      <c r="K54" s="26" t="s">
        <v>80</v>
      </c>
      <c r="L54" s="40" t="s">
        <v>122</v>
      </c>
      <c r="M54" s="36">
        <v>0.25</v>
      </c>
      <c r="N54" s="21"/>
      <c r="O54" s="22"/>
      <c r="P54" s="23"/>
      <c r="Q54" s="23"/>
      <c r="R54" s="34"/>
      <c r="S54" s="38"/>
      <c r="T54" s="41"/>
      <c r="U54" s="25" t="s">
        <v>55</v>
      </c>
    </row>
    <row r="55" spans="7:21" ht="21.75" customHeight="1" x14ac:dyDescent="0.15">
      <c r="G55" s="26" t="s">
        <v>81</v>
      </c>
      <c r="H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G55)),
  ROW(),
  ""
)</f>
        <v>55</v>
      </c>
      <c r="I55" s="31" t="str">
        <f t="shared" si="7"/>
        <v>小名浜苛性基地</v>
      </c>
      <c r="J55" s="31" t="str">
        <f t="shared" si="8"/>
        <v>オナハマカセイキチ</v>
      </c>
      <c r="K55" s="26" t="s">
        <v>53</v>
      </c>
      <c r="L55" s="40"/>
      <c r="M55" s="40">
        <v>0.29166666666666669</v>
      </c>
      <c r="N55" s="21"/>
      <c r="O55" s="22"/>
      <c r="P55" s="23"/>
      <c r="Q55" s="23"/>
      <c r="R55" s="34"/>
      <c r="S55" s="38"/>
      <c r="T55" s="41"/>
      <c r="U55" s="25" t="s">
        <v>55</v>
      </c>
    </row>
    <row r="56" spans="7:21" ht="21.75" customHeight="1" x14ac:dyDescent="0.15">
      <c r="G56" s="26" t="s">
        <v>501</v>
      </c>
      <c r="H5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G56)),
  ROW(),
  ""
)</f>
        <v>56</v>
      </c>
      <c r="I56" s="31" t="str">
        <f t="shared" si="7"/>
        <v>小名浜製錬9：00</v>
      </c>
      <c r="J56" s="31" t="str">
        <f t="shared" ref="J56:J64" si="9">PHONETIC(G56)</f>
        <v>オナハマセイレン9：00</v>
      </c>
      <c r="K56" s="26" t="s">
        <v>53</v>
      </c>
      <c r="L56" s="40">
        <v>0.375</v>
      </c>
      <c r="M56" s="40">
        <v>0.33333333333333331</v>
      </c>
      <c r="N56" s="21"/>
      <c r="O56" s="22"/>
      <c r="P56" s="23"/>
      <c r="Q56" s="23"/>
      <c r="R56" s="34"/>
      <c r="S56" s="38"/>
      <c r="T56" s="41"/>
      <c r="U56" s="25" t="s">
        <v>55</v>
      </c>
    </row>
    <row r="57" spans="7:21" ht="21.75" customHeight="1" x14ac:dyDescent="0.15">
      <c r="G57" s="26" t="s">
        <v>502</v>
      </c>
      <c r="H5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G57)),
  ROW(),
  ""
)</f>
        <v>57</v>
      </c>
      <c r="I57" s="31" t="str">
        <f t="shared" si="7"/>
        <v>小名浜製錬9：30</v>
      </c>
      <c r="J57" s="31" t="str">
        <f t="shared" si="9"/>
        <v>オナハマセイレン9：30</v>
      </c>
      <c r="K57" s="26" t="s">
        <v>53</v>
      </c>
      <c r="L57" s="40">
        <v>0.39583333333333331</v>
      </c>
      <c r="M57" s="40">
        <v>0.35416666666666669</v>
      </c>
      <c r="N57" s="21"/>
      <c r="O57" s="22"/>
      <c r="P57" s="23"/>
      <c r="Q57" s="23"/>
      <c r="R57" s="34"/>
      <c r="S57" s="38"/>
      <c r="T57" s="41"/>
      <c r="U57" s="25" t="s">
        <v>55</v>
      </c>
    </row>
    <row r="58" spans="7:21" ht="21.75" customHeight="1" x14ac:dyDescent="0.15">
      <c r="G58" s="26" t="s">
        <v>503</v>
      </c>
      <c r="H5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G58)),
  ROW(),
  ""
)</f>
        <v>58</v>
      </c>
      <c r="I58" s="31" t="str">
        <f t="shared" si="7"/>
        <v>小名浜製錬10：00</v>
      </c>
      <c r="J58" s="31" t="str">
        <f t="shared" si="9"/>
        <v>オナハマセイレン10：00</v>
      </c>
      <c r="K58" s="26" t="s">
        <v>53</v>
      </c>
      <c r="L58" s="40">
        <v>0.41666666666666669</v>
      </c>
      <c r="M58" s="40">
        <v>0.375</v>
      </c>
      <c r="N58" s="21"/>
      <c r="O58" s="22"/>
      <c r="P58" s="23"/>
      <c r="Q58" s="23"/>
      <c r="R58" s="34"/>
      <c r="S58" s="38"/>
      <c r="T58" s="41"/>
      <c r="U58" s="25" t="s">
        <v>55</v>
      </c>
    </row>
    <row r="59" spans="7:21" ht="21.75" customHeight="1" x14ac:dyDescent="0.15">
      <c r="G59" s="26" t="s">
        <v>785</v>
      </c>
      <c r="H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G59)),
  ROW(),
  ""
)</f>
        <v>59</v>
      </c>
      <c r="I59" s="31" t="str">
        <f t="shared" si="7"/>
        <v>小名浜製錬</v>
      </c>
      <c r="J59" s="31" t="str">
        <f t="shared" si="9"/>
        <v>オナハマセイレン</v>
      </c>
      <c r="K59" s="26" t="s">
        <v>53</v>
      </c>
      <c r="L59" s="40"/>
      <c r="M59" s="40"/>
      <c r="N59" s="21"/>
      <c r="O59" s="22"/>
      <c r="P59" s="23"/>
      <c r="Q59" s="23"/>
      <c r="R59" s="34"/>
      <c r="S59" s="38"/>
      <c r="T59" s="41"/>
      <c r="U59" s="25" t="s">
        <v>55</v>
      </c>
    </row>
    <row r="60" spans="7:21" ht="21.75" customHeight="1" x14ac:dyDescent="0.15">
      <c r="G60" s="26" t="s">
        <v>797</v>
      </c>
      <c r="H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G60)),
  ROW(),
  ""
)</f>
        <v>60</v>
      </c>
      <c r="I60" s="31" t="str">
        <f t="shared" si="7"/>
        <v>カゴメ（那須）8：30</v>
      </c>
      <c r="J60" s="31" t="str">
        <f t="shared" si="9"/>
        <v>カゴメ（ナス）8：30</v>
      </c>
      <c r="K60" s="26" t="s">
        <v>79</v>
      </c>
      <c r="L60" s="40">
        <v>0.33333333333333331</v>
      </c>
      <c r="M60" s="40">
        <v>0.16666666666666666</v>
      </c>
      <c r="N60" s="21"/>
      <c r="O60" s="22"/>
      <c r="P60" s="23"/>
      <c r="Q60" s="23"/>
      <c r="R60" s="34"/>
      <c r="S60" s="38"/>
      <c r="T60" s="41"/>
      <c r="U60" s="25" t="s">
        <v>55</v>
      </c>
    </row>
    <row r="61" spans="7:21" ht="21.75" customHeight="1" x14ac:dyDescent="0.15">
      <c r="G61" s="26" t="s">
        <v>82</v>
      </c>
      <c r="H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G61)),
  ROW(),
  ""
)</f>
        <v>61</v>
      </c>
      <c r="I61" s="31" t="str">
        <f t="shared" si="7"/>
        <v>カゴメ（那須）</v>
      </c>
      <c r="J61" s="31" t="str">
        <f t="shared" si="9"/>
        <v>カゴメ（ナス）</v>
      </c>
      <c r="K61" s="26" t="s">
        <v>79</v>
      </c>
      <c r="L61" s="40"/>
      <c r="M61" s="40"/>
      <c r="N61" s="21"/>
      <c r="O61" s="22"/>
      <c r="P61" s="23"/>
      <c r="Q61" s="23"/>
      <c r="R61" s="34" t="s">
        <v>122</v>
      </c>
      <c r="S61" s="38"/>
      <c r="T61" s="41"/>
      <c r="U61" s="25" t="s">
        <v>55</v>
      </c>
    </row>
    <row r="62" spans="7:21" ht="21.75" customHeight="1" x14ac:dyDescent="0.15">
      <c r="G62" s="26" t="s">
        <v>504</v>
      </c>
      <c r="H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G62)),
  ROW(),
  ""
)</f>
        <v>62</v>
      </c>
      <c r="I62" s="31" t="str">
        <f t="shared" si="7"/>
        <v>霞ヶ浦流域下水道事務所8：30</v>
      </c>
      <c r="J62" s="31" t="str">
        <f t="shared" si="9"/>
        <v>カスミガウラリュウイキゲスイドウジムショ8：30</v>
      </c>
      <c r="K62" s="26" t="s">
        <v>83</v>
      </c>
      <c r="L62" s="40">
        <v>0.35416666666666669</v>
      </c>
      <c r="M62" s="40">
        <v>0.16666666666666666</v>
      </c>
      <c r="N62" s="21"/>
      <c r="O62" s="22"/>
      <c r="P62" s="23"/>
      <c r="Q62" s="23"/>
      <c r="R62" s="34" t="s">
        <v>84</v>
      </c>
      <c r="S62" s="38"/>
      <c r="T62" s="41"/>
      <c r="U62" s="25" t="s">
        <v>55</v>
      </c>
    </row>
    <row r="63" spans="7:21" ht="21.75" customHeight="1" x14ac:dyDescent="0.15">
      <c r="G63" s="26" t="s">
        <v>505</v>
      </c>
      <c r="H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G63)),
  ROW(),
  ""
)</f>
        <v>63</v>
      </c>
      <c r="I63" s="31" t="str">
        <f t="shared" si="7"/>
        <v>霞ヶ浦流域下水道事務所9：00</v>
      </c>
      <c r="J63" s="31" t="str">
        <f t="shared" si="9"/>
        <v>カスミガウラリュウイキゲスイドウジムショ9：00</v>
      </c>
      <c r="K63" s="26" t="s">
        <v>83</v>
      </c>
      <c r="L63" s="40">
        <v>0.375</v>
      </c>
      <c r="M63" s="40">
        <v>0.1875</v>
      </c>
      <c r="N63" s="21"/>
      <c r="O63" s="22"/>
      <c r="P63" s="23"/>
      <c r="Q63" s="23"/>
      <c r="R63" s="34" t="s">
        <v>84</v>
      </c>
      <c r="S63" s="38"/>
      <c r="T63" s="41"/>
      <c r="U63" s="25" t="s">
        <v>55</v>
      </c>
    </row>
    <row r="64" spans="7:21" ht="21.75" customHeight="1" x14ac:dyDescent="0.15">
      <c r="G64" s="26" t="s">
        <v>786</v>
      </c>
      <c r="H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G64)),
  ROW(),
  ""
)</f>
        <v>64</v>
      </c>
      <c r="I64" s="31" t="str">
        <f t="shared" si="7"/>
        <v>霞ヶ浦流域下水道事務所</v>
      </c>
      <c r="J64" s="31" t="str">
        <f t="shared" si="9"/>
        <v>カスミガウラリュウイキゲスイドウジムショ</v>
      </c>
      <c r="K64" s="26" t="s">
        <v>83</v>
      </c>
      <c r="L64" s="40"/>
      <c r="M64" s="21"/>
      <c r="N64" s="21"/>
      <c r="O64" s="22"/>
      <c r="P64" s="23"/>
      <c r="Q64" s="23"/>
      <c r="R64" s="34" t="s">
        <v>122</v>
      </c>
      <c r="S64" s="38"/>
      <c r="T64" s="41"/>
      <c r="U64" s="25" t="s">
        <v>55</v>
      </c>
    </row>
    <row r="65" spans="7:21" ht="21.75" customHeight="1" x14ac:dyDescent="0.15">
      <c r="G65" s="26" t="s">
        <v>506</v>
      </c>
      <c r="H6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G65)),
  ROW(),
  ""
)</f>
        <v>65</v>
      </c>
      <c r="I65" s="31" t="str">
        <f t="shared" si="7"/>
        <v>片倉ｺｰﾌﾟアグリPM</v>
      </c>
      <c r="J65" s="31" t="str">
        <f t="shared" si="8"/>
        <v>カタクラコープアグリPM</v>
      </c>
      <c r="K65" s="26" t="s">
        <v>85</v>
      </c>
      <c r="L65" s="40" t="s">
        <v>966</v>
      </c>
      <c r="M65" s="40"/>
      <c r="N65" s="21"/>
      <c r="O65" s="22"/>
      <c r="P65" s="23"/>
      <c r="Q65" s="23"/>
      <c r="R65" s="34" t="s">
        <v>122</v>
      </c>
      <c r="S65" s="38"/>
      <c r="T65" s="41"/>
      <c r="U65" s="25" t="s">
        <v>55</v>
      </c>
    </row>
    <row r="66" spans="7:21" ht="21.75" customHeight="1" x14ac:dyDescent="0.15">
      <c r="G66" s="26" t="s">
        <v>787</v>
      </c>
      <c r="H6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G66)),
  ROW(),
  ""
)</f>
        <v>66</v>
      </c>
      <c r="I66" s="31" t="str">
        <f t="shared" si="7"/>
        <v>片倉ｺｰﾌﾟアグリ</v>
      </c>
      <c r="J66" s="31" t="str">
        <f t="shared" si="8"/>
        <v>カタクラコープアグリ</v>
      </c>
      <c r="K66" s="26" t="s">
        <v>85</v>
      </c>
      <c r="L66" s="40"/>
      <c r="M66" s="40"/>
      <c r="N66" s="32"/>
      <c r="O66" s="33"/>
      <c r="P66" s="26"/>
      <c r="Q66" s="26"/>
      <c r="R66" s="34" t="s">
        <v>122</v>
      </c>
      <c r="S66" s="38"/>
      <c r="T66" s="41"/>
      <c r="U66" s="25" t="s">
        <v>55</v>
      </c>
    </row>
    <row r="67" spans="7:21" ht="21.75" customHeight="1" x14ac:dyDescent="0.15">
      <c r="G67" s="26" t="s">
        <v>86</v>
      </c>
      <c r="H6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G67)),
  ROW(),
  ""
)</f>
        <v>67</v>
      </c>
      <c r="I67" s="31" t="str">
        <f t="shared" si="7"/>
        <v>カルビー（宇都宮）</v>
      </c>
      <c r="J67" s="31" t="str">
        <f t="shared" si="8"/>
        <v>カルビー（ウツノミヤ）</v>
      </c>
      <c r="K67" s="26" t="s">
        <v>87</v>
      </c>
      <c r="L67" s="40" t="s">
        <v>122</v>
      </c>
      <c r="M67" s="40">
        <v>0.14583333333333334</v>
      </c>
      <c r="N67" s="32"/>
      <c r="O67" s="33"/>
      <c r="P67" s="26"/>
      <c r="Q67" s="26"/>
      <c r="R67" s="34" t="s">
        <v>122</v>
      </c>
      <c r="S67" s="38"/>
      <c r="T67" s="41"/>
      <c r="U67" s="25" t="s">
        <v>55</v>
      </c>
    </row>
    <row r="68" spans="7:21" ht="21.75" customHeight="1" x14ac:dyDescent="0.15">
      <c r="G68" s="26" t="s">
        <v>88</v>
      </c>
      <c r="H6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G68)),
  ROW(),
  ""
)</f>
        <v>68</v>
      </c>
      <c r="I68" s="31" t="str">
        <f t="shared" ref="I68:I94" si="10">INDEX(G:G,SMALL($H$4:$H$1113,ROW(G65)))</f>
        <v>カルビー（清原）</v>
      </c>
      <c r="J68" s="31" t="str">
        <f t="shared" si="8"/>
        <v>カルビー（キヨハラ）</v>
      </c>
      <c r="K68" s="26" t="s">
        <v>87</v>
      </c>
      <c r="L68" s="40"/>
      <c r="M68" s="40">
        <v>0.14583333333333334</v>
      </c>
      <c r="N68" s="21"/>
      <c r="O68" s="22"/>
      <c r="P68" s="23"/>
      <c r="Q68" s="23"/>
      <c r="R68" s="34" t="s">
        <v>122</v>
      </c>
      <c r="S68" s="38"/>
      <c r="T68" s="41"/>
      <c r="U68" s="25" t="s">
        <v>55</v>
      </c>
    </row>
    <row r="69" spans="7:21" ht="21.75" customHeight="1" x14ac:dyDescent="0.15">
      <c r="G69" s="26" t="s">
        <v>507</v>
      </c>
      <c r="H6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G69)),
  ROW(),
  ""
)</f>
        <v>69</v>
      </c>
      <c r="I69" s="31" t="str">
        <f t="shared" si="10"/>
        <v>喜多方･熱塩浄水場9：00</v>
      </c>
      <c r="J69" s="31" t="str">
        <f t="shared" si="8"/>
        <v>キタカタ･アツシオジョウスイジョウ9：00</v>
      </c>
      <c r="K69" s="26" t="s">
        <v>89</v>
      </c>
      <c r="L69" s="40">
        <v>0.375</v>
      </c>
      <c r="M69" s="40">
        <v>0.1875</v>
      </c>
      <c r="N69" s="21"/>
      <c r="O69" s="22"/>
      <c r="P69" s="23"/>
      <c r="Q69" s="23"/>
      <c r="R69" s="34" t="s">
        <v>90</v>
      </c>
      <c r="S69" s="38"/>
      <c r="T69" s="41" t="s">
        <v>508</v>
      </c>
      <c r="U69" s="25" t="s">
        <v>55</v>
      </c>
    </row>
    <row r="70" spans="7:21" ht="21.75" customHeight="1" x14ac:dyDescent="0.15">
      <c r="G70" s="26" t="s">
        <v>509</v>
      </c>
      <c r="H7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G70)),
  ROW(),
  ""
)</f>
        <v>70</v>
      </c>
      <c r="I70" s="31" t="str">
        <f t="shared" si="10"/>
        <v>喜多方･熱塩浄水場13：30</v>
      </c>
      <c r="J70" s="31" t="str">
        <f t="shared" si="8"/>
        <v>キタカタ･アツシオジョウスイジョウ13：30</v>
      </c>
      <c r="K70" s="26" t="s">
        <v>89</v>
      </c>
      <c r="L70" s="40">
        <v>0.5625</v>
      </c>
      <c r="M70" s="40">
        <v>0.375</v>
      </c>
      <c r="N70" s="21"/>
      <c r="O70" s="22"/>
      <c r="P70" s="23"/>
      <c r="Q70" s="23"/>
      <c r="R70" s="34" t="s">
        <v>90</v>
      </c>
      <c r="S70" s="38"/>
      <c r="T70" s="41" t="s">
        <v>508</v>
      </c>
      <c r="U70" s="25" t="s">
        <v>55</v>
      </c>
    </row>
    <row r="71" spans="7:21" ht="21.75" customHeight="1" x14ac:dyDescent="0.15">
      <c r="G71" s="42" t="s">
        <v>798</v>
      </c>
      <c r="H7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G71)),
  ROW(),
  ""
)</f>
        <v>71</v>
      </c>
      <c r="I71" s="31" t="str">
        <f t="shared" si="10"/>
        <v>喜多方･熱塩浄水場</v>
      </c>
      <c r="J71" s="31" t="str">
        <f t="shared" si="8"/>
        <v>キタカタ･アツシオジョウスイジョウ</v>
      </c>
      <c r="K71" s="26" t="s">
        <v>89</v>
      </c>
      <c r="L71" s="40"/>
      <c r="M71" s="43"/>
      <c r="N71" s="21"/>
      <c r="O71" s="22"/>
      <c r="P71" s="23"/>
      <c r="Q71" s="23"/>
      <c r="R71" s="34" t="s">
        <v>122</v>
      </c>
      <c r="S71" s="38"/>
      <c r="T71" s="41"/>
      <c r="U71" s="25" t="s">
        <v>55</v>
      </c>
    </row>
    <row r="72" spans="7:21" ht="21.75" customHeight="1" x14ac:dyDescent="0.15">
      <c r="G72" s="42" t="s">
        <v>521</v>
      </c>
      <c r="H7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G72)),
  ROW(),
  ""
)</f>
        <v>72</v>
      </c>
      <c r="I72" s="31" t="str">
        <f t="shared" si="10"/>
        <v>北関東ケミカル7：00</v>
      </c>
      <c r="J72" s="31" t="str">
        <f t="shared" si="8"/>
        <v>キタカントウケミカル7：00</v>
      </c>
      <c r="K72" s="26" t="s">
        <v>91</v>
      </c>
      <c r="L72" s="40">
        <v>0.29166666666666669</v>
      </c>
      <c r="M72" s="40">
        <v>0.10416666666666667</v>
      </c>
      <c r="N72" s="21"/>
      <c r="O72" s="22"/>
      <c r="P72" s="23"/>
      <c r="Q72" s="23"/>
      <c r="R72" s="34" t="s">
        <v>510</v>
      </c>
      <c r="S72" s="38"/>
      <c r="T72" s="41" t="s">
        <v>508</v>
      </c>
      <c r="U72" s="25" t="s">
        <v>55</v>
      </c>
    </row>
    <row r="73" spans="7:21" ht="21.75" customHeight="1" x14ac:dyDescent="0.15">
      <c r="G73" s="26" t="s">
        <v>92</v>
      </c>
      <c r="H7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G73)),
  ROW(),
  ""
)</f>
        <v>73</v>
      </c>
      <c r="I73" s="31" t="str">
        <f t="shared" si="10"/>
        <v>キョウデン東北</v>
      </c>
      <c r="J73" s="31" t="str">
        <f t="shared" si="8"/>
        <v>キョウデントウホク</v>
      </c>
      <c r="K73" s="26" t="s">
        <v>53</v>
      </c>
      <c r="L73" s="40" t="s">
        <v>122</v>
      </c>
      <c r="M73" s="40">
        <v>0.29166666666666669</v>
      </c>
      <c r="N73" s="32"/>
      <c r="O73" s="33"/>
      <c r="P73" s="34"/>
      <c r="Q73" s="34"/>
      <c r="R73" s="34"/>
      <c r="S73" s="38"/>
      <c r="T73" s="34"/>
      <c r="U73" s="25" t="s">
        <v>55</v>
      </c>
    </row>
    <row r="74" spans="7:21" ht="21.75" customHeight="1" x14ac:dyDescent="0.15">
      <c r="G74" s="26" t="s">
        <v>520</v>
      </c>
      <c r="H7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G74)),
  ROW(),
  ""
)</f>
        <v>74</v>
      </c>
      <c r="I74" s="31" t="str">
        <f t="shared" si="10"/>
        <v>クリーンテック（第二）9：00</v>
      </c>
      <c r="J74" s="31" t="str">
        <f t="shared" si="8"/>
        <v>クリーンテック（ダイニ）9：00</v>
      </c>
      <c r="K74" s="26" t="s">
        <v>93</v>
      </c>
      <c r="L74" s="40">
        <v>0.375</v>
      </c>
      <c r="M74" s="40">
        <v>0.1875</v>
      </c>
      <c r="N74" s="32"/>
      <c r="O74" s="33"/>
      <c r="P74" s="26"/>
      <c r="Q74" s="26"/>
      <c r="R74" s="34" t="s">
        <v>78</v>
      </c>
      <c r="S74" s="38"/>
      <c r="T74" s="41" t="s">
        <v>508</v>
      </c>
      <c r="U74" s="25" t="s">
        <v>55</v>
      </c>
    </row>
    <row r="75" spans="7:21" ht="21.75" customHeight="1" x14ac:dyDescent="0.15">
      <c r="G75" s="26" t="s">
        <v>799</v>
      </c>
      <c r="H7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G75)),
  ROW(),
  ""
)</f>
        <v>75</v>
      </c>
      <c r="I75" s="31" t="str">
        <f t="shared" si="10"/>
        <v>クリーンテック（第二）</v>
      </c>
      <c r="J75" s="31" t="str">
        <f t="shared" si="8"/>
        <v>クリーンテック（ダイニ）</v>
      </c>
      <c r="K75" s="26" t="s">
        <v>93</v>
      </c>
      <c r="L75" s="40"/>
      <c r="M75" s="40"/>
      <c r="N75" s="32"/>
      <c r="O75" s="33"/>
      <c r="P75" s="26"/>
      <c r="Q75" s="26"/>
      <c r="R75" s="34" t="s">
        <v>78</v>
      </c>
      <c r="S75" s="38"/>
      <c r="T75" s="123" t="s">
        <v>508</v>
      </c>
      <c r="U75" s="25" t="s">
        <v>55</v>
      </c>
    </row>
    <row r="76" spans="7:21" ht="21.75" customHeight="1" x14ac:dyDescent="0.15">
      <c r="G76" s="26" t="s">
        <v>94</v>
      </c>
      <c r="H7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G76)),
  ROW(),
  ""
)</f>
        <v>76</v>
      </c>
      <c r="I76" s="31" t="str">
        <f t="shared" si="10"/>
        <v>クリ－ン原町センター</v>
      </c>
      <c r="J76" s="31" t="str">
        <f t="shared" si="8"/>
        <v>クリ－ンハラマチセンター</v>
      </c>
      <c r="K76" s="26" t="s">
        <v>73</v>
      </c>
      <c r="L76" s="40" t="s">
        <v>122</v>
      </c>
      <c r="M76" s="40">
        <v>0.25</v>
      </c>
      <c r="N76" s="21"/>
      <c r="O76" s="22"/>
      <c r="P76" s="23"/>
      <c r="Q76" s="23"/>
      <c r="R76" s="34" t="s">
        <v>95</v>
      </c>
      <c r="S76" s="38"/>
      <c r="T76" s="123"/>
      <c r="U76" s="25" t="s">
        <v>55</v>
      </c>
    </row>
    <row r="77" spans="7:21" ht="21.75" customHeight="1" x14ac:dyDescent="0.15">
      <c r="G77" s="26" t="s">
        <v>519</v>
      </c>
      <c r="H77" s="10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G77)),
  ROW(),
  ""
)</f>
        <v>77</v>
      </c>
      <c r="I77" s="106" t="str">
        <f t="shared" si="10"/>
        <v>クレハ環境13：00</v>
      </c>
      <c r="J77" s="31" t="str">
        <f t="shared" si="8"/>
        <v>クレハカンキョウ13：00</v>
      </c>
      <c r="K77" s="26" t="s">
        <v>53</v>
      </c>
      <c r="L77" s="40">
        <v>0.54166666666666663</v>
      </c>
      <c r="M77" s="43"/>
      <c r="N77" s="21"/>
      <c r="O77" s="22"/>
      <c r="P77" s="23"/>
      <c r="Q77" s="23"/>
      <c r="R77" s="34"/>
      <c r="S77" s="38"/>
      <c r="T77" s="41"/>
      <c r="U77" s="25" t="s">
        <v>55</v>
      </c>
    </row>
    <row r="78" spans="7:21" ht="21.75" customHeight="1" x14ac:dyDescent="0.15">
      <c r="G78" s="26" t="s">
        <v>800</v>
      </c>
      <c r="H7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G78)),
  ROW(),
  ""
)</f>
        <v>78</v>
      </c>
      <c r="I78" s="31" t="str">
        <f t="shared" si="10"/>
        <v>クレハ環境</v>
      </c>
      <c r="J78" s="31" t="str">
        <f t="shared" si="8"/>
        <v>クレハカンキョウ</v>
      </c>
      <c r="K78" s="26" t="s">
        <v>53</v>
      </c>
      <c r="L78" s="40"/>
      <c r="M78" s="40"/>
      <c r="N78" s="21"/>
      <c r="O78" s="22"/>
      <c r="P78" s="23"/>
      <c r="Q78" s="23"/>
      <c r="R78" s="34"/>
      <c r="S78" s="38"/>
      <c r="T78" s="123"/>
      <c r="U78" s="25" t="s">
        <v>55</v>
      </c>
    </row>
    <row r="79" spans="7:21" ht="21.75" customHeight="1" x14ac:dyDescent="0.15">
      <c r="G79" s="26" t="s">
        <v>518</v>
      </c>
      <c r="H7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G79)),
  ROW(),
  ""
)</f>
        <v>79</v>
      </c>
      <c r="I79" s="31" t="str">
        <f t="shared" si="10"/>
        <v>クニミネ工業8：00</v>
      </c>
      <c r="J79" s="31" t="str">
        <f t="shared" si="8"/>
        <v>クニミネコウギョウ8：00</v>
      </c>
      <c r="K79" s="26" t="s">
        <v>53</v>
      </c>
      <c r="L79" s="40">
        <v>0.33333333333333331</v>
      </c>
      <c r="M79" s="40">
        <v>0.29166666666666669</v>
      </c>
      <c r="N79" s="21"/>
      <c r="O79" s="22"/>
      <c r="P79" s="23"/>
      <c r="Q79" s="23"/>
      <c r="R79" s="34" t="s">
        <v>122</v>
      </c>
      <c r="S79" s="38"/>
      <c r="T79" s="41"/>
      <c r="U79" s="25" t="s">
        <v>55</v>
      </c>
    </row>
    <row r="80" spans="7:21" ht="21.75" customHeight="1" x14ac:dyDescent="0.15">
      <c r="G80" s="26" t="s">
        <v>801</v>
      </c>
      <c r="H8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G80)),
  ROW(),
  ""
)</f>
        <v>80</v>
      </c>
      <c r="I80" s="31" t="str">
        <f t="shared" si="10"/>
        <v>クニミネ工業</v>
      </c>
      <c r="J80" s="31" t="str">
        <f t="shared" si="8"/>
        <v>クニミネコウギョウ</v>
      </c>
      <c r="K80" s="26" t="s">
        <v>53</v>
      </c>
      <c r="L80" s="40"/>
      <c r="M80" s="40"/>
      <c r="N80" s="21"/>
      <c r="O80" s="22"/>
      <c r="P80" s="23"/>
      <c r="Q80" s="23"/>
      <c r="R80" s="34" t="s">
        <v>122</v>
      </c>
      <c r="S80" s="38"/>
      <c r="T80" s="41"/>
      <c r="U80" s="25" t="s">
        <v>55</v>
      </c>
    </row>
    <row r="81" spans="7:21" ht="21.75" customHeight="1" x14ac:dyDescent="0.15">
      <c r="G81" s="26" t="s">
        <v>96</v>
      </c>
      <c r="H8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G81)),
  ROW(),
  ""
)</f>
        <v>81</v>
      </c>
      <c r="I81" s="31" t="str">
        <f t="shared" si="10"/>
        <v>ｸﾞﾛｰﾊﾞﾙｱﾄﾞﾊﾞﾝｽ(会津)</v>
      </c>
      <c r="J81" s="31" t="str">
        <f t="shared" si="8"/>
        <v>グローバルアドバンス(アイヅ)</v>
      </c>
      <c r="K81" s="26" t="s">
        <v>97</v>
      </c>
      <c r="L81" s="40" t="s">
        <v>122</v>
      </c>
      <c r="M81" s="40">
        <v>0.1875</v>
      </c>
      <c r="N81" s="21"/>
      <c r="O81" s="22"/>
      <c r="P81" s="23"/>
      <c r="Q81" s="23"/>
      <c r="R81" s="34"/>
      <c r="S81" s="38"/>
      <c r="T81" s="123"/>
      <c r="U81" s="25" t="s">
        <v>55</v>
      </c>
    </row>
    <row r="82" spans="7:21" ht="21.75" customHeight="1" x14ac:dyDescent="0.15">
      <c r="G82" s="26" t="s">
        <v>98</v>
      </c>
      <c r="H8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G82)),
  ROW(),
  ""
)</f>
        <v>82</v>
      </c>
      <c r="I82" s="31" t="str">
        <f t="shared" si="10"/>
        <v>ｸﾞﾛｰﾊﾞﾙｳｴ-ﾊｽﾞ(新潟)</v>
      </c>
      <c r="J82" s="31" t="str">
        <f t="shared" si="8"/>
        <v>グローバルウエ-ハズ(ニイガタ)</v>
      </c>
      <c r="K82" s="26" t="s">
        <v>99</v>
      </c>
      <c r="L82" s="40"/>
      <c r="M82" s="40">
        <v>0.10416666666666667</v>
      </c>
      <c r="N82" s="21"/>
      <c r="O82" s="22"/>
      <c r="P82" s="23"/>
      <c r="Q82" s="23"/>
      <c r="R82" s="34" t="s">
        <v>100</v>
      </c>
      <c r="S82" s="38"/>
      <c r="T82" s="123" t="s">
        <v>508</v>
      </c>
      <c r="U82" s="25" t="s">
        <v>55</v>
      </c>
    </row>
    <row r="83" spans="7:21" ht="21.75" customHeight="1" x14ac:dyDescent="0.15">
      <c r="G83" s="44" t="s">
        <v>98</v>
      </c>
      <c r="H8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G83)),
  ROW(),
  ""
)</f>
        <v>83</v>
      </c>
      <c r="I83" s="31" t="str">
        <f t="shared" si="10"/>
        <v>ｸﾞﾛｰﾊﾞﾙｳｴ-ﾊｽﾞ(新潟)</v>
      </c>
      <c r="J83" s="31" t="str">
        <f t="shared" si="8"/>
        <v>グローバルウエ-ハズ(ニイガタ)</v>
      </c>
      <c r="K83" s="44" t="s">
        <v>99</v>
      </c>
      <c r="L83" s="124"/>
      <c r="M83" s="124"/>
      <c r="N83" s="46"/>
      <c r="O83" s="47"/>
      <c r="P83" s="48"/>
      <c r="Q83" s="48"/>
      <c r="R83" s="214"/>
      <c r="S83" s="38"/>
      <c r="T83" s="41"/>
      <c r="U83" s="25" t="s">
        <v>55</v>
      </c>
    </row>
    <row r="84" spans="7:21" ht="21.75" customHeight="1" x14ac:dyDescent="0.15">
      <c r="G84" s="44" t="s">
        <v>745</v>
      </c>
      <c r="H8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G84)),
  ROW(),
  ""
)</f>
        <v>84</v>
      </c>
      <c r="I84" s="31" t="str">
        <f t="shared" si="10"/>
        <v>ＫＰＳ×①</v>
      </c>
      <c r="J84" s="31" t="str">
        <f t="shared" si="8"/>
        <v>ケーピーエス×①</v>
      </c>
      <c r="K84" s="44" t="s">
        <v>53</v>
      </c>
      <c r="L84" s="40"/>
      <c r="M84" s="43">
        <v>0.25</v>
      </c>
      <c r="N84" s="21"/>
      <c r="O84" s="22"/>
      <c r="P84" s="23"/>
      <c r="Q84" s="23"/>
      <c r="R84" s="214"/>
      <c r="S84" s="38"/>
      <c r="T84" s="41"/>
      <c r="U84" s="25" t="s">
        <v>55</v>
      </c>
    </row>
    <row r="85" spans="7:21" ht="21.75" customHeight="1" x14ac:dyDescent="0.15">
      <c r="G85" s="26" t="s">
        <v>746</v>
      </c>
      <c r="H8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G85)),
  ROW(),
  ""
)</f>
        <v>85</v>
      </c>
      <c r="I85" s="31" t="str">
        <f t="shared" si="10"/>
        <v>ＫＰＳ×②</v>
      </c>
      <c r="J85" s="31" t="str">
        <f t="shared" si="8"/>
        <v>ケーピーエス×②</v>
      </c>
      <c r="K85" s="26" t="s">
        <v>53</v>
      </c>
      <c r="L85" s="40"/>
      <c r="M85" s="43">
        <v>0.25</v>
      </c>
      <c r="N85" s="21"/>
      <c r="O85" s="22"/>
      <c r="P85" s="23"/>
      <c r="Q85" s="23"/>
      <c r="R85" s="34"/>
      <c r="S85" s="38"/>
      <c r="T85" s="41"/>
      <c r="U85" s="25"/>
    </row>
    <row r="86" spans="7:21" ht="21.75" customHeight="1" x14ac:dyDescent="0.15">
      <c r="G86" s="26" t="s">
        <v>747</v>
      </c>
      <c r="H86" s="45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G86)),
  ROW(),
  ""
)</f>
        <v>86</v>
      </c>
      <c r="I86" s="45" t="str">
        <f t="shared" si="10"/>
        <v>ＫＰＳ×③</v>
      </c>
      <c r="J86" s="45" t="str">
        <f t="shared" si="8"/>
        <v>ケーピーエス×③</v>
      </c>
      <c r="K86" s="26" t="s">
        <v>53</v>
      </c>
      <c r="L86" s="124"/>
      <c r="M86" s="124">
        <v>0.25</v>
      </c>
      <c r="N86" s="46"/>
      <c r="O86" s="47"/>
      <c r="P86" s="48"/>
      <c r="Q86" s="48"/>
      <c r="R86" s="214"/>
      <c r="S86" s="49"/>
      <c r="T86" s="50"/>
      <c r="U86" s="25"/>
    </row>
    <row r="87" spans="7:21" s="5" customFormat="1" ht="21.75" customHeight="1" x14ac:dyDescent="0.15">
      <c r="G87" s="26" t="s">
        <v>977</v>
      </c>
      <c r="H8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G87)),
  ROW(),
  ""
)</f>
        <v>87</v>
      </c>
      <c r="I87" s="31" t="str">
        <f t="shared" si="10"/>
        <v>ＫＰＳ新設備</v>
      </c>
      <c r="J87" s="31" t="str">
        <f t="shared" si="8"/>
        <v>ＫＰＳシンセツビ</v>
      </c>
      <c r="K87" s="26" t="s">
        <v>53</v>
      </c>
      <c r="L87" s="40">
        <v>0.35416666666666669</v>
      </c>
      <c r="M87" s="40">
        <v>0.25</v>
      </c>
      <c r="N87" s="21"/>
      <c r="O87" s="22"/>
      <c r="P87" s="23"/>
      <c r="Q87" s="23"/>
      <c r="R87" s="34"/>
      <c r="S87" s="38"/>
      <c r="T87" s="41"/>
      <c r="U87" s="25"/>
    </row>
    <row r="88" spans="7:21" s="5" customFormat="1" ht="21.75" customHeight="1" x14ac:dyDescent="0.15">
      <c r="G88" s="26" t="s">
        <v>517</v>
      </c>
      <c r="H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G88)),
  ROW(),
  ""
)</f>
        <v>88</v>
      </c>
      <c r="I88" s="107" t="str">
        <f t="shared" si="10"/>
        <v>ケミコン東日本(喜多方)6：00</v>
      </c>
      <c r="J88" s="31" t="str">
        <f t="shared" si="8"/>
        <v>ケミコンヒガシニホン(キタカタ)6：00</v>
      </c>
      <c r="K88" s="26" t="s">
        <v>89</v>
      </c>
      <c r="L88" s="40">
        <v>0.25</v>
      </c>
      <c r="M88" s="40">
        <v>8.3333333333333329E-2</v>
      </c>
      <c r="N88" s="21"/>
      <c r="O88" s="22"/>
      <c r="P88" s="23" t="s">
        <v>58</v>
      </c>
      <c r="Q88" s="23"/>
      <c r="R88" s="34" t="s">
        <v>90</v>
      </c>
      <c r="S88" s="38"/>
      <c r="T88" s="41" t="s">
        <v>508</v>
      </c>
      <c r="U88" s="25" t="s">
        <v>55</v>
      </c>
    </row>
    <row r="89" spans="7:21" s="5" customFormat="1" ht="21.75" customHeight="1" x14ac:dyDescent="0.15">
      <c r="G89" s="26" t="s">
        <v>802</v>
      </c>
      <c r="H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G89)),
  ROW(),
  ""
)</f>
        <v>89</v>
      </c>
      <c r="I89" s="107" t="str">
        <f t="shared" si="10"/>
        <v>ケミコン東日本(喜多方)</v>
      </c>
      <c r="J89" s="31" t="str">
        <f t="shared" si="8"/>
        <v>ケミコンヒガシニホン(キタカタ)</v>
      </c>
      <c r="K89" s="26" t="s">
        <v>89</v>
      </c>
      <c r="L89" s="40"/>
      <c r="M89" s="40"/>
      <c r="N89" s="21"/>
      <c r="O89" s="22"/>
      <c r="P89" s="23"/>
      <c r="Q89" s="23"/>
      <c r="R89" s="34"/>
      <c r="S89" s="38"/>
      <c r="T89" s="41"/>
      <c r="U89" s="25" t="s">
        <v>55</v>
      </c>
    </row>
    <row r="90" spans="7:21" s="5" customFormat="1" ht="21.75" customHeight="1" x14ac:dyDescent="0.15">
      <c r="G90" s="26" t="s">
        <v>102</v>
      </c>
      <c r="H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G90)),
  ROW(),
  ""
)</f>
        <v>90</v>
      </c>
      <c r="I90" s="107" t="str">
        <f t="shared" si="10"/>
        <v>鴻池組(勿来工場)</v>
      </c>
      <c r="J90" s="31" t="str">
        <f t="shared" si="8"/>
        <v>コウノイケク(ナコソコウジョウ)</v>
      </c>
      <c r="K90" s="26" t="s">
        <v>53</v>
      </c>
      <c r="L90" s="40" t="s">
        <v>122</v>
      </c>
      <c r="M90" s="40">
        <v>0.3125</v>
      </c>
      <c r="N90" s="21"/>
      <c r="O90" s="22"/>
      <c r="P90" s="23"/>
      <c r="Q90" s="23"/>
      <c r="R90" s="34"/>
      <c r="S90" s="38"/>
      <c r="T90" s="41"/>
      <c r="U90" s="25" t="s">
        <v>55</v>
      </c>
    </row>
    <row r="91" spans="7:21" s="5" customFormat="1" ht="21.75" customHeight="1" x14ac:dyDescent="0.15">
      <c r="G91" s="26" t="s">
        <v>103</v>
      </c>
      <c r="H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G91)),
  ROW(),
  ""
)</f>
        <v>91</v>
      </c>
      <c r="I91" s="107" t="str">
        <f t="shared" si="10"/>
        <v>向洋産業</v>
      </c>
      <c r="J91" s="31" t="str">
        <f t="shared" si="8"/>
        <v>コウヨウサンギョウ</v>
      </c>
      <c r="K91" s="26" t="s">
        <v>511</v>
      </c>
      <c r="L91" s="40"/>
      <c r="M91" s="40"/>
      <c r="N91" s="21"/>
      <c r="O91" s="22"/>
      <c r="P91" s="23"/>
      <c r="Q91" s="23"/>
      <c r="R91" s="34"/>
      <c r="S91" s="38"/>
      <c r="T91" s="123"/>
      <c r="U91" s="25" t="s">
        <v>55</v>
      </c>
    </row>
    <row r="92" spans="7:21" s="5" customFormat="1" ht="21.75" customHeight="1" x14ac:dyDescent="0.15">
      <c r="G92" s="26" t="s">
        <v>516</v>
      </c>
      <c r="H9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G92)),
  ROW(),
  ""
)</f>
        <v>92</v>
      </c>
      <c r="I92" s="107" t="str">
        <f t="shared" si="10"/>
        <v>郡山食肉センター6：00</v>
      </c>
      <c r="J92" s="31" t="str">
        <f t="shared" si="8"/>
        <v>コオリヤマショクニクセンター6：00</v>
      </c>
      <c r="K92" s="26" t="s">
        <v>57</v>
      </c>
      <c r="L92" s="40">
        <v>0.25</v>
      </c>
      <c r="M92" s="40">
        <v>0.125</v>
      </c>
      <c r="N92" s="21" t="s">
        <v>122</v>
      </c>
      <c r="O92" s="22" t="s">
        <v>122</v>
      </c>
      <c r="P92" s="23" t="s">
        <v>122</v>
      </c>
      <c r="Q92" s="23" t="s">
        <v>122</v>
      </c>
      <c r="R92" s="34" t="s">
        <v>122</v>
      </c>
      <c r="S92" s="38" t="s">
        <v>122</v>
      </c>
      <c r="T92" s="41" t="s">
        <v>122</v>
      </c>
      <c r="U92" s="25" t="s">
        <v>55</v>
      </c>
    </row>
    <row r="93" spans="7:21" s="5" customFormat="1" ht="21.75" customHeight="1" x14ac:dyDescent="0.15">
      <c r="G93" s="26" t="s">
        <v>803</v>
      </c>
      <c r="H9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G93)),
  ROW(),
  ""
)</f>
        <v>93</v>
      </c>
      <c r="I93" s="107" t="str">
        <f t="shared" si="10"/>
        <v>郡山食肉センター</v>
      </c>
      <c r="J93" s="31" t="str">
        <f t="shared" si="8"/>
        <v>コオリヤマショクニクセンター</v>
      </c>
      <c r="K93" s="26" t="s">
        <v>57</v>
      </c>
      <c r="L93" s="40" t="s">
        <v>967</v>
      </c>
      <c r="M93" s="40"/>
      <c r="N93" s="21"/>
      <c r="O93" s="22"/>
      <c r="P93" s="23"/>
      <c r="Q93" s="23"/>
      <c r="R93" s="34"/>
      <c r="S93" s="38"/>
      <c r="T93" s="41"/>
      <c r="U93" s="25" t="s">
        <v>55</v>
      </c>
    </row>
    <row r="94" spans="7:21" s="5" customFormat="1" ht="21.75" customHeight="1" x14ac:dyDescent="0.15">
      <c r="G94" s="26" t="s">
        <v>514</v>
      </c>
      <c r="H9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G94)),
  ROW(),
  ""
)</f>
        <v>94</v>
      </c>
      <c r="I94" s="107" t="str">
        <f t="shared" si="10"/>
        <v>郡山堀口浄水場9：00</v>
      </c>
      <c r="J94" s="31" t="str">
        <f t="shared" si="8"/>
        <v>コオリヤマホリグチジョウスイジョウ9：00</v>
      </c>
      <c r="K94" s="26" t="s">
        <v>57</v>
      </c>
      <c r="L94" s="40">
        <v>0.375</v>
      </c>
      <c r="M94" s="40">
        <v>0.22916666666666666</v>
      </c>
      <c r="N94" s="21"/>
      <c r="O94" s="22"/>
      <c r="P94" s="23"/>
      <c r="Q94" s="23"/>
      <c r="R94" s="34"/>
      <c r="S94" s="38"/>
      <c r="T94" s="41"/>
      <c r="U94" s="25" t="s">
        <v>55</v>
      </c>
    </row>
    <row r="95" spans="7:21" s="5" customFormat="1" ht="21.75" customHeight="1" x14ac:dyDescent="0.15">
      <c r="G95" s="26" t="s">
        <v>804</v>
      </c>
      <c r="H9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G95)),
  ROW(),
  ""
)</f>
        <v>95</v>
      </c>
      <c r="I95" s="107" t="str">
        <f>INDEX(G:G,SMALL($H$4:$H$1113,ROW(G91)))</f>
        <v>郡山堀口浄水場9：00</v>
      </c>
      <c r="J95" s="31" t="str">
        <f t="shared" si="8"/>
        <v>コオリヤマホリグチジョウスイジョウ</v>
      </c>
      <c r="K95" s="26" t="s">
        <v>57</v>
      </c>
      <c r="L95" s="40"/>
      <c r="M95" s="40"/>
      <c r="N95" s="21"/>
      <c r="O95" s="22"/>
      <c r="P95" s="23"/>
      <c r="Q95" s="23" t="s">
        <v>122</v>
      </c>
      <c r="R95" s="34" t="s">
        <v>122</v>
      </c>
      <c r="S95" s="38" t="s">
        <v>122</v>
      </c>
      <c r="T95" s="41" t="s">
        <v>122</v>
      </c>
      <c r="U95" s="25" t="s">
        <v>55</v>
      </c>
    </row>
    <row r="96" spans="7:21" s="5" customFormat="1" ht="21.75" customHeight="1" x14ac:dyDescent="0.15">
      <c r="G96" s="26" t="s">
        <v>515</v>
      </c>
      <c r="H9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G96)),
  ROW(),
  ""
)</f>
        <v>96</v>
      </c>
      <c r="I96" s="107" t="str">
        <f>INDEX(G:G,SMALL($H$4:$H$1113,ROW(G92)))</f>
        <v>郡山堀口浄水場</v>
      </c>
      <c r="J96" s="31" t="str">
        <f t="shared" si="8"/>
        <v>コダック（グンマ）8：30</v>
      </c>
      <c r="K96" s="26" t="s">
        <v>105</v>
      </c>
      <c r="L96" s="40">
        <v>0.35416666666666669</v>
      </c>
      <c r="M96" s="40">
        <v>0.125</v>
      </c>
      <c r="N96" s="21"/>
      <c r="O96" s="22"/>
      <c r="P96" s="23"/>
      <c r="Q96" s="23" t="s">
        <v>122</v>
      </c>
      <c r="R96" s="34" t="s">
        <v>1033</v>
      </c>
      <c r="S96" s="38" t="s">
        <v>122</v>
      </c>
      <c r="T96" s="41" t="s">
        <v>508</v>
      </c>
      <c r="U96" s="25" t="s">
        <v>55</v>
      </c>
    </row>
    <row r="97" spans="7:21" s="5" customFormat="1" ht="21.75" customHeight="1" x14ac:dyDescent="0.15">
      <c r="G97" s="26" t="s">
        <v>805</v>
      </c>
      <c r="H9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G97)),
  ROW(),
  ""
)</f>
        <v>97</v>
      </c>
      <c r="I97" s="107" t="str">
        <f>INDEX(G:G,SMALL($H$4:$H$1113,ROW(G91)))</f>
        <v>郡山堀口浄水場9：00</v>
      </c>
      <c r="J97" s="31" t="str">
        <f t="shared" si="8"/>
        <v>コダック（グンマ）</v>
      </c>
      <c r="K97" s="26" t="s">
        <v>105</v>
      </c>
      <c r="L97" s="40"/>
      <c r="M97" s="40"/>
      <c r="N97" s="21"/>
      <c r="O97" s="22"/>
      <c r="P97" s="53" t="s">
        <v>101</v>
      </c>
      <c r="Q97" s="23"/>
      <c r="R97" s="34"/>
      <c r="S97" s="38"/>
      <c r="T97" s="123"/>
      <c r="U97" s="25" t="s">
        <v>55</v>
      </c>
    </row>
    <row r="98" spans="7:21" s="5" customFormat="1" ht="21.75" customHeight="1" x14ac:dyDescent="0.15">
      <c r="G98" s="26" t="s">
        <v>806</v>
      </c>
      <c r="H9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G98)),
  ROW(),
  ""
)</f>
        <v>98</v>
      </c>
      <c r="I98" s="107" t="str">
        <f>INDEX(G:G,SMALL($H$4:$H$1113,ROW(G92)))</f>
        <v>郡山堀口浄水場</v>
      </c>
      <c r="J98" s="31" t="str">
        <f t="shared" si="8"/>
        <v>コバヤシ8：30</v>
      </c>
      <c r="K98" s="26" t="s">
        <v>512</v>
      </c>
      <c r="L98" s="40">
        <v>0.35416666666666669</v>
      </c>
      <c r="M98" s="40">
        <v>0.125</v>
      </c>
      <c r="N98" s="21"/>
      <c r="O98" s="22"/>
      <c r="P98" s="23"/>
      <c r="Q98" s="23"/>
      <c r="R98" s="34" t="s">
        <v>1034</v>
      </c>
      <c r="S98" s="38"/>
      <c r="T98" s="41" t="s">
        <v>508</v>
      </c>
      <c r="U98" s="25" t="s">
        <v>55</v>
      </c>
    </row>
    <row r="99" spans="7:21" s="5" customFormat="1" ht="21.75" customHeight="1" x14ac:dyDescent="0.15">
      <c r="G99" s="26" t="s">
        <v>13</v>
      </c>
      <c r="H9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G99)),
  ROW(),
  ""
)</f>
        <v>99</v>
      </c>
      <c r="I99" s="107" t="str">
        <f>INDEX(G:G,SMALL($H$4:$H$1113,ROW(G93)))</f>
        <v>コダック（群馬）8：30</v>
      </c>
      <c r="J99" s="31" t="str">
        <f t="shared" si="8"/>
        <v>コバヤシ</v>
      </c>
      <c r="K99" s="26" t="s">
        <v>512</v>
      </c>
      <c r="L99" s="40"/>
      <c r="M99" s="40"/>
      <c r="N99" s="21"/>
      <c r="O99" s="22"/>
      <c r="P99" s="23"/>
      <c r="Q99" s="23"/>
      <c r="R99" s="34" t="s">
        <v>122</v>
      </c>
      <c r="S99" s="38"/>
      <c r="T99" s="41"/>
      <c r="U99" s="25" t="s">
        <v>55</v>
      </c>
    </row>
    <row r="100" spans="7:21" s="5" customFormat="1" ht="21.75" customHeight="1" x14ac:dyDescent="0.15">
      <c r="G100" s="26" t="s">
        <v>513</v>
      </c>
      <c r="H10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G100)),
  ROW(),
  ""
)</f>
        <v>100</v>
      </c>
      <c r="I100" s="107" t="str">
        <f t="shared" ref="I100:I163" si="11">INDEX(G:G,SMALL($H$4:$H$1113,ROW(G97)))</f>
        <v>小松浄水場9：00</v>
      </c>
      <c r="J100" s="31" t="str">
        <f t="shared" si="8"/>
        <v>コマツジョウスイジョウ9：00</v>
      </c>
      <c r="K100" s="26" t="s">
        <v>106</v>
      </c>
      <c r="L100" s="40">
        <v>0.375</v>
      </c>
      <c r="M100" s="40">
        <v>0.20833333333333334</v>
      </c>
      <c r="N100" s="21">
        <v>0.20833333333333334</v>
      </c>
      <c r="O100" s="22"/>
      <c r="P100" s="23"/>
      <c r="Q100" s="23"/>
      <c r="R100" s="34" t="s">
        <v>122</v>
      </c>
      <c r="S100" s="38"/>
      <c r="T100" s="41"/>
      <c r="U100" s="25" t="s">
        <v>55</v>
      </c>
    </row>
    <row r="101" spans="7:21" s="5" customFormat="1" ht="21.75" customHeight="1" x14ac:dyDescent="0.15">
      <c r="G101" s="26" t="s">
        <v>807</v>
      </c>
      <c r="H10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G101)),
  ROW(),
  ""
)</f>
        <v>101</v>
      </c>
      <c r="I101" s="107" t="str">
        <f t="shared" si="11"/>
        <v>小松浄水場</v>
      </c>
      <c r="J101" s="31" t="str">
        <f t="shared" si="8"/>
        <v>コマツジョウスイジョウ</v>
      </c>
      <c r="K101" s="26" t="s">
        <v>106</v>
      </c>
      <c r="L101" s="40"/>
      <c r="M101" s="40"/>
      <c r="N101" s="21"/>
      <c r="O101" s="22"/>
      <c r="P101" s="23"/>
      <c r="Q101" s="23"/>
      <c r="R101" s="34" t="s">
        <v>122</v>
      </c>
      <c r="S101" s="38"/>
      <c r="T101" s="41"/>
      <c r="U101" s="25" t="s">
        <v>55</v>
      </c>
    </row>
    <row r="102" spans="7:21" s="5" customFormat="1" ht="21.75" customHeight="1" x14ac:dyDescent="0.15">
      <c r="G102" s="26" t="s">
        <v>948</v>
      </c>
      <c r="H10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G102)),
  ROW(),
  ""
)</f>
        <v>102</v>
      </c>
      <c r="I102" s="107" t="str">
        <f t="shared" si="11"/>
        <v>コンクリートコ－リング</v>
      </c>
      <c r="J102" s="31" t="str">
        <f t="shared" si="8"/>
        <v>コンクリートコ－リング</v>
      </c>
      <c r="K102" s="26" t="s">
        <v>53</v>
      </c>
      <c r="L102" s="40"/>
      <c r="M102" s="40">
        <v>0.3125</v>
      </c>
      <c r="N102" s="21"/>
      <c r="O102" s="22"/>
      <c r="P102" s="23" t="s">
        <v>104</v>
      </c>
      <c r="Q102" s="23"/>
      <c r="R102" s="34" t="s">
        <v>122</v>
      </c>
      <c r="S102" s="38"/>
      <c r="T102" s="41"/>
      <c r="U102" s="25" t="s">
        <v>55</v>
      </c>
    </row>
    <row r="103" spans="7:21" ht="21.75" customHeight="1" x14ac:dyDescent="0.15">
      <c r="G103" s="26" t="s">
        <v>522</v>
      </c>
      <c r="H10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G103)),
  ROW(),
  ""
)</f>
        <v>103</v>
      </c>
      <c r="I103" s="107" t="str">
        <f t="shared" si="11"/>
        <v>堺（大剣）8：30</v>
      </c>
      <c r="J103" s="31" t="str">
        <f t="shared" si="8"/>
        <v>サカイ（オオツルギ）8：30</v>
      </c>
      <c r="K103" s="26" t="s">
        <v>53</v>
      </c>
      <c r="L103" s="40">
        <v>0.35416666666666669</v>
      </c>
      <c r="M103" s="40">
        <v>0.3125</v>
      </c>
      <c r="N103" s="27"/>
      <c r="O103" s="27"/>
      <c r="P103" s="27"/>
      <c r="Q103" s="27"/>
      <c r="R103" s="34"/>
      <c r="S103" s="27"/>
      <c r="T103" s="27"/>
      <c r="U103" s="25" t="s">
        <v>55</v>
      </c>
    </row>
    <row r="104" spans="7:21" ht="21.75" customHeight="1" x14ac:dyDescent="0.15">
      <c r="G104" s="26" t="s">
        <v>808</v>
      </c>
      <c r="H10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G104)),
  ROW(),
  ""
)</f>
        <v>104</v>
      </c>
      <c r="I104" s="107" t="str">
        <f t="shared" si="11"/>
        <v>堺（大剣）</v>
      </c>
      <c r="J104" s="31" t="str">
        <f t="shared" si="8"/>
        <v>サカイ（オオツルギ）</v>
      </c>
      <c r="K104" s="26" t="s">
        <v>53</v>
      </c>
      <c r="L104" s="40"/>
      <c r="M104" s="40"/>
      <c r="N104" s="21"/>
      <c r="O104" s="22"/>
      <c r="P104" s="23"/>
      <c r="Q104" s="23"/>
      <c r="R104" s="34"/>
      <c r="S104" s="38"/>
      <c r="T104" s="41"/>
      <c r="U104" s="25" t="s">
        <v>55</v>
      </c>
    </row>
    <row r="105" spans="7:21" ht="21.75" customHeight="1" x14ac:dyDescent="0.15">
      <c r="G105" s="44" t="s">
        <v>107</v>
      </c>
      <c r="H10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G105)),
  ROW(),
  ""
)</f>
        <v>105</v>
      </c>
      <c r="I105" s="107" t="str">
        <f t="shared" si="11"/>
        <v>堺（小名浜）</v>
      </c>
      <c r="J105" s="31" t="str">
        <f t="shared" si="8"/>
        <v>サカイ（オナハマ）</v>
      </c>
      <c r="K105" s="26" t="s">
        <v>53</v>
      </c>
      <c r="L105" s="40" t="s">
        <v>122</v>
      </c>
      <c r="M105" s="21">
        <v>0.3125</v>
      </c>
      <c r="N105" s="32"/>
      <c r="O105" s="33"/>
      <c r="P105" s="34"/>
      <c r="Q105" s="34"/>
      <c r="R105" s="34" t="s">
        <v>122</v>
      </c>
      <c r="S105" s="38"/>
      <c r="T105" s="26"/>
      <c r="U105" s="25" t="s">
        <v>55</v>
      </c>
    </row>
    <row r="106" spans="7:21" ht="21.75" customHeight="1" x14ac:dyDescent="0.15">
      <c r="G106" s="44" t="s">
        <v>108</v>
      </c>
      <c r="H10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G106)),
  ROW(),
  ""
)</f>
        <v>106</v>
      </c>
      <c r="I106" s="107" t="str">
        <f t="shared" si="11"/>
        <v>ＳＵＳ福島</v>
      </c>
      <c r="J106" s="31" t="str">
        <f t="shared" si="8"/>
        <v>サスフクシマ</v>
      </c>
      <c r="K106" s="26" t="s">
        <v>72</v>
      </c>
      <c r="L106" s="40" t="s">
        <v>122</v>
      </c>
      <c r="M106" s="40">
        <v>0.22916666666666666</v>
      </c>
      <c r="N106" s="21"/>
      <c r="O106" s="22"/>
      <c r="P106" s="23"/>
      <c r="Q106" s="27"/>
      <c r="R106" s="34" t="s">
        <v>122</v>
      </c>
      <c r="S106" s="27"/>
      <c r="T106" s="27"/>
      <c r="U106" s="25" t="s">
        <v>55</v>
      </c>
    </row>
    <row r="107" spans="7:21" ht="21.75" customHeight="1" x14ac:dyDescent="0.15">
      <c r="G107" s="59" t="s">
        <v>809</v>
      </c>
      <c r="H10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G107)),
  ROW(),
  ""
)</f>
        <v>107</v>
      </c>
      <c r="I107" s="107" t="str">
        <f t="shared" si="11"/>
        <v>ＳＵＳ福島13：00</v>
      </c>
      <c r="J107" s="31" t="str">
        <f t="shared" si="8"/>
        <v>サスフクシマ13：00</v>
      </c>
      <c r="K107" s="59" t="s">
        <v>72</v>
      </c>
      <c r="L107" s="40"/>
      <c r="M107" s="40"/>
      <c r="N107" s="21"/>
      <c r="O107" s="22"/>
      <c r="P107" s="23"/>
      <c r="Q107" s="27"/>
      <c r="R107" s="34" t="s">
        <v>122</v>
      </c>
      <c r="S107" s="27"/>
      <c r="T107" s="123"/>
      <c r="U107" s="25" t="s">
        <v>55</v>
      </c>
    </row>
    <row r="108" spans="7:21" ht="21.75" customHeight="1" x14ac:dyDescent="0.15">
      <c r="G108" s="59" t="s">
        <v>810</v>
      </c>
      <c r="H10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G108)),
  ROW(),
  ""
)</f>
        <v>108</v>
      </c>
      <c r="I108" s="31" t="str">
        <f t="shared" si="11"/>
        <v>山王東北8：30</v>
      </c>
      <c r="J108" s="31" t="str">
        <f t="shared" si="8"/>
        <v>サンオウトウホク8：30</v>
      </c>
      <c r="K108" s="59" t="s">
        <v>57</v>
      </c>
      <c r="L108" s="40">
        <v>0.35416666666666669</v>
      </c>
      <c r="M108" s="40">
        <v>0.20833333333333334</v>
      </c>
      <c r="N108" s="21"/>
      <c r="O108" s="22"/>
      <c r="P108" s="52"/>
      <c r="Q108" s="23"/>
      <c r="R108" s="34" t="s">
        <v>122</v>
      </c>
      <c r="S108" s="38"/>
      <c r="T108" s="41"/>
      <c r="U108" s="25" t="s">
        <v>55</v>
      </c>
    </row>
    <row r="109" spans="7:21" ht="21.75" customHeight="1" x14ac:dyDescent="0.15">
      <c r="G109" s="26" t="s">
        <v>109</v>
      </c>
      <c r="H10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G109)),
  ROW(),
  ""
)</f>
        <v>109</v>
      </c>
      <c r="I109" s="31" t="str">
        <f t="shared" si="11"/>
        <v>山王東北</v>
      </c>
      <c r="J109" s="31" t="str">
        <f t="shared" si="8"/>
        <v>サンオウトウホク</v>
      </c>
      <c r="K109" s="26" t="s">
        <v>57</v>
      </c>
      <c r="L109" s="40"/>
      <c r="M109" s="40"/>
      <c r="N109" s="21"/>
      <c r="O109" s="22"/>
      <c r="P109" s="53"/>
      <c r="Q109" s="23"/>
      <c r="R109" s="34" t="s">
        <v>122</v>
      </c>
      <c r="S109" s="38"/>
      <c r="T109" s="123"/>
      <c r="U109" s="25" t="s">
        <v>55</v>
      </c>
    </row>
    <row r="110" spans="7:21" ht="21.75" customHeight="1" x14ac:dyDescent="0.15">
      <c r="G110" s="26" t="s">
        <v>1045</v>
      </c>
      <c r="H11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G110)),
  ROW(),
  ""
)</f>
        <v>110</v>
      </c>
      <c r="I110" s="31" t="str">
        <f t="shared" si="11"/>
        <v>大和化成研究所(福島)AM</v>
      </c>
      <c r="J110" s="31" t="str">
        <f t="shared" si="8"/>
        <v>ダイワカセイケンキュウジョ(フクシマ)AM</v>
      </c>
      <c r="K110" s="26" t="s">
        <v>73</v>
      </c>
      <c r="L110" s="40" t="s">
        <v>182</v>
      </c>
      <c r="M110" s="40">
        <v>0.20833333333333334</v>
      </c>
      <c r="N110" s="21"/>
      <c r="O110" s="54"/>
      <c r="P110" s="23"/>
      <c r="Q110" s="23"/>
      <c r="R110" s="34" t="s">
        <v>500</v>
      </c>
      <c r="S110" s="38"/>
      <c r="T110" s="41"/>
      <c r="U110" s="25" t="s">
        <v>55</v>
      </c>
    </row>
    <row r="111" spans="7:21" ht="21.75" customHeight="1" x14ac:dyDescent="0.15">
      <c r="G111" s="34" t="s">
        <v>1046</v>
      </c>
      <c r="H11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G111)),
  ROW(),
  ""
)</f>
        <v>111</v>
      </c>
      <c r="I111" s="31" t="str">
        <f t="shared" si="11"/>
        <v>大和化成研究所(福島)</v>
      </c>
      <c r="J111" s="31" t="str">
        <f t="shared" si="8"/>
        <v>ダイワカセイケンキュウジョ(フクシマ)</v>
      </c>
      <c r="K111" s="26" t="s">
        <v>73</v>
      </c>
      <c r="L111" s="40"/>
      <c r="M111" s="21"/>
      <c r="N111" s="21"/>
      <c r="O111" s="54"/>
      <c r="P111" s="23"/>
      <c r="Q111" s="23"/>
      <c r="R111" s="34" t="s">
        <v>500</v>
      </c>
      <c r="S111" s="38"/>
      <c r="T111" s="41"/>
      <c r="U111" s="25" t="s">
        <v>55</v>
      </c>
    </row>
    <row r="112" spans="7:21" s="55" customFormat="1" ht="21.75" customHeight="1" x14ac:dyDescent="0.15">
      <c r="G112" s="34" t="s">
        <v>110</v>
      </c>
      <c r="H11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G112)),
  ROW(),
  ""
)</f>
        <v>112</v>
      </c>
      <c r="I112" s="31" t="str">
        <f t="shared" si="11"/>
        <v>ＪＸ金属（ＡＳＲ）</v>
      </c>
      <c r="J112" s="31" t="str">
        <f t="shared" si="8"/>
        <v>ＪＸキンゾク（ＡＳＲ）</v>
      </c>
      <c r="K112" s="26" t="s">
        <v>111</v>
      </c>
      <c r="L112" s="40" t="s">
        <v>122</v>
      </c>
      <c r="M112" s="40">
        <v>0.22916666666666666</v>
      </c>
      <c r="N112" s="21"/>
      <c r="O112" s="22"/>
      <c r="P112" s="53" t="s">
        <v>58</v>
      </c>
      <c r="Q112" s="22"/>
      <c r="R112" s="34" t="s">
        <v>122</v>
      </c>
      <c r="S112" s="38"/>
      <c r="T112" s="41"/>
      <c r="U112" s="25" t="s">
        <v>55</v>
      </c>
    </row>
    <row r="113" spans="7:21" ht="21.75" customHeight="1" x14ac:dyDescent="0.15">
      <c r="G113" s="26" t="s">
        <v>811</v>
      </c>
      <c r="H113" s="45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G113)),
  ROW(),
  ""
)</f>
        <v>113</v>
      </c>
      <c r="I113" s="45" t="str">
        <f t="shared" si="11"/>
        <v>ＪＸ金属（ＨＭＣ）AM</v>
      </c>
      <c r="J113" s="45" t="str">
        <f t="shared" si="8"/>
        <v>ＪＸキンゾク（ＨＭＣ）AM</v>
      </c>
      <c r="K113" s="26"/>
      <c r="L113" s="124" t="s">
        <v>182</v>
      </c>
      <c r="M113" s="124">
        <v>0.22916666666666666</v>
      </c>
      <c r="N113" s="56"/>
      <c r="O113" s="57"/>
      <c r="P113" s="58"/>
      <c r="Q113" s="23"/>
      <c r="R113" s="34"/>
      <c r="S113" s="38"/>
      <c r="T113" s="41"/>
      <c r="U113" s="25" t="s">
        <v>55</v>
      </c>
    </row>
    <row r="114" spans="7:21" ht="21.75" customHeight="1" x14ac:dyDescent="0.15">
      <c r="G114" s="26" t="s">
        <v>112</v>
      </c>
      <c r="H114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G114)),
  ROW(),
  ""
)</f>
        <v>114</v>
      </c>
      <c r="I114" s="60" t="str">
        <f t="shared" si="11"/>
        <v>ＪＸ金属（ＨＭＣ）</v>
      </c>
      <c r="J114" s="60" t="str">
        <f t="shared" si="8"/>
        <v>ＪＸキンゾク（ＨＭＣ）</v>
      </c>
      <c r="K114" s="26"/>
      <c r="L114" s="40"/>
      <c r="M114" s="40"/>
      <c r="N114" s="61"/>
      <c r="O114" s="62"/>
      <c r="P114" s="23"/>
      <c r="Q114" s="62"/>
      <c r="R114" s="34"/>
      <c r="S114" s="63"/>
      <c r="T114" s="64"/>
      <c r="U114" s="25" t="s">
        <v>55</v>
      </c>
    </row>
    <row r="115" spans="7:21" ht="21.75" customHeight="1" x14ac:dyDescent="0.15">
      <c r="G115" s="26" t="s">
        <v>523</v>
      </c>
      <c r="H11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G115)),
  ROW(),
  ""
)</f>
        <v>115</v>
      </c>
      <c r="I115" s="31" t="str">
        <f t="shared" si="11"/>
        <v>ＪＸ金属（Ｚ炉）</v>
      </c>
      <c r="J115" s="31" t="str">
        <f t="shared" si="8"/>
        <v>ＪＸキンゾク（Ｚロ）</v>
      </c>
      <c r="K115" s="26" t="s">
        <v>111</v>
      </c>
      <c r="L115" s="40" t="s">
        <v>122</v>
      </c>
      <c r="M115" s="40">
        <v>0.22916666666666666</v>
      </c>
      <c r="N115" s="32"/>
      <c r="O115" s="33"/>
      <c r="P115" s="34"/>
      <c r="Q115" s="34"/>
      <c r="R115" s="34"/>
      <c r="S115" s="38"/>
      <c r="T115" s="41"/>
      <c r="U115" s="25" t="s">
        <v>55</v>
      </c>
    </row>
    <row r="116" spans="7:21" ht="21.75" customHeight="1" x14ac:dyDescent="0.15">
      <c r="G116" s="34" t="s">
        <v>524</v>
      </c>
      <c r="H11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G116)),
  ROW(),
  ""
)</f>
        <v>116</v>
      </c>
      <c r="I116" s="31" t="str">
        <f t="shared" si="11"/>
        <v>ＪＸ金属（Ｚ炉）7：00</v>
      </c>
      <c r="J116" s="31" t="str">
        <f t="shared" si="8"/>
        <v>ＪＸキンゾク（Ｚロ）7：00</v>
      </c>
      <c r="K116" s="26" t="s">
        <v>111</v>
      </c>
      <c r="L116" s="40">
        <v>0.29166666666666669</v>
      </c>
      <c r="M116" s="21">
        <v>0.20833333333333334</v>
      </c>
      <c r="N116" s="32"/>
      <c r="O116" s="33"/>
      <c r="P116" s="34"/>
      <c r="Q116" s="34"/>
      <c r="R116" s="34"/>
      <c r="S116" s="38"/>
      <c r="T116" s="41"/>
      <c r="U116" s="25" t="s">
        <v>55</v>
      </c>
    </row>
    <row r="117" spans="7:21" ht="21.75" customHeight="1" x14ac:dyDescent="0.15">
      <c r="G117" s="26" t="s">
        <v>812</v>
      </c>
      <c r="H1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G117)),
  ROW(),
  ""
)</f>
        <v>117</v>
      </c>
      <c r="I117" s="31" t="str">
        <f t="shared" si="11"/>
        <v>ＪＸ金属（圧延）AM</v>
      </c>
      <c r="J117" s="31" t="str">
        <f t="shared" si="8"/>
        <v>ＪＸキンゾク（アツエン）AM</v>
      </c>
      <c r="K117" s="26" t="s">
        <v>111</v>
      </c>
      <c r="L117" s="40" t="s">
        <v>182</v>
      </c>
      <c r="M117" s="43">
        <v>0.25</v>
      </c>
      <c r="N117" s="21"/>
      <c r="O117" s="54"/>
      <c r="P117" s="23"/>
      <c r="Q117" s="23"/>
      <c r="R117" s="34"/>
      <c r="S117" s="38"/>
      <c r="T117" s="41"/>
      <c r="U117" s="25" t="s">
        <v>55</v>
      </c>
    </row>
    <row r="118" spans="7:21" ht="21.75" customHeight="1" x14ac:dyDescent="0.15">
      <c r="G118" s="26" t="s">
        <v>113</v>
      </c>
      <c r="H1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G118)),
  ROW(),
  ""
)</f>
        <v>118</v>
      </c>
      <c r="I118" s="31" t="str">
        <f t="shared" si="11"/>
        <v>ＪＸ金属（圧延）</v>
      </c>
      <c r="J118" s="31" t="str">
        <f t="shared" si="8"/>
        <v>ＪＸキンゾク（アツエン）</v>
      </c>
      <c r="K118" s="26" t="s">
        <v>111</v>
      </c>
      <c r="L118" s="40"/>
      <c r="M118" s="40"/>
      <c r="N118" s="21"/>
      <c r="O118" s="54"/>
      <c r="P118" s="23"/>
      <c r="Q118" s="23"/>
      <c r="R118" s="34"/>
      <c r="S118" s="38"/>
      <c r="T118" s="41"/>
      <c r="U118" s="25" t="s">
        <v>55</v>
      </c>
    </row>
    <row r="119" spans="7:21" ht="21.75" customHeight="1" x14ac:dyDescent="0.15">
      <c r="G119" s="26" t="s">
        <v>114</v>
      </c>
      <c r="H1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G119)),
  ROW(),
  ""
)</f>
        <v>119</v>
      </c>
      <c r="I119" s="31" t="str">
        <f t="shared" si="11"/>
        <v>ＪＸ金属（磯原）</v>
      </c>
      <c r="J119" s="31" t="str">
        <f t="shared" si="8"/>
        <v>ジェイエックスキンゾク（イソハラ）</v>
      </c>
      <c r="K119" s="26" t="s">
        <v>115</v>
      </c>
      <c r="L119" s="40" t="s">
        <v>122</v>
      </c>
      <c r="M119" s="21">
        <v>0.3125</v>
      </c>
      <c r="N119" s="21"/>
      <c r="O119" s="54"/>
      <c r="P119" s="23"/>
      <c r="Q119" s="23"/>
      <c r="R119" s="34"/>
      <c r="S119" s="38"/>
      <c r="T119" s="41"/>
      <c r="U119" s="25" t="s">
        <v>55</v>
      </c>
    </row>
    <row r="120" spans="7:21" ht="21.75" customHeight="1" x14ac:dyDescent="0.15">
      <c r="G120" s="26" t="s">
        <v>525</v>
      </c>
      <c r="H1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G120)),
  ROW(),
  ""
)</f>
        <v>120</v>
      </c>
      <c r="I120" s="31" t="str">
        <f t="shared" si="11"/>
        <v>ＪＸ金属（磯原）9：00</v>
      </c>
      <c r="J120" s="31" t="str">
        <f t="shared" si="8"/>
        <v>ジェイエックスキンゾク（イソハラ）9：00</v>
      </c>
      <c r="K120" s="26" t="s">
        <v>115</v>
      </c>
      <c r="L120" s="40">
        <v>0.375</v>
      </c>
      <c r="M120" s="40">
        <v>0.3125</v>
      </c>
      <c r="N120" s="21"/>
      <c r="O120" s="54"/>
      <c r="P120" s="23"/>
      <c r="Q120" s="23"/>
      <c r="R120" s="34"/>
      <c r="S120" s="38"/>
      <c r="T120" s="41"/>
      <c r="U120" s="25" t="s">
        <v>55</v>
      </c>
    </row>
    <row r="121" spans="7:21" ht="21.75" customHeight="1" x14ac:dyDescent="0.15">
      <c r="G121" s="26" t="s">
        <v>1014</v>
      </c>
      <c r="H1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G121)),
  ROW(),
  ""
)</f>
        <v>121</v>
      </c>
      <c r="I121" s="31" t="str">
        <f t="shared" si="11"/>
        <v>ＪＸ金属（浄液）9：00</v>
      </c>
      <c r="J121" s="31" t="str">
        <f t="shared" si="8"/>
        <v>ＪＸキンゾク（ジョウエキ）9：00</v>
      </c>
      <c r="K121" s="26" t="s">
        <v>111</v>
      </c>
      <c r="L121" s="40">
        <v>0.375</v>
      </c>
      <c r="M121" s="40">
        <v>0.25</v>
      </c>
      <c r="N121" s="21"/>
      <c r="O121" s="54"/>
      <c r="P121" s="23"/>
      <c r="Q121" s="23"/>
      <c r="R121" s="34"/>
      <c r="S121" s="38"/>
      <c r="T121" s="41"/>
      <c r="U121" s="25" t="s">
        <v>55</v>
      </c>
    </row>
    <row r="122" spans="7:21" ht="21.75" customHeight="1" x14ac:dyDescent="0.15">
      <c r="G122" s="26" t="s">
        <v>1015</v>
      </c>
      <c r="H1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G122)),
  ROW(),
  ""
)</f>
        <v>122</v>
      </c>
      <c r="I122" s="31" t="str">
        <f t="shared" si="11"/>
        <v>ＪＸ金属（浄液）</v>
      </c>
      <c r="J122" s="31" t="str">
        <f t="shared" si="8"/>
        <v>ＪＸキンゾク（ジョウエキ）</v>
      </c>
      <c r="K122" s="26" t="s">
        <v>111</v>
      </c>
      <c r="L122" s="40"/>
      <c r="M122" s="43"/>
      <c r="N122" s="21"/>
      <c r="O122" s="54"/>
      <c r="P122" s="23"/>
      <c r="Q122" s="23"/>
      <c r="R122" s="34"/>
      <c r="S122" s="38"/>
      <c r="T122" s="41"/>
      <c r="U122" s="25" t="s">
        <v>55</v>
      </c>
    </row>
    <row r="123" spans="7:21" ht="21.75" customHeight="1" x14ac:dyDescent="0.15">
      <c r="G123" s="26" t="s">
        <v>526</v>
      </c>
      <c r="H1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G123)),
  ROW(),
  ""
)</f>
        <v>123</v>
      </c>
      <c r="I123" s="31" t="str">
        <f t="shared" si="11"/>
        <v>ＪＸ金属（電錬排水）PM</v>
      </c>
      <c r="J123" s="31" t="str">
        <f t="shared" si="8"/>
        <v>ジェイエックスキンゾク（デンレン）PM</v>
      </c>
      <c r="K123" s="26" t="s">
        <v>111</v>
      </c>
      <c r="L123" s="40" t="s">
        <v>966</v>
      </c>
      <c r="M123" s="40"/>
      <c r="N123" s="21"/>
      <c r="O123" s="54"/>
      <c r="P123" s="23"/>
      <c r="Q123" s="23"/>
      <c r="R123" s="34"/>
      <c r="S123" s="38"/>
      <c r="T123" s="41"/>
      <c r="U123" s="25" t="s">
        <v>55</v>
      </c>
    </row>
    <row r="124" spans="7:21" ht="21.75" customHeight="1" x14ac:dyDescent="0.15">
      <c r="G124" s="26" t="s">
        <v>813</v>
      </c>
      <c r="H1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G124)),
  ROW(),
  ""
)</f>
        <v>124</v>
      </c>
      <c r="I124" s="31" t="str">
        <f t="shared" si="11"/>
        <v>ＪＸ金属（電錬排水）</v>
      </c>
      <c r="J124" s="31" t="str">
        <f t="shared" si="8"/>
        <v>ジェイエックスキンゾク（デンレン）</v>
      </c>
      <c r="K124" s="26" t="s">
        <v>111</v>
      </c>
      <c r="L124" s="40"/>
      <c r="M124" s="21"/>
      <c r="N124" s="32"/>
      <c r="O124" s="33"/>
      <c r="P124" s="34"/>
      <c r="Q124" s="34"/>
      <c r="R124" s="34"/>
      <c r="S124" s="38"/>
      <c r="T124" s="34"/>
      <c r="U124" s="25" t="s">
        <v>55</v>
      </c>
    </row>
    <row r="125" spans="7:21" ht="21.75" customHeight="1" x14ac:dyDescent="0.15">
      <c r="G125" s="26" t="s">
        <v>527</v>
      </c>
      <c r="H1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G125)),
  ROW(),
  ""
)</f>
        <v>125</v>
      </c>
      <c r="I125" s="31" t="str">
        <f t="shared" si="11"/>
        <v>ＪＸ金属（ユピノーグ）7：30</v>
      </c>
      <c r="J125" s="31" t="str">
        <f t="shared" si="8"/>
        <v>ＪＸキンゾク（ユピノーグ）7：30</v>
      </c>
      <c r="K125" s="26" t="s">
        <v>111</v>
      </c>
      <c r="L125" s="40">
        <v>0.3125</v>
      </c>
      <c r="M125" s="40">
        <v>0.22916666666666666</v>
      </c>
      <c r="N125" s="21"/>
      <c r="O125" s="22"/>
      <c r="P125" s="23"/>
      <c r="Q125" s="23"/>
      <c r="R125" s="34"/>
      <c r="S125" s="38"/>
      <c r="T125" s="41"/>
      <c r="U125" s="25" t="s">
        <v>55</v>
      </c>
    </row>
    <row r="126" spans="7:21" ht="21.75" customHeight="1" x14ac:dyDescent="0.15">
      <c r="G126" s="26" t="s">
        <v>116</v>
      </c>
      <c r="H1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G126)),
  ROW(),
  ""
)</f>
        <v>126</v>
      </c>
      <c r="I126" s="31" t="str">
        <f t="shared" si="11"/>
        <v>ＪＸ金属（ユピノーグ）</v>
      </c>
      <c r="J126" s="31" t="str">
        <f>PHONETIC(G126)</f>
        <v>ＪＸキンゾク（ユピノーグ）</v>
      </c>
      <c r="K126" s="26" t="s">
        <v>111</v>
      </c>
      <c r="L126" s="40"/>
      <c r="M126" s="40">
        <v>0.22916666666666666</v>
      </c>
      <c r="N126" s="65"/>
      <c r="O126" s="66"/>
      <c r="P126" s="66"/>
      <c r="Q126" s="66"/>
      <c r="R126" s="34"/>
      <c r="S126" s="38"/>
      <c r="T126" s="41"/>
      <c r="U126" s="25" t="s">
        <v>55</v>
      </c>
    </row>
    <row r="127" spans="7:21" ht="21.75" customHeight="1" x14ac:dyDescent="0.15">
      <c r="G127" s="26" t="s">
        <v>533</v>
      </c>
      <c r="H1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G127)),
  ROW(),
  ""
)</f>
        <v>127</v>
      </c>
      <c r="I127" s="31" t="str">
        <f t="shared" si="11"/>
        <v>ＪＸ金属環境（大雄院）7：00</v>
      </c>
      <c r="J127" s="31" t="str">
        <f t="shared" ref="J127:J147" si="12">PHONETIC(G127)</f>
        <v>ＪＸキンゾクカンキョウ（ダイユウイン）7：00</v>
      </c>
      <c r="K127" s="26" t="s">
        <v>111</v>
      </c>
      <c r="L127" s="40">
        <v>0.29166666666666669</v>
      </c>
      <c r="M127" s="40">
        <v>0.22916666666666666</v>
      </c>
      <c r="N127" s="65"/>
      <c r="O127" s="66"/>
      <c r="P127" s="66"/>
      <c r="Q127" s="66"/>
      <c r="R127" s="34"/>
      <c r="S127" s="38"/>
      <c r="T127" s="41"/>
      <c r="U127" s="25" t="s">
        <v>55</v>
      </c>
    </row>
    <row r="128" spans="7:21" ht="21.75" customHeight="1" x14ac:dyDescent="0.15">
      <c r="G128" s="26" t="s">
        <v>814</v>
      </c>
      <c r="H1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G128)),
  ROW(),
  ""
)</f>
        <v>128</v>
      </c>
      <c r="I128" s="31" t="str">
        <f t="shared" si="11"/>
        <v>ＪＸ金属環境（大雄院）</v>
      </c>
      <c r="J128" s="31" t="str">
        <f t="shared" si="12"/>
        <v>ＪＸキンゾクカンキョウ（ダイユウイン）</v>
      </c>
      <c r="K128" s="26" t="s">
        <v>111</v>
      </c>
      <c r="L128" s="40"/>
      <c r="M128" s="40"/>
      <c r="N128" s="65"/>
      <c r="O128" s="66"/>
      <c r="P128" s="66"/>
      <c r="Q128" s="66"/>
      <c r="R128" s="34"/>
      <c r="S128" s="38"/>
      <c r="T128" s="41"/>
      <c r="U128" s="25" t="s">
        <v>55</v>
      </c>
    </row>
    <row r="129" spans="7:21" ht="21.75" customHeight="1" x14ac:dyDescent="0.15">
      <c r="G129" s="26" t="s">
        <v>528</v>
      </c>
      <c r="H1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G129)),
  ROW(),
  ""
)</f>
        <v>129</v>
      </c>
      <c r="I129" s="31" t="str">
        <f t="shared" si="11"/>
        <v>ＪＸ金属銅箔（排水）8：00</v>
      </c>
      <c r="J129" s="31" t="str">
        <f t="shared" si="12"/>
        <v>ＪＸキンゾクドウハク（ハイスイ）8：00</v>
      </c>
      <c r="K129" s="26" t="s">
        <v>111</v>
      </c>
      <c r="L129" s="40">
        <v>0.33333333333333331</v>
      </c>
      <c r="M129" s="40">
        <v>0.27083333333333331</v>
      </c>
      <c r="N129" s="65"/>
      <c r="O129" s="66"/>
      <c r="P129" s="66"/>
      <c r="Q129" s="66"/>
      <c r="R129" s="34"/>
      <c r="S129" s="38"/>
      <c r="T129" s="41"/>
      <c r="U129" s="25" t="s">
        <v>55</v>
      </c>
    </row>
    <row r="130" spans="7:21" ht="21.75" customHeight="1" x14ac:dyDescent="0.15">
      <c r="G130" s="26" t="s">
        <v>815</v>
      </c>
      <c r="H13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G130)),
  ROW(),
  ""
)</f>
        <v>130</v>
      </c>
      <c r="I130" s="31" t="str">
        <f t="shared" si="11"/>
        <v>ＪＸ金属銅箔（排水）</v>
      </c>
      <c r="J130" s="31" t="str">
        <f t="shared" si="12"/>
        <v>ＪＸキンゾクドウハク（ハイスイ）</v>
      </c>
      <c r="K130" s="26" t="s">
        <v>111</v>
      </c>
      <c r="L130" s="40"/>
      <c r="M130" s="40"/>
      <c r="N130" s="65"/>
      <c r="O130" s="66"/>
      <c r="P130" s="66"/>
      <c r="Q130" s="66" t="s">
        <v>122</v>
      </c>
      <c r="R130" s="34" t="s">
        <v>122</v>
      </c>
      <c r="S130" s="38" t="s">
        <v>122</v>
      </c>
      <c r="T130" s="41" t="s">
        <v>122</v>
      </c>
      <c r="U130" s="25" t="s">
        <v>55</v>
      </c>
    </row>
    <row r="131" spans="7:21" ht="21.75" customHeight="1" x14ac:dyDescent="0.15">
      <c r="G131" s="26" t="s">
        <v>529</v>
      </c>
      <c r="H13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G131)),
  ROW(),
  ""
)</f>
        <v>131</v>
      </c>
      <c r="I131" s="31" t="str">
        <f t="shared" si="11"/>
        <v>南相馬雫浄化センター9：00</v>
      </c>
      <c r="J131" s="31" t="str">
        <f t="shared" si="12"/>
        <v>ミナミソウマシドケジョウカセンター9：00</v>
      </c>
      <c r="K131" s="26" t="s">
        <v>117</v>
      </c>
      <c r="L131" s="40">
        <v>0.375</v>
      </c>
      <c r="M131" s="40">
        <v>0.22916666666666666</v>
      </c>
      <c r="N131" s="65"/>
      <c r="O131" s="66"/>
      <c r="P131" s="66"/>
      <c r="Q131" s="66" t="s">
        <v>122</v>
      </c>
      <c r="R131" s="34" t="s">
        <v>122</v>
      </c>
      <c r="S131" s="38" t="s">
        <v>122</v>
      </c>
      <c r="T131" s="41" t="s">
        <v>122</v>
      </c>
      <c r="U131" s="25" t="s">
        <v>55</v>
      </c>
    </row>
    <row r="132" spans="7:21" ht="21.75" customHeight="1" x14ac:dyDescent="0.15">
      <c r="G132" s="26" t="s">
        <v>816</v>
      </c>
      <c r="H13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G132)),
  ROW(),
  ""
)</f>
        <v>132</v>
      </c>
      <c r="I132" s="31" t="str">
        <f t="shared" si="11"/>
        <v>南相馬雫浄化センター</v>
      </c>
      <c r="J132" s="31" t="str">
        <f t="shared" si="12"/>
        <v>ミナミソウマシドケジョウカセンター</v>
      </c>
      <c r="K132" s="26" t="s">
        <v>117</v>
      </c>
      <c r="L132" s="40"/>
      <c r="M132" s="40"/>
      <c r="N132" s="65"/>
      <c r="O132" s="66"/>
      <c r="P132" s="66"/>
      <c r="Q132" s="66" t="s">
        <v>122</v>
      </c>
      <c r="R132" s="34" t="s">
        <v>122</v>
      </c>
      <c r="S132" s="38" t="s">
        <v>122</v>
      </c>
      <c r="T132" s="41" t="s">
        <v>122</v>
      </c>
      <c r="U132" s="25" t="s">
        <v>55</v>
      </c>
    </row>
    <row r="133" spans="7:21" ht="21.75" customHeight="1" x14ac:dyDescent="0.15">
      <c r="G133" s="26" t="s">
        <v>817</v>
      </c>
      <c r="H13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G133)),
  ROW(),
  ""
)</f>
        <v>133</v>
      </c>
      <c r="I133" s="31" t="str">
        <f t="shared" si="11"/>
        <v>十全　郡山8：00</v>
      </c>
      <c r="J133" s="31" t="str">
        <f t="shared" si="12"/>
        <v>ジュウゼン　コオリヤマ8：00</v>
      </c>
      <c r="K133" s="26" t="s">
        <v>57</v>
      </c>
      <c r="L133" s="40">
        <v>0.33333333333333331</v>
      </c>
      <c r="M133" s="40">
        <v>0.20833333333333334</v>
      </c>
      <c r="N133" s="65"/>
      <c r="O133" s="66"/>
      <c r="P133" s="66"/>
      <c r="Q133" s="66" t="s">
        <v>122</v>
      </c>
      <c r="R133" s="34" t="s">
        <v>122</v>
      </c>
      <c r="S133" s="38" t="s">
        <v>122</v>
      </c>
      <c r="T133" s="41" t="s">
        <v>122</v>
      </c>
      <c r="U133" s="25" t="s">
        <v>55</v>
      </c>
    </row>
    <row r="134" spans="7:21" ht="21.75" customHeight="1" x14ac:dyDescent="0.15">
      <c r="G134" s="26" t="s">
        <v>118</v>
      </c>
      <c r="H13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G134)),
  ROW(),
  ""
)</f>
        <v>134</v>
      </c>
      <c r="I134" s="31" t="str">
        <f t="shared" si="11"/>
        <v>十全　郡山</v>
      </c>
      <c r="J134" s="31" t="str">
        <f t="shared" si="12"/>
        <v>ジュウゼン　コオリヤマ</v>
      </c>
      <c r="K134" s="34" t="s">
        <v>57</v>
      </c>
      <c r="L134" s="40"/>
      <c r="M134" s="40"/>
      <c r="N134" s="65"/>
      <c r="O134" s="66"/>
      <c r="P134" s="66"/>
      <c r="Q134" s="66" t="s">
        <v>122</v>
      </c>
      <c r="R134" s="34" t="s">
        <v>122</v>
      </c>
      <c r="S134" s="38" t="s">
        <v>122</v>
      </c>
      <c r="T134" s="41" t="s">
        <v>122</v>
      </c>
      <c r="U134" s="25" t="s">
        <v>55</v>
      </c>
    </row>
    <row r="135" spans="7:21" ht="21.75" customHeight="1" x14ac:dyDescent="0.15">
      <c r="G135" s="26" t="s">
        <v>818</v>
      </c>
      <c r="H13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G135)),
  ROW(),
  ""
)</f>
        <v>135</v>
      </c>
      <c r="I135" s="31" t="str">
        <f t="shared" si="11"/>
        <v>純正化学AM</v>
      </c>
      <c r="J135" s="31" t="str">
        <f t="shared" si="12"/>
        <v>ジュンセイカガクAM</v>
      </c>
      <c r="K135" s="34" t="s">
        <v>120</v>
      </c>
      <c r="L135" s="40" t="s">
        <v>182</v>
      </c>
      <c r="M135" s="40">
        <v>0.29166666666666669</v>
      </c>
      <c r="N135" s="65"/>
      <c r="O135" s="66"/>
      <c r="P135" s="66"/>
      <c r="Q135" s="66" t="s">
        <v>122</v>
      </c>
      <c r="R135" s="34" t="s">
        <v>122</v>
      </c>
      <c r="S135" s="38" t="s">
        <v>122</v>
      </c>
      <c r="T135" s="41" t="s">
        <v>122</v>
      </c>
      <c r="U135" s="25" t="s">
        <v>55</v>
      </c>
    </row>
    <row r="136" spans="7:21" ht="21.75" customHeight="1" x14ac:dyDescent="0.15">
      <c r="G136" s="26" t="s">
        <v>119</v>
      </c>
      <c r="H13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G136)),
  ROW(),
  ""
)</f>
        <v>136</v>
      </c>
      <c r="I136" s="31" t="str">
        <f t="shared" si="11"/>
        <v>純正化学</v>
      </c>
      <c r="J136" s="31" t="str">
        <f t="shared" si="12"/>
        <v>ジュンセイカガク</v>
      </c>
      <c r="K136" s="34" t="s">
        <v>120</v>
      </c>
      <c r="L136" s="40"/>
      <c r="M136" s="40"/>
      <c r="N136" s="65"/>
      <c r="O136" s="66"/>
      <c r="P136" s="66"/>
      <c r="Q136" s="66" t="s">
        <v>122</v>
      </c>
      <c r="R136" s="34" t="s">
        <v>122</v>
      </c>
      <c r="S136" s="38" t="s">
        <v>122</v>
      </c>
      <c r="T136" s="41" t="s">
        <v>122</v>
      </c>
      <c r="U136" s="25" t="s">
        <v>55</v>
      </c>
    </row>
    <row r="137" spans="7:21" ht="21.75" customHeight="1" x14ac:dyDescent="0.15">
      <c r="G137" s="26" t="s">
        <v>819</v>
      </c>
      <c r="H13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G137)),
  ROW(),
  ""
)</f>
        <v>137</v>
      </c>
      <c r="I137" s="31" t="str">
        <f t="shared" si="11"/>
        <v>城北化学AM</v>
      </c>
      <c r="J137" s="31" t="str">
        <f t="shared" si="12"/>
        <v>ジョウホクカガクAM</v>
      </c>
      <c r="K137" s="26" t="s">
        <v>53</v>
      </c>
      <c r="L137" s="40" t="s">
        <v>182</v>
      </c>
      <c r="M137" s="40">
        <v>0.29166666666666669</v>
      </c>
      <c r="N137" s="65"/>
      <c r="O137" s="66"/>
      <c r="P137" s="66"/>
      <c r="Q137" s="66"/>
      <c r="R137" s="34"/>
      <c r="S137" s="38" t="s">
        <v>122</v>
      </c>
      <c r="T137" s="41" t="s">
        <v>122</v>
      </c>
      <c r="U137" s="25" t="s">
        <v>55</v>
      </c>
    </row>
    <row r="138" spans="7:21" ht="21.75" customHeight="1" x14ac:dyDescent="0.15">
      <c r="G138" s="26" t="s">
        <v>121</v>
      </c>
      <c r="H1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G138)),
  ROW(),
  ""
)</f>
        <v>138</v>
      </c>
      <c r="I138" s="31" t="str">
        <f t="shared" si="11"/>
        <v>城北化学</v>
      </c>
      <c r="J138" s="31" t="str">
        <f t="shared" si="12"/>
        <v>ジョウホクカガク</v>
      </c>
      <c r="K138" s="26" t="s">
        <v>53</v>
      </c>
      <c r="L138" s="40"/>
      <c r="M138" s="40"/>
      <c r="N138" s="65"/>
      <c r="O138" s="66"/>
      <c r="P138" s="66"/>
      <c r="Q138" s="66"/>
      <c r="R138" s="34"/>
      <c r="S138" s="38" t="s">
        <v>122</v>
      </c>
      <c r="T138" s="41" t="s">
        <v>122</v>
      </c>
      <c r="U138" s="25" t="s">
        <v>55</v>
      </c>
    </row>
    <row r="139" spans="7:21" ht="21.75" customHeight="1" x14ac:dyDescent="0.15">
      <c r="G139" s="26" t="s">
        <v>530</v>
      </c>
      <c r="H1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G139)),
  ROW(),
  ""
)</f>
        <v>139</v>
      </c>
      <c r="I139" s="31" t="str">
        <f t="shared" si="11"/>
        <v>常磐共同火力AM</v>
      </c>
      <c r="J139" s="31" t="str">
        <f t="shared" si="12"/>
        <v>ジョウバンキョウドウカリョクAM</v>
      </c>
      <c r="K139" s="26" t="s">
        <v>53</v>
      </c>
      <c r="L139" s="40" t="s">
        <v>182</v>
      </c>
      <c r="M139" s="40">
        <v>0.29166666666666669</v>
      </c>
      <c r="N139" s="65"/>
      <c r="O139" s="66"/>
      <c r="P139" s="66"/>
      <c r="Q139" s="66"/>
      <c r="R139" s="34"/>
      <c r="S139" s="38"/>
      <c r="T139" s="41"/>
      <c r="U139" s="25" t="s">
        <v>55</v>
      </c>
    </row>
    <row r="140" spans="7:21" ht="21.75" customHeight="1" x14ac:dyDescent="0.15">
      <c r="G140" s="26" t="s">
        <v>531</v>
      </c>
      <c r="H1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G140)),
  ROW(),
  ""
)</f>
        <v>140</v>
      </c>
      <c r="I140" s="31" t="str">
        <f t="shared" si="11"/>
        <v>常磐共同火力8：00</v>
      </c>
      <c r="J140" s="31" t="str">
        <f t="shared" si="12"/>
        <v>ジョウバンキョウドウカリョク8：00</v>
      </c>
      <c r="K140" s="26" t="s">
        <v>53</v>
      </c>
      <c r="L140" s="40">
        <v>0.33333333333333331</v>
      </c>
      <c r="M140" s="40">
        <v>0.29166666666666669</v>
      </c>
      <c r="N140" s="65"/>
      <c r="O140" s="66"/>
      <c r="P140" s="66"/>
      <c r="Q140" s="66"/>
      <c r="R140" s="34"/>
      <c r="S140" s="38"/>
      <c r="T140" s="41"/>
      <c r="U140" s="25" t="s">
        <v>55</v>
      </c>
    </row>
    <row r="141" spans="7:21" ht="21.75" customHeight="1" x14ac:dyDescent="0.15">
      <c r="G141" s="26" t="s">
        <v>820</v>
      </c>
      <c r="H1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G141)),
  ROW(),
  ""
)</f>
        <v>141</v>
      </c>
      <c r="I141" s="31" t="str">
        <f t="shared" si="11"/>
        <v>常磐共同火力</v>
      </c>
      <c r="J141" s="31" t="str">
        <f t="shared" si="12"/>
        <v>ジョウバンキョウドウカリョク</v>
      </c>
      <c r="K141" s="26" t="s">
        <v>53</v>
      </c>
      <c r="L141" s="40"/>
      <c r="M141" s="40"/>
      <c r="N141" s="65"/>
      <c r="O141" s="66"/>
      <c r="P141" s="66"/>
      <c r="Q141" s="66"/>
      <c r="R141" s="34"/>
      <c r="S141" s="38"/>
      <c r="T141" s="41"/>
      <c r="U141" s="25" t="s">
        <v>55</v>
      </c>
    </row>
    <row r="142" spans="7:21" ht="21.75" customHeight="1" x14ac:dyDescent="0.15">
      <c r="G142" s="26" t="s">
        <v>534</v>
      </c>
      <c r="H1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G142)),
  ROW(),
  ""
)</f>
        <v>142</v>
      </c>
      <c r="I142" s="31" t="str">
        <f t="shared" si="11"/>
        <v>勿来IGCCﾊﾟﾜｰ</v>
      </c>
      <c r="J142" s="31" t="str">
        <f t="shared" si="12"/>
        <v>ナコソIGCCパワー</v>
      </c>
      <c r="K142" s="26" t="s">
        <v>53</v>
      </c>
      <c r="L142" s="40"/>
      <c r="M142" s="40">
        <v>0.3125</v>
      </c>
      <c r="N142" s="65"/>
      <c r="O142" s="66"/>
      <c r="P142" s="66"/>
      <c r="Q142" s="66" t="s">
        <v>122</v>
      </c>
      <c r="R142" s="34" t="s">
        <v>122</v>
      </c>
      <c r="S142" s="38" t="s">
        <v>122</v>
      </c>
      <c r="T142" s="41" t="s">
        <v>122</v>
      </c>
      <c r="U142" s="25" t="s">
        <v>55</v>
      </c>
    </row>
    <row r="143" spans="7:21" ht="21.75" customHeight="1" x14ac:dyDescent="0.15">
      <c r="G143" s="26" t="s">
        <v>124</v>
      </c>
      <c r="H14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G143)),
  ROW(),
  ""
)</f>
        <v>143</v>
      </c>
      <c r="I143" s="31" t="str">
        <f t="shared" si="11"/>
        <v>常磐火力産業（勿来）</v>
      </c>
      <c r="J143" s="31" t="str">
        <f t="shared" si="12"/>
        <v>ジョウバンカリョクサンギョウ（ナコソ）</v>
      </c>
      <c r="K143" s="26" t="s">
        <v>53</v>
      </c>
      <c r="L143" s="40"/>
      <c r="M143" s="40"/>
      <c r="N143" s="65"/>
      <c r="O143" s="66"/>
      <c r="P143" s="66"/>
      <c r="Q143" s="66"/>
      <c r="R143" s="34"/>
      <c r="S143" s="38"/>
      <c r="T143" s="41"/>
      <c r="U143" s="25" t="s">
        <v>55</v>
      </c>
    </row>
    <row r="144" spans="7:21" ht="21.75" customHeight="1" x14ac:dyDescent="0.15">
      <c r="G144" s="18" t="s">
        <v>125</v>
      </c>
      <c r="H14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G144)),
  ROW(),
  ""
)</f>
        <v>144</v>
      </c>
      <c r="I144" s="31" t="str">
        <f t="shared" si="11"/>
        <v>白土プリント</v>
      </c>
      <c r="J144" s="31" t="str">
        <f t="shared" si="12"/>
        <v>シラドプリント</v>
      </c>
      <c r="K144" s="26" t="s">
        <v>126</v>
      </c>
      <c r="L144" s="20"/>
      <c r="M144" s="20">
        <v>0.20833333333333334</v>
      </c>
      <c r="N144" s="65"/>
      <c r="O144" s="66"/>
      <c r="P144" s="66"/>
      <c r="Q144" s="66"/>
      <c r="R144" s="34"/>
      <c r="S144" s="38"/>
      <c r="T144" s="41"/>
      <c r="U144" s="25" t="s">
        <v>55</v>
      </c>
    </row>
    <row r="145" spans="7:21" ht="21.75" customHeight="1" x14ac:dyDescent="0.15">
      <c r="G145" s="26" t="s">
        <v>127</v>
      </c>
      <c r="H14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G145)),
  ROW(),
  ""
)</f>
        <v>145</v>
      </c>
      <c r="I145" s="31" t="str">
        <f t="shared" si="11"/>
        <v>城里衛生センター</v>
      </c>
      <c r="J145" s="31" t="str">
        <f t="shared" si="12"/>
        <v>シロサトエイセイセンター</v>
      </c>
      <c r="K145" s="26" t="s">
        <v>128</v>
      </c>
      <c r="L145" s="40"/>
      <c r="M145" s="40">
        <v>0.20833333333333334</v>
      </c>
      <c r="N145" s="65"/>
      <c r="O145" s="66"/>
      <c r="P145" s="66"/>
      <c r="Q145" s="66" t="s">
        <v>122</v>
      </c>
      <c r="R145" s="34" t="s">
        <v>122</v>
      </c>
      <c r="S145" s="38" t="s">
        <v>122</v>
      </c>
      <c r="T145" s="41" t="s">
        <v>122</v>
      </c>
      <c r="U145" s="25" t="s">
        <v>55</v>
      </c>
    </row>
    <row r="146" spans="7:21" ht="21.75" customHeight="1" x14ac:dyDescent="0.15">
      <c r="G146" s="18" t="s">
        <v>129</v>
      </c>
      <c r="H14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G146)),
  ROW(),
  ""
)</f>
        <v>146</v>
      </c>
      <c r="I146" s="31" t="str">
        <f t="shared" si="11"/>
        <v>信越石英</v>
      </c>
      <c r="J146" s="31" t="str">
        <f t="shared" si="12"/>
        <v>シンエツセキエイ</v>
      </c>
      <c r="K146" s="26" t="s">
        <v>57</v>
      </c>
      <c r="L146" s="20" t="s">
        <v>122</v>
      </c>
      <c r="M146" s="20">
        <v>0.22916666666666666</v>
      </c>
      <c r="N146" s="65"/>
      <c r="O146" s="66"/>
      <c r="P146" s="66"/>
      <c r="Q146" s="66"/>
      <c r="R146" s="34"/>
      <c r="S146" s="38"/>
      <c r="T146" s="41"/>
      <c r="U146" s="25" t="s">
        <v>55</v>
      </c>
    </row>
    <row r="147" spans="7:21" ht="21.75" customHeight="1" x14ac:dyDescent="0.15">
      <c r="G147" s="18" t="s">
        <v>535</v>
      </c>
      <c r="H14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G147)),
  ROW(),
  ""
)</f>
        <v>147</v>
      </c>
      <c r="I147" s="31" t="str">
        <f t="shared" si="11"/>
        <v>新日本電工8：00</v>
      </c>
      <c r="J147" s="31" t="str">
        <f t="shared" si="12"/>
        <v>シンニホンデンコウ8：00</v>
      </c>
      <c r="K147" s="26" t="s">
        <v>57</v>
      </c>
      <c r="L147" s="40">
        <v>0.33333333333333331</v>
      </c>
      <c r="M147" s="40">
        <v>0.20833333333333334</v>
      </c>
      <c r="N147" s="21"/>
      <c r="O147" s="22"/>
      <c r="P147" s="22"/>
      <c r="Q147" s="27"/>
      <c r="R147" s="34"/>
      <c r="S147" s="27"/>
      <c r="T147" s="27"/>
      <c r="U147" s="25" t="s">
        <v>55</v>
      </c>
    </row>
    <row r="148" spans="7:21" ht="21.75" customHeight="1" x14ac:dyDescent="0.15">
      <c r="G148" s="26" t="s">
        <v>536</v>
      </c>
      <c r="H1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G148)),
  ROW(),
  ""
)</f>
        <v>148</v>
      </c>
      <c r="I148" s="31" t="str">
        <f t="shared" si="11"/>
        <v>新日本電工9：00</v>
      </c>
      <c r="J148" s="31" t="str">
        <f t="shared" ref="J148:J166" si="13">PHONETIC(G148)</f>
        <v>シンニホンデンコウ9：00</v>
      </c>
      <c r="K148" s="26" t="s">
        <v>57</v>
      </c>
      <c r="L148" s="40">
        <v>0.375</v>
      </c>
      <c r="M148" s="40">
        <v>0.22916666666666666</v>
      </c>
      <c r="N148" s="21"/>
      <c r="O148" s="22"/>
      <c r="P148" s="22"/>
      <c r="Q148" s="27"/>
      <c r="R148" s="34"/>
      <c r="S148" s="27"/>
      <c r="T148" s="27"/>
      <c r="U148" s="25" t="s">
        <v>55</v>
      </c>
    </row>
    <row r="149" spans="7:21" ht="21.75" customHeight="1" x14ac:dyDescent="0.15">
      <c r="G149" s="26" t="s">
        <v>821</v>
      </c>
      <c r="H1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G149)),
  ROW(),
  ""
)</f>
        <v>149</v>
      </c>
      <c r="I149" s="31" t="str">
        <f t="shared" si="11"/>
        <v>新日本電工</v>
      </c>
      <c r="J149" s="31" t="str">
        <f t="shared" si="13"/>
        <v>シンニホンデンコウ</v>
      </c>
      <c r="K149" s="26" t="s">
        <v>57</v>
      </c>
      <c r="L149" s="40"/>
      <c r="M149" s="40"/>
      <c r="N149" s="21"/>
      <c r="O149" s="22"/>
      <c r="P149" s="22"/>
      <c r="Q149" s="27"/>
      <c r="R149" s="34"/>
      <c r="S149" s="27"/>
      <c r="T149" s="27"/>
      <c r="U149" s="25" t="s">
        <v>55</v>
      </c>
    </row>
    <row r="150" spans="7:21" ht="21.75" customHeight="1" x14ac:dyDescent="0.15">
      <c r="G150" s="26" t="s">
        <v>131</v>
      </c>
      <c r="H1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G150)),
  ROW(),
  ""
)</f>
        <v>150</v>
      </c>
      <c r="I150" s="31" t="str">
        <f t="shared" si="11"/>
        <v>新菱（いわき）</v>
      </c>
      <c r="J150" s="31" t="str">
        <f t="shared" si="13"/>
        <v>シンリョウ（イワキ）</v>
      </c>
      <c r="K150" s="26" t="s">
        <v>53</v>
      </c>
      <c r="L150" s="40"/>
      <c r="M150" s="40"/>
      <c r="N150" s="21"/>
      <c r="O150" s="22"/>
      <c r="P150" s="22"/>
      <c r="Q150" s="27"/>
      <c r="R150" s="34"/>
      <c r="S150" s="27"/>
      <c r="T150" s="27"/>
      <c r="U150" s="25" t="s">
        <v>55</v>
      </c>
    </row>
    <row r="151" spans="7:21" ht="21.75" customHeight="1" x14ac:dyDescent="0.15">
      <c r="G151" s="26" t="s">
        <v>537</v>
      </c>
      <c r="H1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G151)),
  ROW(),
  ""
)</f>
        <v>151</v>
      </c>
      <c r="I151" s="31" t="str">
        <f t="shared" si="11"/>
        <v>新和企業8：30</v>
      </c>
      <c r="J151" s="31" t="str">
        <f t="shared" si="13"/>
        <v>シンワキギョウ8：30</v>
      </c>
      <c r="K151" s="26" t="s">
        <v>115</v>
      </c>
      <c r="L151" s="40">
        <v>0.35416666666666669</v>
      </c>
      <c r="M151" s="40">
        <v>0.27083333333333331</v>
      </c>
      <c r="N151" s="21"/>
      <c r="O151" s="22"/>
      <c r="P151" s="22"/>
      <c r="Q151" s="27"/>
      <c r="R151" s="34"/>
      <c r="S151" s="27"/>
      <c r="T151" s="27"/>
      <c r="U151" s="25" t="s">
        <v>55</v>
      </c>
    </row>
    <row r="152" spans="7:21" ht="21.75" customHeight="1" x14ac:dyDescent="0.15">
      <c r="G152" s="34" t="s">
        <v>538</v>
      </c>
      <c r="H1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G152)),
  ROW(),
  ""
)</f>
        <v>152</v>
      </c>
      <c r="I152" s="31" t="str">
        <f t="shared" si="11"/>
        <v>新和企業9：00</v>
      </c>
      <c r="J152" s="31" t="str">
        <f t="shared" si="13"/>
        <v>シンワキギョウ9：00</v>
      </c>
      <c r="K152" s="34" t="s">
        <v>115</v>
      </c>
      <c r="L152" s="40">
        <v>0.375</v>
      </c>
      <c r="M152" s="40">
        <v>0.25</v>
      </c>
      <c r="N152" s="21"/>
      <c r="O152" s="22"/>
      <c r="P152" s="22"/>
      <c r="Q152" s="27"/>
      <c r="R152" s="34"/>
      <c r="S152" s="27"/>
      <c r="T152" s="27"/>
      <c r="U152" s="25" t="s">
        <v>55</v>
      </c>
    </row>
    <row r="153" spans="7:21" ht="21.75" customHeight="1" x14ac:dyDescent="0.15">
      <c r="G153" s="34" t="s">
        <v>822</v>
      </c>
      <c r="H1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G153)),
  ROW(),
  ""
)</f>
        <v>153</v>
      </c>
      <c r="I153" s="31" t="str">
        <f t="shared" si="11"/>
        <v>新和企業</v>
      </c>
      <c r="J153" s="31" t="str">
        <f t="shared" si="13"/>
        <v>シンワキギョウ</v>
      </c>
      <c r="K153" s="34" t="s">
        <v>115</v>
      </c>
      <c r="L153" s="40"/>
      <c r="M153" s="40"/>
      <c r="N153" s="21"/>
      <c r="O153" s="22"/>
      <c r="P153" s="22"/>
      <c r="Q153" s="27"/>
      <c r="R153" s="34"/>
      <c r="S153" s="27"/>
      <c r="T153" s="27"/>
      <c r="U153" s="25" t="s">
        <v>55</v>
      </c>
    </row>
    <row r="154" spans="7:21" ht="21.75" customHeight="1" x14ac:dyDescent="0.15">
      <c r="G154" s="34" t="s">
        <v>539</v>
      </c>
      <c r="H1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G154)),
  ROW(),
  ""
)</f>
        <v>154</v>
      </c>
      <c r="I154" s="31" t="str">
        <f t="shared" si="11"/>
        <v>住友化学（茨城）13:30</v>
      </c>
      <c r="J154" s="31" t="str">
        <f t="shared" si="13"/>
        <v>スミトモカガク（イバラキ）13:30</v>
      </c>
      <c r="K154" s="26" t="s">
        <v>132</v>
      </c>
      <c r="L154" s="40">
        <v>0.54166666666666663</v>
      </c>
      <c r="M154" s="40"/>
      <c r="N154" s="21"/>
      <c r="O154" s="22"/>
      <c r="P154" s="22"/>
      <c r="Q154" s="27"/>
      <c r="R154" s="34"/>
      <c r="S154" s="27"/>
      <c r="T154" s="27"/>
      <c r="U154" s="25" t="s">
        <v>55</v>
      </c>
    </row>
    <row r="155" spans="7:21" ht="21.75" customHeight="1" x14ac:dyDescent="0.15">
      <c r="G155" s="34" t="s">
        <v>540</v>
      </c>
      <c r="H1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G155)),
  ROW(),
  ""
)</f>
        <v>155</v>
      </c>
      <c r="I155" s="31" t="str">
        <f t="shared" si="11"/>
        <v>住友化学（茨城）8:30</v>
      </c>
      <c r="J155" s="31" t="str">
        <f t="shared" si="13"/>
        <v>スミトモカガク（イバラキ）8:30</v>
      </c>
      <c r="K155" s="26" t="s">
        <v>132</v>
      </c>
      <c r="L155" s="40">
        <v>0.35416666666666669</v>
      </c>
      <c r="M155" s="40">
        <v>0.22916666666666666</v>
      </c>
      <c r="N155" s="21"/>
      <c r="O155" s="22"/>
      <c r="P155" s="22"/>
      <c r="Q155" s="27"/>
      <c r="R155" s="34"/>
      <c r="S155" s="27"/>
      <c r="T155" s="27"/>
      <c r="U155" s="25" t="s">
        <v>55</v>
      </c>
    </row>
    <row r="156" spans="7:21" ht="21.75" customHeight="1" x14ac:dyDescent="0.15">
      <c r="G156" s="26" t="s">
        <v>823</v>
      </c>
      <c r="H15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G156)),
  ROW(),
  ""
)</f>
        <v>156</v>
      </c>
      <c r="I156" s="26" t="str">
        <f t="shared" si="11"/>
        <v>住友化学（茨城）</v>
      </c>
      <c r="J156" s="26" t="str">
        <f t="shared" si="13"/>
        <v>スミトモカガク（イバラキ）</v>
      </c>
      <c r="K156" s="26" t="s">
        <v>132</v>
      </c>
      <c r="L156" s="40"/>
      <c r="M156" s="40"/>
      <c r="N156" s="21"/>
      <c r="O156" s="22"/>
      <c r="P156" s="23"/>
      <c r="Q156" s="23"/>
      <c r="R156" s="34" t="s">
        <v>122</v>
      </c>
      <c r="S156" s="38"/>
      <c r="T156" s="41"/>
      <c r="U156" s="25" t="s">
        <v>55</v>
      </c>
    </row>
    <row r="157" spans="7:21" ht="21.75" customHeight="1" x14ac:dyDescent="0.15">
      <c r="G157" s="26" t="s">
        <v>541</v>
      </c>
      <c r="H157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G157)),
  ROW(),
  ""
)</f>
        <v>157</v>
      </c>
      <c r="I157" s="26" t="str">
        <f t="shared" si="11"/>
        <v>仙波糖化8：00</v>
      </c>
      <c r="J157" s="26" t="str">
        <f t="shared" si="13"/>
        <v>センバトウカ8：00</v>
      </c>
      <c r="K157" s="26" t="s">
        <v>135</v>
      </c>
      <c r="L157" s="40">
        <v>0.33333333333333331</v>
      </c>
      <c r="M157" s="40">
        <v>0.16666666666666666</v>
      </c>
      <c r="N157" s="21"/>
      <c r="O157" s="22"/>
      <c r="P157" s="23"/>
      <c r="Q157" s="23"/>
      <c r="R157" s="34" t="s">
        <v>136</v>
      </c>
      <c r="S157" s="38"/>
      <c r="T157" s="41"/>
      <c r="U157" s="25" t="s">
        <v>55</v>
      </c>
    </row>
    <row r="158" spans="7:21" ht="21.75" customHeight="1" x14ac:dyDescent="0.15">
      <c r="G158" s="26" t="s">
        <v>824</v>
      </c>
      <c r="H158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G158)),
  ROW(),
  ""
)</f>
        <v>158</v>
      </c>
      <c r="I158" s="26" t="str">
        <f t="shared" si="11"/>
        <v>仙波糖化</v>
      </c>
      <c r="J158" s="26" t="str">
        <f t="shared" si="13"/>
        <v>センバトウカ</v>
      </c>
      <c r="K158" s="26" t="s">
        <v>135</v>
      </c>
      <c r="L158" s="40"/>
      <c r="M158" s="40"/>
      <c r="N158" s="21"/>
      <c r="O158" s="22"/>
      <c r="P158" s="23" t="s">
        <v>123</v>
      </c>
      <c r="Q158" s="23"/>
      <c r="R158" s="34"/>
      <c r="S158" s="38"/>
      <c r="T158" s="41"/>
      <c r="U158" s="25" t="s">
        <v>55</v>
      </c>
    </row>
    <row r="159" spans="7:21" ht="21.75" customHeight="1" x14ac:dyDescent="0.15">
      <c r="G159" s="26" t="s">
        <v>137</v>
      </c>
      <c r="H1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G159)),
  ROW(),
  ""
)</f>
        <v>159</v>
      </c>
      <c r="I159" s="31" t="str">
        <f t="shared" si="11"/>
        <v>静光産業（福島）</v>
      </c>
      <c r="J159" s="31" t="str">
        <f t="shared" si="13"/>
        <v>シズヒカリサンギョウ（フクシマ）</v>
      </c>
      <c r="K159" s="26" t="s">
        <v>138</v>
      </c>
      <c r="L159" s="40"/>
      <c r="M159" s="40">
        <v>0.25</v>
      </c>
      <c r="N159" s="21"/>
      <c r="O159" s="22"/>
      <c r="P159" s="22"/>
      <c r="Q159" s="27"/>
      <c r="R159" s="34" t="s">
        <v>542</v>
      </c>
      <c r="S159" s="27"/>
      <c r="T159" s="27"/>
      <c r="U159" s="25" t="s">
        <v>55</v>
      </c>
    </row>
    <row r="160" spans="7:21" ht="21.75" customHeight="1" x14ac:dyDescent="0.15">
      <c r="G160" s="26" t="s">
        <v>543</v>
      </c>
      <c r="H1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G160)),
  ROW(),
  ""
)</f>
        <v>160</v>
      </c>
      <c r="I160" s="31" t="str">
        <f t="shared" si="11"/>
        <v>相互薬工9：00</v>
      </c>
      <c r="J160" s="31" t="str">
        <f t="shared" si="13"/>
        <v>ソウゴヤクコウ9：00</v>
      </c>
      <c r="K160" s="26" t="s">
        <v>53</v>
      </c>
      <c r="L160" s="40">
        <v>0.375</v>
      </c>
      <c r="M160" s="40">
        <v>0.3125</v>
      </c>
      <c r="N160" s="21"/>
      <c r="O160" s="22"/>
      <c r="P160" s="22"/>
      <c r="Q160" s="27"/>
      <c r="R160" s="34"/>
      <c r="S160" s="27"/>
      <c r="T160" s="27"/>
      <c r="U160" s="25" t="s">
        <v>55</v>
      </c>
    </row>
    <row r="161" spans="7:21" ht="21.75" customHeight="1" x14ac:dyDescent="0.15">
      <c r="G161" s="26" t="s">
        <v>825</v>
      </c>
      <c r="H1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G161)),
  ROW(),
  ""
)</f>
        <v>161</v>
      </c>
      <c r="I161" s="31" t="str">
        <f t="shared" si="11"/>
        <v>相互薬工</v>
      </c>
      <c r="J161" s="31" t="str">
        <f t="shared" si="13"/>
        <v>ソウゴヤクコウ</v>
      </c>
      <c r="K161" s="26" t="s">
        <v>53</v>
      </c>
      <c r="L161" s="40"/>
      <c r="M161" s="40"/>
      <c r="N161" s="21"/>
      <c r="O161" s="22"/>
      <c r="P161" s="22" t="s">
        <v>58</v>
      </c>
      <c r="Q161" s="67"/>
      <c r="R161" s="34"/>
      <c r="S161" s="38"/>
      <c r="T161" s="41"/>
      <c r="U161" s="25" t="s">
        <v>55</v>
      </c>
    </row>
    <row r="162" spans="7:21" ht="21.75" customHeight="1" x14ac:dyDescent="0.15">
      <c r="G162" s="26" t="s">
        <v>545</v>
      </c>
      <c r="H1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G162)),
  ROW(),
  ""
)</f>
        <v>162</v>
      </c>
      <c r="I162" s="31" t="str">
        <f t="shared" si="11"/>
        <v>ソーダニッカ（七ヶ浜）9：00</v>
      </c>
      <c r="J162" s="31" t="str">
        <f t="shared" si="13"/>
        <v>ソーダニッカ（シチガハマ）9：00</v>
      </c>
      <c r="K162" s="34" t="s">
        <v>139</v>
      </c>
      <c r="L162" s="40">
        <v>0.375</v>
      </c>
      <c r="M162" s="40">
        <v>0.16666666666666666</v>
      </c>
      <c r="N162" s="21"/>
      <c r="O162" s="22"/>
      <c r="P162" s="22" t="s">
        <v>58</v>
      </c>
      <c r="Q162" s="67"/>
      <c r="R162" s="34" t="s">
        <v>544</v>
      </c>
      <c r="S162" s="38"/>
      <c r="T162" s="41"/>
      <c r="U162" s="25" t="s">
        <v>55</v>
      </c>
    </row>
    <row r="163" spans="7:21" ht="21.75" customHeight="1" x14ac:dyDescent="0.15">
      <c r="G163" s="26" t="s">
        <v>546</v>
      </c>
      <c r="H1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G163)),
  ROW(),
  ""
)</f>
        <v>163</v>
      </c>
      <c r="I163" s="31" t="str">
        <f t="shared" si="11"/>
        <v>ソーダニッカ（七ヶ浜）9：30</v>
      </c>
      <c r="J163" s="31" t="str">
        <f t="shared" si="13"/>
        <v>ソーダニッカ（シチガハマ）9：30</v>
      </c>
      <c r="K163" s="34" t="s">
        <v>139</v>
      </c>
      <c r="L163" s="40">
        <v>0.39583333333333331</v>
      </c>
      <c r="M163" s="40">
        <v>0.16666666666666666</v>
      </c>
      <c r="N163" s="21"/>
      <c r="O163" s="22"/>
      <c r="P163" s="22" t="s">
        <v>58</v>
      </c>
      <c r="Q163" s="67"/>
      <c r="R163" s="34" t="s">
        <v>544</v>
      </c>
      <c r="S163" s="38"/>
      <c r="T163" s="41"/>
      <c r="U163" s="25" t="s">
        <v>55</v>
      </c>
    </row>
    <row r="164" spans="7:21" ht="21.75" customHeight="1" x14ac:dyDescent="0.15">
      <c r="G164" s="26" t="s">
        <v>547</v>
      </c>
      <c r="H1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G164)),
  ROW(),
  ""
)</f>
        <v>164</v>
      </c>
      <c r="I164" s="31" t="str">
        <f t="shared" ref="I164:I227" si="14">INDEX(G:G,SMALL($H$4:$H$1113,ROW(G161)))</f>
        <v>ソーダニッカ（七ヶ浜）10：00</v>
      </c>
      <c r="J164" s="31" t="str">
        <f t="shared" si="13"/>
        <v>ソーダニッカ（シチガハマ）10：00</v>
      </c>
      <c r="K164" s="34" t="s">
        <v>139</v>
      </c>
      <c r="L164" s="40">
        <v>0.41666666666666669</v>
      </c>
      <c r="M164" s="21">
        <v>0.20833333333333334</v>
      </c>
      <c r="N164" s="21"/>
      <c r="O164" s="22"/>
      <c r="P164" s="22" t="s">
        <v>130</v>
      </c>
      <c r="Q164" s="27"/>
      <c r="R164" s="34" t="s">
        <v>544</v>
      </c>
      <c r="S164" s="27"/>
      <c r="T164" s="27"/>
      <c r="U164" s="25" t="s">
        <v>55</v>
      </c>
    </row>
    <row r="165" spans="7:21" ht="21.75" customHeight="1" x14ac:dyDescent="0.15">
      <c r="G165" s="26" t="s">
        <v>826</v>
      </c>
      <c r="H16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G165)),
  ROW(),
  ""
)</f>
        <v>165</v>
      </c>
      <c r="I165" s="31" t="str">
        <f t="shared" si="14"/>
        <v>ソーダニッカ（七ヶ浜）</v>
      </c>
      <c r="J165" s="31" t="str">
        <f t="shared" si="13"/>
        <v>ソーダニッカ（シチガハマ）</v>
      </c>
      <c r="K165" s="34" t="s">
        <v>139</v>
      </c>
      <c r="L165" s="40" t="s">
        <v>122</v>
      </c>
      <c r="M165" s="40" t="s">
        <v>122</v>
      </c>
      <c r="N165" s="21"/>
      <c r="O165" s="22"/>
      <c r="P165" s="22"/>
      <c r="Q165" s="27"/>
      <c r="R165" s="34"/>
      <c r="S165" s="27"/>
      <c r="T165" s="27"/>
      <c r="U165" s="25" t="s">
        <v>55</v>
      </c>
    </row>
    <row r="166" spans="7:21" ht="21.75" customHeight="1" x14ac:dyDescent="0.15">
      <c r="G166" s="26" t="s">
        <v>548</v>
      </c>
      <c r="H166" s="8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G166)),
  ROW(),
  ""
)</f>
        <v>166</v>
      </c>
      <c r="I166" s="89" t="str">
        <f t="shared" si="14"/>
        <v>大紀アルミニウム8：00</v>
      </c>
      <c r="J166" s="31" t="str">
        <f t="shared" si="13"/>
        <v>タイキアルミニウム8：00</v>
      </c>
      <c r="K166" s="26" t="s">
        <v>70</v>
      </c>
      <c r="L166" s="40">
        <v>0.33333333333333331</v>
      </c>
      <c r="M166" s="40">
        <v>0.20833333333333334</v>
      </c>
      <c r="N166" s="21"/>
      <c r="O166" s="22"/>
      <c r="P166" s="23"/>
      <c r="Q166" s="23"/>
      <c r="R166" s="34"/>
      <c r="S166" s="38"/>
      <c r="T166" s="41"/>
      <c r="U166" s="25" t="s">
        <v>55</v>
      </c>
    </row>
    <row r="167" spans="7:21" ht="21.75" customHeight="1" x14ac:dyDescent="0.15">
      <c r="G167" s="34" t="s">
        <v>140</v>
      </c>
      <c r="H167" s="8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G167)),
  ROW(),
  ""
)</f>
        <v>167</v>
      </c>
      <c r="I167" s="89" t="str">
        <f t="shared" si="14"/>
        <v>大紀アルミニウム</v>
      </c>
      <c r="J167" s="31" t="str">
        <f t="shared" ref="J167:J248" si="15">PHONETIC(G167)</f>
        <v>タイキアルミニウム</v>
      </c>
      <c r="K167" s="26" t="s">
        <v>70</v>
      </c>
      <c r="L167" s="40"/>
      <c r="M167" s="21"/>
      <c r="N167" s="21"/>
      <c r="O167" s="22"/>
      <c r="P167" s="23"/>
      <c r="Q167" s="23"/>
      <c r="R167" s="34"/>
      <c r="S167" s="38"/>
      <c r="T167" s="41"/>
      <c r="U167" s="25" t="s">
        <v>55</v>
      </c>
    </row>
    <row r="168" spans="7:21" ht="21.75" customHeight="1" x14ac:dyDescent="0.15">
      <c r="G168" s="34" t="s">
        <v>550</v>
      </c>
      <c r="H16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G168)),
  ROW(),
  ""
)</f>
        <v>168</v>
      </c>
      <c r="I168" s="31" t="str">
        <f t="shared" si="14"/>
        <v>ダイキン（鹿島）8：30</v>
      </c>
      <c r="J168" s="31" t="str">
        <f t="shared" si="15"/>
        <v>ダイキン（カシマ）8：30</v>
      </c>
      <c r="K168" s="26" t="s">
        <v>141</v>
      </c>
      <c r="L168" s="40">
        <v>0.35416666666666669</v>
      </c>
      <c r="M168" s="21">
        <v>0.16666666666666666</v>
      </c>
      <c r="N168" s="65"/>
      <c r="O168" s="66"/>
      <c r="P168" s="66"/>
      <c r="Q168" s="66"/>
      <c r="R168" s="34" t="s">
        <v>122</v>
      </c>
      <c r="S168" s="38" t="s">
        <v>133</v>
      </c>
      <c r="T168" s="41"/>
      <c r="U168" s="25" t="s">
        <v>134</v>
      </c>
    </row>
    <row r="169" spans="7:21" ht="21.75" customHeight="1" x14ac:dyDescent="0.15">
      <c r="G169" s="34" t="s">
        <v>549</v>
      </c>
      <c r="H16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G169)),
  ROW(),
  ""
)</f>
        <v>169</v>
      </c>
      <c r="I169" s="31" t="str">
        <f t="shared" si="14"/>
        <v>ダイキン（鹿島）9：30</v>
      </c>
      <c r="J169" s="31" t="str">
        <f t="shared" si="15"/>
        <v>ダイキン（カシマ）9：30</v>
      </c>
      <c r="K169" s="26" t="s">
        <v>141</v>
      </c>
      <c r="L169" s="40">
        <v>0.39583333333333331</v>
      </c>
      <c r="M169" s="21">
        <v>0.1875</v>
      </c>
      <c r="N169" s="21"/>
      <c r="O169" s="22"/>
      <c r="P169" s="22"/>
      <c r="Q169" s="67"/>
      <c r="R169" s="34"/>
      <c r="S169" s="38"/>
      <c r="T169" s="41"/>
      <c r="U169" s="25" t="s">
        <v>55</v>
      </c>
    </row>
    <row r="170" spans="7:21" ht="21.75" customHeight="1" x14ac:dyDescent="0.15">
      <c r="G170" s="34" t="s">
        <v>827</v>
      </c>
      <c r="H17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G170)),
  ROW(),
  ""
)</f>
        <v>170</v>
      </c>
      <c r="I170" s="31" t="str">
        <f t="shared" si="14"/>
        <v>ダイキン（鹿島）</v>
      </c>
      <c r="J170" s="31" t="str">
        <f t="shared" si="15"/>
        <v>ダイキン（カシマ）</v>
      </c>
      <c r="K170" s="26" t="s">
        <v>141</v>
      </c>
      <c r="L170" s="40"/>
      <c r="M170" s="40"/>
      <c r="N170" s="32"/>
      <c r="O170" s="33"/>
      <c r="P170" s="26"/>
      <c r="Q170" s="26"/>
      <c r="R170" s="34"/>
      <c r="S170" s="68"/>
      <c r="T170" s="26"/>
      <c r="U170" s="25" t="s">
        <v>55</v>
      </c>
    </row>
    <row r="171" spans="7:21" ht="21.75" customHeight="1" x14ac:dyDescent="0.15">
      <c r="G171" s="34" t="s">
        <v>142</v>
      </c>
      <c r="H17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G171)),
  ROW(),
  ""
)</f>
        <v>171</v>
      </c>
      <c r="I171" s="31" t="str">
        <f t="shared" si="14"/>
        <v>大建工業</v>
      </c>
      <c r="J171" s="31" t="str">
        <f t="shared" si="15"/>
        <v>ダイケンコウギョウ</v>
      </c>
      <c r="K171" s="34" t="s">
        <v>60</v>
      </c>
      <c r="L171" s="40" t="s">
        <v>122</v>
      </c>
      <c r="M171" s="40">
        <v>0.29166666666666669</v>
      </c>
      <c r="N171" s="32"/>
      <c r="O171" s="33"/>
      <c r="P171" s="26"/>
      <c r="Q171" s="26"/>
      <c r="R171" s="34"/>
      <c r="S171" s="68"/>
      <c r="T171" s="26"/>
      <c r="U171" s="25" t="s">
        <v>55</v>
      </c>
    </row>
    <row r="172" spans="7:21" ht="21.75" customHeight="1" x14ac:dyDescent="0.15">
      <c r="G172" s="34" t="s">
        <v>551</v>
      </c>
      <c r="H17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G172)),
  ROW(),
  ""
)</f>
        <v>172</v>
      </c>
      <c r="I172" s="31" t="str">
        <f t="shared" si="14"/>
        <v>大日ケミカルAM</v>
      </c>
      <c r="J172" s="31" t="str">
        <f t="shared" si="15"/>
        <v>ダイニチケミカルAM</v>
      </c>
      <c r="K172" s="34" t="s">
        <v>53</v>
      </c>
      <c r="L172" s="40" t="s">
        <v>182</v>
      </c>
      <c r="M172" s="40">
        <v>0.29166666666666669</v>
      </c>
      <c r="N172" s="32"/>
      <c r="O172" s="33"/>
      <c r="P172" s="26"/>
      <c r="Q172" s="26"/>
      <c r="R172" s="34"/>
      <c r="S172" s="68"/>
      <c r="T172" s="26"/>
      <c r="U172" s="25" t="s">
        <v>55</v>
      </c>
    </row>
    <row r="173" spans="7:21" ht="21.75" customHeight="1" x14ac:dyDescent="0.15">
      <c r="G173" s="34" t="s">
        <v>828</v>
      </c>
      <c r="H173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G173)),
  ROW(),
  ""
)</f>
        <v>173</v>
      </c>
      <c r="I173" s="26" t="str">
        <f t="shared" si="14"/>
        <v>大日ケミカル</v>
      </c>
      <c r="J173" s="26" t="str">
        <f t="shared" si="15"/>
        <v>ダイニチケミカル</v>
      </c>
      <c r="K173" s="34" t="s">
        <v>53</v>
      </c>
      <c r="L173" s="40"/>
      <c r="M173" s="40"/>
      <c r="N173" s="21"/>
      <c r="O173" s="22"/>
      <c r="P173" s="22"/>
      <c r="Q173" s="67"/>
      <c r="R173" s="34"/>
      <c r="S173" s="38"/>
      <c r="T173" s="41"/>
      <c r="U173" s="25" t="s">
        <v>55</v>
      </c>
    </row>
    <row r="174" spans="7:21" ht="21.75" customHeight="1" x14ac:dyDescent="0.15">
      <c r="G174" s="18" t="s">
        <v>949</v>
      </c>
      <c r="H174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G174)),
  ROW(),
  ""
)</f>
        <v>174</v>
      </c>
      <c r="I174" s="26" t="str">
        <f t="shared" si="14"/>
        <v>タンガロイ（いわき）</v>
      </c>
      <c r="J174" s="26" t="str">
        <f t="shared" si="15"/>
        <v>タンガロイ（イワキ）</v>
      </c>
      <c r="K174" s="26" t="s">
        <v>53</v>
      </c>
      <c r="L174" s="40" t="s">
        <v>122</v>
      </c>
      <c r="M174" s="40">
        <v>0.29166666666666669</v>
      </c>
      <c r="N174" s="21"/>
      <c r="O174" s="22"/>
      <c r="P174" s="22"/>
      <c r="Q174" s="67"/>
      <c r="R174" s="34"/>
      <c r="S174" s="38"/>
      <c r="T174" s="41"/>
      <c r="U174" s="25" t="s">
        <v>55</v>
      </c>
    </row>
    <row r="175" spans="7:21" ht="21.75" customHeight="1" x14ac:dyDescent="0.15">
      <c r="G175" s="18" t="s">
        <v>143</v>
      </c>
      <c r="H17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G175)),
  ROW(),
  ""
)</f>
        <v>175</v>
      </c>
      <c r="I175" s="18" t="str">
        <f t="shared" si="14"/>
        <v>中央化成</v>
      </c>
      <c r="J175" s="18" t="str">
        <f t="shared" ref="J175" si="16">PHONETIC(G175)</f>
        <v>チュウオウカセイ</v>
      </c>
      <c r="K175" s="18" t="s">
        <v>97</v>
      </c>
      <c r="L175" s="20" t="s">
        <v>122</v>
      </c>
      <c r="M175" s="20">
        <v>0.1875</v>
      </c>
      <c r="N175" s="21"/>
      <c r="O175" s="22"/>
      <c r="P175" s="22"/>
      <c r="Q175" s="67"/>
      <c r="R175" s="34"/>
      <c r="S175" s="38"/>
      <c r="T175" s="41"/>
      <c r="U175" s="25" t="s">
        <v>55</v>
      </c>
    </row>
    <row r="176" spans="7:21" ht="21.75" customHeight="1" x14ac:dyDescent="0.15">
      <c r="G176" s="18" t="s">
        <v>144</v>
      </c>
      <c r="H17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G176)),
  ROW(),
  ""
)</f>
        <v>176</v>
      </c>
      <c r="I176" s="26" t="str">
        <f t="shared" si="14"/>
        <v>鶴見鋼管いわき</v>
      </c>
      <c r="J176" s="26" t="str">
        <f t="shared" si="15"/>
        <v>ツルミコウカンイワキ</v>
      </c>
      <c r="K176" s="18" t="s">
        <v>53</v>
      </c>
      <c r="L176" s="40"/>
      <c r="M176" s="40">
        <v>0.29166666666666669</v>
      </c>
      <c r="N176" s="21"/>
      <c r="O176" s="22"/>
      <c r="P176" s="22"/>
      <c r="Q176" s="67"/>
      <c r="R176" s="34"/>
      <c r="S176" s="38"/>
      <c r="T176" s="41"/>
      <c r="U176" s="25" t="s">
        <v>55</v>
      </c>
    </row>
    <row r="177" spans="7:21" ht="21.75" customHeight="1" x14ac:dyDescent="0.15">
      <c r="G177" s="26" t="s">
        <v>829</v>
      </c>
      <c r="H17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G177)),
  ROW(),
  ""
)</f>
        <v>177</v>
      </c>
      <c r="I177" s="31" t="str">
        <f t="shared" si="14"/>
        <v>デンソ－（岩手）9：30</v>
      </c>
      <c r="J177" s="31" t="str">
        <f t="shared" ref="J177" si="17">PHONETIC(G177)</f>
        <v>デンソ－（イワテ）9：30</v>
      </c>
      <c r="K177" s="26" t="s">
        <v>146</v>
      </c>
      <c r="L177" s="40">
        <v>0.39583333333333331</v>
      </c>
      <c r="M177" s="40">
        <v>0.125</v>
      </c>
      <c r="N177" s="32"/>
      <c r="O177" s="33"/>
      <c r="P177" s="34"/>
      <c r="Q177" s="34"/>
      <c r="R177" s="34" t="s">
        <v>1035</v>
      </c>
      <c r="S177" s="38"/>
      <c r="T177" s="41"/>
      <c r="U177" s="25" t="s">
        <v>55</v>
      </c>
    </row>
    <row r="178" spans="7:21" ht="21.75" customHeight="1" x14ac:dyDescent="0.15">
      <c r="G178" s="26" t="s">
        <v>145</v>
      </c>
      <c r="H17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G178)),
  ROW(),
  ""
)</f>
        <v>178</v>
      </c>
      <c r="I178" s="31" t="str">
        <f t="shared" si="14"/>
        <v>デンソ－（岩手）</v>
      </c>
      <c r="J178" s="31" t="str">
        <f t="shared" si="15"/>
        <v>デンソ－（イワテ）</v>
      </c>
      <c r="K178" s="26" t="s">
        <v>146</v>
      </c>
      <c r="L178" s="40"/>
      <c r="M178" s="40"/>
      <c r="N178" s="21"/>
      <c r="O178" s="22"/>
      <c r="P178" s="22"/>
      <c r="Q178" s="67"/>
      <c r="R178" s="34" t="s">
        <v>1035</v>
      </c>
      <c r="S178" s="38"/>
      <c r="T178" s="41"/>
      <c r="U178" s="25" t="s">
        <v>55</v>
      </c>
    </row>
    <row r="179" spans="7:21" ht="21.75" customHeight="1" x14ac:dyDescent="0.15">
      <c r="G179" s="26" t="s">
        <v>950</v>
      </c>
      <c r="H17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G179)),
  ROW(),
  ""
)</f>
        <v>179</v>
      </c>
      <c r="I179" s="31" t="str">
        <f t="shared" si="14"/>
        <v>デンロコーポレーションAM</v>
      </c>
      <c r="J179" s="31" t="str">
        <f t="shared" ref="J179" si="18">PHONETIC(G179)</f>
        <v>デンロコーポレーションAM</v>
      </c>
      <c r="K179" s="26" t="s">
        <v>147</v>
      </c>
      <c r="L179" s="40" t="s">
        <v>182</v>
      </c>
      <c r="M179" s="40">
        <v>0.20833333333333334</v>
      </c>
      <c r="N179" s="32"/>
      <c r="O179" s="33"/>
      <c r="P179" s="34"/>
      <c r="Q179" s="34"/>
      <c r="R179" s="34" t="s">
        <v>552</v>
      </c>
      <c r="S179" s="38"/>
      <c r="T179" s="41"/>
      <c r="U179" s="25" t="s">
        <v>55</v>
      </c>
    </row>
    <row r="180" spans="7:21" ht="21.75" customHeight="1" x14ac:dyDescent="0.15">
      <c r="G180" s="26" t="s">
        <v>951</v>
      </c>
      <c r="H18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G180)),
  ROW(),
  ""
)</f>
        <v>180</v>
      </c>
      <c r="I180" s="31" t="str">
        <f t="shared" si="14"/>
        <v>デンロコーポレーション8：30</v>
      </c>
      <c r="J180" s="31" t="str">
        <f t="shared" si="15"/>
        <v>デンロコーポレーション8：30</v>
      </c>
      <c r="K180" s="26" t="s">
        <v>147</v>
      </c>
      <c r="L180" s="40">
        <v>0.35416666666666669</v>
      </c>
      <c r="M180" s="21">
        <v>0.20833333333333334</v>
      </c>
      <c r="N180" s="65"/>
      <c r="O180" s="66"/>
      <c r="P180" s="66"/>
      <c r="Q180" s="66"/>
      <c r="R180" s="34"/>
      <c r="S180" s="38"/>
      <c r="T180" s="41"/>
      <c r="U180" s="25" t="s">
        <v>55</v>
      </c>
    </row>
    <row r="181" spans="7:21" ht="21.75" customHeight="1" x14ac:dyDescent="0.15">
      <c r="G181" s="26" t="s">
        <v>952</v>
      </c>
      <c r="H18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G181)),
  ROW(),
  ""
)</f>
        <v>181</v>
      </c>
      <c r="I181" s="31" t="str">
        <f t="shared" si="14"/>
        <v>デンロコーポレーション</v>
      </c>
      <c r="J181" s="31" t="str">
        <f t="shared" si="15"/>
        <v>デンロコーポレーション</v>
      </c>
      <c r="K181" s="26" t="s">
        <v>147</v>
      </c>
      <c r="L181" s="40"/>
      <c r="M181" s="40"/>
      <c r="N181" s="65"/>
      <c r="O181" s="66"/>
      <c r="P181" s="66"/>
      <c r="Q181" s="66"/>
      <c r="R181" s="34"/>
      <c r="S181" s="38"/>
      <c r="T181" s="41"/>
      <c r="U181" s="25" t="s">
        <v>55</v>
      </c>
    </row>
    <row r="182" spans="7:21" ht="21.75" customHeight="1" x14ac:dyDescent="0.15">
      <c r="G182" s="26" t="s">
        <v>553</v>
      </c>
      <c r="H18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G182)),
  ROW(),
  ""
)</f>
        <v>182</v>
      </c>
      <c r="I182" s="31" t="str">
        <f t="shared" si="14"/>
        <v>東亞合成8：30</v>
      </c>
      <c r="J182" s="31" t="str">
        <f t="shared" si="15"/>
        <v>トウアゴウセイ8：30</v>
      </c>
      <c r="K182" s="26" t="s">
        <v>148</v>
      </c>
      <c r="L182" s="40">
        <v>0.35416666666666669</v>
      </c>
      <c r="M182" s="40">
        <v>0.27083333333333331</v>
      </c>
      <c r="N182" s="21"/>
      <c r="O182" s="22"/>
      <c r="P182" s="23"/>
      <c r="Q182" s="23"/>
      <c r="R182" s="34"/>
      <c r="S182" s="38"/>
      <c r="T182" s="41"/>
      <c r="U182" s="25" t="s">
        <v>55</v>
      </c>
    </row>
    <row r="183" spans="7:21" ht="21.75" customHeight="1" x14ac:dyDescent="0.15">
      <c r="G183" s="59" t="s">
        <v>830</v>
      </c>
      <c r="H18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G183)),
  ROW(),
  ""
)</f>
        <v>183</v>
      </c>
      <c r="I183" s="31" t="str">
        <f t="shared" si="14"/>
        <v>東亞合成</v>
      </c>
      <c r="J183" s="31" t="str">
        <f t="shared" si="15"/>
        <v>トウアゴウセイ</v>
      </c>
      <c r="K183" s="26" t="s">
        <v>148</v>
      </c>
      <c r="L183" s="40"/>
      <c r="M183" s="40"/>
      <c r="N183" s="32"/>
      <c r="O183" s="33"/>
      <c r="P183" s="26"/>
      <c r="Q183" s="26"/>
      <c r="R183" s="34"/>
      <c r="S183" s="68"/>
      <c r="T183" s="26"/>
      <c r="U183" s="25" t="s">
        <v>55</v>
      </c>
    </row>
    <row r="184" spans="7:21" ht="21.75" customHeight="1" x14ac:dyDescent="0.15">
      <c r="G184" s="59" t="s">
        <v>554</v>
      </c>
      <c r="H18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G184)),
  ROW(),
  ""
)</f>
        <v>184</v>
      </c>
      <c r="I184" s="31" t="str">
        <f t="shared" si="14"/>
        <v>東京パワー広野10：00</v>
      </c>
      <c r="J184" s="31" t="str">
        <f t="shared" si="15"/>
        <v>トウキョウパワーヒロノ10：00</v>
      </c>
      <c r="K184" s="26" t="s">
        <v>148</v>
      </c>
      <c r="L184" s="40">
        <v>0.41666666666666669</v>
      </c>
      <c r="M184" s="21">
        <v>0.3125</v>
      </c>
      <c r="N184" s="32"/>
      <c r="O184" s="33"/>
      <c r="P184" s="26"/>
      <c r="Q184" s="26"/>
      <c r="R184" s="34"/>
      <c r="S184" s="68"/>
      <c r="T184" s="26"/>
      <c r="U184" s="25" t="s">
        <v>55</v>
      </c>
    </row>
    <row r="185" spans="7:21" ht="21.75" customHeight="1" x14ac:dyDescent="0.15">
      <c r="G185" s="34" t="s">
        <v>555</v>
      </c>
      <c r="H18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G185)),
  ROW(),
  ""
)</f>
        <v>185</v>
      </c>
      <c r="I185" s="31" t="str">
        <f t="shared" si="14"/>
        <v>東京パワー広野14：00</v>
      </c>
      <c r="J185" s="31" t="str">
        <f>PHONETIC(G185)</f>
        <v>トウキョウパワーヒロノ14：00</v>
      </c>
      <c r="K185" s="26" t="s">
        <v>148</v>
      </c>
      <c r="L185" s="40">
        <v>0.58333333333333337</v>
      </c>
      <c r="M185" s="21"/>
      <c r="N185" s="32"/>
      <c r="O185" s="33"/>
      <c r="P185" s="26"/>
      <c r="Q185" s="26"/>
      <c r="R185" s="34"/>
      <c r="S185" s="68"/>
      <c r="T185" s="26"/>
      <c r="U185" s="25" t="s">
        <v>55</v>
      </c>
    </row>
    <row r="186" spans="7:21" ht="21.75" customHeight="1" x14ac:dyDescent="0.15">
      <c r="G186" s="34" t="s">
        <v>833</v>
      </c>
      <c r="H18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G186)),
  ROW(),
  ""
)</f>
        <v>186</v>
      </c>
      <c r="I186" s="31" t="str">
        <f t="shared" si="14"/>
        <v>東京パワー広野10：00※高速使用</v>
      </c>
      <c r="J186" s="31" t="str">
        <f t="shared" si="15"/>
        <v>トウキョウパワーヒロノ10：00※コウソクシヨウ</v>
      </c>
      <c r="K186" s="26" t="s">
        <v>148</v>
      </c>
      <c r="L186" s="40">
        <v>0.41666666666666669</v>
      </c>
      <c r="M186" s="40">
        <v>0.25</v>
      </c>
      <c r="N186" s="32"/>
      <c r="O186" s="33"/>
      <c r="P186" s="26"/>
      <c r="Q186" s="26"/>
      <c r="R186" s="34" t="s">
        <v>1036</v>
      </c>
      <c r="S186" s="68"/>
      <c r="T186" s="26"/>
      <c r="U186" s="25" t="s">
        <v>55</v>
      </c>
    </row>
    <row r="187" spans="7:21" ht="21.75" customHeight="1" x14ac:dyDescent="0.15">
      <c r="G187" s="26" t="s">
        <v>832</v>
      </c>
      <c r="H18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G187)),
  ROW(),
  ""
)</f>
        <v>187</v>
      </c>
      <c r="I187" s="31" t="str">
        <f t="shared" si="14"/>
        <v>東京パワー広野</v>
      </c>
      <c r="J187" s="31" t="str">
        <f t="shared" si="15"/>
        <v>トウキョウパワーヒロノ</v>
      </c>
      <c r="K187" s="26" t="s">
        <v>148</v>
      </c>
      <c r="L187" s="40"/>
      <c r="M187" s="40"/>
      <c r="N187" s="32"/>
      <c r="O187" s="33"/>
      <c r="P187" s="26"/>
      <c r="Q187" s="26"/>
      <c r="R187" s="34"/>
      <c r="S187" s="68"/>
      <c r="T187" s="26"/>
      <c r="U187" s="25" t="s">
        <v>55</v>
      </c>
    </row>
    <row r="188" spans="7:21" ht="21.75" customHeight="1" x14ac:dyDescent="0.15">
      <c r="G188" s="34" t="s">
        <v>556</v>
      </c>
      <c r="H18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G188)),
  ROW(),
  ""
)</f>
        <v>188</v>
      </c>
      <c r="I188" s="31" t="str">
        <f t="shared" si="14"/>
        <v>広野IGCC発電所9：00</v>
      </c>
      <c r="J188" s="31" t="str">
        <f t="shared" si="15"/>
        <v>ヒロノIGCCハツデンショ9：00</v>
      </c>
      <c r="K188" s="26" t="s">
        <v>148</v>
      </c>
      <c r="L188" s="40">
        <v>0.375</v>
      </c>
      <c r="M188" s="40">
        <v>0.27083333333333331</v>
      </c>
      <c r="N188" s="32"/>
      <c r="O188" s="33"/>
      <c r="P188" s="26"/>
      <c r="Q188" s="26"/>
      <c r="R188" s="34"/>
      <c r="S188" s="68"/>
      <c r="T188" s="26"/>
      <c r="U188" s="25" t="s">
        <v>55</v>
      </c>
    </row>
    <row r="189" spans="7:21" ht="21.75" customHeight="1" x14ac:dyDescent="0.15">
      <c r="G189" s="18" t="s">
        <v>834</v>
      </c>
      <c r="H189" s="84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G189)),
  ROW(),
  ""
)</f>
        <v>189</v>
      </c>
      <c r="I189" s="84" t="str">
        <f t="shared" si="14"/>
        <v>広野IGCC発電所9：00※高速使用</v>
      </c>
      <c r="J189" s="18" t="str">
        <f t="shared" si="15"/>
        <v>ヒロノIGCCハツデンショ9：00※コウソクシヨウ</v>
      </c>
      <c r="K189" s="18" t="s">
        <v>148</v>
      </c>
      <c r="L189" s="211">
        <v>0.375</v>
      </c>
      <c r="M189" s="211">
        <v>0.25</v>
      </c>
      <c r="N189" s="70"/>
      <c r="O189" s="71"/>
      <c r="P189" s="72"/>
      <c r="Q189" s="72"/>
      <c r="R189" s="209" t="s">
        <v>1036</v>
      </c>
      <c r="S189" s="69"/>
      <c r="T189" s="73"/>
      <c r="U189" s="25" t="s">
        <v>55</v>
      </c>
    </row>
    <row r="190" spans="7:21" ht="21.75" customHeight="1" x14ac:dyDescent="0.15">
      <c r="G190" s="31" t="s">
        <v>835</v>
      </c>
      <c r="H19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G190)),
  ROW(),
  ""
)</f>
        <v>190</v>
      </c>
      <c r="I190" s="31" t="str">
        <f t="shared" si="14"/>
        <v>広野IGCC発電所</v>
      </c>
      <c r="J190" s="31" t="str">
        <f t="shared" si="15"/>
        <v>ヒロノIGCCハツデンショ</v>
      </c>
      <c r="K190" s="18" t="s">
        <v>148</v>
      </c>
      <c r="L190" s="40"/>
      <c r="M190" s="40"/>
      <c r="N190" s="32"/>
      <c r="O190" s="33"/>
      <c r="P190" s="34"/>
      <c r="Q190" s="34"/>
      <c r="R190" s="34"/>
      <c r="S190" s="38"/>
      <c r="T190" s="41"/>
      <c r="U190" s="25" t="s">
        <v>55</v>
      </c>
    </row>
    <row r="191" spans="7:21" ht="21.75" customHeight="1" x14ac:dyDescent="0.15">
      <c r="G191" s="26" t="s">
        <v>149</v>
      </c>
      <c r="H19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G191)),
  ROW(),
  ""
)</f>
        <v>191</v>
      </c>
      <c r="I191" s="31" t="str">
        <f t="shared" si="14"/>
        <v>東新工業（いわき）</v>
      </c>
      <c r="J191" s="31" t="str">
        <f t="shared" si="15"/>
        <v>トウシンコウギョウ（イワキ）</v>
      </c>
      <c r="K191" s="69" t="s">
        <v>53</v>
      </c>
      <c r="L191" s="40" t="s">
        <v>967</v>
      </c>
      <c r="M191" s="40">
        <v>0.29166666666666669</v>
      </c>
      <c r="N191" s="32"/>
      <c r="O191" s="33"/>
      <c r="P191" s="34"/>
      <c r="Q191" s="34"/>
      <c r="R191" s="34"/>
      <c r="S191" s="38"/>
      <c r="T191" s="41"/>
      <c r="U191" s="25" t="s">
        <v>55</v>
      </c>
    </row>
    <row r="192" spans="7:21" ht="21.75" customHeight="1" x14ac:dyDescent="0.15">
      <c r="G192" s="26" t="s">
        <v>150</v>
      </c>
      <c r="H19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G192)),
  ROW(),
  ""
)</f>
        <v>192</v>
      </c>
      <c r="I192" s="31" t="str">
        <f t="shared" si="14"/>
        <v>東新工業（四倉）</v>
      </c>
      <c r="J192" s="31" t="str">
        <f t="shared" si="15"/>
        <v>トウシンコウギョウ（ヨツクラ）</v>
      </c>
      <c r="K192" s="26" t="s">
        <v>53</v>
      </c>
      <c r="L192" s="40"/>
      <c r="M192" s="40">
        <v>0.29166666666666669</v>
      </c>
      <c r="N192" s="32"/>
      <c r="O192" s="33"/>
      <c r="P192" s="34"/>
      <c r="Q192" s="34"/>
      <c r="R192" s="34"/>
      <c r="S192" s="38"/>
      <c r="T192" s="39"/>
      <c r="U192" s="25" t="s">
        <v>55</v>
      </c>
    </row>
    <row r="193" spans="7:21" ht="21.75" customHeight="1" x14ac:dyDescent="0.15">
      <c r="G193" s="26" t="s">
        <v>557</v>
      </c>
      <c r="H193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G193)),
  ROW(),
  ""
)</f>
        <v>193</v>
      </c>
      <c r="I193" s="60" t="str">
        <f t="shared" si="14"/>
        <v>東新工業（四倉）10：00</v>
      </c>
      <c r="J193" s="31" t="str">
        <f t="shared" si="15"/>
        <v>トウシンコウギョウ（ヨツクラ）10：00</v>
      </c>
      <c r="K193" s="26" t="s">
        <v>53</v>
      </c>
      <c r="L193" s="40">
        <v>0.41666666666666669</v>
      </c>
      <c r="M193" s="40">
        <v>0.35416666666666669</v>
      </c>
      <c r="N193" s="21"/>
      <c r="O193" s="22"/>
      <c r="P193" s="23"/>
      <c r="Q193" s="23"/>
      <c r="R193" s="34"/>
      <c r="S193" s="38"/>
      <c r="T193" s="41"/>
      <c r="U193" s="25" t="s">
        <v>55</v>
      </c>
    </row>
    <row r="194" spans="7:21" ht="21.75" customHeight="1" x14ac:dyDescent="0.15">
      <c r="G194" s="34" t="s">
        <v>836</v>
      </c>
      <c r="H194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G194)),
  ROW(),
  ""
)</f>
        <v>194</v>
      </c>
      <c r="I194" s="60" t="str">
        <f t="shared" si="14"/>
        <v>東北電力（原町火力）9：00</v>
      </c>
      <c r="J194" s="31" t="str">
        <f t="shared" si="15"/>
        <v>トウホクデンリョク（ハラマチカリョク）9：00</v>
      </c>
      <c r="K194" s="26" t="s">
        <v>73</v>
      </c>
      <c r="L194" s="40">
        <v>0.375</v>
      </c>
      <c r="M194" s="40">
        <v>0.22916666666666666</v>
      </c>
      <c r="N194" s="21"/>
      <c r="O194" s="22"/>
      <c r="P194" s="23"/>
      <c r="Q194" s="23"/>
      <c r="R194" s="34" t="s">
        <v>95</v>
      </c>
      <c r="S194" s="38"/>
      <c r="T194" s="41"/>
      <c r="U194" s="25" t="s">
        <v>55</v>
      </c>
    </row>
    <row r="195" spans="7:21" ht="21.75" customHeight="1" x14ac:dyDescent="0.15">
      <c r="G195" s="34" t="s">
        <v>558</v>
      </c>
      <c r="H19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G195)),
  ROW(),
  ""
)</f>
        <v>195</v>
      </c>
      <c r="I195" s="31" t="str">
        <f t="shared" si="14"/>
        <v>東北電力（原町火力）</v>
      </c>
      <c r="J195" s="31" t="str">
        <f t="shared" si="15"/>
        <v>トウホクデンリョク（ハラマチカリョク）</v>
      </c>
      <c r="K195" s="26" t="s">
        <v>73</v>
      </c>
      <c r="L195" s="40"/>
      <c r="M195" s="40"/>
      <c r="N195" s="21"/>
      <c r="O195" s="22"/>
      <c r="P195" s="23"/>
      <c r="Q195" s="23"/>
      <c r="R195" s="34" t="s">
        <v>95</v>
      </c>
      <c r="S195" s="26"/>
      <c r="T195" s="41"/>
      <c r="U195" s="25" t="s">
        <v>55</v>
      </c>
    </row>
    <row r="196" spans="7:21" ht="21.75" customHeight="1" x14ac:dyDescent="0.15">
      <c r="G196" s="26" t="s">
        <v>559</v>
      </c>
      <c r="H19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G196)),
  ROW(),
  ""
)</f>
        <v>196</v>
      </c>
      <c r="I196" s="31" t="str">
        <f t="shared" si="14"/>
        <v>東邦亜鉛（１車目）</v>
      </c>
      <c r="J196" s="31" t="str">
        <f t="shared" si="15"/>
        <v>トウホウアエン（１シャメ）</v>
      </c>
      <c r="K196" s="26" t="s">
        <v>53</v>
      </c>
      <c r="L196" s="40" t="s">
        <v>122</v>
      </c>
      <c r="M196" s="40">
        <v>0.27083333333333331</v>
      </c>
      <c r="N196" s="21"/>
      <c r="O196" s="22"/>
      <c r="P196" s="23"/>
      <c r="Q196" s="23"/>
      <c r="R196" s="34"/>
      <c r="S196" s="26"/>
      <c r="T196" s="41"/>
      <c r="U196" s="25" t="s">
        <v>55</v>
      </c>
    </row>
    <row r="197" spans="7:21" ht="21.75" customHeight="1" x14ac:dyDescent="0.15">
      <c r="G197" s="26" t="s">
        <v>560</v>
      </c>
      <c r="H19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G197)),
  ROW(),
  ""
)</f>
        <v>197</v>
      </c>
      <c r="I197" s="31" t="str">
        <f t="shared" si="14"/>
        <v>東邦亜鉛（２車目）</v>
      </c>
      <c r="J197" s="31" t="str">
        <f t="shared" si="15"/>
        <v>トウホウアエン（２シャメ）</v>
      </c>
      <c r="K197" s="26" t="s">
        <v>53</v>
      </c>
      <c r="L197" s="40"/>
      <c r="M197" s="40">
        <v>0.3125</v>
      </c>
      <c r="N197" s="21"/>
      <c r="O197" s="22"/>
      <c r="P197" s="23"/>
      <c r="Q197" s="23"/>
      <c r="R197" s="34"/>
      <c r="S197" s="26"/>
      <c r="T197" s="41"/>
      <c r="U197" s="25" t="s">
        <v>55</v>
      </c>
    </row>
    <row r="198" spans="7:21" ht="21.75" customHeight="1" x14ac:dyDescent="0.15">
      <c r="G198" s="34" t="s">
        <v>561</v>
      </c>
      <c r="H19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G198)),
  ROW(),
  ""
)</f>
        <v>198</v>
      </c>
      <c r="I198" s="31" t="str">
        <f t="shared" si="14"/>
        <v>東邦亜鉛（積発）</v>
      </c>
      <c r="J198" s="31" t="str">
        <f t="shared" si="15"/>
        <v>トウホウアエン（ツミハツ）</v>
      </c>
      <c r="K198" s="26" t="s">
        <v>53</v>
      </c>
      <c r="L198" s="40"/>
      <c r="M198" s="40">
        <v>0.25</v>
      </c>
      <c r="N198" s="32"/>
      <c r="O198" s="33"/>
      <c r="P198" s="34"/>
      <c r="Q198" s="34"/>
      <c r="R198" s="34"/>
      <c r="S198" s="38"/>
      <c r="T198" s="34"/>
      <c r="U198" s="25" t="s">
        <v>55</v>
      </c>
    </row>
    <row r="199" spans="7:21" ht="21.75" customHeight="1" x14ac:dyDescent="0.15">
      <c r="G199" s="34" t="s">
        <v>837</v>
      </c>
      <c r="H19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G199)),
  ROW(),
  ""
)</f>
        <v>199</v>
      </c>
      <c r="I199" s="31" t="str">
        <f t="shared" si="14"/>
        <v>東邦亜鉛</v>
      </c>
      <c r="J199" s="31" t="str">
        <f t="shared" si="15"/>
        <v>トウホウアエン</v>
      </c>
      <c r="K199" s="26" t="s">
        <v>53</v>
      </c>
      <c r="L199" s="40"/>
      <c r="M199" s="40"/>
      <c r="N199" s="32"/>
      <c r="O199" s="33"/>
      <c r="P199" s="34"/>
      <c r="Q199" s="34"/>
      <c r="R199" s="34"/>
      <c r="S199" s="38"/>
      <c r="T199" s="34"/>
      <c r="U199" s="25" t="s">
        <v>55</v>
      </c>
    </row>
    <row r="200" spans="7:21" ht="21.75" customHeight="1" x14ac:dyDescent="0.15">
      <c r="G200" s="34" t="s">
        <v>562</v>
      </c>
      <c r="H20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G200)),
  ROW(),
  ""
)</f>
        <v>200</v>
      </c>
      <c r="I200" s="31" t="str">
        <f t="shared" si="14"/>
        <v>東北旭紙業8：00</v>
      </c>
      <c r="J200" s="31" t="str">
        <f t="shared" si="15"/>
        <v>トウホクアサヒシギョウ8：00</v>
      </c>
      <c r="K200" s="26" t="s">
        <v>151</v>
      </c>
      <c r="L200" s="40">
        <v>0.33333333333333331</v>
      </c>
      <c r="M200" s="40">
        <v>0.20833333333333334</v>
      </c>
      <c r="N200" s="32"/>
      <c r="O200" s="33"/>
      <c r="P200" s="34"/>
      <c r="Q200" s="34"/>
      <c r="R200" s="34"/>
      <c r="S200" s="38"/>
      <c r="T200" s="34"/>
      <c r="U200" s="25" t="s">
        <v>55</v>
      </c>
    </row>
    <row r="201" spans="7:21" ht="21.75" customHeight="1" x14ac:dyDescent="0.15">
      <c r="G201" s="34" t="s">
        <v>838</v>
      </c>
      <c r="H20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G201)),
  ROW(),
  ""
)</f>
        <v>201</v>
      </c>
      <c r="I201" s="31" t="str">
        <f t="shared" si="14"/>
        <v>東北旭紙業</v>
      </c>
      <c r="J201" s="31" t="str">
        <f t="shared" si="15"/>
        <v>トウホクアサヒシギョウ</v>
      </c>
      <c r="K201" s="26" t="s">
        <v>151</v>
      </c>
      <c r="L201" s="40"/>
      <c r="M201" s="40"/>
      <c r="N201" s="21"/>
      <c r="O201" s="22"/>
      <c r="P201" s="23"/>
      <c r="Q201" s="23"/>
      <c r="R201" s="34"/>
      <c r="S201" s="38"/>
      <c r="T201" s="41"/>
      <c r="U201" s="25" t="s">
        <v>55</v>
      </c>
    </row>
    <row r="202" spans="7:21" ht="21.75" customHeight="1" x14ac:dyDescent="0.15">
      <c r="G202" s="26" t="s">
        <v>563</v>
      </c>
      <c r="H20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G202)),
  ROW(),
  ""
)</f>
        <v>202</v>
      </c>
      <c r="I202" s="31" t="str">
        <f t="shared" si="14"/>
        <v>東北化学工業8：30</v>
      </c>
      <c r="J202" s="31" t="str">
        <f t="shared" si="15"/>
        <v>トウホクカガクコウギョウ8：30</v>
      </c>
      <c r="K202" s="26" t="s">
        <v>57</v>
      </c>
      <c r="L202" s="40">
        <v>0.35416666666666669</v>
      </c>
      <c r="M202" s="40">
        <v>0.20833333333333334</v>
      </c>
      <c r="N202" s="21"/>
      <c r="O202" s="22"/>
      <c r="P202" s="23"/>
      <c r="Q202" s="23"/>
      <c r="R202" s="34"/>
      <c r="S202" s="38"/>
      <c r="T202" s="41"/>
      <c r="U202" s="25" t="s">
        <v>55</v>
      </c>
    </row>
    <row r="203" spans="7:21" ht="21.75" customHeight="1" x14ac:dyDescent="0.15">
      <c r="G203" s="34" t="s">
        <v>564</v>
      </c>
      <c r="H20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G203)),
  ROW(),
  ""
)</f>
        <v>203</v>
      </c>
      <c r="I203" s="31" t="str">
        <f t="shared" si="14"/>
        <v>東北化学工業AM</v>
      </c>
      <c r="J203" s="31" t="str">
        <f t="shared" si="15"/>
        <v>トウホクカガクコウギョウAM</v>
      </c>
      <c r="K203" s="26" t="s">
        <v>57</v>
      </c>
      <c r="L203" s="40" t="s">
        <v>182</v>
      </c>
      <c r="M203" s="40">
        <v>0.20833333333333334</v>
      </c>
      <c r="N203" s="21"/>
      <c r="O203" s="22"/>
      <c r="P203" s="23"/>
      <c r="Q203" s="23"/>
      <c r="R203" s="34"/>
      <c r="S203" s="38"/>
      <c r="T203" s="41"/>
      <c r="U203" s="25" t="s">
        <v>55</v>
      </c>
    </row>
    <row r="204" spans="7:21" ht="21.75" customHeight="1" x14ac:dyDescent="0.15">
      <c r="G204" s="34" t="s">
        <v>839</v>
      </c>
      <c r="H20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G204)),
  ROW(),
  ""
)</f>
        <v>204</v>
      </c>
      <c r="I204" s="31" t="str">
        <f t="shared" si="14"/>
        <v>東北化学工業</v>
      </c>
      <c r="J204" s="31" t="str">
        <f t="shared" si="15"/>
        <v>トウホクカガクコウギョウ</v>
      </c>
      <c r="K204" s="26" t="s">
        <v>57</v>
      </c>
      <c r="L204" s="40"/>
      <c r="M204" s="40"/>
      <c r="N204" s="21"/>
      <c r="O204" s="22"/>
      <c r="P204" s="23"/>
      <c r="Q204" s="23"/>
      <c r="R204" s="34"/>
      <c r="S204" s="38"/>
      <c r="T204" s="41"/>
      <c r="U204" s="25" t="s">
        <v>55</v>
      </c>
    </row>
    <row r="205" spans="7:21" ht="21.75" customHeight="1" x14ac:dyDescent="0.15">
      <c r="G205" s="34" t="s">
        <v>565</v>
      </c>
      <c r="H20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G205)),
  ROW(),
  ""
)</f>
        <v>205</v>
      </c>
      <c r="I205" s="31" t="str">
        <f t="shared" si="14"/>
        <v>東北三之橋7：30</v>
      </c>
      <c r="J205" s="31" t="str">
        <f t="shared" si="15"/>
        <v>トウホクサンユキハシ7：30</v>
      </c>
      <c r="K205" s="26" t="s">
        <v>147</v>
      </c>
      <c r="L205" s="40">
        <v>0.3125</v>
      </c>
      <c r="M205" s="40">
        <v>0.14583333333333334</v>
      </c>
      <c r="N205" s="21"/>
      <c r="O205" s="22"/>
      <c r="P205" s="23"/>
      <c r="Q205" s="23"/>
      <c r="R205" s="34" t="s">
        <v>152</v>
      </c>
      <c r="S205" s="38"/>
      <c r="T205" s="41"/>
      <c r="U205" s="25" t="s">
        <v>55</v>
      </c>
    </row>
    <row r="206" spans="7:21" ht="21.75" customHeight="1" x14ac:dyDescent="0.15">
      <c r="G206" s="26" t="s">
        <v>566</v>
      </c>
      <c r="H20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G206)),
  ROW(),
  ""
)</f>
        <v>206</v>
      </c>
      <c r="I206" s="31" t="str">
        <f t="shared" si="14"/>
        <v>東北三之橋8：00</v>
      </c>
      <c r="J206" s="31" t="str">
        <f t="shared" si="15"/>
        <v>トウホクサンユキハシ8：00</v>
      </c>
      <c r="K206" s="26" t="s">
        <v>147</v>
      </c>
      <c r="L206" s="40">
        <v>0.33333333333333331</v>
      </c>
      <c r="M206" s="40">
        <v>0.20833333333333334</v>
      </c>
      <c r="N206" s="21"/>
      <c r="O206" s="22"/>
      <c r="P206" s="23"/>
      <c r="Q206" s="23"/>
      <c r="R206" s="34" t="s">
        <v>152</v>
      </c>
      <c r="S206" s="38"/>
      <c r="T206" s="41"/>
      <c r="U206" s="25" t="s">
        <v>55</v>
      </c>
    </row>
    <row r="207" spans="7:21" ht="21.75" customHeight="1" x14ac:dyDescent="0.15">
      <c r="G207" s="26" t="s">
        <v>840</v>
      </c>
      <c r="H20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G207)),
  ROW(),
  ""
)</f>
        <v>207</v>
      </c>
      <c r="I207" s="31" t="str">
        <f t="shared" si="14"/>
        <v>東北三之橋</v>
      </c>
      <c r="J207" s="31" t="str">
        <f t="shared" si="15"/>
        <v>トウホクサンユキハシ</v>
      </c>
      <c r="K207" s="26" t="s">
        <v>147</v>
      </c>
      <c r="L207" s="40"/>
      <c r="M207" s="40"/>
      <c r="N207" s="21"/>
      <c r="O207" s="22"/>
      <c r="P207" s="23"/>
      <c r="Q207" s="23"/>
      <c r="R207" s="34"/>
      <c r="S207" s="38"/>
      <c r="T207" s="41"/>
      <c r="U207" s="25" t="s">
        <v>55</v>
      </c>
    </row>
    <row r="208" spans="7:21" ht="21.75" customHeight="1" x14ac:dyDescent="0.15">
      <c r="G208" s="26" t="s">
        <v>153</v>
      </c>
      <c r="H20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G208)),
  ROW(),
  ""
)</f>
        <v>208</v>
      </c>
      <c r="I208" s="31" t="str">
        <f t="shared" si="14"/>
        <v>栃木住友電工</v>
      </c>
      <c r="J208" s="31" t="str">
        <f t="shared" si="15"/>
        <v>トチギスミトモデンコウ</v>
      </c>
      <c r="K208" s="26" t="s">
        <v>87</v>
      </c>
      <c r="L208" s="40" t="s">
        <v>122</v>
      </c>
      <c r="M208" s="40">
        <v>0.14583333333333334</v>
      </c>
      <c r="N208" s="21"/>
      <c r="O208" s="22"/>
      <c r="P208" s="23"/>
      <c r="Q208" s="23"/>
      <c r="R208" s="34"/>
      <c r="S208" s="38"/>
      <c r="T208" s="41"/>
      <c r="U208" s="25" t="s">
        <v>55</v>
      </c>
    </row>
    <row r="209" spans="7:21" ht="21.75" customHeight="1" x14ac:dyDescent="0.15">
      <c r="G209" s="26" t="s">
        <v>154</v>
      </c>
      <c r="H20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G209)),
  ROW(),
  ""
)</f>
        <v>209</v>
      </c>
      <c r="I209" s="31" t="str">
        <f t="shared" si="14"/>
        <v>豊通リチウム</v>
      </c>
      <c r="J209" s="31" t="str">
        <f t="shared" si="15"/>
        <v>トヨツウリチウム</v>
      </c>
      <c r="K209" s="26" t="s">
        <v>148</v>
      </c>
      <c r="L209" s="40"/>
      <c r="M209" s="40">
        <v>0.27083333333333331</v>
      </c>
      <c r="N209" s="21"/>
      <c r="O209" s="22"/>
      <c r="P209" s="23"/>
      <c r="Q209" s="23"/>
      <c r="R209" s="34"/>
      <c r="S209" s="38"/>
      <c r="T209" s="41"/>
      <c r="U209" s="25" t="s">
        <v>55</v>
      </c>
    </row>
    <row r="210" spans="7:21" ht="21.75" customHeight="1" x14ac:dyDescent="0.15">
      <c r="G210" s="26" t="s">
        <v>953</v>
      </c>
      <c r="H21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G210)),
  ROW(),
  ""
)</f>
        <v>210</v>
      </c>
      <c r="I210" s="31" t="str">
        <f t="shared" si="14"/>
        <v>ニイタカつくば9：00</v>
      </c>
      <c r="J210" s="31" t="str">
        <f t="shared" si="15"/>
        <v>ニイタカツクバ9：00</v>
      </c>
      <c r="K210" s="26" t="s">
        <v>155</v>
      </c>
      <c r="L210" s="40">
        <v>0.375</v>
      </c>
      <c r="M210" s="40">
        <v>0.16666666666666666</v>
      </c>
      <c r="N210" s="21"/>
      <c r="O210" s="22"/>
      <c r="P210" s="23"/>
      <c r="Q210" s="23"/>
      <c r="R210" s="34" t="s">
        <v>156</v>
      </c>
      <c r="S210" s="38"/>
      <c r="T210" s="41"/>
      <c r="U210" s="25" t="s">
        <v>55</v>
      </c>
    </row>
    <row r="211" spans="7:21" ht="21.75" customHeight="1" x14ac:dyDescent="0.15">
      <c r="G211" s="26" t="s">
        <v>954</v>
      </c>
      <c r="H21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G211)),
  ROW(),
  ""
)</f>
        <v>211</v>
      </c>
      <c r="I211" s="31" t="str">
        <f t="shared" si="14"/>
        <v>ニイタカつくば10：00</v>
      </c>
      <c r="J211" s="31" t="str">
        <f t="shared" si="15"/>
        <v>ニイタカツクバ10：00</v>
      </c>
      <c r="K211" s="26" t="s">
        <v>155</v>
      </c>
      <c r="L211" s="40">
        <v>0.41666666666666669</v>
      </c>
      <c r="M211" s="40">
        <v>0.20833333333333334</v>
      </c>
      <c r="N211" s="21"/>
      <c r="O211" s="22"/>
      <c r="P211" s="23"/>
      <c r="Q211" s="23"/>
      <c r="R211" s="34" t="s">
        <v>156</v>
      </c>
      <c r="S211" s="38"/>
      <c r="T211" s="41"/>
      <c r="U211" s="25" t="s">
        <v>55</v>
      </c>
    </row>
    <row r="212" spans="7:21" ht="21.75" customHeight="1" x14ac:dyDescent="0.15">
      <c r="G212" s="26" t="s">
        <v>955</v>
      </c>
      <c r="H21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G212)),
  ROW(),
  ""
)</f>
        <v>212</v>
      </c>
      <c r="I212" s="31" t="str">
        <f t="shared" si="14"/>
        <v>ニイタカつくば</v>
      </c>
      <c r="J212" s="31" t="str">
        <f t="shared" si="15"/>
        <v>ニイタカツクバ</v>
      </c>
      <c r="K212" s="26" t="s">
        <v>155</v>
      </c>
      <c r="L212" s="40"/>
      <c r="M212" s="40"/>
      <c r="N212" s="21"/>
      <c r="O212" s="22"/>
      <c r="P212" s="23"/>
      <c r="Q212" s="23"/>
      <c r="R212" s="34"/>
      <c r="S212" s="38"/>
      <c r="T212" s="41"/>
      <c r="U212" s="25" t="s">
        <v>55</v>
      </c>
    </row>
    <row r="213" spans="7:21" ht="21.75" customHeight="1" x14ac:dyDescent="0.15">
      <c r="G213" s="26" t="s">
        <v>568</v>
      </c>
      <c r="H21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G213)),
  ROW(),
  ""
)</f>
        <v>213</v>
      </c>
      <c r="I213" s="31" t="str">
        <f t="shared" si="14"/>
        <v>日曹金属（会津）7：30</v>
      </c>
      <c r="J213" s="31" t="str">
        <f t="shared" si="15"/>
        <v>ニッソウキンゾク（アイヅ）7：30</v>
      </c>
      <c r="K213" s="26" t="s">
        <v>157</v>
      </c>
      <c r="L213" s="40">
        <v>0.3125</v>
      </c>
      <c r="M213" s="40">
        <v>0.14583333333333334</v>
      </c>
      <c r="N213" s="21"/>
      <c r="O213" s="22"/>
      <c r="P213" s="23"/>
      <c r="Q213" s="23"/>
      <c r="R213" s="34" t="s">
        <v>567</v>
      </c>
      <c r="S213" s="38"/>
      <c r="T213" s="41"/>
      <c r="U213" s="25" t="s">
        <v>55</v>
      </c>
    </row>
    <row r="214" spans="7:21" ht="21.75" customHeight="1" x14ac:dyDescent="0.15">
      <c r="G214" s="26" t="s">
        <v>570</v>
      </c>
      <c r="H21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G214)),
  ROW(),
  ""
)</f>
        <v>214</v>
      </c>
      <c r="I214" s="31" t="str">
        <f t="shared" si="14"/>
        <v>日曹金属（会津）8：00</v>
      </c>
      <c r="J214" s="31" t="str">
        <f t="shared" ref="J214:J217" si="19">PHONETIC(G214)</f>
        <v>ニッソウキンゾク（アイヅ）8：00</v>
      </c>
      <c r="K214" s="26" t="s">
        <v>157</v>
      </c>
      <c r="L214" s="40">
        <v>0.33333333333333331</v>
      </c>
      <c r="M214" s="40">
        <v>0.14583333333333334</v>
      </c>
      <c r="N214" s="21"/>
      <c r="O214" s="22"/>
      <c r="P214" s="23"/>
      <c r="Q214" s="23"/>
      <c r="R214" s="34" t="s">
        <v>567</v>
      </c>
      <c r="S214" s="38"/>
      <c r="T214" s="41"/>
      <c r="U214" s="25" t="s">
        <v>55</v>
      </c>
    </row>
    <row r="215" spans="7:21" ht="21.75" customHeight="1" x14ac:dyDescent="0.15">
      <c r="G215" s="26" t="s">
        <v>569</v>
      </c>
      <c r="H21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G215)),
  ROW(),
  ""
)</f>
        <v>215</v>
      </c>
      <c r="I215" s="31" t="str">
        <f t="shared" si="14"/>
        <v>日曹金属（会津）8：30</v>
      </c>
      <c r="J215" s="31" t="str">
        <f t="shared" si="19"/>
        <v>ニッソウキンゾク（アイヅ）8：30</v>
      </c>
      <c r="K215" s="26" t="s">
        <v>157</v>
      </c>
      <c r="L215" s="40">
        <v>0.35416666666666669</v>
      </c>
      <c r="M215" s="40">
        <v>0.14583333333333334</v>
      </c>
      <c r="N215" s="21"/>
      <c r="O215" s="22"/>
      <c r="P215" s="23"/>
      <c r="Q215" s="23"/>
      <c r="R215" s="34" t="s">
        <v>567</v>
      </c>
      <c r="S215" s="38"/>
      <c r="T215" s="41"/>
      <c r="U215" s="25" t="s">
        <v>55</v>
      </c>
    </row>
    <row r="216" spans="7:21" ht="21.75" customHeight="1" x14ac:dyDescent="0.15">
      <c r="G216" s="26" t="s">
        <v>571</v>
      </c>
      <c r="H21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G216)),
  ROW(),
  ""
)</f>
        <v>216</v>
      </c>
      <c r="I216" s="31" t="str">
        <f t="shared" si="14"/>
        <v>日曹金属（会津）7：30（冬季）</v>
      </c>
      <c r="J216" s="31" t="str">
        <f t="shared" si="19"/>
        <v>ニッソウキンゾク（アイヅ）7：30（トウキ）</v>
      </c>
      <c r="K216" s="26" t="s">
        <v>157</v>
      </c>
      <c r="L216" s="40">
        <v>0.3125</v>
      </c>
      <c r="M216" s="40">
        <v>0.14583333333333334</v>
      </c>
      <c r="N216" s="21"/>
      <c r="O216" s="22"/>
      <c r="P216" s="23"/>
      <c r="Q216" s="23"/>
      <c r="R216" s="34" t="s">
        <v>574</v>
      </c>
      <c r="S216" s="38"/>
      <c r="T216" s="41"/>
      <c r="U216" s="25" t="s">
        <v>55</v>
      </c>
    </row>
    <row r="217" spans="7:21" ht="21.75" customHeight="1" x14ac:dyDescent="0.15">
      <c r="G217" s="26" t="s">
        <v>572</v>
      </c>
      <c r="H2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G217)),
  ROW(),
  ""
)</f>
        <v>217</v>
      </c>
      <c r="I217" s="31" t="str">
        <f t="shared" si="14"/>
        <v>日曹金属（会津）8：00（冬季）</v>
      </c>
      <c r="J217" s="31" t="str">
        <f t="shared" si="19"/>
        <v>ニッソウキンゾク（アイヅ）8：00（トウキ）</v>
      </c>
      <c r="K217" s="26" t="s">
        <v>157</v>
      </c>
      <c r="L217" s="40">
        <v>0.33333333333333331</v>
      </c>
      <c r="M217" s="40">
        <v>0.14583333333333334</v>
      </c>
      <c r="N217" s="21"/>
      <c r="O217" s="22"/>
      <c r="P217" s="23"/>
      <c r="Q217" s="23"/>
      <c r="R217" s="34" t="s">
        <v>574</v>
      </c>
      <c r="S217" s="38"/>
      <c r="T217" s="41"/>
      <c r="U217" s="25" t="s">
        <v>55</v>
      </c>
    </row>
    <row r="218" spans="7:21" ht="21.75" customHeight="1" x14ac:dyDescent="0.15">
      <c r="G218" s="26" t="s">
        <v>573</v>
      </c>
      <c r="H2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G218)),
  ROW(),
  ""
)</f>
        <v>218</v>
      </c>
      <c r="I218" s="31" t="str">
        <f t="shared" si="14"/>
        <v>日曹金属（会津）8：30（冬季）</v>
      </c>
      <c r="J218" s="31" t="str">
        <f t="shared" si="15"/>
        <v>ニッソウキンゾク（アイヅ）8：30（トウキ）</v>
      </c>
      <c r="K218" s="26" t="s">
        <v>157</v>
      </c>
      <c r="L218" s="40">
        <v>0.35416666666666669</v>
      </c>
      <c r="M218" s="40">
        <v>0.14583333333333334</v>
      </c>
      <c r="N218" s="21"/>
      <c r="O218" s="22"/>
      <c r="P218" s="23"/>
      <c r="Q218" s="23"/>
      <c r="R218" s="34" t="s">
        <v>574</v>
      </c>
      <c r="S218" s="38"/>
      <c r="T218" s="41"/>
      <c r="U218" s="25" t="s">
        <v>55</v>
      </c>
    </row>
    <row r="219" spans="7:21" ht="21.75" customHeight="1" x14ac:dyDescent="0.15">
      <c r="G219" s="26" t="s">
        <v>841</v>
      </c>
      <c r="H2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G219)),
  ROW(),
  ""
)</f>
        <v>219</v>
      </c>
      <c r="I219" s="31" t="str">
        <f t="shared" si="14"/>
        <v>日曹金属（会津）</v>
      </c>
      <c r="J219" s="31" t="str">
        <f t="shared" si="15"/>
        <v>ニッソウキンゾク（アイヅ）</v>
      </c>
      <c r="K219" s="26" t="s">
        <v>157</v>
      </c>
      <c r="L219" s="40"/>
      <c r="M219" s="40"/>
      <c r="N219" s="21"/>
      <c r="O219" s="22"/>
      <c r="P219" s="23"/>
      <c r="Q219" s="23"/>
      <c r="R219" s="34"/>
      <c r="S219" s="38"/>
      <c r="T219" s="41"/>
      <c r="U219" s="25" t="s">
        <v>55</v>
      </c>
    </row>
    <row r="220" spans="7:21" ht="21.75" customHeight="1" x14ac:dyDescent="0.15">
      <c r="G220" s="26" t="s">
        <v>842</v>
      </c>
      <c r="H2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G220)),
  ROW(),
  ""
)</f>
        <v>220</v>
      </c>
      <c r="I220" s="31" t="str">
        <f t="shared" si="14"/>
        <v>ニッソーファイン（郡山）8：30</v>
      </c>
      <c r="J220" s="31" t="str">
        <f t="shared" si="15"/>
        <v>ニッソーファイン（コオリヤマ）8：30</v>
      </c>
      <c r="K220" s="26" t="s">
        <v>57</v>
      </c>
      <c r="L220" s="40">
        <v>0.35416666666666669</v>
      </c>
      <c r="M220" s="40">
        <v>0.22916666666666666</v>
      </c>
      <c r="N220" s="21"/>
      <c r="O220" s="22"/>
      <c r="P220" s="23"/>
      <c r="Q220" s="23"/>
      <c r="R220" s="34"/>
      <c r="S220" s="38"/>
      <c r="T220" s="41"/>
      <c r="U220" s="25" t="s">
        <v>55</v>
      </c>
    </row>
    <row r="221" spans="7:21" ht="21.75" customHeight="1" x14ac:dyDescent="0.15">
      <c r="G221" s="26" t="s">
        <v>158</v>
      </c>
      <c r="H2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G221)),
  ROW(),
  ""
)</f>
        <v>221</v>
      </c>
      <c r="I221" s="31" t="str">
        <f t="shared" si="14"/>
        <v>ニッソーファイン（郡山）</v>
      </c>
      <c r="J221" s="31" t="str">
        <f t="shared" si="15"/>
        <v>ニッソーファイン（コオリヤマ）</v>
      </c>
      <c r="K221" s="26" t="s">
        <v>57</v>
      </c>
      <c r="L221" s="40"/>
      <c r="M221" s="40"/>
      <c r="N221" s="21"/>
      <c r="O221" s="22"/>
      <c r="P221" s="23"/>
      <c r="Q221" s="23"/>
      <c r="R221" s="34"/>
      <c r="S221" s="38"/>
      <c r="T221" s="41"/>
      <c r="U221" s="25" t="s">
        <v>55</v>
      </c>
    </row>
    <row r="222" spans="7:21" ht="21.75" customHeight="1" x14ac:dyDescent="0.15">
      <c r="G222" s="26" t="s">
        <v>575</v>
      </c>
      <c r="H2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G222)),
  ROW(),
  ""
)</f>
        <v>222</v>
      </c>
      <c r="I222" s="31" t="str">
        <f t="shared" si="14"/>
        <v>日東紡（福島）10：00</v>
      </c>
      <c r="J222" s="31" t="str">
        <f t="shared" si="15"/>
        <v>ニットウボウ（フクシマ）10：00</v>
      </c>
      <c r="K222" s="26" t="s">
        <v>159</v>
      </c>
      <c r="L222" s="40">
        <v>0.41666666666666669</v>
      </c>
      <c r="M222" s="40">
        <v>0.1875</v>
      </c>
      <c r="N222" s="21"/>
      <c r="O222" s="22"/>
      <c r="P222" s="23"/>
      <c r="Q222" s="23"/>
      <c r="R222" s="34"/>
      <c r="S222" s="38"/>
      <c r="T222" s="41"/>
      <c r="U222" s="25" t="s">
        <v>55</v>
      </c>
    </row>
    <row r="223" spans="7:21" ht="21.75" customHeight="1" x14ac:dyDescent="0.15">
      <c r="G223" s="26" t="s">
        <v>843</v>
      </c>
      <c r="H2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G223)),
  ROW(),
  ""
)</f>
        <v>223</v>
      </c>
      <c r="I223" s="31" t="str">
        <f t="shared" si="14"/>
        <v>日東紡（福島）</v>
      </c>
      <c r="J223" s="31" t="str">
        <f t="shared" si="15"/>
        <v>ニットウボウ（フクシマ）</v>
      </c>
      <c r="K223" s="26" t="s">
        <v>159</v>
      </c>
      <c r="L223" s="40"/>
      <c r="M223" s="21"/>
      <c r="N223" s="32"/>
      <c r="O223" s="33"/>
      <c r="P223" s="34"/>
      <c r="Q223" s="34"/>
      <c r="R223" s="34"/>
      <c r="S223" s="38"/>
      <c r="T223" s="41"/>
      <c r="U223" s="25" t="s">
        <v>55</v>
      </c>
    </row>
    <row r="224" spans="7:21" ht="21.75" customHeight="1" x14ac:dyDescent="0.15">
      <c r="G224" s="26" t="s">
        <v>844</v>
      </c>
      <c r="H2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G224)),
  ROW(),
  ""
)</f>
        <v>224</v>
      </c>
      <c r="I224" s="31" t="str">
        <f t="shared" si="14"/>
        <v>日東紡資材・ケミカル(郡山)9：00</v>
      </c>
      <c r="J224" s="31" t="str">
        <f t="shared" si="15"/>
        <v>ニットウボウシザイ・ケミカル(コオリヤマ)9：00</v>
      </c>
      <c r="K224" s="26" t="s">
        <v>57</v>
      </c>
      <c r="L224" s="40">
        <v>0.375</v>
      </c>
      <c r="M224" s="40">
        <v>0.22916666666666666</v>
      </c>
      <c r="N224" s="21"/>
      <c r="O224" s="22"/>
      <c r="P224" s="23"/>
      <c r="Q224" s="23"/>
      <c r="R224" s="34"/>
      <c r="S224" s="38"/>
      <c r="T224" s="41"/>
      <c r="U224" s="25" t="s">
        <v>55</v>
      </c>
    </row>
    <row r="225" spans="7:21" ht="21.75" customHeight="1" x14ac:dyDescent="0.15">
      <c r="G225" s="26" t="s">
        <v>576</v>
      </c>
      <c r="H2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G225)),
  ROW(),
  ""
)</f>
        <v>225</v>
      </c>
      <c r="I225" s="31" t="str">
        <f t="shared" si="14"/>
        <v>日東紡資材・ケミカル(郡山)</v>
      </c>
      <c r="J225" s="31" t="str">
        <f t="shared" si="15"/>
        <v>ニットウボウシザイ・ケミカル(コオリヤマ)</v>
      </c>
      <c r="K225" s="26" t="s">
        <v>57</v>
      </c>
      <c r="L225" s="40"/>
      <c r="M225" s="40"/>
      <c r="N225" s="21"/>
      <c r="O225" s="22"/>
      <c r="P225" s="23"/>
      <c r="Q225" s="23"/>
      <c r="R225" s="34"/>
      <c r="S225" s="38"/>
      <c r="T225" s="41"/>
      <c r="U225" s="25" t="s">
        <v>55</v>
      </c>
    </row>
    <row r="226" spans="7:21" ht="21.75" customHeight="1" x14ac:dyDescent="0.15">
      <c r="G226" s="26" t="s">
        <v>1013</v>
      </c>
      <c r="H2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G226)),
  ROW(),
  ""
)</f>
        <v>226</v>
      </c>
      <c r="I226" s="31" t="str">
        <f t="shared" si="14"/>
        <v>日本サーファクタント（那須）</v>
      </c>
      <c r="J226" s="31" t="str">
        <f t="shared" si="15"/>
        <v>ニホンサーファクタント（ナス）</v>
      </c>
      <c r="K226" s="26" t="s">
        <v>160</v>
      </c>
      <c r="L226" s="40"/>
      <c r="M226" s="40">
        <v>0.20833333333333334</v>
      </c>
      <c r="N226" s="21"/>
      <c r="O226" s="22"/>
      <c r="P226" s="23"/>
      <c r="Q226" s="23"/>
      <c r="R226" s="34"/>
      <c r="S226" s="38"/>
      <c r="T226" s="41"/>
      <c r="U226" s="25" t="s">
        <v>55</v>
      </c>
    </row>
    <row r="227" spans="7:21" ht="21.75" customHeight="1" x14ac:dyDescent="0.15">
      <c r="G227" s="26" t="s">
        <v>161</v>
      </c>
      <c r="H2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G227)),
  ROW(),
  ""
)</f>
        <v>227</v>
      </c>
      <c r="I227" s="31" t="str">
        <f t="shared" si="14"/>
        <v>日本海水</v>
      </c>
      <c r="J227" s="31" t="str">
        <f t="shared" si="15"/>
        <v>ニホンカイスイ</v>
      </c>
      <c r="K227" s="26" t="s">
        <v>53</v>
      </c>
      <c r="L227" s="40"/>
      <c r="M227" s="40">
        <v>0.3125</v>
      </c>
      <c r="N227" s="21"/>
      <c r="O227" s="22"/>
      <c r="P227" s="23"/>
      <c r="Q227" s="23"/>
      <c r="R227" s="34"/>
      <c r="S227" s="38"/>
      <c r="T227" s="41"/>
      <c r="U227" s="25" t="s">
        <v>55</v>
      </c>
    </row>
    <row r="228" spans="7:21" ht="21.75" customHeight="1" x14ac:dyDescent="0.15">
      <c r="G228" s="26" t="s">
        <v>162</v>
      </c>
      <c r="H2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G228)),
  ROW(),
  ""
)</f>
        <v>228</v>
      </c>
      <c r="I228" s="31" t="str">
        <f t="shared" ref="I228:I291" si="20">INDEX(G:G,SMALL($H$4:$H$1113,ROW(G225)))</f>
        <v>日本海水（積発）</v>
      </c>
      <c r="J228" s="31" t="str">
        <f t="shared" si="15"/>
        <v>ニホンカイスイ（ツミハツ）</v>
      </c>
      <c r="K228" s="26" t="s">
        <v>53</v>
      </c>
      <c r="L228" s="40"/>
      <c r="M228" s="40">
        <v>0.25</v>
      </c>
      <c r="N228" s="21"/>
      <c r="O228" s="22"/>
      <c r="P228" s="23"/>
      <c r="Q228" s="23"/>
      <c r="R228" s="34"/>
      <c r="S228" s="38"/>
      <c r="T228" s="41"/>
      <c r="U228" s="25" t="s">
        <v>55</v>
      </c>
    </row>
    <row r="229" spans="7:21" ht="21.75" customHeight="1" x14ac:dyDescent="0.15">
      <c r="G229" s="26" t="s">
        <v>579</v>
      </c>
      <c r="H2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G229)),
  ROW(),
  ""
)</f>
        <v>229</v>
      </c>
      <c r="I229" s="31" t="str">
        <f t="shared" si="20"/>
        <v>日本化学（第一）9:00</v>
      </c>
      <c r="J229" s="31" t="str">
        <f t="shared" si="15"/>
        <v>ニホンカガク（ダイイチ）9:00</v>
      </c>
      <c r="K229" s="26" t="s">
        <v>57</v>
      </c>
      <c r="L229" s="40">
        <v>0.375</v>
      </c>
      <c r="M229" s="21">
        <v>0.22916666666666666</v>
      </c>
      <c r="N229" s="21"/>
      <c r="O229" s="22"/>
      <c r="P229" s="23"/>
      <c r="Q229" s="23"/>
      <c r="R229" s="34" t="s">
        <v>122</v>
      </c>
      <c r="S229" s="38"/>
      <c r="T229" s="41"/>
      <c r="U229" s="25" t="s">
        <v>55</v>
      </c>
    </row>
    <row r="230" spans="7:21" ht="21.75" customHeight="1" x14ac:dyDescent="0.15">
      <c r="G230" s="26" t="s">
        <v>580</v>
      </c>
      <c r="H23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G230)),
  ROW(),
  ""
)</f>
        <v>230</v>
      </c>
      <c r="I230" s="31" t="str">
        <f t="shared" si="20"/>
        <v>日本化学（第一）13:00</v>
      </c>
      <c r="J230" s="31" t="str">
        <f t="shared" si="15"/>
        <v>ニホンカガク（ダイイチ）13:00</v>
      </c>
      <c r="K230" s="26" t="s">
        <v>57</v>
      </c>
      <c r="L230" s="40">
        <v>0.54166666666666663</v>
      </c>
      <c r="M230" s="40">
        <v>0.41666666666666669</v>
      </c>
      <c r="N230" s="21"/>
      <c r="O230" s="22"/>
      <c r="P230" s="23"/>
      <c r="Q230" s="23"/>
      <c r="R230" s="34"/>
      <c r="S230" s="38"/>
      <c r="T230" s="41"/>
      <c r="U230" s="25" t="s">
        <v>55</v>
      </c>
    </row>
    <row r="231" spans="7:21" ht="21.75" customHeight="1" x14ac:dyDescent="0.15">
      <c r="G231" s="51" t="s">
        <v>581</v>
      </c>
      <c r="H23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G231)),
  ROW(),
  ""
)</f>
        <v>231</v>
      </c>
      <c r="I231" s="31" t="str">
        <f t="shared" si="20"/>
        <v>日本化学（第一）（積発）13:00</v>
      </c>
      <c r="J231" s="31" t="str">
        <f t="shared" si="15"/>
        <v>ニホンカガク（ダイイチ）（ツミハツ）13:00</v>
      </c>
      <c r="K231" s="26" t="s">
        <v>57</v>
      </c>
      <c r="L231" s="40">
        <v>0.54166666666666663</v>
      </c>
      <c r="M231" s="40">
        <v>0.33333333333333331</v>
      </c>
      <c r="N231" s="21"/>
      <c r="O231" s="22"/>
      <c r="P231" s="23"/>
      <c r="Q231" s="23"/>
      <c r="R231" s="34"/>
      <c r="S231" s="38"/>
      <c r="T231" s="41"/>
      <c r="U231" s="25" t="s">
        <v>55</v>
      </c>
    </row>
    <row r="232" spans="7:21" ht="21.75" customHeight="1" x14ac:dyDescent="0.15">
      <c r="G232" s="51" t="s">
        <v>845</v>
      </c>
      <c r="H23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G232)),
  ROW(),
  ""
)</f>
        <v>232</v>
      </c>
      <c r="I232" s="31" t="str">
        <f t="shared" si="20"/>
        <v>日本化学（第一）</v>
      </c>
      <c r="J232" s="31" t="str">
        <f t="shared" si="15"/>
        <v>ニホンカガク（ダイイチ）</v>
      </c>
      <c r="K232" s="26" t="s">
        <v>57</v>
      </c>
      <c r="L232" s="40"/>
      <c r="M232" s="40"/>
      <c r="N232" s="21"/>
      <c r="O232" s="22"/>
      <c r="P232" s="23"/>
      <c r="Q232" s="23"/>
      <c r="R232" s="34" t="s">
        <v>122</v>
      </c>
      <c r="S232" s="38"/>
      <c r="T232" s="41"/>
      <c r="U232" s="25" t="s">
        <v>55</v>
      </c>
    </row>
    <row r="233" spans="7:21" ht="21.75" customHeight="1" x14ac:dyDescent="0.15">
      <c r="G233" s="51" t="s">
        <v>163</v>
      </c>
      <c r="H23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G233)),
  ROW(),
  ""
)</f>
        <v>233</v>
      </c>
      <c r="I233" s="31" t="str">
        <f t="shared" si="20"/>
        <v>日本化学（第二）</v>
      </c>
      <c r="J233" s="31" t="str">
        <f t="shared" si="15"/>
        <v>ニホンカガク（ダイニ）</v>
      </c>
      <c r="K233" s="26" t="s">
        <v>164</v>
      </c>
      <c r="L233" s="40">
        <v>0.35416666666666669</v>
      </c>
      <c r="M233" s="40">
        <v>0.22916666666666666</v>
      </c>
      <c r="N233" s="21"/>
      <c r="O233" s="22"/>
      <c r="P233" s="23"/>
      <c r="Q233" s="23"/>
      <c r="R233" s="34" t="s">
        <v>122</v>
      </c>
      <c r="S233" s="38"/>
      <c r="T233" s="41"/>
      <c r="U233" s="25" t="s">
        <v>55</v>
      </c>
    </row>
    <row r="234" spans="7:21" ht="21.75" customHeight="1" x14ac:dyDescent="0.15">
      <c r="G234" s="51" t="s">
        <v>165</v>
      </c>
      <c r="H23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G234)),
  ROW(),
  ""
)</f>
        <v>234</v>
      </c>
      <c r="I234" s="31" t="str">
        <f t="shared" si="20"/>
        <v>日本化学（第二）（積発）</v>
      </c>
      <c r="J234" s="31" t="str">
        <f t="shared" si="15"/>
        <v>ニホンカガク（ダイニ）（ツミハツ）</v>
      </c>
      <c r="K234" s="26" t="s">
        <v>164</v>
      </c>
      <c r="L234" s="40" t="s">
        <v>122</v>
      </c>
      <c r="M234" s="40">
        <v>0.25</v>
      </c>
      <c r="N234" s="21"/>
      <c r="O234" s="22"/>
      <c r="P234" s="22"/>
      <c r="Q234" s="22"/>
      <c r="R234" s="34"/>
      <c r="S234" s="38"/>
      <c r="T234" s="41"/>
      <c r="U234" s="25" t="s">
        <v>55</v>
      </c>
    </row>
    <row r="235" spans="7:21" ht="21.75" customHeight="1" x14ac:dyDescent="0.15">
      <c r="G235" s="51" t="s">
        <v>846</v>
      </c>
      <c r="H23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G235)),
  ROW(),
  ""
)</f>
        <v>235</v>
      </c>
      <c r="I235" s="31" t="str">
        <f t="shared" si="20"/>
        <v>日本化学産業AM</v>
      </c>
      <c r="J235" s="31" t="str">
        <f t="shared" si="15"/>
        <v>ニホンカガクサンギョウAM</v>
      </c>
      <c r="K235" s="26" t="s">
        <v>148</v>
      </c>
      <c r="L235" s="40" t="s">
        <v>182</v>
      </c>
      <c r="M235" s="40">
        <v>0.27083333333333331</v>
      </c>
      <c r="N235" s="21"/>
      <c r="O235" s="22"/>
      <c r="P235" s="23"/>
      <c r="Q235" s="23"/>
      <c r="R235" s="34"/>
      <c r="S235" s="38"/>
      <c r="T235" s="41"/>
      <c r="U235" s="25" t="s">
        <v>55</v>
      </c>
    </row>
    <row r="236" spans="7:21" ht="21.75" customHeight="1" x14ac:dyDescent="0.15">
      <c r="G236" s="51" t="s">
        <v>166</v>
      </c>
      <c r="H23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G236)),
  ROW(),
  ""
)</f>
        <v>236</v>
      </c>
      <c r="I236" s="31" t="str">
        <f t="shared" si="20"/>
        <v>日本化学産業</v>
      </c>
      <c r="J236" s="31" t="str">
        <f t="shared" si="15"/>
        <v>ニホンカガクサンギョウ</v>
      </c>
      <c r="K236" s="26" t="s">
        <v>148</v>
      </c>
      <c r="L236" s="40"/>
      <c r="M236" s="21"/>
      <c r="N236" s="32"/>
      <c r="O236" s="33"/>
      <c r="P236" s="34"/>
      <c r="Q236" s="34"/>
      <c r="R236" s="34"/>
      <c r="S236" s="38"/>
      <c r="T236" s="26"/>
      <c r="U236" s="25" t="s">
        <v>55</v>
      </c>
    </row>
    <row r="237" spans="7:21" ht="21.75" customHeight="1" x14ac:dyDescent="0.15">
      <c r="G237" s="26" t="s">
        <v>167</v>
      </c>
      <c r="H23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G237)),
  ROW(),
  ""
)</f>
        <v>237</v>
      </c>
      <c r="I237" s="31" t="str">
        <f t="shared" si="20"/>
        <v>日本ケミコン（高萩）</v>
      </c>
      <c r="J237" s="31" t="str">
        <f t="shared" si="15"/>
        <v>ニホンケミコン（タカハギ）</v>
      </c>
      <c r="K237" s="26" t="s">
        <v>60</v>
      </c>
      <c r="L237" s="40" t="s">
        <v>122</v>
      </c>
      <c r="M237" s="40">
        <v>0.29166666666666669</v>
      </c>
      <c r="N237" s="21"/>
      <c r="O237" s="22"/>
      <c r="P237" s="22"/>
      <c r="Q237" s="22"/>
      <c r="R237" s="34"/>
      <c r="S237" s="38"/>
      <c r="T237" s="41"/>
      <c r="U237" s="25" t="s">
        <v>55</v>
      </c>
    </row>
    <row r="238" spans="7:21" ht="21.75" customHeight="1" x14ac:dyDescent="0.15">
      <c r="G238" s="26" t="s">
        <v>168</v>
      </c>
      <c r="H2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G238)),
  ROW(),
  ""
)</f>
        <v>238</v>
      </c>
      <c r="I238" s="31" t="str">
        <f t="shared" si="20"/>
        <v>日本ケミコン（高萩）（積発）</v>
      </c>
      <c r="J238" s="31" t="str">
        <f t="shared" si="15"/>
        <v>ニホンケミコン（タカハギ）（ツミハツ）</v>
      </c>
      <c r="K238" s="26" t="s">
        <v>60</v>
      </c>
      <c r="L238" s="40" t="s">
        <v>122</v>
      </c>
      <c r="M238" s="40">
        <v>0.25</v>
      </c>
      <c r="N238" s="21"/>
      <c r="O238" s="22"/>
      <c r="P238" s="22"/>
      <c r="Q238" s="22"/>
      <c r="R238" s="34" t="s">
        <v>122</v>
      </c>
      <c r="S238" s="38"/>
      <c r="T238" s="41"/>
      <c r="U238" s="25" t="s">
        <v>55</v>
      </c>
    </row>
    <row r="239" spans="7:21" ht="21.75" customHeight="1" x14ac:dyDescent="0.15">
      <c r="G239" s="26" t="s">
        <v>847</v>
      </c>
      <c r="H2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G239)),
  ROW(),
  ""
)</f>
        <v>239</v>
      </c>
      <c r="I239" s="31" t="str">
        <f t="shared" si="20"/>
        <v>日本工機（白河）8：30</v>
      </c>
      <c r="J239" s="31" t="str">
        <f t="shared" si="15"/>
        <v>ニホンコウキ（シラカワ）8：30</v>
      </c>
      <c r="K239" s="31" t="s">
        <v>70</v>
      </c>
      <c r="L239" s="40">
        <v>0.35416666666666669</v>
      </c>
      <c r="M239" s="212">
        <v>0.20833333333333334</v>
      </c>
      <c r="N239" s="21"/>
      <c r="O239" s="22"/>
      <c r="P239" s="22"/>
      <c r="Q239" s="22"/>
      <c r="R239" s="34" t="s">
        <v>122</v>
      </c>
      <c r="S239" s="38"/>
      <c r="T239" s="41"/>
      <c r="U239" s="25" t="s">
        <v>55</v>
      </c>
    </row>
    <row r="240" spans="7:21" ht="21.75" customHeight="1" x14ac:dyDescent="0.15">
      <c r="G240" s="26" t="s">
        <v>169</v>
      </c>
      <c r="H2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G240)),
  ROW(),
  ""
)</f>
        <v>240</v>
      </c>
      <c r="I240" s="31" t="str">
        <f t="shared" si="20"/>
        <v>日本工機（白河）</v>
      </c>
      <c r="J240" s="31" t="str">
        <f t="shared" si="15"/>
        <v>ニホンコウキ（シラカワ）</v>
      </c>
      <c r="K240" s="31" t="s">
        <v>70</v>
      </c>
      <c r="L240" s="40"/>
      <c r="M240" s="40"/>
      <c r="N240" s="21"/>
      <c r="O240" s="22"/>
      <c r="P240" s="74"/>
      <c r="Q240" s="22"/>
      <c r="R240" s="34" t="s">
        <v>122</v>
      </c>
      <c r="S240" s="38"/>
      <c r="T240" s="41"/>
      <c r="U240" s="25" t="s">
        <v>55</v>
      </c>
    </row>
    <row r="241" spans="7:21" ht="21.75" customHeight="1" x14ac:dyDescent="0.15">
      <c r="G241" s="26" t="s">
        <v>583</v>
      </c>
      <c r="H2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G241)),
  ROW(),
  ""
)</f>
        <v>241</v>
      </c>
      <c r="I241" s="31" t="str">
        <f t="shared" si="20"/>
        <v>日本製紙（岩沼）8:00</v>
      </c>
      <c r="J241" s="31" t="str">
        <f t="shared" si="15"/>
        <v>ニホンセイシ（イワヌマ）8:00</v>
      </c>
      <c r="K241" s="34" t="s">
        <v>171</v>
      </c>
      <c r="L241" s="40">
        <v>0.33333333333333331</v>
      </c>
      <c r="M241" s="40">
        <v>0.16666666666666666</v>
      </c>
      <c r="N241" s="21"/>
      <c r="O241" s="22"/>
      <c r="P241" s="23"/>
      <c r="Q241" s="23"/>
      <c r="R241" s="34" t="s">
        <v>582</v>
      </c>
      <c r="S241" s="38"/>
      <c r="T241" s="41"/>
      <c r="U241" s="25" t="s">
        <v>55</v>
      </c>
    </row>
    <row r="242" spans="7:21" ht="21.75" customHeight="1" x14ac:dyDescent="0.15">
      <c r="G242" s="26" t="s">
        <v>170</v>
      </c>
      <c r="H2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G242)),
  ROW(),
  ""
)</f>
        <v>242</v>
      </c>
      <c r="I242" s="31" t="str">
        <f t="shared" si="20"/>
        <v>日本製紙（岩沼）</v>
      </c>
      <c r="J242" s="31" t="str">
        <f t="shared" si="15"/>
        <v>ニホンセイシ（イワヌマ）</v>
      </c>
      <c r="K242" s="34" t="s">
        <v>171</v>
      </c>
      <c r="L242" s="40"/>
      <c r="M242" s="21">
        <v>0.16666666666666666</v>
      </c>
      <c r="N242" s="32"/>
      <c r="O242" s="33"/>
      <c r="P242" s="34"/>
      <c r="Q242" s="34"/>
      <c r="R242" s="34" t="s">
        <v>582</v>
      </c>
      <c r="S242" s="38"/>
      <c r="T242" s="26"/>
      <c r="U242" s="25" t="s">
        <v>55</v>
      </c>
    </row>
    <row r="243" spans="7:21" ht="21.75" customHeight="1" x14ac:dyDescent="0.15">
      <c r="G243" s="26" t="s">
        <v>172</v>
      </c>
      <c r="H24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G243)),
  ROW(),
  ""
)</f>
        <v>243</v>
      </c>
      <c r="I243" s="107" t="str">
        <f t="shared" si="20"/>
        <v>日本製紙（勿来）</v>
      </c>
      <c r="J243" s="31" t="str">
        <f t="shared" si="15"/>
        <v>ニホンセイシ（ナコソ）</v>
      </c>
      <c r="K243" s="34" t="s">
        <v>53</v>
      </c>
      <c r="L243" s="40"/>
      <c r="M243" s="40"/>
      <c r="N243" s="21"/>
      <c r="O243" s="22"/>
      <c r="P243" s="22"/>
      <c r="Q243" s="22"/>
      <c r="R243" s="34"/>
      <c r="S243" s="38"/>
      <c r="T243" s="41"/>
      <c r="U243" s="25" t="s">
        <v>55</v>
      </c>
    </row>
    <row r="244" spans="7:21" ht="21.75" customHeight="1" x14ac:dyDescent="0.15">
      <c r="G244" s="26" t="s">
        <v>584</v>
      </c>
      <c r="H24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G244)),
  ROW(),
  ""
)</f>
        <v>244</v>
      </c>
      <c r="I244" s="107" t="str">
        <f t="shared" si="20"/>
        <v>日本電解（下館）9：00</v>
      </c>
      <c r="J244" s="31" t="str">
        <f t="shared" si="15"/>
        <v>ニホンデンカイ（シモダテ）9：00</v>
      </c>
      <c r="K244" s="26" t="s">
        <v>173</v>
      </c>
      <c r="L244" s="40">
        <v>0.375</v>
      </c>
      <c r="M244" s="21">
        <v>0.16666666666666666</v>
      </c>
      <c r="N244" s="21"/>
      <c r="O244" s="22"/>
      <c r="P244" s="22"/>
      <c r="Q244" s="22"/>
      <c r="R244" s="34" t="s">
        <v>174</v>
      </c>
      <c r="S244" s="38"/>
      <c r="T244" s="41"/>
      <c r="U244" s="25" t="s">
        <v>55</v>
      </c>
    </row>
    <row r="245" spans="7:21" ht="21.75" customHeight="1" x14ac:dyDescent="0.15">
      <c r="G245" s="26" t="s">
        <v>585</v>
      </c>
      <c r="H24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G245)),
  ROW(),
  ""
)</f>
        <v>245</v>
      </c>
      <c r="I245" s="107" t="str">
        <f t="shared" si="20"/>
        <v>日本電解（下館）10：00</v>
      </c>
      <c r="J245" s="31" t="str">
        <f t="shared" si="15"/>
        <v>ニホンデンカイ（シモダテ）10：00</v>
      </c>
      <c r="K245" s="26" t="s">
        <v>173</v>
      </c>
      <c r="L245" s="40">
        <v>0.41666666666666669</v>
      </c>
      <c r="M245" s="40">
        <v>0.20833333333333334</v>
      </c>
      <c r="N245" s="21"/>
      <c r="O245" s="22"/>
      <c r="P245" s="22"/>
      <c r="Q245" s="22"/>
      <c r="R245" s="34" t="s">
        <v>174</v>
      </c>
      <c r="S245" s="38"/>
      <c r="T245" s="41"/>
      <c r="U245" s="25" t="s">
        <v>55</v>
      </c>
    </row>
    <row r="246" spans="7:21" ht="21.75" customHeight="1" x14ac:dyDescent="0.15">
      <c r="G246" s="26" t="s">
        <v>586</v>
      </c>
      <c r="H24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G246)),
  ROW(),
  ""
)</f>
        <v>246</v>
      </c>
      <c r="I246" s="26" t="str">
        <f t="shared" si="20"/>
        <v>日本電解（下館）11：00</v>
      </c>
      <c r="J246" s="26" t="str">
        <f t="shared" si="15"/>
        <v>ニホンデンカイ（シモダテ）11：00</v>
      </c>
      <c r="K246" s="26" t="s">
        <v>173</v>
      </c>
      <c r="L246" s="40">
        <v>0.45833333333333331</v>
      </c>
      <c r="M246" s="21">
        <v>0.25</v>
      </c>
      <c r="N246" s="32"/>
      <c r="O246" s="33"/>
      <c r="P246" s="34"/>
      <c r="Q246" s="34"/>
      <c r="R246" s="34" t="s">
        <v>174</v>
      </c>
      <c r="S246" s="38"/>
      <c r="T246" s="34"/>
      <c r="U246" s="25" t="s">
        <v>55</v>
      </c>
    </row>
    <row r="247" spans="7:21" ht="21.75" customHeight="1" x14ac:dyDescent="0.15">
      <c r="G247" s="26" t="s">
        <v>848</v>
      </c>
      <c r="H247" s="5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G247)),
  ROW(),
  ""
)</f>
        <v>247</v>
      </c>
      <c r="I247" s="51" t="str">
        <f t="shared" si="20"/>
        <v>日本電解（下館）</v>
      </c>
      <c r="J247" s="26" t="str">
        <f t="shared" si="15"/>
        <v>ニホンデンカイ（シモダテ）</v>
      </c>
      <c r="K247" s="26" t="s">
        <v>173</v>
      </c>
      <c r="L247" s="40"/>
      <c r="M247" s="212"/>
      <c r="N247" s="70"/>
      <c r="O247" s="71"/>
      <c r="P247" s="72"/>
      <c r="Q247" s="72"/>
      <c r="R247" s="34"/>
      <c r="S247" s="75"/>
      <c r="T247" s="76"/>
      <c r="U247" s="25" t="s">
        <v>55</v>
      </c>
    </row>
    <row r="248" spans="7:21" ht="21.75" customHeight="1" x14ac:dyDescent="0.15">
      <c r="G248" s="26" t="s">
        <v>849</v>
      </c>
      <c r="H2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G248)),
  ROW(),
  ""
)</f>
        <v>248</v>
      </c>
      <c r="I248" s="31" t="str">
        <f t="shared" si="20"/>
        <v>日本ナショナル製罐8：00</v>
      </c>
      <c r="J248" s="31" t="str">
        <f t="shared" si="15"/>
        <v>ニホンナショナルセイカン8：00</v>
      </c>
      <c r="K248" s="26" t="s">
        <v>175</v>
      </c>
      <c r="L248" s="40">
        <v>0.33333333333333331</v>
      </c>
      <c r="M248" s="40">
        <v>0.16666666666666666</v>
      </c>
      <c r="N248" s="21"/>
      <c r="O248" s="22"/>
      <c r="P248" s="23"/>
      <c r="Q248" s="23"/>
      <c r="R248" s="34" t="s">
        <v>176</v>
      </c>
      <c r="S248" s="38"/>
      <c r="T248" s="41"/>
      <c r="U248" s="25" t="s">
        <v>55</v>
      </c>
    </row>
    <row r="249" spans="7:21" ht="21.75" customHeight="1" x14ac:dyDescent="0.15">
      <c r="G249" s="26" t="s">
        <v>587</v>
      </c>
      <c r="H2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G249)),
  ROW(),
  ""
)</f>
        <v>249</v>
      </c>
      <c r="I249" s="31" t="str">
        <f t="shared" si="20"/>
        <v>日本ナショナル製罐（適宜）</v>
      </c>
      <c r="J249" s="31" t="str">
        <f t="shared" ref="J249:J347" si="21">PHONETIC(G249)</f>
        <v>ニホンナショナルセイカン（テキギ）</v>
      </c>
      <c r="K249" s="26" t="s">
        <v>175</v>
      </c>
      <c r="L249" s="40"/>
      <c r="M249" s="40"/>
      <c r="N249" s="21"/>
      <c r="O249" s="22"/>
      <c r="P249" s="23"/>
      <c r="Q249" s="23"/>
      <c r="R249" s="125" t="s">
        <v>122</v>
      </c>
      <c r="S249" s="38"/>
      <c r="T249" s="41"/>
      <c r="U249" s="25" t="s">
        <v>55</v>
      </c>
    </row>
    <row r="250" spans="7:21" ht="21.75" customHeight="1" x14ac:dyDescent="0.15">
      <c r="G250" s="26" t="s">
        <v>850</v>
      </c>
      <c r="H2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G250)),
  ROW(),
  ""
)</f>
        <v>250</v>
      </c>
      <c r="I250" s="31" t="str">
        <f t="shared" si="20"/>
        <v>ネクセライズ小名浜13：00</v>
      </c>
      <c r="J250" s="31" t="str">
        <f t="shared" si="21"/>
        <v>ネクセライズオナハマ13：00</v>
      </c>
      <c r="K250" s="26" t="s">
        <v>53</v>
      </c>
      <c r="L250" s="40">
        <v>0.54166666666666663</v>
      </c>
      <c r="M250" s="21"/>
      <c r="N250" s="32"/>
      <c r="O250" s="33"/>
      <c r="P250" s="34"/>
      <c r="Q250" s="34"/>
      <c r="R250" s="34" t="s">
        <v>122</v>
      </c>
      <c r="S250" s="38"/>
      <c r="T250" s="26"/>
      <c r="U250" s="25" t="s">
        <v>55</v>
      </c>
    </row>
    <row r="251" spans="7:21" ht="21.75" customHeight="1" x14ac:dyDescent="0.15">
      <c r="G251" s="26" t="s">
        <v>177</v>
      </c>
      <c r="H2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G251)),
  ROW(),
  ""
)</f>
        <v>251</v>
      </c>
      <c r="I251" s="31" t="str">
        <f t="shared" si="20"/>
        <v>ネクセライズ小名浜</v>
      </c>
      <c r="J251" s="31" t="str">
        <f t="shared" si="21"/>
        <v>ネクセライズオナハマ</v>
      </c>
      <c r="K251" s="26" t="s">
        <v>53</v>
      </c>
      <c r="L251" s="40"/>
      <c r="M251" s="21"/>
      <c r="N251" s="32"/>
      <c r="O251" s="33"/>
      <c r="P251" s="34"/>
      <c r="Q251" s="34"/>
      <c r="R251" s="34"/>
      <c r="S251" s="38"/>
      <c r="T251" s="26"/>
      <c r="U251" s="25" t="s">
        <v>55</v>
      </c>
    </row>
    <row r="252" spans="7:21" ht="21.75" customHeight="1" x14ac:dyDescent="0.15">
      <c r="G252" s="26" t="s">
        <v>178</v>
      </c>
      <c r="H2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G252)),
  ROW(),
  ""
)</f>
        <v>252</v>
      </c>
      <c r="I252" s="31" t="str">
        <f t="shared" si="20"/>
        <v>パナソニック</v>
      </c>
      <c r="J252" s="31" t="str">
        <f t="shared" si="21"/>
        <v>パナソニック</v>
      </c>
      <c r="K252" s="26" t="s">
        <v>57</v>
      </c>
      <c r="L252" s="40" t="s">
        <v>122</v>
      </c>
      <c r="M252" s="21">
        <v>0.22916666666666666</v>
      </c>
      <c r="N252" s="32"/>
      <c r="O252" s="33"/>
      <c r="P252" s="34"/>
      <c r="Q252" s="34"/>
      <c r="R252" s="34"/>
      <c r="S252" s="38"/>
      <c r="T252" s="26"/>
      <c r="U252" s="25" t="s">
        <v>55</v>
      </c>
    </row>
    <row r="253" spans="7:21" ht="21.75" customHeight="1" x14ac:dyDescent="0.15">
      <c r="G253" s="26" t="s">
        <v>851</v>
      </c>
      <c r="H2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G253)),
  ROW(),
  ""
)</f>
        <v>253</v>
      </c>
      <c r="I253" s="31" t="str">
        <f t="shared" si="20"/>
        <v>早川器械店9：30</v>
      </c>
      <c r="J253" s="31" t="str">
        <f t="shared" si="21"/>
        <v>ハヤカワキカイテン9：30</v>
      </c>
      <c r="K253" s="26" t="s">
        <v>179</v>
      </c>
      <c r="L253" s="40">
        <v>0.39583333333333331</v>
      </c>
      <c r="M253" s="40">
        <v>0.16666666666666666</v>
      </c>
      <c r="N253" s="32"/>
      <c r="O253" s="33"/>
      <c r="P253" s="34"/>
      <c r="Q253" s="34"/>
      <c r="R253" s="34" t="s">
        <v>180</v>
      </c>
      <c r="S253" s="38"/>
      <c r="T253" s="26"/>
      <c r="U253" s="25" t="s">
        <v>55</v>
      </c>
    </row>
    <row r="254" spans="7:21" ht="21.75" customHeight="1" x14ac:dyDescent="0.15">
      <c r="G254" s="26" t="s">
        <v>956</v>
      </c>
      <c r="H2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G254)),
  ROW(),
  ""
)</f>
        <v>254</v>
      </c>
      <c r="I254" s="31" t="str">
        <f t="shared" si="20"/>
        <v>早川器械店</v>
      </c>
      <c r="J254" s="31" t="str">
        <f t="shared" si="21"/>
        <v>早川器械店</v>
      </c>
      <c r="K254" s="26" t="s">
        <v>179</v>
      </c>
      <c r="L254" s="40"/>
      <c r="M254" s="40"/>
      <c r="N254" s="32"/>
      <c r="O254" s="33"/>
      <c r="P254" s="34"/>
      <c r="Q254" s="34"/>
      <c r="R254" s="34"/>
      <c r="S254" s="38"/>
      <c r="T254" s="39"/>
      <c r="U254" s="25" t="s">
        <v>55</v>
      </c>
    </row>
    <row r="255" spans="7:21" ht="21.75" customHeight="1" x14ac:dyDescent="0.15">
      <c r="G255" s="26" t="s">
        <v>957</v>
      </c>
      <c r="H2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G255)),
  ROW(),
  ""
)</f>
        <v>255</v>
      </c>
      <c r="I255" s="31" t="str">
        <f t="shared" si="20"/>
        <v>ビシェイ　ポリテック</v>
      </c>
      <c r="J255" s="31" t="str">
        <f t="shared" si="21"/>
        <v>ビシェイ　ポリテック</v>
      </c>
      <c r="K255" s="26" t="s">
        <v>164</v>
      </c>
      <c r="L255" s="40" t="s">
        <v>122</v>
      </c>
      <c r="M255" s="21">
        <v>0.22916666666666666</v>
      </c>
      <c r="N255" s="21"/>
      <c r="O255" s="22"/>
      <c r="P255" s="23"/>
      <c r="Q255" s="23"/>
      <c r="R255" s="34"/>
      <c r="S255" s="38"/>
      <c r="T255" s="41"/>
      <c r="U255" s="25" t="s">
        <v>55</v>
      </c>
    </row>
    <row r="256" spans="7:21" ht="21.75" customHeight="1" x14ac:dyDescent="0.15">
      <c r="G256" s="26" t="s">
        <v>588</v>
      </c>
      <c r="H25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G256)),
  ROW(),
  ""
)</f>
        <v>256</v>
      </c>
      <c r="I256" s="31" t="str">
        <f t="shared" si="20"/>
        <v>日立中央工業組合7：00</v>
      </c>
      <c r="J256" s="31" t="str">
        <f t="shared" si="21"/>
        <v>ヒタチチュウオウコウギョウクミアイ7：00</v>
      </c>
      <c r="K256" s="26" t="s">
        <v>111</v>
      </c>
      <c r="L256" s="40">
        <v>0.29166666666666669</v>
      </c>
      <c r="M256" s="40">
        <v>0.20833333333333334</v>
      </c>
      <c r="N256" s="21"/>
      <c r="O256" s="22"/>
      <c r="P256" s="23"/>
      <c r="Q256" s="23"/>
      <c r="R256" s="34"/>
      <c r="S256" s="38"/>
      <c r="T256" s="41"/>
      <c r="U256" s="25" t="s">
        <v>55</v>
      </c>
    </row>
    <row r="257" spans="7:21" ht="21.75" customHeight="1" x14ac:dyDescent="0.15">
      <c r="G257" s="51" t="s">
        <v>852</v>
      </c>
      <c r="H25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G257)),
  ROW(),
  ""
)</f>
        <v>257</v>
      </c>
      <c r="I257" s="31" t="str">
        <f t="shared" si="20"/>
        <v>日立中央工業組合</v>
      </c>
      <c r="J257" s="31" t="str">
        <f t="shared" si="21"/>
        <v>ヒタチチュウオウコウギョウクミアイ</v>
      </c>
      <c r="K257" s="26" t="s">
        <v>111</v>
      </c>
      <c r="L257" s="40"/>
      <c r="M257" s="40"/>
      <c r="N257" s="21"/>
      <c r="O257" s="22"/>
      <c r="P257" s="23"/>
      <c r="Q257" s="23"/>
      <c r="R257" s="34" t="s">
        <v>122</v>
      </c>
      <c r="S257" s="38"/>
      <c r="T257" s="41"/>
      <c r="U257" s="25" t="s">
        <v>55</v>
      </c>
    </row>
    <row r="258" spans="7:21" ht="21.75" customHeight="1" x14ac:dyDescent="0.15">
      <c r="G258" s="51" t="s">
        <v>589</v>
      </c>
      <c r="H25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G258)),
  ROW(),
  ""
)</f>
        <v>258</v>
      </c>
      <c r="I258" s="31" t="str">
        <f t="shared" si="20"/>
        <v>日立パワー（勝田）14：00</v>
      </c>
      <c r="J258" s="31" t="str">
        <f t="shared" si="21"/>
        <v>ヒタチパワー（カツタ）14：00</v>
      </c>
      <c r="K258" s="26" t="s">
        <v>126</v>
      </c>
      <c r="L258" s="40">
        <v>0.58333333333333337</v>
      </c>
      <c r="M258" s="40"/>
      <c r="N258" s="21"/>
      <c r="O258" s="22"/>
      <c r="P258" s="23"/>
      <c r="Q258" s="23"/>
      <c r="R258" s="34"/>
      <c r="S258" s="38"/>
      <c r="T258" s="41"/>
      <c r="U258" s="25" t="s">
        <v>55</v>
      </c>
    </row>
    <row r="259" spans="7:21" ht="21.75" customHeight="1" x14ac:dyDescent="0.15">
      <c r="G259" s="51" t="s">
        <v>853</v>
      </c>
      <c r="H2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G259)),
  ROW(),
  ""
)</f>
        <v>259</v>
      </c>
      <c r="I259" s="31" t="str">
        <f t="shared" si="20"/>
        <v>日立パワー（勝田）</v>
      </c>
      <c r="J259" s="31" t="str">
        <f t="shared" si="21"/>
        <v>ヒタチパワー（カツタ）</v>
      </c>
      <c r="K259" s="26" t="s">
        <v>126</v>
      </c>
      <c r="L259" s="40"/>
      <c r="M259" s="40"/>
      <c r="N259" s="21"/>
      <c r="O259" s="22"/>
      <c r="P259" s="23"/>
      <c r="Q259" s="23"/>
      <c r="R259" s="34"/>
      <c r="S259" s="38"/>
      <c r="T259" s="41"/>
      <c r="U259" s="25" t="s">
        <v>55</v>
      </c>
    </row>
    <row r="260" spans="7:21" ht="21.75" customHeight="1" x14ac:dyDescent="0.15">
      <c r="G260" s="51" t="s">
        <v>590</v>
      </c>
      <c r="H2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G260)),
  ROW(),
  ""
)</f>
        <v>260</v>
      </c>
      <c r="I260" s="31" t="str">
        <f t="shared" si="20"/>
        <v>ひめゆり総業9：00</v>
      </c>
      <c r="J260" s="31" t="str">
        <f t="shared" si="21"/>
        <v>ヒメユリソウギョウ9：00</v>
      </c>
      <c r="K260" s="26" t="s">
        <v>53</v>
      </c>
      <c r="L260" s="40">
        <v>0.375</v>
      </c>
      <c r="M260" s="40">
        <v>0.29166666666666669</v>
      </c>
      <c r="N260" s="21"/>
      <c r="O260" s="22"/>
      <c r="P260" s="23"/>
      <c r="Q260" s="23"/>
      <c r="R260" s="34" t="s">
        <v>122</v>
      </c>
      <c r="S260" s="38"/>
      <c r="T260" s="41"/>
      <c r="U260" s="25" t="s">
        <v>55</v>
      </c>
    </row>
    <row r="261" spans="7:21" ht="21.75" customHeight="1" x14ac:dyDescent="0.15">
      <c r="G261" s="51" t="s">
        <v>854</v>
      </c>
      <c r="H2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G261)),
  ROW(),
  ""
)</f>
        <v>261</v>
      </c>
      <c r="I261" s="31" t="str">
        <f t="shared" si="20"/>
        <v>ひめゆり総業</v>
      </c>
      <c r="J261" s="31" t="str">
        <f t="shared" si="21"/>
        <v>ヒメユリソウギョウ</v>
      </c>
      <c r="K261" s="26" t="s">
        <v>53</v>
      </c>
      <c r="L261" s="40"/>
      <c r="M261" s="40"/>
      <c r="N261" s="21"/>
      <c r="O261" s="22"/>
      <c r="P261" s="23"/>
      <c r="Q261" s="23"/>
      <c r="R261" s="34" t="s">
        <v>122</v>
      </c>
      <c r="S261" s="38"/>
      <c r="T261" s="41"/>
      <c r="U261" s="25" t="s">
        <v>55</v>
      </c>
    </row>
    <row r="262" spans="7:21" ht="21.75" customHeight="1" x14ac:dyDescent="0.15">
      <c r="G262" s="26" t="s">
        <v>958</v>
      </c>
      <c r="H2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G262)),
  ROW(),
  ""
)</f>
        <v>262</v>
      </c>
      <c r="I262" s="31" t="str">
        <f t="shared" si="20"/>
        <v>フィードワン8：30</v>
      </c>
      <c r="J262" s="31" t="str">
        <f t="shared" si="21"/>
        <v>フィードワン8：30</v>
      </c>
      <c r="K262" s="26" t="s">
        <v>181</v>
      </c>
      <c r="L262" s="40">
        <v>0.35416666666666669</v>
      </c>
      <c r="M262" s="40">
        <v>0.25</v>
      </c>
      <c r="N262" s="21"/>
      <c r="O262" s="22"/>
      <c r="P262" s="23"/>
      <c r="Q262" s="23"/>
      <c r="R262" s="34"/>
      <c r="S262" s="38"/>
      <c r="T262" s="41"/>
      <c r="U262" s="25" t="s">
        <v>55</v>
      </c>
    </row>
    <row r="263" spans="7:21" ht="21.75" customHeight="1" x14ac:dyDescent="0.15">
      <c r="G263" s="26" t="s">
        <v>959</v>
      </c>
      <c r="H2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G263)),
  ROW(),
  ""
)</f>
        <v>263</v>
      </c>
      <c r="I263" s="31" t="str">
        <f t="shared" si="20"/>
        <v>フィードワン</v>
      </c>
      <c r="J263" s="31" t="str">
        <f t="shared" si="21"/>
        <v>フィードワン</v>
      </c>
      <c r="K263" s="26" t="s">
        <v>181</v>
      </c>
      <c r="L263" s="40"/>
      <c r="M263" s="40"/>
      <c r="N263" s="21"/>
      <c r="O263" s="22"/>
      <c r="P263" s="23"/>
      <c r="Q263" s="23"/>
      <c r="R263" s="34"/>
      <c r="S263" s="38"/>
      <c r="T263" s="41"/>
      <c r="U263" s="25" t="s">
        <v>55</v>
      </c>
    </row>
    <row r="264" spans="7:21" ht="21.75" customHeight="1" x14ac:dyDescent="0.15">
      <c r="G264" s="26" t="s">
        <v>592</v>
      </c>
      <c r="H2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G264)),
  ROW(),
  ""
)</f>
        <v>264</v>
      </c>
      <c r="I264" s="31" t="str">
        <f t="shared" si="20"/>
        <v>東北ブロイラーAM</v>
      </c>
      <c r="J264" s="31" t="str">
        <f t="shared" si="21"/>
        <v>トウホクブロイラーAM</v>
      </c>
      <c r="K264" s="26" t="s">
        <v>591</v>
      </c>
      <c r="L264" s="40" t="s">
        <v>182</v>
      </c>
      <c r="M264" s="40">
        <v>0.22916666666666666</v>
      </c>
      <c r="N264" s="21"/>
      <c r="O264" s="22"/>
      <c r="P264" s="23"/>
      <c r="Q264" s="23"/>
      <c r="R264" s="34"/>
      <c r="S264" s="38"/>
      <c r="T264" s="41"/>
      <c r="U264" s="25" t="s">
        <v>55</v>
      </c>
    </row>
    <row r="265" spans="7:21" ht="21.75" customHeight="1" x14ac:dyDescent="0.15">
      <c r="G265" s="26" t="s">
        <v>855</v>
      </c>
      <c r="H26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G265)),
  ROW(),
  ""
)</f>
        <v>265</v>
      </c>
      <c r="I265" s="31" t="str">
        <f t="shared" si="20"/>
        <v>東北ブロイラー</v>
      </c>
      <c r="J265" s="31" t="str">
        <f t="shared" si="21"/>
        <v>トウホクブロイラー</v>
      </c>
      <c r="K265" s="26" t="s">
        <v>591</v>
      </c>
      <c r="L265" s="40"/>
      <c r="M265" s="21"/>
      <c r="N265" s="32"/>
      <c r="O265" s="33"/>
      <c r="P265" s="26"/>
      <c r="Q265" s="26"/>
      <c r="R265" s="34"/>
      <c r="S265" s="38"/>
      <c r="T265" s="26"/>
      <c r="U265" s="25" t="s">
        <v>55</v>
      </c>
    </row>
    <row r="266" spans="7:21" ht="21.75" customHeight="1" x14ac:dyDescent="0.15">
      <c r="G266" s="51" t="s">
        <v>183</v>
      </c>
      <c r="H26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G266)),
  ROW(),
  ""
)</f>
        <v>266</v>
      </c>
      <c r="I266" s="31" t="str">
        <f t="shared" si="20"/>
        <v>福島キャノン</v>
      </c>
      <c r="J266" s="31" t="str">
        <f t="shared" si="21"/>
        <v>フクシマキャノン</v>
      </c>
      <c r="K266" s="26" t="s">
        <v>159</v>
      </c>
      <c r="L266" s="40" t="s">
        <v>122</v>
      </c>
      <c r="M266" s="40">
        <v>0.1875</v>
      </c>
      <c r="N266" s="21"/>
      <c r="O266" s="22"/>
      <c r="P266" s="23"/>
      <c r="Q266" s="23"/>
      <c r="R266" s="34"/>
      <c r="S266" s="38"/>
      <c r="T266" s="41"/>
      <c r="U266" s="25" t="s">
        <v>55</v>
      </c>
    </row>
    <row r="267" spans="7:21" ht="21.75" customHeight="1" x14ac:dyDescent="0.15">
      <c r="G267" s="51" t="s">
        <v>593</v>
      </c>
      <c r="H26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G267)),
  ROW(),
  ""
)</f>
        <v>267</v>
      </c>
      <c r="I267" s="107" t="str">
        <f t="shared" si="20"/>
        <v>福島県食肉センター6：00</v>
      </c>
      <c r="J267" s="31" t="str">
        <f t="shared" si="21"/>
        <v>フクシマケンショクニクセンター6：00</v>
      </c>
      <c r="K267" s="26" t="s">
        <v>57</v>
      </c>
      <c r="L267" s="40">
        <v>0.25</v>
      </c>
      <c r="M267" s="40">
        <v>0.125</v>
      </c>
      <c r="N267" s="21"/>
      <c r="O267" s="22"/>
      <c r="P267" s="23"/>
      <c r="Q267" s="23"/>
      <c r="R267" s="34"/>
      <c r="S267" s="38"/>
      <c r="T267" s="41"/>
      <c r="U267" s="25" t="s">
        <v>55</v>
      </c>
    </row>
    <row r="268" spans="7:21" ht="21.75" customHeight="1" x14ac:dyDescent="0.15">
      <c r="G268" s="51" t="s">
        <v>856</v>
      </c>
      <c r="H26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G268)),
  ROW(),
  ""
)</f>
        <v>268</v>
      </c>
      <c r="I268" s="107" t="str">
        <f t="shared" si="20"/>
        <v>福島県食肉センター</v>
      </c>
      <c r="J268" s="31" t="str">
        <f t="shared" si="21"/>
        <v>フクシマケンショクニクセンター</v>
      </c>
      <c r="K268" s="26" t="s">
        <v>57</v>
      </c>
      <c r="L268" s="40"/>
      <c r="M268" s="40"/>
      <c r="N268" s="21"/>
      <c r="O268" s="22"/>
      <c r="P268" s="23"/>
      <c r="Q268" s="23"/>
      <c r="R268" s="34"/>
      <c r="S268" s="38"/>
      <c r="T268" s="41"/>
      <c r="U268" s="25" t="s">
        <v>55</v>
      </c>
    </row>
    <row r="269" spans="7:21" ht="21.75" customHeight="1" x14ac:dyDescent="0.15">
      <c r="G269" s="51" t="s">
        <v>184</v>
      </c>
      <c r="H26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G269)),
  ROW(),
  ""
)</f>
        <v>269</v>
      </c>
      <c r="I269" s="107" t="str">
        <f t="shared" si="20"/>
        <v>福島芝浦電子</v>
      </c>
      <c r="J269" s="31" t="str">
        <f t="shared" si="21"/>
        <v>フクシマシバウラデンシ</v>
      </c>
      <c r="K269" s="26" t="s">
        <v>968</v>
      </c>
      <c r="L269" s="40" t="s">
        <v>122</v>
      </c>
      <c r="M269" s="40" t="s">
        <v>122</v>
      </c>
      <c r="N269" s="21"/>
      <c r="O269" s="22"/>
      <c r="P269" s="23"/>
      <c r="Q269" s="23"/>
      <c r="R269" s="34" t="s">
        <v>122</v>
      </c>
      <c r="S269" s="38"/>
      <c r="T269" s="41"/>
      <c r="U269" s="25" t="s">
        <v>55</v>
      </c>
    </row>
    <row r="270" spans="7:21" ht="21.75" customHeight="1" x14ac:dyDescent="0.15">
      <c r="G270" s="51" t="s">
        <v>857</v>
      </c>
      <c r="H27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G270)),
  ROW(),
  ""
)</f>
        <v>270</v>
      </c>
      <c r="I270" s="107" t="str">
        <f t="shared" si="20"/>
        <v>冨士シャフト7：30</v>
      </c>
      <c r="J270" s="31" t="str">
        <f t="shared" si="21"/>
        <v>フジシャフト7：30</v>
      </c>
      <c r="K270" s="26" t="s">
        <v>186</v>
      </c>
      <c r="L270" s="40">
        <v>0.3125</v>
      </c>
      <c r="M270" s="40">
        <v>0.1875</v>
      </c>
      <c r="N270" s="21"/>
      <c r="O270" s="22"/>
      <c r="P270" s="23"/>
      <c r="Q270" s="23"/>
      <c r="R270" s="34" t="s">
        <v>122</v>
      </c>
      <c r="S270" s="38"/>
      <c r="T270" s="41"/>
      <c r="U270" s="25" t="s">
        <v>55</v>
      </c>
    </row>
    <row r="271" spans="7:21" ht="21.75" customHeight="1" x14ac:dyDescent="0.15">
      <c r="G271" s="51" t="s">
        <v>185</v>
      </c>
      <c r="H27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G271)),
  ROW(),
  ""
)</f>
        <v>271</v>
      </c>
      <c r="I271" s="107" t="str">
        <f t="shared" si="20"/>
        <v>冨士シャフト</v>
      </c>
      <c r="J271" s="31" t="str">
        <f t="shared" si="21"/>
        <v>フジシャフト</v>
      </c>
      <c r="K271" s="26" t="s">
        <v>186</v>
      </c>
      <c r="L271" s="40"/>
      <c r="M271" s="40"/>
      <c r="N271" s="21"/>
      <c r="O271" s="22"/>
      <c r="P271" s="23"/>
      <c r="Q271" s="23"/>
      <c r="R271" s="34" t="s">
        <v>122</v>
      </c>
      <c r="S271" s="38"/>
      <c r="T271" s="41"/>
      <c r="U271" s="25" t="s">
        <v>55</v>
      </c>
    </row>
    <row r="272" spans="7:21" ht="21.75" customHeight="1" x14ac:dyDescent="0.15">
      <c r="G272" s="51" t="s">
        <v>1076</v>
      </c>
      <c r="H27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G272)),
  ROW(),
  ""
)</f>
        <v>272</v>
      </c>
      <c r="I272" s="107" t="str">
        <f t="shared" si="20"/>
        <v>富士フィルムワコーケミカルAM</v>
      </c>
      <c r="J272" s="31" t="str">
        <f t="shared" si="21"/>
        <v>フジフィルムワコーケミカルAM</v>
      </c>
      <c r="K272" s="26" t="s">
        <v>148</v>
      </c>
      <c r="L272" s="40" t="s">
        <v>182</v>
      </c>
      <c r="M272" s="40">
        <v>0.25</v>
      </c>
      <c r="N272" s="21"/>
      <c r="O272" s="22"/>
      <c r="P272" s="23"/>
      <c r="Q272" s="23"/>
      <c r="R272" s="34" t="s">
        <v>122</v>
      </c>
      <c r="S272" s="38"/>
      <c r="T272" s="41"/>
      <c r="U272" s="25" t="s">
        <v>55</v>
      </c>
    </row>
    <row r="273" spans="7:21" ht="21.75" customHeight="1" x14ac:dyDescent="0.15">
      <c r="G273" s="51" t="s">
        <v>1077</v>
      </c>
      <c r="H27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G273)),
  ROW(),
  ""
)</f>
        <v>273</v>
      </c>
      <c r="I273" s="107" t="str">
        <f t="shared" si="20"/>
        <v>富士フィルムワコーケミカル</v>
      </c>
      <c r="J273" s="31" t="str">
        <f t="shared" si="21"/>
        <v>フジフィルムワコーケミカル</v>
      </c>
      <c r="K273" s="26" t="s">
        <v>148</v>
      </c>
      <c r="L273" s="40"/>
      <c r="M273" s="40"/>
      <c r="N273" s="21"/>
      <c r="O273" s="22"/>
      <c r="P273" s="23"/>
      <c r="Q273" s="23"/>
      <c r="R273" s="34" t="s">
        <v>122</v>
      </c>
      <c r="S273" s="38"/>
      <c r="T273" s="41"/>
      <c r="U273" s="25" t="s">
        <v>55</v>
      </c>
    </row>
    <row r="274" spans="7:21" ht="21.75" customHeight="1" x14ac:dyDescent="0.15">
      <c r="G274" s="51" t="s">
        <v>187</v>
      </c>
      <c r="H27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G274)),
  ROW(),
  ""
)</f>
        <v>274</v>
      </c>
      <c r="I274" s="107" t="str">
        <f t="shared" si="20"/>
        <v>古河電池</v>
      </c>
      <c r="J274" s="31" t="str">
        <f t="shared" si="21"/>
        <v>フルカワデンチ</v>
      </c>
      <c r="K274" s="26" t="s">
        <v>53</v>
      </c>
      <c r="L274" s="40"/>
      <c r="M274" s="40"/>
      <c r="N274" s="65"/>
      <c r="O274" s="66"/>
      <c r="P274" s="66"/>
      <c r="Q274" s="23"/>
      <c r="R274" s="34" t="s">
        <v>122</v>
      </c>
      <c r="S274" s="38"/>
      <c r="T274" s="41"/>
      <c r="U274" s="25" t="s">
        <v>55</v>
      </c>
    </row>
    <row r="275" spans="7:21" ht="21.75" customHeight="1" x14ac:dyDescent="0.15">
      <c r="G275" s="51" t="s">
        <v>188</v>
      </c>
      <c r="H27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G275)),
  ROW(),
  ""
)</f>
        <v>275</v>
      </c>
      <c r="I275" s="107" t="str">
        <f t="shared" si="20"/>
        <v>北越（勝田）</v>
      </c>
      <c r="J275" s="31" t="str">
        <f t="shared" si="21"/>
        <v>ホクエツ（カツタ）</v>
      </c>
      <c r="K275" s="26" t="s">
        <v>126</v>
      </c>
      <c r="L275" s="40" t="s">
        <v>122</v>
      </c>
      <c r="M275" s="40">
        <v>0.16666666666666666</v>
      </c>
      <c r="N275" s="21"/>
      <c r="O275" s="22"/>
      <c r="P275" s="23"/>
      <c r="Q275" s="23"/>
      <c r="R275" s="34" t="s">
        <v>122</v>
      </c>
      <c r="S275" s="38"/>
      <c r="T275" s="41"/>
      <c r="U275" s="25" t="s">
        <v>55</v>
      </c>
    </row>
    <row r="276" spans="7:21" ht="21.75" customHeight="1" x14ac:dyDescent="0.15">
      <c r="G276" s="51" t="s">
        <v>594</v>
      </c>
      <c r="H27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G276)),
  ROW(),
  ""
)</f>
        <v>276</v>
      </c>
      <c r="I276" s="107" t="str">
        <f t="shared" si="20"/>
        <v>北越（新潟）AM</v>
      </c>
      <c r="J276" s="31" t="str">
        <f t="shared" si="21"/>
        <v>ホクエツ（ニイガタ）AM</v>
      </c>
      <c r="K276" s="26" t="s">
        <v>68</v>
      </c>
      <c r="L276" s="40" t="s">
        <v>182</v>
      </c>
      <c r="M276" s="40">
        <v>0.10416666666666667</v>
      </c>
      <c r="N276" s="21"/>
      <c r="O276" s="22"/>
      <c r="P276" s="23"/>
      <c r="Q276" s="23"/>
      <c r="R276" s="34" t="s">
        <v>190</v>
      </c>
      <c r="S276" s="38"/>
      <c r="T276" s="41"/>
      <c r="U276" s="25" t="s">
        <v>55</v>
      </c>
    </row>
    <row r="277" spans="7:21" ht="21.75" customHeight="1" x14ac:dyDescent="0.15">
      <c r="G277" s="51" t="s">
        <v>189</v>
      </c>
      <c r="H27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G277)),
  ROW(),
  ""
)</f>
        <v>277</v>
      </c>
      <c r="I277" s="107" t="str">
        <f t="shared" si="20"/>
        <v>北越（新潟）</v>
      </c>
      <c r="J277" s="31" t="str">
        <f t="shared" si="21"/>
        <v>ホクエツ（ニイガタ）</v>
      </c>
      <c r="K277" s="26" t="s">
        <v>68</v>
      </c>
      <c r="L277" s="40"/>
      <c r="M277" s="40">
        <v>0.10416666666666667</v>
      </c>
      <c r="N277" s="21"/>
      <c r="O277" s="22"/>
      <c r="P277" s="23"/>
      <c r="Q277" s="23"/>
      <c r="R277" s="34" t="s">
        <v>190</v>
      </c>
      <c r="S277" s="38"/>
      <c r="T277" s="41"/>
      <c r="U277" s="25" t="s">
        <v>55</v>
      </c>
    </row>
    <row r="278" spans="7:21" ht="21.75" customHeight="1" x14ac:dyDescent="0.15">
      <c r="G278" s="51" t="s">
        <v>858</v>
      </c>
      <c r="H27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G278)),
  ROW(),
  ""
)</f>
        <v>278</v>
      </c>
      <c r="I278" s="107" t="str">
        <f t="shared" si="20"/>
        <v>保土谷ロジAM</v>
      </c>
      <c r="J278" s="31" t="str">
        <f t="shared" si="21"/>
        <v>ホドガヤロジAM</v>
      </c>
      <c r="K278" s="26" t="s">
        <v>57</v>
      </c>
      <c r="L278" s="40" t="s">
        <v>182</v>
      </c>
      <c r="M278" s="40">
        <v>0.22916666666666666</v>
      </c>
      <c r="N278" s="21"/>
      <c r="O278" s="22"/>
      <c r="P278" s="23"/>
      <c r="Q278" s="23"/>
      <c r="R278" s="34" t="s">
        <v>122</v>
      </c>
      <c r="S278" s="38"/>
      <c r="T278" s="41"/>
      <c r="U278" s="25" t="s">
        <v>55</v>
      </c>
    </row>
    <row r="279" spans="7:21" ht="21.75" customHeight="1" x14ac:dyDescent="0.15">
      <c r="G279" s="51" t="s">
        <v>191</v>
      </c>
      <c r="H27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G279)),
  ROW(),
  ""
)</f>
        <v>279</v>
      </c>
      <c r="I279" s="107" t="str">
        <f t="shared" si="20"/>
        <v>保土谷ロジ</v>
      </c>
      <c r="J279" s="31" t="str">
        <f t="shared" si="21"/>
        <v>ホドガヤロジ</v>
      </c>
      <c r="K279" s="26" t="s">
        <v>57</v>
      </c>
      <c r="L279" s="40"/>
      <c r="M279" s="40"/>
      <c r="N279" s="21"/>
      <c r="O279" s="22"/>
      <c r="P279" s="23"/>
      <c r="Q279" s="23"/>
      <c r="R279" s="34"/>
      <c r="S279" s="38"/>
      <c r="T279" s="41"/>
      <c r="U279" s="25" t="s">
        <v>55</v>
      </c>
    </row>
    <row r="280" spans="7:21" ht="21.75" customHeight="1" x14ac:dyDescent="0.15">
      <c r="G280" s="51" t="s">
        <v>595</v>
      </c>
      <c r="H28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G280)),
  ROW(),
  ""
)</f>
        <v>280</v>
      </c>
      <c r="I280" s="107" t="str">
        <f t="shared" si="20"/>
        <v>堀口浄水場9：00</v>
      </c>
      <c r="J280" s="31" t="str">
        <f t="shared" si="21"/>
        <v>ホリグチジョウスイジョウ9：00</v>
      </c>
      <c r="K280" s="26" t="s">
        <v>57</v>
      </c>
      <c r="L280" s="40">
        <v>0.375</v>
      </c>
      <c r="M280" s="40">
        <v>0.22916666666666666</v>
      </c>
      <c r="N280" s="21"/>
      <c r="O280" s="22"/>
      <c r="P280" s="23"/>
      <c r="Q280" s="23"/>
      <c r="R280" s="34"/>
      <c r="S280" s="38"/>
      <c r="T280" s="41"/>
      <c r="U280" s="25" t="s">
        <v>55</v>
      </c>
    </row>
    <row r="281" spans="7:21" ht="21.75" customHeight="1" x14ac:dyDescent="0.15">
      <c r="G281" s="51" t="s">
        <v>859</v>
      </c>
      <c r="H28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G281)),
  ROW(),
  ""
)</f>
        <v>281</v>
      </c>
      <c r="I281" s="107" t="str">
        <f t="shared" si="20"/>
        <v>堀口浄水場</v>
      </c>
      <c r="J281" s="31" t="str">
        <f t="shared" si="21"/>
        <v>ホリグチジョウスイジョウ</v>
      </c>
      <c r="K281" s="34" t="s">
        <v>57</v>
      </c>
      <c r="L281" s="40"/>
      <c r="M281" s="40"/>
      <c r="N281" s="78"/>
      <c r="O281" s="79"/>
      <c r="P281" s="26"/>
      <c r="Q281" s="26"/>
      <c r="R281" s="34"/>
      <c r="S281" s="38"/>
      <c r="T281" s="41"/>
      <c r="U281" s="25" t="s">
        <v>55</v>
      </c>
    </row>
    <row r="282" spans="7:21" ht="21.75" customHeight="1" x14ac:dyDescent="0.15">
      <c r="G282" s="51" t="s">
        <v>578</v>
      </c>
      <c r="H28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G282)),
  ROW(),
  ""
)</f>
        <v>282</v>
      </c>
      <c r="I282" s="107" t="str">
        <f t="shared" si="20"/>
        <v>小名浜製錬PGM</v>
      </c>
      <c r="J282" s="31" t="str">
        <f t="shared" si="21"/>
        <v>オナハマセイレンPGM</v>
      </c>
      <c r="K282" s="34" t="s">
        <v>53</v>
      </c>
      <c r="L282" s="40" t="s">
        <v>122</v>
      </c>
      <c r="M282" s="40">
        <v>0.3125</v>
      </c>
      <c r="N282" s="21"/>
      <c r="O282" s="22"/>
      <c r="P282" s="23"/>
      <c r="Q282" s="23"/>
      <c r="R282" s="34"/>
      <c r="S282" s="38"/>
      <c r="T282" s="41"/>
      <c r="U282" s="25" t="s">
        <v>55</v>
      </c>
    </row>
    <row r="283" spans="7:21" ht="21.75" customHeight="1" x14ac:dyDescent="0.15">
      <c r="G283" s="51" t="s">
        <v>596</v>
      </c>
      <c r="H28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G283)),
  ROW(),
  ""
)</f>
        <v>283</v>
      </c>
      <c r="I283" s="107" t="str">
        <f t="shared" si="20"/>
        <v>丸三製紙8：45</v>
      </c>
      <c r="J283" s="31" t="str">
        <f t="shared" si="21"/>
        <v>マルサンセイシ8：45</v>
      </c>
      <c r="K283" s="34" t="s">
        <v>73</v>
      </c>
      <c r="L283" s="40">
        <v>0.36458333333333331</v>
      </c>
      <c r="M283" s="40">
        <v>0.20833333333333334</v>
      </c>
      <c r="N283" s="21"/>
      <c r="O283" s="22"/>
      <c r="P283" s="23"/>
      <c r="Q283" s="23" t="s">
        <v>122</v>
      </c>
      <c r="R283" s="34" t="s">
        <v>74</v>
      </c>
      <c r="S283" s="38"/>
      <c r="T283" s="41"/>
      <c r="U283" s="25" t="s">
        <v>55</v>
      </c>
    </row>
    <row r="284" spans="7:21" ht="21.75" customHeight="1" x14ac:dyDescent="0.15">
      <c r="G284" s="51" t="s">
        <v>860</v>
      </c>
      <c r="H28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G284)),
  ROW(),
  ""
)</f>
        <v>284</v>
      </c>
      <c r="I284" s="107" t="str">
        <f t="shared" si="20"/>
        <v>丸三製紙</v>
      </c>
      <c r="J284" s="31" t="str">
        <f t="shared" si="21"/>
        <v>マルサンセイシ</v>
      </c>
      <c r="K284" s="34" t="s">
        <v>73</v>
      </c>
      <c r="L284" s="40"/>
      <c r="M284" s="40"/>
      <c r="N284" s="21"/>
      <c r="O284" s="22"/>
      <c r="P284" s="23"/>
      <c r="Q284" s="23"/>
      <c r="R284" s="34"/>
      <c r="S284" s="38"/>
      <c r="T284" s="41"/>
      <c r="U284" s="25" t="s">
        <v>55</v>
      </c>
    </row>
    <row r="285" spans="7:21" ht="21.75" customHeight="1" x14ac:dyDescent="0.15">
      <c r="G285" s="80" t="s">
        <v>192</v>
      </c>
      <c r="H28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G285)),
  ROW(),
  ""
)</f>
        <v>285</v>
      </c>
      <c r="I285" s="107" t="str">
        <f t="shared" si="20"/>
        <v>味覚糖</v>
      </c>
      <c r="J285" s="31" t="str">
        <f t="shared" si="21"/>
        <v>ミカクトウ</v>
      </c>
      <c r="K285" s="34" t="s">
        <v>70</v>
      </c>
      <c r="L285" s="40" t="s">
        <v>122</v>
      </c>
      <c r="M285" s="40">
        <v>0.20833333333333334</v>
      </c>
      <c r="N285" s="32"/>
      <c r="O285" s="33"/>
      <c r="P285" s="34"/>
      <c r="Q285" s="34"/>
      <c r="R285" s="34"/>
      <c r="S285" s="38"/>
      <c r="T285" s="41"/>
      <c r="U285" s="25" t="s">
        <v>55</v>
      </c>
    </row>
    <row r="286" spans="7:21" ht="21.75" customHeight="1" x14ac:dyDescent="0.15">
      <c r="G286" s="80" t="s">
        <v>960</v>
      </c>
      <c r="H28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G286)),
  ROW(),
  ""
)</f>
        <v>286</v>
      </c>
      <c r="I286" s="107" t="str">
        <f t="shared" si="20"/>
        <v>ミツエイ8：00</v>
      </c>
      <c r="J286" s="31" t="str">
        <f>PHONETIC(G286)</f>
        <v>ミツエイ8：00</v>
      </c>
      <c r="K286" s="34" t="s">
        <v>53</v>
      </c>
      <c r="L286" s="40">
        <v>0.33333333333333331</v>
      </c>
      <c r="M286" s="40">
        <v>0.27083333333333331</v>
      </c>
      <c r="N286" s="21"/>
      <c r="O286" s="22"/>
      <c r="P286" s="23"/>
      <c r="Q286" s="23"/>
      <c r="R286" s="34"/>
      <c r="S286" s="38"/>
      <c r="T286" s="41"/>
      <c r="U286" s="25" t="s">
        <v>55</v>
      </c>
    </row>
    <row r="287" spans="7:21" ht="21.75" customHeight="1" x14ac:dyDescent="0.15">
      <c r="G287" s="80" t="s">
        <v>961</v>
      </c>
      <c r="H28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G287)),
  ROW(),
  ""
)</f>
        <v>287</v>
      </c>
      <c r="I287" s="107" t="str">
        <f t="shared" si="20"/>
        <v>ミツエイ10：00</v>
      </c>
      <c r="J287" s="31" t="str">
        <f t="shared" si="21"/>
        <v>ミツエイ10：00</v>
      </c>
      <c r="K287" s="26" t="s">
        <v>53</v>
      </c>
      <c r="L287" s="40">
        <v>0.41666666666666669</v>
      </c>
      <c r="M287" s="40">
        <v>0.35416666666666669</v>
      </c>
      <c r="N287" s="21"/>
      <c r="O287" s="22"/>
      <c r="P287" s="23"/>
      <c r="Q287" s="23"/>
      <c r="R287" s="34"/>
      <c r="S287" s="38"/>
      <c r="T287" s="41"/>
      <c r="U287" s="25" t="s">
        <v>55</v>
      </c>
    </row>
    <row r="288" spans="7:21" ht="21.75" customHeight="1" x14ac:dyDescent="0.15">
      <c r="G288" s="80" t="s">
        <v>597</v>
      </c>
      <c r="H2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G288)),
  ROW(),
  ""
)</f>
        <v>288</v>
      </c>
      <c r="I288" s="107" t="str">
        <f t="shared" si="20"/>
        <v>ミツエイ（積発）9：00</v>
      </c>
      <c r="J288" s="31" t="str">
        <f t="shared" si="21"/>
        <v>ミツエイ（ツミハツ）9：00</v>
      </c>
      <c r="K288" s="26" t="s">
        <v>53</v>
      </c>
      <c r="L288" s="40">
        <v>0.375</v>
      </c>
      <c r="M288" s="40">
        <v>0.25</v>
      </c>
      <c r="N288" s="21"/>
      <c r="O288" s="22"/>
      <c r="P288" s="23"/>
      <c r="Q288" s="23"/>
      <c r="R288" s="34" t="s">
        <v>122</v>
      </c>
      <c r="S288" s="77"/>
      <c r="T288" s="41"/>
      <c r="U288" s="25" t="s">
        <v>55</v>
      </c>
    </row>
    <row r="289" spans="7:21" ht="21.75" customHeight="1" x14ac:dyDescent="0.15">
      <c r="G289" s="51" t="s">
        <v>598</v>
      </c>
      <c r="H2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G289)),
  ROW(),
  ""
)</f>
        <v>289</v>
      </c>
      <c r="I289" s="107" t="str">
        <f t="shared" si="20"/>
        <v>ミツエイ（積発）10：00</v>
      </c>
      <c r="J289" s="31" t="str">
        <f t="shared" si="21"/>
        <v>ミツエイ（ツミハツ）10：00</v>
      </c>
      <c r="K289" s="26" t="s">
        <v>53</v>
      </c>
      <c r="L289" s="40">
        <v>0.41666666666666669</v>
      </c>
      <c r="M289" s="21">
        <v>0.3125</v>
      </c>
      <c r="N289" s="21"/>
      <c r="O289" s="22"/>
      <c r="P289" s="23"/>
      <c r="Q289" s="23"/>
      <c r="R289" s="34" t="s">
        <v>122</v>
      </c>
      <c r="S289" s="77"/>
      <c r="T289" s="41"/>
      <c r="U289" s="25" t="s">
        <v>55</v>
      </c>
    </row>
    <row r="290" spans="7:21" ht="21.75" customHeight="1" x14ac:dyDescent="0.15">
      <c r="G290" s="51" t="s">
        <v>962</v>
      </c>
      <c r="H2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G290)),
  ROW(),
  ""
)</f>
        <v>290</v>
      </c>
      <c r="I290" s="107" t="str">
        <f t="shared" si="20"/>
        <v>ミツエイ</v>
      </c>
      <c r="J290" s="31" t="str">
        <f t="shared" si="21"/>
        <v>ミツエイ</v>
      </c>
      <c r="K290" s="26" t="s">
        <v>53</v>
      </c>
      <c r="L290" s="40"/>
      <c r="M290" s="40"/>
      <c r="N290" s="21"/>
      <c r="O290" s="22"/>
      <c r="P290" s="23"/>
      <c r="Q290" s="23"/>
      <c r="R290" s="34" t="s">
        <v>122</v>
      </c>
      <c r="S290" s="77"/>
      <c r="T290" s="41"/>
      <c r="U290" s="25" t="s">
        <v>55</v>
      </c>
    </row>
    <row r="291" spans="7:21" ht="21.75" customHeight="1" x14ac:dyDescent="0.15">
      <c r="G291" s="51" t="s">
        <v>599</v>
      </c>
      <c r="H2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G291)),
  ROW(),
  ""
)</f>
        <v>291</v>
      </c>
      <c r="I291" s="107" t="str">
        <f t="shared" si="20"/>
        <v>三菱ケミカル8：30</v>
      </c>
      <c r="J291" s="31" t="str">
        <f t="shared" si="21"/>
        <v>ミツビシケミカル8：30</v>
      </c>
      <c r="K291" s="26" t="s">
        <v>53</v>
      </c>
      <c r="L291" s="40">
        <v>0.35416666666666669</v>
      </c>
      <c r="M291" s="21">
        <v>0.3125</v>
      </c>
      <c r="N291" s="32"/>
      <c r="O291" s="33"/>
      <c r="P291" s="34"/>
      <c r="Q291" s="34"/>
      <c r="R291" s="34"/>
      <c r="S291" s="77" t="s">
        <v>122</v>
      </c>
      <c r="T291" s="64" t="s">
        <v>122</v>
      </c>
      <c r="U291" s="25" t="s">
        <v>55</v>
      </c>
    </row>
    <row r="292" spans="7:21" ht="21.75" customHeight="1" x14ac:dyDescent="0.15">
      <c r="G292" s="51" t="s">
        <v>193</v>
      </c>
      <c r="H29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G292)),
  ROW(),
  ""
)</f>
        <v>292</v>
      </c>
      <c r="I292" s="107" t="str">
        <f t="shared" ref="I292:I316" si="22">INDEX(G:G,SMALL($H$4:$H$1113,ROW(G289)))</f>
        <v>三菱ケミカル（積発）</v>
      </c>
      <c r="J292" s="31" t="str">
        <f t="shared" si="21"/>
        <v>ミツビシケミカル（ツミハツ）</v>
      </c>
      <c r="K292" s="26" t="s">
        <v>53</v>
      </c>
      <c r="L292" s="40"/>
      <c r="M292" s="40">
        <v>0.25</v>
      </c>
      <c r="N292" s="78"/>
      <c r="O292" s="79"/>
      <c r="P292" s="26"/>
      <c r="Q292" s="26"/>
      <c r="R292" s="28" t="s">
        <v>122</v>
      </c>
      <c r="S292" s="77"/>
      <c r="T292" s="64"/>
      <c r="U292" s="25" t="s">
        <v>55</v>
      </c>
    </row>
    <row r="293" spans="7:21" ht="21.75" customHeight="1" x14ac:dyDescent="0.15">
      <c r="G293" s="51" t="s">
        <v>861</v>
      </c>
      <c r="H29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G293)),
  ROW(),
  ""
)</f>
        <v>293</v>
      </c>
      <c r="I293" s="107" t="str">
        <f t="shared" si="22"/>
        <v>三菱ケミカル</v>
      </c>
      <c r="J293" s="31" t="str">
        <f t="shared" si="21"/>
        <v>ミツビシケミカル</v>
      </c>
      <c r="K293" s="26" t="s">
        <v>53</v>
      </c>
      <c r="L293" s="40"/>
      <c r="M293" s="40"/>
      <c r="N293" s="78"/>
      <c r="O293" s="79"/>
      <c r="P293" s="26"/>
      <c r="Q293" s="26"/>
      <c r="R293" s="34" t="s">
        <v>122</v>
      </c>
      <c r="S293" s="77"/>
      <c r="T293" s="64"/>
      <c r="U293" s="25" t="s">
        <v>55</v>
      </c>
    </row>
    <row r="294" spans="7:21" ht="21.75" customHeight="1" x14ac:dyDescent="0.15">
      <c r="G294" s="51" t="s">
        <v>600</v>
      </c>
      <c r="H29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G294)),
  ROW(),
  ""
)</f>
        <v>294</v>
      </c>
      <c r="I294" s="107" t="str">
        <f t="shared" si="22"/>
        <v>三星化学AM</v>
      </c>
      <c r="J294" s="31" t="str">
        <f t="shared" si="21"/>
        <v>ミツボシカガクAM</v>
      </c>
      <c r="K294" s="26" t="s">
        <v>147</v>
      </c>
      <c r="L294" s="40" t="s">
        <v>182</v>
      </c>
      <c r="M294" s="40">
        <v>0.20833333333333334</v>
      </c>
      <c r="N294" s="32"/>
      <c r="O294" s="33"/>
      <c r="P294" s="34"/>
      <c r="Q294" s="34"/>
      <c r="R294" s="34" t="s">
        <v>95</v>
      </c>
      <c r="S294" s="38"/>
      <c r="T294" s="39"/>
      <c r="U294" s="25" t="s">
        <v>55</v>
      </c>
    </row>
    <row r="295" spans="7:21" ht="21.75" customHeight="1" x14ac:dyDescent="0.15">
      <c r="G295" s="51" t="s">
        <v>194</v>
      </c>
      <c r="H29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G295)),
  ROW(),
  ""
)</f>
        <v>295</v>
      </c>
      <c r="I295" s="107" t="str">
        <f t="shared" si="22"/>
        <v>三星化学（積発）</v>
      </c>
      <c r="J295" s="31" t="str">
        <f t="shared" si="21"/>
        <v>ミツボシカガク（ツミハツ）</v>
      </c>
      <c r="K295" s="26" t="s">
        <v>147</v>
      </c>
      <c r="L295" s="40"/>
      <c r="M295" s="40">
        <v>0.25</v>
      </c>
      <c r="N295" s="32"/>
      <c r="O295" s="33"/>
      <c r="P295" s="34"/>
      <c r="Q295" s="34"/>
      <c r="R295" s="34" t="s">
        <v>95</v>
      </c>
      <c r="S295" s="38"/>
      <c r="T295" s="39"/>
      <c r="U295" s="25" t="s">
        <v>55</v>
      </c>
    </row>
    <row r="296" spans="7:21" ht="21.75" customHeight="1" x14ac:dyDescent="0.15">
      <c r="G296" s="51" t="s">
        <v>862</v>
      </c>
      <c r="H29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G296)),
  ROW(),
  ""
)</f>
        <v>296</v>
      </c>
      <c r="I296" s="107" t="str">
        <f t="shared" si="22"/>
        <v>三星化学</v>
      </c>
      <c r="J296" s="31" t="str">
        <f t="shared" si="21"/>
        <v>ミツボシカガク</v>
      </c>
      <c r="K296" s="26" t="s">
        <v>147</v>
      </c>
      <c r="L296" s="40"/>
      <c r="M296" s="21"/>
      <c r="N296" s="32"/>
      <c r="O296" s="33"/>
      <c r="P296" s="34"/>
      <c r="Q296" s="34"/>
      <c r="R296" s="34" t="s">
        <v>122</v>
      </c>
      <c r="S296" s="38"/>
      <c r="T296" s="26"/>
      <c r="U296" s="25" t="s">
        <v>55</v>
      </c>
    </row>
    <row r="297" spans="7:21" ht="21.75" customHeight="1" x14ac:dyDescent="0.15">
      <c r="G297" s="80" t="s">
        <v>195</v>
      </c>
      <c r="H29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G297)),
  ROW(),
  ""
)</f>
        <v>297</v>
      </c>
      <c r="I297" s="107" t="str">
        <f t="shared" si="22"/>
        <v>光村印刷</v>
      </c>
      <c r="J297" s="31" t="str">
        <f t="shared" si="21"/>
        <v>ミツムラインサツ</v>
      </c>
      <c r="K297" s="34" t="s">
        <v>160</v>
      </c>
      <c r="L297" s="40" t="s">
        <v>122</v>
      </c>
      <c r="M297" s="21">
        <v>0.20833333333333334</v>
      </c>
      <c r="N297" s="32"/>
      <c r="O297" s="33"/>
      <c r="P297" s="34"/>
      <c r="Q297" s="34"/>
      <c r="R297" s="34" t="s">
        <v>122</v>
      </c>
      <c r="S297" s="38"/>
      <c r="T297" s="26"/>
      <c r="U297" s="25" t="s">
        <v>55</v>
      </c>
    </row>
    <row r="298" spans="7:21" ht="21.75" customHeight="1" x14ac:dyDescent="0.15">
      <c r="G298" s="80" t="s">
        <v>602</v>
      </c>
      <c r="H29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G298)),
  ROW(),
  ""
)</f>
        <v>298</v>
      </c>
      <c r="I298" s="107" t="str">
        <f t="shared" si="22"/>
        <v>南相馬大谷浄水場9：00</v>
      </c>
      <c r="J298" s="31" t="str">
        <f t="shared" si="21"/>
        <v>ミナミソウマオオガイジョウスイジョウ9：00</v>
      </c>
      <c r="K298" s="34" t="s">
        <v>601</v>
      </c>
      <c r="L298" s="40">
        <v>0.375</v>
      </c>
      <c r="M298" s="40">
        <v>0.22916666666666666</v>
      </c>
      <c r="N298" s="21"/>
      <c r="O298" s="22"/>
      <c r="P298" s="23" t="s">
        <v>196</v>
      </c>
      <c r="Q298" s="23"/>
      <c r="R298" s="34" t="s">
        <v>95</v>
      </c>
      <c r="S298" s="38"/>
      <c r="T298" s="41"/>
      <c r="U298" s="25" t="s">
        <v>55</v>
      </c>
    </row>
    <row r="299" spans="7:21" ht="21.75" customHeight="1" x14ac:dyDescent="0.15">
      <c r="G299" s="51" t="s">
        <v>863</v>
      </c>
      <c r="H29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G299)),
  ROW(),
  ""
)</f>
        <v>299</v>
      </c>
      <c r="I299" s="107" t="str">
        <f t="shared" si="22"/>
        <v>南相馬大谷浄水場</v>
      </c>
      <c r="J299" s="31" t="str">
        <f t="shared" si="21"/>
        <v>ミナミソウマオオガイジョウスイジョウ</v>
      </c>
      <c r="K299" s="26" t="s">
        <v>601</v>
      </c>
      <c r="L299" s="40"/>
      <c r="M299" s="40"/>
      <c r="N299" s="21"/>
      <c r="O299" s="22"/>
      <c r="P299" s="22"/>
      <c r="Q299" s="22"/>
      <c r="R299" s="34"/>
      <c r="S299" s="38"/>
      <c r="T299" s="41"/>
      <c r="U299" s="25" t="s">
        <v>55</v>
      </c>
    </row>
    <row r="300" spans="7:21" ht="21.75" customHeight="1" x14ac:dyDescent="0.15">
      <c r="G300" s="51" t="s">
        <v>577</v>
      </c>
      <c r="H30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G300)),
  ROW(),
  ""
)</f>
        <v>300</v>
      </c>
      <c r="I300" s="107" t="str">
        <f t="shared" si="22"/>
        <v>ミネベアPD臨海13：00</v>
      </c>
      <c r="J300" s="31" t="str">
        <f t="shared" si="21"/>
        <v>ミネベアPDリンカイ13：00</v>
      </c>
      <c r="K300" s="26" t="s">
        <v>111</v>
      </c>
      <c r="L300" s="40">
        <v>0.54166666666666663</v>
      </c>
      <c r="M300" s="21"/>
      <c r="N300" s="32"/>
      <c r="O300" s="33"/>
      <c r="P300" s="34"/>
      <c r="Q300" s="34"/>
      <c r="R300" s="34"/>
      <c r="S300" s="38"/>
      <c r="T300" s="34"/>
      <c r="U300" s="25" t="s">
        <v>55</v>
      </c>
    </row>
    <row r="301" spans="7:21" ht="21.75" customHeight="1" x14ac:dyDescent="0.15">
      <c r="G301" s="51" t="s">
        <v>864</v>
      </c>
      <c r="H30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G301)),
  ROW(),
  ""
)</f>
        <v>301</v>
      </c>
      <c r="I301" s="107" t="str">
        <f t="shared" si="22"/>
        <v>ミネベアPD臨海</v>
      </c>
      <c r="J301" s="31" t="str">
        <f t="shared" si="21"/>
        <v>ミネベアPDリンカイ</v>
      </c>
      <c r="K301" s="26" t="s">
        <v>111</v>
      </c>
      <c r="L301" s="40"/>
      <c r="M301" s="40"/>
      <c r="N301" s="32"/>
      <c r="O301" s="33"/>
      <c r="P301" s="34"/>
      <c r="Q301" s="34"/>
      <c r="R301" s="34"/>
      <c r="S301" s="38"/>
      <c r="T301" s="34"/>
      <c r="U301" s="25" t="s">
        <v>55</v>
      </c>
    </row>
    <row r="302" spans="7:21" ht="21.75" customHeight="1" x14ac:dyDescent="0.15">
      <c r="G302" s="51" t="s">
        <v>865</v>
      </c>
      <c r="H30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G302)),
  ROW(),
  ""
)</f>
        <v>302</v>
      </c>
      <c r="I302" s="107" t="str">
        <f t="shared" si="22"/>
        <v>ミネベアパワー（原町第一）13：00</v>
      </c>
      <c r="J302" s="31" t="str">
        <f t="shared" si="21"/>
        <v>ミネベアパワー（ハラマチダイイチ）13：00</v>
      </c>
      <c r="K302" s="26" t="s">
        <v>73</v>
      </c>
      <c r="L302" s="40">
        <v>0.54166666666666663</v>
      </c>
      <c r="M302" s="40" t="s">
        <v>122</v>
      </c>
      <c r="N302" s="32"/>
      <c r="O302" s="33"/>
      <c r="P302" s="34"/>
      <c r="Q302" s="34"/>
      <c r="R302" s="34" t="s">
        <v>198</v>
      </c>
      <c r="S302" s="38"/>
      <c r="T302" s="34"/>
      <c r="U302" s="25" t="s">
        <v>55</v>
      </c>
    </row>
    <row r="303" spans="7:21" ht="21.75" customHeight="1" x14ac:dyDescent="0.15">
      <c r="G303" s="51" t="s">
        <v>197</v>
      </c>
      <c r="H30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G303)),
  ROW(),
  ""
)</f>
        <v>303</v>
      </c>
      <c r="I303" s="107" t="str">
        <f t="shared" si="22"/>
        <v>ミネベアパワー（原町第一）</v>
      </c>
      <c r="J303" s="31" t="str">
        <f t="shared" si="21"/>
        <v>ミネベアパワー（ハラマチダイイチ）</v>
      </c>
      <c r="K303" s="26" t="s">
        <v>73</v>
      </c>
      <c r="L303" s="40"/>
      <c r="M303" s="40"/>
      <c r="N303" s="32"/>
      <c r="O303" s="33"/>
      <c r="P303" s="34"/>
      <c r="Q303" s="34"/>
      <c r="R303" s="34"/>
      <c r="S303" s="38"/>
      <c r="T303" s="34"/>
      <c r="U303" s="25" t="s">
        <v>55</v>
      </c>
    </row>
    <row r="304" spans="7:21" ht="21.75" customHeight="1" x14ac:dyDescent="0.15">
      <c r="G304" s="51" t="s">
        <v>866</v>
      </c>
      <c r="H30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G304)),
  ROW(),
  ""
)</f>
        <v>304</v>
      </c>
      <c r="I304" s="107" t="str">
        <f t="shared" si="22"/>
        <v>ミネベアパワー（原町第二）AM</v>
      </c>
      <c r="J304" s="31" t="str">
        <f t="shared" si="21"/>
        <v>ミネベアパワー（ハラマチダイニ）AM</v>
      </c>
      <c r="K304" s="26" t="s">
        <v>73</v>
      </c>
      <c r="L304" s="40" t="s">
        <v>182</v>
      </c>
      <c r="M304" s="21">
        <v>0.25</v>
      </c>
      <c r="N304" s="32"/>
      <c r="O304" s="33"/>
      <c r="P304" s="34"/>
      <c r="Q304" s="34"/>
      <c r="R304" s="34" t="s">
        <v>198</v>
      </c>
      <c r="S304" s="38"/>
      <c r="T304" s="34"/>
      <c r="U304" s="25" t="s">
        <v>55</v>
      </c>
    </row>
    <row r="305" spans="7:21" ht="21.75" customHeight="1" x14ac:dyDescent="0.15">
      <c r="G305" s="51" t="s">
        <v>199</v>
      </c>
      <c r="H30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G305)),
  ROW(),
  ""
)</f>
        <v>305</v>
      </c>
      <c r="I305" s="107" t="str">
        <f t="shared" si="22"/>
        <v>ミネベアパワー（原町第二）</v>
      </c>
      <c r="J305" s="31" t="str">
        <f t="shared" si="21"/>
        <v>ミネベアパワー（ハラマチダイニ）</v>
      </c>
      <c r="K305" s="26" t="s">
        <v>73</v>
      </c>
      <c r="L305" s="40"/>
      <c r="M305" s="40"/>
      <c r="N305" s="32"/>
      <c r="O305" s="33"/>
      <c r="P305" s="34"/>
      <c r="Q305" s="34"/>
      <c r="R305" s="34"/>
      <c r="S305" s="38"/>
      <c r="T305" s="34"/>
      <c r="U305" s="25" t="s">
        <v>55</v>
      </c>
    </row>
    <row r="306" spans="7:21" ht="21.75" customHeight="1" x14ac:dyDescent="0.15">
      <c r="G306" s="51" t="s">
        <v>1064</v>
      </c>
      <c r="H30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G306)),
  ROW(),
  ""
)</f>
        <v>306</v>
      </c>
      <c r="I306" s="107" t="str">
        <f t="shared" si="22"/>
        <v>スソニティジャパン13：00</v>
      </c>
      <c r="J306" s="31" t="str">
        <f t="shared" si="21"/>
        <v>スソニティジャパン13：00</v>
      </c>
      <c r="K306" s="26" t="s">
        <v>53</v>
      </c>
      <c r="L306" s="40">
        <v>0.54166666666666663</v>
      </c>
      <c r="M306" s="21"/>
      <c r="N306" s="32"/>
      <c r="O306" s="33"/>
      <c r="P306" s="34"/>
      <c r="Q306" s="34"/>
      <c r="R306" s="34"/>
      <c r="S306" s="38"/>
      <c r="T306" s="34"/>
      <c r="U306" s="25" t="s">
        <v>55</v>
      </c>
    </row>
    <row r="307" spans="7:21" ht="21.75" customHeight="1" x14ac:dyDescent="0.15">
      <c r="G307" s="51" t="s">
        <v>1063</v>
      </c>
      <c r="H30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G307)),
  ROW(),
  ""
)</f>
        <v>307</v>
      </c>
      <c r="I307" s="107" t="str">
        <f t="shared" si="22"/>
        <v>スソニティジャパン</v>
      </c>
      <c r="J307" s="31" t="str">
        <f t="shared" si="21"/>
        <v>スソニティジャパン</v>
      </c>
      <c r="K307" s="26" t="s">
        <v>53</v>
      </c>
      <c r="L307" s="40"/>
      <c r="M307" s="40"/>
      <c r="N307" s="32"/>
      <c r="O307" s="33"/>
      <c r="P307" s="34"/>
      <c r="Q307" s="34"/>
      <c r="R307" s="34"/>
      <c r="S307" s="38"/>
      <c r="T307" s="34"/>
      <c r="U307" s="25" t="s">
        <v>55</v>
      </c>
    </row>
    <row r="308" spans="7:21" ht="21.75" customHeight="1" x14ac:dyDescent="0.15">
      <c r="G308" s="51" t="s">
        <v>603</v>
      </c>
      <c r="H30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G308)),
  ROW(),
  ""
)</f>
        <v>308</v>
      </c>
      <c r="I308" s="107" t="str">
        <f t="shared" si="22"/>
        <v>森永乳業（福島）13：00</v>
      </c>
      <c r="J308" s="31" t="str">
        <f t="shared" si="21"/>
        <v>モリナガニュウギョウ（フクシマ）13：00</v>
      </c>
      <c r="K308" s="26" t="s">
        <v>159</v>
      </c>
      <c r="L308" s="40">
        <v>0.54166666666666663</v>
      </c>
      <c r="M308" s="21"/>
      <c r="N308" s="32"/>
      <c r="O308" s="33"/>
      <c r="P308" s="34"/>
      <c r="Q308" s="34"/>
      <c r="R308" s="34" t="s">
        <v>200</v>
      </c>
      <c r="S308" s="38"/>
      <c r="T308" s="34"/>
      <c r="U308" s="25" t="s">
        <v>55</v>
      </c>
    </row>
    <row r="309" spans="7:21" ht="21.75" customHeight="1" x14ac:dyDescent="0.15">
      <c r="G309" s="51" t="s">
        <v>867</v>
      </c>
      <c r="H30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G309)),
  ROW(),
  ""
)</f>
        <v>309</v>
      </c>
      <c r="I309" s="107" t="str">
        <f t="shared" si="22"/>
        <v>森永乳業（福島）</v>
      </c>
      <c r="J309" s="31" t="str">
        <f t="shared" si="21"/>
        <v>モリナガニュウギョウ（フクシマ）</v>
      </c>
      <c r="K309" s="26" t="s">
        <v>159</v>
      </c>
      <c r="L309" s="40"/>
      <c r="M309" s="40"/>
      <c r="N309" s="21"/>
      <c r="O309" s="22"/>
      <c r="P309" s="22"/>
      <c r="Q309" s="22"/>
      <c r="R309" s="34"/>
      <c r="S309" s="38"/>
      <c r="T309" s="41"/>
      <c r="U309" s="25" t="s">
        <v>55</v>
      </c>
    </row>
    <row r="310" spans="7:21" ht="21.75" customHeight="1" x14ac:dyDescent="0.15">
      <c r="G310" s="51" t="s">
        <v>604</v>
      </c>
      <c r="H31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G310)),
  ROW(),
  ""
)</f>
        <v>310</v>
      </c>
      <c r="I310" s="107" t="str">
        <f t="shared" si="22"/>
        <v>有機合成</v>
      </c>
      <c r="J310" s="31" t="str">
        <f t="shared" si="21"/>
        <v>ユウキゴウセイ</v>
      </c>
      <c r="K310" s="26" t="s">
        <v>53</v>
      </c>
      <c r="L310" s="40" t="s">
        <v>122</v>
      </c>
      <c r="M310" s="40">
        <v>0.33333333333333331</v>
      </c>
      <c r="N310" s="21"/>
      <c r="O310" s="22"/>
      <c r="P310" s="23"/>
      <c r="Q310" s="23"/>
      <c r="R310" s="34"/>
      <c r="S310" s="38"/>
      <c r="T310" s="26"/>
      <c r="U310" s="25" t="s">
        <v>55</v>
      </c>
    </row>
    <row r="311" spans="7:21" ht="21.75" customHeight="1" x14ac:dyDescent="0.15">
      <c r="G311" s="51" t="s">
        <v>605</v>
      </c>
      <c r="H31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G311)),
  ROW(),
  ""
)</f>
        <v>311</v>
      </c>
      <c r="I311" s="107" t="str">
        <f t="shared" si="22"/>
        <v>有機合成AM</v>
      </c>
      <c r="J311" s="31" t="str">
        <f t="shared" si="21"/>
        <v>ユウキゴウセイAM</v>
      </c>
      <c r="K311" s="26" t="s">
        <v>53</v>
      </c>
      <c r="L311" s="40" t="s">
        <v>182</v>
      </c>
      <c r="M311" s="40">
        <v>0.33333333333333331</v>
      </c>
      <c r="N311" s="21"/>
      <c r="O311" s="22"/>
      <c r="P311" s="23"/>
      <c r="Q311" s="23"/>
      <c r="R311" s="34"/>
      <c r="S311" s="38"/>
      <c r="T311" s="41"/>
      <c r="U311" s="25" t="s">
        <v>55</v>
      </c>
    </row>
    <row r="312" spans="7:21" ht="21.75" customHeight="1" x14ac:dyDescent="0.15">
      <c r="G312" s="51" t="s">
        <v>606</v>
      </c>
      <c r="H31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G312)),
  ROW(),
  ""
)</f>
        <v>312</v>
      </c>
      <c r="I312" s="107" t="str">
        <f t="shared" si="22"/>
        <v>有機合成（積発）</v>
      </c>
      <c r="J312" s="31" t="str">
        <f t="shared" si="21"/>
        <v>ユウキゴウセイ（ツミハツ）</v>
      </c>
      <c r="K312" s="26" t="s">
        <v>53</v>
      </c>
      <c r="L312" s="40"/>
      <c r="M312" s="40">
        <v>0.25</v>
      </c>
      <c r="N312" s="21"/>
      <c r="O312" s="22"/>
      <c r="P312" s="23"/>
      <c r="Q312" s="23"/>
      <c r="R312" s="34"/>
      <c r="S312" s="38"/>
      <c r="T312" s="41"/>
      <c r="U312" s="25" t="s">
        <v>55</v>
      </c>
    </row>
    <row r="313" spans="7:21" ht="21.75" customHeight="1" x14ac:dyDescent="0.15">
      <c r="G313" s="51" t="s">
        <v>607</v>
      </c>
      <c r="H31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G313)),
  ROW(),
  ""
)</f>
        <v>313</v>
      </c>
      <c r="I313" s="107" t="str">
        <f t="shared" si="22"/>
        <v>有機合成（積発）AM</v>
      </c>
      <c r="J313" s="31" t="str">
        <f t="shared" si="21"/>
        <v>ユウキゴウセイ（ツミハツ）AM</v>
      </c>
      <c r="K313" s="26" t="s">
        <v>53</v>
      </c>
      <c r="L313" s="40" t="s">
        <v>182</v>
      </c>
      <c r="M313" s="40">
        <v>0.25</v>
      </c>
      <c r="N313" s="21"/>
      <c r="O313" s="22"/>
      <c r="P313" s="23"/>
      <c r="Q313" s="23"/>
      <c r="R313" s="34" t="s">
        <v>122</v>
      </c>
      <c r="S313" s="38"/>
      <c r="T313" s="26"/>
      <c r="U313" s="25" t="s">
        <v>55</v>
      </c>
    </row>
    <row r="314" spans="7:21" ht="21.75" customHeight="1" x14ac:dyDescent="0.15">
      <c r="G314" s="51" t="s">
        <v>604</v>
      </c>
      <c r="H31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G314)),
  ROW(),
  ""
)</f>
        <v>314</v>
      </c>
      <c r="I314" s="107" t="str">
        <f t="shared" si="22"/>
        <v>有機合成</v>
      </c>
      <c r="J314" s="31" t="str">
        <f t="shared" si="21"/>
        <v>ユウキゴウセイ</v>
      </c>
      <c r="K314" s="26" t="s">
        <v>53</v>
      </c>
      <c r="L314" s="40"/>
      <c r="M314" s="40"/>
      <c r="N314" s="21"/>
      <c r="O314" s="22"/>
      <c r="P314" s="23"/>
      <c r="Q314" s="23"/>
      <c r="R314" s="34"/>
      <c r="S314" s="38"/>
      <c r="T314" s="26"/>
      <c r="U314" s="25" t="s">
        <v>55</v>
      </c>
    </row>
    <row r="315" spans="7:21" ht="21.75" customHeight="1" x14ac:dyDescent="0.15">
      <c r="G315" s="80" t="s">
        <v>963</v>
      </c>
      <c r="H31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G315)),
  ROW(),
  ""
)</f>
        <v>315</v>
      </c>
      <c r="I315" s="107" t="str">
        <f t="shared" si="22"/>
        <v>ユニマテック</v>
      </c>
      <c r="J315" s="31" t="str">
        <f>PHONETIC(G315)</f>
        <v>ユニマテック</v>
      </c>
      <c r="K315" s="34" t="s">
        <v>608</v>
      </c>
      <c r="L315" s="40" t="s">
        <v>122</v>
      </c>
      <c r="M315" s="21">
        <v>0.29166666666666669</v>
      </c>
      <c r="N315" s="21"/>
      <c r="O315" s="22"/>
      <c r="P315" s="23"/>
      <c r="Q315" s="23"/>
      <c r="R315" s="34" t="s">
        <v>122</v>
      </c>
      <c r="S315" s="38"/>
      <c r="T315" s="41"/>
      <c r="U315" s="25" t="s">
        <v>55</v>
      </c>
    </row>
    <row r="316" spans="7:21" ht="21.75" customHeight="1" x14ac:dyDescent="0.15">
      <c r="G316" s="80" t="s">
        <v>201</v>
      </c>
      <c r="H31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G316)),
  ROW(),
  ""
)</f>
        <v>316</v>
      </c>
      <c r="I316" s="107" t="str">
        <f t="shared" si="22"/>
        <v>ユニマテック（積発）</v>
      </c>
      <c r="J316" s="31" t="str">
        <f>PHONETIC(G316)</f>
        <v>ユニマテック（ツミハツ）</v>
      </c>
      <c r="K316" s="34" t="s">
        <v>608</v>
      </c>
      <c r="L316" s="40"/>
      <c r="M316" s="21">
        <v>0.25</v>
      </c>
      <c r="N316" s="21"/>
      <c r="O316" s="22"/>
      <c r="P316" s="23"/>
      <c r="Q316" s="23"/>
      <c r="R316" s="34" t="s">
        <v>122</v>
      </c>
      <c r="S316" s="38"/>
      <c r="T316" s="41"/>
      <c r="U316" s="25" t="s">
        <v>55</v>
      </c>
    </row>
    <row r="317" spans="7:21" ht="21.75" customHeight="1" x14ac:dyDescent="0.15">
      <c r="G317" s="80" t="s">
        <v>202</v>
      </c>
      <c r="H31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G317)),
  ROW(),
  ""
)</f>
        <v>317</v>
      </c>
      <c r="I317" s="107" t="str">
        <f>INDEX(G:G,SMALL($H$4:$H$1113,ROW(G313)))</f>
        <v>ユニマテック（積発）</v>
      </c>
      <c r="J317" s="31" t="str">
        <f t="shared" si="21"/>
        <v>ヨコゼキユシ</v>
      </c>
      <c r="K317" s="34" t="s">
        <v>609</v>
      </c>
      <c r="L317" s="40"/>
      <c r="M317" s="21"/>
      <c r="N317" s="32"/>
      <c r="O317" s="33"/>
      <c r="P317" s="26"/>
      <c r="Q317" s="26"/>
      <c r="R317" s="34"/>
      <c r="S317" s="38"/>
      <c r="T317" s="41"/>
      <c r="U317" s="25" t="s">
        <v>55</v>
      </c>
    </row>
    <row r="318" spans="7:21" ht="21.75" customHeight="1" x14ac:dyDescent="0.15">
      <c r="G318" s="80" t="s">
        <v>203</v>
      </c>
      <c r="H31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G318)),
  ROW(),
  ""
)</f>
        <v>318</v>
      </c>
      <c r="I318" s="107" t="str">
        <f>INDEX(G:G,SMALL($H$4:$H$1113,ROW(G314)))</f>
        <v>横関油脂</v>
      </c>
      <c r="J318" s="31" t="str">
        <f t="shared" si="21"/>
        <v>リョウモウカガク</v>
      </c>
      <c r="K318" s="34" t="s">
        <v>204</v>
      </c>
      <c r="L318" s="40">
        <v>0.3125</v>
      </c>
      <c r="M318" s="21">
        <v>0.10416666666666667</v>
      </c>
      <c r="N318" s="32"/>
      <c r="O318" s="33"/>
      <c r="P318" s="26"/>
      <c r="Q318" s="26"/>
      <c r="R318" s="34" t="s">
        <v>1037</v>
      </c>
      <c r="S318" s="38"/>
      <c r="T318" s="41"/>
      <c r="U318" s="25" t="s">
        <v>55</v>
      </c>
    </row>
    <row r="319" spans="7:21" ht="21.75" customHeight="1" x14ac:dyDescent="0.15">
      <c r="G319" s="80" t="s">
        <v>610</v>
      </c>
      <c r="H31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G319)),
  ROW(),
  ""
)</f>
        <v>319</v>
      </c>
      <c r="I319" s="107" t="str">
        <f>INDEX(G:G,SMALL($H$4:$H$1113,ROW(G315)))</f>
        <v>両毛化学</v>
      </c>
      <c r="J319" s="31" t="str">
        <f t="shared" si="21"/>
        <v>ルネサスナカ6：30</v>
      </c>
      <c r="K319" s="34" t="s">
        <v>126</v>
      </c>
      <c r="L319" s="40">
        <v>0.27083333333333331</v>
      </c>
      <c r="M319" s="40">
        <v>0.16666666666666666</v>
      </c>
      <c r="N319" s="21"/>
      <c r="O319" s="22"/>
      <c r="P319" s="23"/>
      <c r="Q319" s="23"/>
      <c r="R319" s="34" t="s">
        <v>122</v>
      </c>
      <c r="S319" s="38"/>
      <c r="T319" s="41"/>
      <c r="U319" s="25" t="s">
        <v>55</v>
      </c>
    </row>
    <row r="320" spans="7:21" ht="21.75" customHeight="1" x14ac:dyDescent="0.15">
      <c r="G320" s="51" t="s">
        <v>611</v>
      </c>
      <c r="H32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G320)),
  ROW(),
  ""
)</f>
        <v>320</v>
      </c>
      <c r="I320" s="107" t="str">
        <f t="shared" ref="I320:I383" si="23">INDEX(G:G,SMALL($H$4:$H$1113,ROW(G317)))</f>
        <v>ルネサス那珂AM</v>
      </c>
      <c r="J320" s="31" t="str">
        <f t="shared" si="21"/>
        <v>ルネサスナカAM</v>
      </c>
      <c r="K320" s="26" t="s">
        <v>126</v>
      </c>
      <c r="L320" s="40" t="s">
        <v>182</v>
      </c>
      <c r="M320" s="21">
        <v>0.16666666666666666</v>
      </c>
      <c r="N320" s="32"/>
      <c r="O320" s="33"/>
      <c r="P320" s="26"/>
      <c r="Q320" s="26"/>
      <c r="R320" s="34" t="s">
        <v>122</v>
      </c>
      <c r="S320" s="38"/>
      <c r="T320" s="39"/>
      <c r="U320" s="25" t="s">
        <v>55</v>
      </c>
    </row>
    <row r="321" spans="7:21" ht="21.75" customHeight="1" x14ac:dyDescent="0.15">
      <c r="G321" s="51" t="s">
        <v>868</v>
      </c>
      <c r="H32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G321)),
  ROW(),
  ""
)</f>
        <v>321</v>
      </c>
      <c r="I321" s="107" t="str">
        <f t="shared" si="23"/>
        <v>ルネサス那珂</v>
      </c>
      <c r="J321" s="31" t="str">
        <f t="shared" si="21"/>
        <v>ルネサスナカ</v>
      </c>
      <c r="K321" s="26" t="s">
        <v>126</v>
      </c>
      <c r="L321" s="40" t="s">
        <v>122</v>
      </c>
      <c r="M321" s="21" t="s">
        <v>122</v>
      </c>
      <c r="N321" s="32"/>
      <c r="O321" s="33"/>
      <c r="P321" s="26"/>
      <c r="Q321" s="26"/>
      <c r="R321" s="34" t="s">
        <v>122</v>
      </c>
      <c r="S321" s="38"/>
      <c r="T321" s="39"/>
      <c r="U321" s="25" t="s">
        <v>55</v>
      </c>
    </row>
    <row r="322" spans="7:21" ht="21.75" customHeight="1" x14ac:dyDescent="0.15">
      <c r="G322" s="51" t="s">
        <v>205</v>
      </c>
      <c r="H32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G322)),
  ROW(),
  ""
)</f>
        <v>322</v>
      </c>
      <c r="I322" s="107" t="str">
        <f t="shared" si="23"/>
        <v>レゾナック東長原</v>
      </c>
      <c r="J322" s="31" t="str">
        <f t="shared" si="21"/>
        <v>レゾナックヒガシナガハラ</v>
      </c>
      <c r="K322" s="26" t="s">
        <v>97</v>
      </c>
      <c r="L322" s="40" t="s">
        <v>122</v>
      </c>
      <c r="M322" s="40">
        <v>0.1875</v>
      </c>
      <c r="N322" s="32"/>
      <c r="O322" s="33"/>
      <c r="P322" s="26"/>
      <c r="Q322" s="26"/>
      <c r="R322" s="34"/>
      <c r="S322" s="38"/>
      <c r="T322" s="39"/>
      <c r="U322" s="25" t="s">
        <v>55</v>
      </c>
    </row>
    <row r="323" spans="7:21" ht="21.75" customHeight="1" x14ac:dyDescent="0.15">
      <c r="G323" s="51" t="s">
        <v>612</v>
      </c>
      <c r="H32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G323)),
  ROW(),
  ""
)</f>
        <v>323</v>
      </c>
      <c r="I323" s="107" t="str">
        <f t="shared" si="23"/>
        <v>レゾナック東長原PM</v>
      </c>
      <c r="J323" s="31" t="str">
        <f t="shared" si="21"/>
        <v>レゾナックヒガシナガハラPM</v>
      </c>
      <c r="K323" s="26" t="s">
        <v>97</v>
      </c>
      <c r="L323" s="40" t="s">
        <v>966</v>
      </c>
      <c r="M323" s="21">
        <v>0.33333333333333331</v>
      </c>
      <c r="N323" s="32"/>
      <c r="O323" s="33"/>
      <c r="P323" s="26"/>
      <c r="Q323" s="26"/>
      <c r="R323" s="34"/>
      <c r="S323" s="38"/>
      <c r="T323" s="39"/>
      <c r="U323" s="25" t="s">
        <v>55</v>
      </c>
    </row>
    <row r="324" spans="7:21" ht="21.75" customHeight="1" x14ac:dyDescent="0.15">
      <c r="G324" s="51" t="s">
        <v>206</v>
      </c>
      <c r="H32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G324)),
  ROW(),
  ""
)</f>
        <v>324</v>
      </c>
      <c r="I324" s="107" t="str">
        <f t="shared" si="23"/>
        <v>レゾナック東長原（積発）</v>
      </c>
      <c r="J324" s="31" t="str">
        <f t="shared" si="21"/>
        <v>レゾナックヒガシナガハラ（ツミハツ）</v>
      </c>
      <c r="K324" s="26" t="s">
        <v>97</v>
      </c>
      <c r="L324" s="40"/>
      <c r="M324" s="40">
        <v>0.25</v>
      </c>
      <c r="N324" s="32"/>
      <c r="O324" s="33"/>
      <c r="P324" s="26"/>
      <c r="Q324" s="26"/>
      <c r="R324" s="34" t="s">
        <v>1038</v>
      </c>
      <c r="S324" s="38"/>
      <c r="T324" s="39"/>
      <c r="U324" s="25" t="s">
        <v>55</v>
      </c>
    </row>
    <row r="325" spans="7:21" ht="21.75" customHeight="1" x14ac:dyDescent="0.15">
      <c r="G325" s="51" t="s">
        <v>205</v>
      </c>
      <c r="H32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G325)),
  ROW(),
  ""
)</f>
        <v>325</v>
      </c>
      <c r="I325" s="107" t="str">
        <f t="shared" si="23"/>
        <v>レゾナック東長原</v>
      </c>
      <c r="J325" s="31" t="str">
        <f t="shared" si="21"/>
        <v>レゾナックヒガシナガハラ</v>
      </c>
      <c r="K325" s="26" t="s">
        <v>97</v>
      </c>
      <c r="L325" s="40"/>
      <c r="M325" s="21"/>
      <c r="N325" s="32"/>
      <c r="O325" s="33"/>
      <c r="P325" s="26"/>
      <c r="Q325" s="26"/>
      <c r="R325" s="34"/>
      <c r="S325" s="38"/>
      <c r="T325" s="39"/>
      <c r="U325" s="25" t="s">
        <v>55</v>
      </c>
    </row>
    <row r="326" spans="7:21" ht="21.75" customHeight="1" x14ac:dyDescent="0.15">
      <c r="G326" s="51" t="s">
        <v>973</v>
      </c>
      <c r="H32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G326)),
  ROW(),
  ""
)</f>
        <v>326</v>
      </c>
      <c r="I326" s="107" t="str">
        <f t="shared" ref="I326:I331" si="24">INDEX(G:G,SMALL($H$4:$H$1113,ROW(G323)))</f>
        <v>日立製作所(大みか)</v>
      </c>
      <c r="J326" s="31" t="str">
        <f t="shared" si="21"/>
        <v>ヒタチセイサクジョ(オオミカ)</v>
      </c>
      <c r="K326" s="26" t="s">
        <v>974</v>
      </c>
      <c r="L326" s="40"/>
      <c r="M326" s="21">
        <v>0.25</v>
      </c>
      <c r="N326" s="32"/>
      <c r="O326" s="33"/>
      <c r="P326" s="34"/>
      <c r="Q326" s="27"/>
      <c r="R326" s="34"/>
      <c r="S326" s="38"/>
      <c r="T326" s="39"/>
      <c r="U326" s="25" t="s">
        <v>55</v>
      </c>
    </row>
    <row r="327" spans="7:21" ht="21.75" customHeight="1" x14ac:dyDescent="0.15">
      <c r="G327" s="51" t="s">
        <v>978</v>
      </c>
      <c r="H32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G327)),
  ROW(),
  ""
)</f>
        <v>327</v>
      </c>
      <c r="I327" s="107" t="str">
        <f t="shared" si="24"/>
        <v>日立インダストリアルプロダクツ</v>
      </c>
      <c r="J327" s="31" t="str">
        <f t="shared" si="21"/>
        <v>ヒタチインダストリアルプロダクツ</v>
      </c>
      <c r="K327" s="26" t="s">
        <v>974</v>
      </c>
      <c r="L327" s="40"/>
      <c r="M327" s="21">
        <v>0.20833333333333334</v>
      </c>
      <c r="N327" s="32"/>
      <c r="O327" s="33"/>
      <c r="P327" s="26"/>
      <c r="Q327" s="26"/>
      <c r="R327" s="34" t="s">
        <v>84</v>
      </c>
      <c r="S327" s="38"/>
      <c r="T327" s="39"/>
      <c r="U327" s="25" t="s">
        <v>55</v>
      </c>
    </row>
    <row r="328" spans="7:21" ht="21.75" customHeight="1" x14ac:dyDescent="0.15">
      <c r="G328" s="51" t="s">
        <v>981</v>
      </c>
      <c r="H32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G328)),
  ROW(),
  ""
)</f>
        <v>328</v>
      </c>
      <c r="I328" s="107" t="str">
        <f t="shared" si="24"/>
        <v>レゾナック山崎事業(桜川)</v>
      </c>
      <c r="J328" s="31" t="str">
        <f t="shared" ref="J328" si="25">PHONETIC(G328)</f>
        <v>レゾナックヤマザキジギョウ(サクラガワ)</v>
      </c>
      <c r="K328" s="26" t="s">
        <v>974</v>
      </c>
      <c r="L328" s="40"/>
      <c r="M328" s="40">
        <v>0.22916666666666666</v>
      </c>
      <c r="N328" s="32"/>
      <c r="O328" s="33"/>
      <c r="P328" s="26"/>
      <c r="Q328" s="26"/>
      <c r="R328" s="34"/>
      <c r="S328" s="38"/>
      <c r="T328" s="39"/>
      <c r="U328" s="25" t="s">
        <v>55</v>
      </c>
    </row>
    <row r="329" spans="7:21" ht="21.75" customHeight="1" x14ac:dyDescent="0.15">
      <c r="G329" s="51" t="s">
        <v>982</v>
      </c>
      <c r="H32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G329)),
  ROW(),
  ""
)</f>
        <v>329</v>
      </c>
      <c r="I329" s="107" t="str">
        <f t="shared" si="24"/>
        <v>南相馬市クリーン原町センター</v>
      </c>
      <c r="J329" s="31" t="str">
        <f t="shared" si="21"/>
        <v>ミナミソウマシクリーンハラマチセンター</v>
      </c>
      <c r="K329" s="26" t="s">
        <v>983</v>
      </c>
      <c r="L329" s="40"/>
      <c r="M329" s="21">
        <v>0.25</v>
      </c>
      <c r="N329" s="32"/>
      <c r="O329" s="33"/>
      <c r="P329" s="26"/>
      <c r="Q329" s="26"/>
      <c r="R329" s="34"/>
      <c r="S329" s="38"/>
      <c r="T329" s="39"/>
      <c r="U329" s="25" t="s">
        <v>55</v>
      </c>
    </row>
    <row r="330" spans="7:21" ht="21.75" customHeight="1" x14ac:dyDescent="0.15">
      <c r="G330" s="51" t="s">
        <v>986</v>
      </c>
      <c r="H33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G330)),
  ROW(),
  ""
)</f>
        <v>330</v>
      </c>
      <c r="I330" s="107" t="str">
        <f t="shared" si="24"/>
        <v>SCREEN SPEいわき</v>
      </c>
      <c r="J330" s="31" t="str">
        <f t="shared" si="21"/>
        <v>SCREEN SPEイワキ</v>
      </c>
      <c r="K330" s="26" t="s">
        <v>53</v>
      </c>
      <c r="L330" s="40">
        <v>0.375</v>
      </c>
      <c r="M330" s="40">
        <v>0.3125</v>
      </c>
      <c r="N330" s="32"/>
      <c r="O330" s="33"/>
      <c r="P330" s="26"/>
      <c r="Q330" s="26"/>
      <c r="R330" s="34"/>
      <c r="S330" s="38"/>
      <c r="T330" s="39"/>
      <c r="U330" s="25" t="s">
        <v>55</v>
      </c>
    </row>
    <row r="331" spans="7:21" ht="21.75" customHeight="1" x14ac:dyDescent="0.15">
      <c r="G331" s="51" t="s">
        <v>973</v>
      </c>
      <c r="H33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G331)),
  ROW(),
  ""
)</f>
        <v>331</v>
      </c>
      <c r="I331" s="107" t="str">
        <f t="shared" si="24"/>
        <v>日立製作所(大みか)</v>
      </c>
      <c r="J331" s="31" t="str">
        <f t="shared" si="21"/>
        <v>ヒタチセイサクジョ(オオミカ)</v>
      </c>
      <c r="K331" s="26" t="s">
        <v>619</v>
      </c>
      <c r="L331" s="40"/>
      <c r="M331" s="40">
        <v>0.25</v>
      </c>
      <c r="N331" s="32"/>
      <c r="O331" s="33"/>
      <c r="P331" s="26"/>
      <c r="Q331" s="26"/>
      <c r="R331" s="34"/>
      <c r="S331" s="38"/>
      <c r="T331" s="39"/>
      <c r="U331" s="25" t="s">
        <v>55</v>
      </c>
    </row>
    <row r="332" spans="7:21" ht="21.75" customHeight="1" x14ac:dyDescent="0.15">
      <c r="G332" s="51" t="s">
        <v>995</v>
      </c>
      <c r="H33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G332)),
  ROW(),
  ""
)</f>
        <v>332</v>
      </c>
      <c r="I332" s="107" t="str">
        <f t="shared" si="23"/>
        <v>タニオビス・ジャパン</v>
      </c>
      <c r="J332" s="31" t="str">
        <f t="shared" si="21"/>
        <v>タニオビス・ジャパン</v>
      </c>
      <c r="K332" s="26" t="s">
        <v>996</v>
      </c>
      <c r="L332" s="40" t="s">
        <v>182</v>
      </c>
      <c r="M332" s="40">
        <v>0.20833333333333334</v>
      </c>
      <c r="N332" s="32"/>
      <c r="O332" s="33"/>
      <c r="P332" s="26"/>
      <c r="Q332" s="26"/>
      <c r="R332" s="34"/>
      <c r="S332" s="38"/>
      <c r="T332" s="26"/>
      <c r="U332" s="25" t="s">
        <v>55</v>
      </c>
    </row>
    <row r="333" spans="7:21" ht="21.75" customHeight="1" x14ac:dyDescent="0.15">
      <c r="G333" s="51" t="s">
        <v>1000</v>
      </c>
      <c r="H33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G333)),
  ROW(),
  ""
)</f>
        <v>333</v>
      </c>
      <c r="I333" s="107" t="str">
        <f t="shared" si="23"/>
        <v>エイブルエナジー</v>
      </c>
      <c r="J333" s="31" t="str">
        <f t="shared" si="21"/>
        <v>エイブルエナジー</v>
      </c>
      <c r="K333" s="26" t="s">
        <v>1001</v>
      </c>
      <c r="L333" s="40"/>
      <c r="M333" s="40"/>
      <c r="N333" s="21"/>
      <c r="O333" s="22"/>
      <c r="P333" s="23"/>
      <c r="Q333" s="23"/>
      <c r="R333" s="34"/>
      <c r="S333" s="38"/>
      <c r="T333" s="41"/>
      <c r="U333" s="25" t="s">
        <v>55</v>
      </c>
    </row>
    <row r="334" spans="7:21" ht="21.75" customHeight="1" x14ac:dyDescent="0.15">
      <c r="G334" s="51" t="s">
        <v>1002</v>
      </c>
      <c r="H33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G334)),
  ROW(),
  ""
)</f>
        <v>334</v>
      </c>
      <c r="I334" s="107" t="str">
        <f t="shared" si="23"/>
        <v>ミツエイ9：00</v>
      </c>
      <c r="J334" s="31" t="str">
        <f t="shared" si="21"/>
        <v>ミツエイ9：00</v>
      </c>
      <c r="K334" s="26" t="s">
        <v>640</v>
      </c>
      <c r="L334" s="40">
        <v>0.375</v>
      </c>
      <c r="M334" s="40">
        <v>0.33333333333333331</v>
      </c>
      <c r="N334" s="21"/>
      <c r="O334" s="22"/>
      <c r="P334" s="23"/>
      <c r="Q334" s="23"/>
      <c r="R334" s="34"/>
      <c r="S334" s="38"/>
      <c r="T334" s="41"/>
      <c r="U334" s="25" t="s">
        <v>55</v>
      </c>
    </row>
    <row r="335" spans="7:21" ht="21.75" customHeight="1" x14ac:dyDescent="0.15">
      <c r="G335" s="51" t="s">
        <v>1007</v>
      </c>
      <c r="H33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G335)),
  ROW(),
  ""
)</f>
        <v>335</v>
      </c>
      <c r="I335" s="107" t="str">
        <f t="shared" si="23"/>
        <v>JX金属(電解)</v>
      </c>
      <c r="J335" s="31" t="str">
        <f t="shared" si="21"/>
        <v>JXキンゾク(デンカイ)</v>
      </c>
      <c r="K335" s="26" t="s">
        <v>1008</v>
      </c>
      <c r="L335" s="40"/>
      <c r="M335" s="40"/>
      <c r="N335" s="32"/>
      <c r="O335" s="33"/>
      <c r="P335" s="34"/>
      <c r="Q335" s="27"/>
      <c r="R335" s="34"/>
      <c r="S335" s="27"/>
      <c r="T335" s="27"/>
      <c r="U335" s="25" t="s">
        <v>55</v>
      </c>
    </row>
    <row r="336" spans="7:21" ht="21.75" customHeight="1" x14ac:dyDescent="0.15">
      <c r="G336" s="51" t="s">
        <v>1048</v>
      </c>
      <c r="H33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G336)),
  ROW(),
  ""
)</f>
        <v>336</v>
      </c>
      <c r="I336" s="107" t="str">
        <f t="shared" si="23"/>
        <v>ニッソーファインいわき13：00</v>
      </c>
      <c r="J336" s="31" t="str">
        <f t="shared" si="21"/>
        <v>ニッソーファインイワキ13：00</v>
      </c>
      <c r="K336" s="26" t="s">
        <v>640</v>
      </c>
      <c r="L336" s="40">
        <v>0.54166666666666663</v>
      </c>
      <c r="M336" s="40"/>
      <c r="N336" s="21"/>
      <c r="O336" s="22"/>
      <c r="P336" s="23"/>
      <c r="Q336" s="23"/>
      <c r="R336" s="34"/>
      <c r="S336" s="26"/>
      <c r="T336" s="41"/>
      <c r="U336" s="25" t="s">
        <v>55</v>
      </c>
    </row>
    <row r="337" spans="7:21" ht="21.75" customHeight="1" x14ac:dyDescent="0.15">
      <c r="G337" s="51" t="s">
        <v>1021</v>
      </c>
      <c r="H33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G337)),
  ROW(),
  ""
)</f>
        <v>337</v>
      </c>
      <c r="I337" s="107" t="str">
        <f t="shared" si="23"/>
        <v>いわき市清掃管理事務所</v>
      </c>
      <c r="J337" s="31" t="str">
        <f t="shared" si="21"/>
        <v>イワキシセイソウカンリジムショ</v>
      </c>
      <c r="K337" s="26" t="s">
        <v>1020</v>
      </c>
      <c r="L337" s="40"/>
      <c r="M337" s="40"/>
      <c r="N337" s="21"/>
      <c r="O337" s="22"/>
      <c r="P337" s="23"/>
      <c r="Q337" s="23"/>
      <c r="R337" s="34"/>
      <c r="S337" s="26"/>
      <c r="T337" s="41"/>
      <c r="U337" s="25" t="s">
        <v>55</v>
      </c>
    </row>
    <row r="338" spans="7:21" ht="21.75" customHeight="1" x14ac:dyDescent="0.15">
      <c r="G338" s="51" t="s">
        <v>1071</v>
      </c>
      <c r="H33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G338)),
  ROW(),
  ""
)</f>
        <v>338</v>
      </c>
      <c r="I338" s="107" t="str">
        <f t="shared" si="23"/>
        <v>広野IGCC発電所8:10</v>
      </c>
      <c r="J338" s="31" t="str">
        <f t="shared" si="21"/>
        <v>ヒロノIGCCハツデンショ8:10</v>
      </c>
      <c r="K338" s="26" t="s">
        <v>148</v>
      </c>
      <c r="L338" s="40">
        <v>0.34027777777777779</v>
      </c>
      <c r="M338" s="40">
        <v>0.27083333333333331</v>
      </c>
      <c r="N338" s="32"/>
      <c r="O338" s="33"/>
      <c r="P338" s="26"/>
      <c r="Q338" s="26"/>
      <c r="R338" s="34"/>
      <c r="S338" s="26"/>
      <c r="T338" s="41"/>
      <c r="U338" s="25" t="s">
        <v>1049</v>
      </c>
    </row>
    <row r="339" spans="7:21" ht="21.75" customHeight="1" x14ac:dyDescent="0.15">
      <c r="G339" s="51" t="s">
        <v>1072</v>
      </c>
      <c r="H33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G339)),
  ROW(),
  ""
)</f>
        <v>339</v>
      </c>
      <c r="I339" s="107" t="str">
        <f t="shared" si="23"/>
        <v>荏原製作所(福島)</v>
      </c>
      <c r="J339" s="31" t="str">
        <f t="shared" si="21"/>
        <v>エバラセイサクショ(フクシマ)</v>
      </c>
      <c r="K339" s="26" t="s">
        <v>1073</v>
      </c>
      <c r="L339" s="40">
        <v>0.375</v>
      </c>
      <c r="M339" s="40">
        <v>0.1875</v>
      </c>
      <c r="N339" s="21"/>
      <c r="O339" s="22"/>
      <c r="P339" s="23"/>
      <c r="Q339" s="23"/>
      <c r="R339" s="34"/>
      <c r="S339" s="26"/>
      <c r="T339" s="41"/>
      <c r="U339" s="25" t="s">
        <v>23</v>
      </c>
    </row>
    <row r="340" spans="7:21" ht="21.75" customHeight="1" x14ac:dyDescent="0.15">
      <c r="G340" s="51" t="s">
        <v>1074</v>
      </c>
      <c r="H34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G340)),
  ROW(),
  ""
)</f>
        <v>340</v>
      </c>
      <c r="I340" s="107" t="str">
        <f t="shared" si="23"/>
        <v>ニッソーファイン(磯原)</v>
      </c>
      <c r="J340" s="31" t="str">
        <f t="shared" si="21"/>
        <v>ニッソーファイン(イソハラ)</v>
      </c>
      <c r="K340" s="26" t="s">
        <v>1075</v>
      </c>
      <c r="L340" s="40"/>
      <c r="M340" s="40">
        <v>0.27083333333333331</v>
      </c>
      <c r="N340" s="21"/>
      <c r="O340" s="22"/>
      <c r="P340" s="23"/>
      <c r="Q340" s="23"/>
      <c r="R340" s="34"/>
      <c r="S340" s="26"/>
      <c r="T340" s="41"/>
      <c r="U340" s="25" t="s">
        <v>23</v>
      </c>
    </row>
    <row r="341" spans="7:21" ht="21.75" customHeight="1" x14ac:dyDescent="0.15">
      <c r="G341" s="51" t="s">
        <v>1078</v>
      </c>
      <c r="H34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G341)),
  ROW(),
  ""
)</f>
        <v>341</v>
      </c>
      <c r="I341" s="107" t="str">
        <f t="shared" si="23"/>
        <v>王子マテリア㈱（宇都宮）</v>
      </c>
      <c r="J341" s="31" t="str">
        <f t="shared" si="21"/>
        <v>オウジマテリア㈱（ウツノミヤ）</v>
      </c>
      <c r="K341" s="26" t="s">
        <v>1079</v>
      </c>
      <c r="L341" s="40"/>
      <c r="M341" s="40">
        <v>0.20833333333333334</v>
      </c>
      <c r="N341" s="21"/>
      <c r="O341" s="22"/>
      <c r="P341" s="23"/>
      <c r="Q341" s="23"/>
      <c r="R341" s="34" t="s">
        <v>1143</v>
      </c>
      <c r="S341" s="26"/>
      <c r="T341" s="41"/>
      <c r="U341" s="25" t="s">
        <v>23</v>
      </c>
    </row>
    <row r="342" spans="7:21" ht="21.75" customHeight="1" x14ac:dyDescent="0.15">
      <c r="G342" s="51" t="s">
        <v>1081</v>
      </c>
      <c r="H34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G342)),
  ROW(),
  ""
)</f>
        <v>342</v>
      </c>
      <c r="I342" s="107" t="str">
        <f t="shared" si="23"/>
        <v>住友ゴム工業㈱白河</v>
      </c>
      <c r="J342" s="31" t="str">
        <f t="shared" si="21"/>
        <v>スミトモゴムコウギョウ㈱シラカワ</v>
      </c>
      <c r="K342" s="26" t="s">
        <v>70</v>
      </c>
      <c r="L342" s="40">
        <v>0.33333333333333331</v>
      </c>
      <c r="M342" s="40">
        <v>0.22916666666666666</v>
      </c>
      <c r="N342" s="21"/>
      <c r="O342" s="22"/>
      <c r="P342" s="23"/>
      <c r="Q342" s="23"/>
      <c r="R342" s="34"/>
      <c r="S342" s="26"/>
      <c r="T342" s="41"/>
      <c r="U342" s="25" t="s">
        <v>23</v>
      </c>
    </row>
    <row r="343" spans="7:21" ht="21.75" customHeight="1" x14ac:dyDescent="0.15">
      <c r="G343" s="51"/>
      <c r="H34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G343)),
  ROW(),
  ""
)</f>
        <v>343</v>
      </c>
      <c r="I343" s="107">
        <f t="shared" si="23"/>
        <v>0</v>
      </c>
      <c r="J343" s="31" t="str">
        <f t="shared" si="21"/>
        <v/>
      </c>
      <c r="K343" s="26"/>
      <c r="L343" s="40"/>
      <c r="M343" s="40"/>
      <c r="N343" s="21"/>
      <c r="O343" s="22"/>
      <c r="P343" s="81"/>
      <c r="Q343" s="23"/>
      <c r="R343" s="34"/>
      <c r="S343" s="26"/>
      <c r="T343" s="41"/>
      <c r="U343" s="25" t="s">
        <v>23</v>
      </c>
    </row>
    <row r="344" spans="7:21" ht="21.75" customHeight="1" x14ac:dyDescent="0.15">
      <c r="G344" s="51"/>
      <c r="H34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G344)),
  ROW(),
  ""
)</f>
        <v>344</v>
      </c>
      <c r="I344" s="107">
        <f t="shared" si="23"/>
        <v>0</v>
      </c>
      <c r="J344" s="31" t="str">
        <f t="shared" si="21"/>
        <v/>
      </c>
      <c r="K344" s="26"/>
      <c r="L344" s="40"/>
      <c r="M344" s="40"/>
      <c r="N344" s="21"/>
      <c r="O344" s="22"/>
      <c r="P344" s="23"/>
      <c r="Q344" s="23"/>
      <c r="R344" s="34"/>
      <c r="S344" s="26"/>
      <c r="T344" s="41"/>
      <c r="U344" s="25" t="s">
        <v>23</v>
      </c>
    </row>
    <row r="345" spans="7:21" ht="21.75" customHeight="1" x14ac:dyDescent="0.15">
      <c r="G345" s="51"/>
      <c r="H34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G345)),
  ROW(),
  ""
)</f>
        <v>345</v>
      </c>
      <c r="I345" s="107">
        <f t="shared" si="23"/>
        <v>0</v>
      </c>
      <c r="J345" s="31" t="str">
        <f t="shared" si="21"/>
        <v/>
      </c>
      <c r="K345" s="26"/>
      <c r="L345" s="40"/>
      <c r="M345" s="40"/>
      <c r="N345" s="32"/>
      <c r="O345" s="33"/>
      <c r="P345" s="26"/>
      <c r="Q345" s="26"/>
      <c r="R345" s="34"/>
      <c r="S345" s="38"/>
      <c r="T345" s="26"/>
      <c r="U345" s="25" t="s">
        <v>23</v>
      </c>
    </row>
    <row r="346" spans="7:21" ht="21.75" customHeight="1" x14ac:dyDescent="0.15">
      <c r="G346" s="51"/>
      <c r="H34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G346)),
  ROW(),
  ""
)</f>
        <v>346</v>
      </c>
      <c r="I346" s="107">
        <f t="shared" si="23"/>
        <v>0</v>
      </c>
      <c r="J346" s="31" t="str">
        <f t="shared" si="21"/>
        <v/>
      </c>
      <c r="K346" s="26"/>
      <c r="L346" s="40"/>
      <c r="M346" s="40"/>
      <c r="N346" s="32"/>
      <c r="O346" s="33"/>
      <c r="P346" s="26"/>
      <c r="Q346" s="26"/>
      <c r="R346" s="34"/>
      <c r="S346" s="38"/>
      <c r="T346" s="26"/>
      <c r="U346" s="25" t="s">
        <v>23</v>
      </c>
    </row>
    <row r="347" spans="7:21" ht="21.75" customHeight="1" x14ac:dyDescent="0.15">
      <c r="G347" s="51"/>
      <c r="H34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G347)),
  ROW(),
  ""
)</f>
        <v>347</v>
      </c>
      <c r="I347" s="107">
        <f t="shared" si="23"/>
        <v>0</v>
      </c>
      <c r="J347" s="31" t="str">
        <f t="shared" si="21"/>
        <v/>
      </c>
      <c r="K347" s="26"/>
      <c r="L347" s="40"/>
      <c r="M347" s="40"/>
      <c r="N347" s="21"/>
      <c r="O347" s="22"/>
      <c r="P347" s="23"/>
      <c r="Q347" s="23"/>
      <c r="R347" s="34"/>
      <c r="S347" s="38"/>
      <c r="T347" s="41"/>
      <c r="U347" s="25" t="s">
        <v>23</v>
      </c>
    </row>
    <row r="348" spans="7:21" ht="21.75" customHeight="1" x14ac:dyDescent="0.15">
      <c r="G348" s="51"/>
      <c r="H34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G348)),
  ROW(),
  ""
)</f>
        <v>348</v>
      </c>
      <c r="I348" s="107">
        <f t="shared" si="23"/>
        <v>0</v>
      </c>
      <c r="J348" s="31" t="str">
        <f t="shared" ref="J348:J373" si="26">PHONETIC(G348)</f>
        <v/>
      </c>
      <c r="K348" s="26"/>
      <c r="L348" s="40"/>
      <c r="M348" s="40"/>
      <c r="N348" s="21"/>
      <c r="O348" s="22"/>
      <c r="P348" s="23"/>
      <c r="Q348" s="23"/>
      <c r="R348" s="34"/>
      <c r="S348" s="38"/>
      <c r="T348" s="41"/>
      <c r="U348" s="25" t="s">
        <v>23</v>
      </c>
    </row>
    <row r="349" spans="7:21" ht="21.75" customHeight="1" x14ac:dyDescent="0.15">
      <c r="G349" s="51"/>
      <c r="H34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G349)),
  ROW(),
  ""
)</f>
        <v>349</v>
      </c>
      <c r="I349" s="107">
        <f t="shared" si="23"/>
        <v>0</v>
      </c>
      <c r="J349" s="31" t="str">
        <f t="shared" si="26"/>
        <v/>
      </c>
      <c r="K349" s="26"/>
      <c r="L349" s="40"/>
      <c r="M349" s="40"/>
      <c r="N349" s="21"/>
      <c r="O349" s="22"/>
      <c r="P349" s="23"/>
      <c r="Q349" s="23"/>
      <c r="R349" s="34"/>
      <c r="S349" s="38"/>
      <c r="T349" s="41"/>
      <c r="U349" s="25" t="s">
        <v>23</v>
      </c>
    </row>
    <row r="350" spans="7:21" ht="21.75" customHeight="1" x14ac:dyDescent="0.15">
      <c r="G350" s="51"/>
      <c r="H35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G350)),
  ROW(),
  ""
)</f>
        <v>350</v>
      </c>
      <c r="I350" s="107">
        <f t="shared" si="23"/>
        <v>0</v>
      </c>
      <c r="J350" s="31" t="str">
        <f t="shared" si="26"/>
        <v/>
      </c>
      <c r="K350" s="26"/>
      <c r="L350" s="40"/>
      <c r="M350" s="40"/>
      <c r="N350" s="21"/>
      <c r="O350" s="22"/>
      <c r="P350" s="23"/>
      <c r="Q350" s="23"/>
      <c r="R350" s="34"/>
      <c r="S350" s="38"/>
      <c r="T350" s="41"/>
      <c r="U350" s="25" t="s">
        <v>23</v>
      </c>
    </row>
    <row r="351" spans="7:21" ht="21.75" customHeight="1" x14ac:dyDescent="0.15">
      <c r="G351" s="51"/>
      <c r="H35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G351)),
  ROW(),
  ""
)</f>
        <v>351</v>
      </c>
      <c r="I351" s="107">
        <f t="shared" si="23"/>
        <v>0</v>
      </c>
      <c r="J351" s="31" t="str">
        <f t="shared" si="26"/>
        <v/>
      </c>
      <c r="K351" s="26"/>
      <c r="L351" s="40"/>
      <c r="M351" s="40"/>
      <c r="N351" s="21"/>
      <c r="O351" s="22"/>
      <c r="P351" s="23"/>
      <c r="Q351" s="23"/>
      <c r="R351" s="34"/>
      <c r="S351" s="38"/>
      <c r="T351" s="41"/>
      <c r="U351" s="25" t="s">
        <v>23</v>
      </c>
    </row>
    <row r="352" spans="7:21" ht="21.75" customHeight="1" x14ac:dyDescent="0.15">
      <c r="G352" s="51"/>
      <c r="H35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G352)),
  ROW(),
  ""
)</f>
        <v>352</v>
      </c>
      <c r="I352" s="107">
        <f t="shared" si="23"/>
        <v>0</v>
      </c>
      <c r="J352" s="31" t="str">
        <f t="shared" si="26"/>
        <v/>
      </c>
      <c r="K352" s="26"/>
      <c r="L352" s="40"/>
      <c r="M352" s="40"/>
      <c r="N352" s="21"/>
      <c r="O352" s="22"/>
      <c r="P352" s="23"/>
      <c r="Q352" s="23"/>
      <c r="R352" s="34"/>
      <c r="S352" s="38"/>
      <c r="T352" s="41"/>
      <c r="U352" s="25" t="s">
        <v>23</v>
      </c>
    </row>
    <row r="353" spans="7:21" ht="21.75" customHeight="1" x14ac:dyDescent="0.15">
      <c r="G353" s="51"/>
      <c r="H35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G353)),
  ROW(),
  ""
)</f>
        <v>353</v>
      </c>
      <c r="I353" s="107">
        <f t="shared" si="23"/>
        <v>0</v>
      </c>
      <c r="J353" s="31" t="str">
        <f t="shared" si="26"/>
        <v/>
      </c>
      <c r="K353" s="26"/>
      <c r="L353" s="40"/>
      <c r="M353" s="40"/>
      <c r="N353" s="78"/>
      <c r="O353" s="79"/>
      <c r="P353" s="26"/>
      <c r="Q353" s="26"/>
      <c r="R353" s="34"/>
      <c r="S353" s="38"/>
      <c r="T353" s="41"/>
      <c r="U353" s="25" t="s">
        <v>23</v>
      </c>
    </row>
    <row r="354" spans="7:21" ht="21.75" customHeight="1" x14ac:dyDescent="0.15">
      <c r="G354" s="51"/>
      <c r="H35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G354)),
  ROW(),
  ""
)</f>
        <v>354</v>
      </c>
      <c r="I354" s="107">
        <f t="shared" si="23"/>
        <v>0</v>
      </c>
      <c r="J354" s="31" t="str">
        <f t="shared" si="26"/>
        <v/>
      </c>
      <c r="K354" s="26"/>
      <c r="L354" s="40"/>
      <c r="M354" s="40"/>
      <c r="N354" s="21"/>
      <c r="O354" s="22"/>
      <c r="P354" s="23"/>
      <c r="Q354" s="23"/>
      <c r="R354" s="34"/>
      <c r="S354" s="38"/>
      <c r="T354" s="41"/>
      <c r="U354" s="25" t="s">
        <v>23</v>
      </c>
    </row>
    <row r="355" spans="7:21" ht="21.75" customHeight="1" x14ac:dyDescent="0.15">
      <c r="G355" s="51"/>
      <c r="H35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G355)),
  ROW(),
  ""
)</f>
        <v>355</v>
      </c>
      <c r="I355" s="107">
        <f t="shared" si="23"/>
        <v>0</v>
      </c>
      <c r="J355" s="31" t="str">
        <f t="shared" si="26"/>
        <v/>
      </c>
      <c r="K355" s="26"/>
      <c r="L355" s="40"/>
      <c r="M355" s="40"/>
      <c r="N355" s="21"/>
      <c r="O355" s="22"/>
      <c r="P355" s="23"/>
      <c r="Q355" s="23"/>
      <c r="R355" s="34"/>
      <c r="S355" s="38"/>
      <c r="T355" s="41"/>
      <c r="U355" s="25" t="s">
        <v>23</v>
      </c>
    </row>
    <row r="356" spans="7:21" ht="21.75" customHeight="1" x14ac:dyDescent="0.15">
      <c r="G356" s="51"/>
      <c r="H35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G356)),
  ROW(),
  ""
)</f>
        <v>356</v>
      </c>
      <c r="I356" s="107">
        <f t="shared" si="23"/>
        <v>0</v>
      </c>
      <c r="J356" s="31" t="str">
        <f t="shared" si="26"/>
        <v/>
      </c>
      <c r="K356" s="26"/>
      <c r="L356" s="40"/>
      <c r="M356" s="40"/>
      <c r="N356" s="21"/>
      <c r="O356" s="22"/>
      <c r="P356" s="23"/>
      <c r="Q356" s="23"/>
      <c r="R356" s="34"/>
      <c r="S356" s="38"/>
      <c r="T356" s="41"/>
      <c r="U356" s="25" t="s">
        <v>23</v>
      </c>
    </row>
    <row r="357" spans="7:21" ht="21.75" customHeight="1" x14ac:dyDescent="0.15">
      <c r="G357" s="51"/>
      <c r="H35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G357)),
  ROW(),
  ""
)</f>
        <v>357</v>
      </c>
      <c r="I357" s="107">
        <f t="shared" si="23"/>
        <v>0</v>
      </c>
      <c r="J357" s="31" t="str">
        <f t="shared" si="26"/>
        <v/>
      </c>
      <c r="K357" s="26"/>
      <c r="L357" s="40"/>
      <c r="M357" s="40"/>
      <c r="N357" s="21"/>
      <c r="O357" s="22"/>
      <c r="P357" s="23"/>
      <c r="Q357" s="23"/>
      <c r="R357" s="34"/>
      <c r="S357" s="38"/>
      <c r="T357" s="41"/>
      <c r="U357" s="25" t="s">
        <v>23</v>
      </c>
    </row>
    <row r="358" spans="7:21" ht="21.75" customHeight="1" x14ac:dyDescent="0.15">
      <c r="G358" s="51"/>
      <c r="H35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G358)),
  ROW(),
  ""
)</f>
        <v>358</v>
      </c>
      <c r="I358" s="107">
        <f t="shared" si="23"/>
        <v>0</v>
      </c>
      <c r="J358" s="31" t="str">
        <f t="shared" si="26"/>
        <v/>
      </c>
      <c r="K358" s="26"/>
      <c r="L358" s="40"/>
      <c r="M358" s="40"/>
      <c r="N358" s="21"/>
      <c r="O358" s="22"/>
      <c r="P358" s="23"/>
      <c r="Q358" s="23"/>
      <c r="R358" s="34"/>
      <c r="S358" s="38"/>
      <c r="T358" s="41"/>
      <c r="U358" s="25"/>
    </row>
    <row r="359" spans="7:21" ht="21.75" customHeight="1" x14ac:dyDescent="0.15">
      <c r="G359" s="51"/>
      <c r="H35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G359)),
  ROW(),
  ""
)</f>
        <v>359</v>
      </c>
      <c r="I359" s="107">
        <f t="shared" si="23"/>
        <v>0</v>
      </c>
      <c r="J359" s="31" t="str">
        <f t="shared" si="26"/>
        <v/>
      </c>
      <c r="K359" s="26"/>
      <c r="L359" s="40"/>
      <c r="M359" s="40"/>
      <c r="N359" s="78"/>
      <c r="O359" s="79"/>
      <c r="P359" s="26"/>
      <c r="Q359" s="26"/>
      <c r="R359" s="34"/>
      <c r="S359" s="38"/>
      <c r="T359" s="26"/>
      <c r="U359" s="25"/>
    </row>
    <row r="360" spans="7:21" ht="21.75" customHeight="1" x14ac:dyDescent="0.15">
      <c r="G360" s="51"/>
      <c r="H36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G360)),
  ROW(),
  ""
)</f>
        <v>360</v>
      </c>
      <c r="I360" s="107">
        <f t="shared" si="23"/>
        <v>0</v>
      </c>
      <c r="J360" s="31" t="str">
        <f t="shared" si="26"/>
        <v/>
      </c>
      <c r="K360" s="82"/>
      <c r="L360" s="40"/>
      <c r="M360" s="40"/>
      <c r="N360" s="78"/>
      <c r="O360" s="79"/>
      <c r="P360" s="26"/>
      <c r="Q360" s="26"/>
      <c r="R360" s="34"/>
      <c r="S360" s="38"/>
      <c r="T360" s="26"/>
      <c r="U360" s="25"/>
    </row>
    <row r="361" spans="7:21" ht="21.75" customHeight="1" x14ac:dyDescent="0.15">
      <c r="G361" s="51"/>
      <c r="H36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G361)),
  ROW(),
  ""
)</f>
        <v>361</v>
      </c>
      <c r="I361" s="107">
        <f t="shared" si="23"/>
        <v>0</v>
      </c>
      <c r="J361" s="31" t="str">
        <f t="shared" si="26"/>
        <v/>
      </c>
      <c r="K361" s="82"/>
      <c r="L361" s="40"/>
      <c r="M361" s="40"/>
      <c r="N361" s="78"/>
      <c r="O361" s="79"/>
      <c r="P361" s="26"/>
      <c r="Q361" s="26"/>
      <c r="R361" s="34"/>
      <c r="S361" s="38"/>
      <c r="T361" s="26"/>
      <c r="U361" s="25"/>
    </row>
    <row r="362" spans="7:21" ht="21.75" customHeight="1" x14ac:dyDescent="0.15">
      <c r="G362" s="51"/>
      <c r="H36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G362)),
  ROW(),
  ""
)</f>
        <v>362</v>
      </c>
      <c r="I362" s="107">
        <f t="shared" si="23"/>
        <v>0</v>
      </c>
      <c r="J362" s="31" t="str">
        <f t="shared" si="26"/>
        <v/>
      </c>
      <c r="K362" s="82"/>
      <c r="L362" s="40"/>
      <c r="M362" s="40"/>
      <c r="N362" s="78"/>
      <c r="O362" s="79"/>
      <c r="P362" s="26"/>
      <c r="Q362" s="26"/>
      <c r="R362" s="34"/>
      <c r="S362" s="38"/>
      <c r="T362" s="26"/>
      <c r="U362" s="25"/>
    </row>
    <row r="363" spans="7:21" ht="21.75" customHeight="1" x14ac:dyDescent="0.15">
      <c r="G363" s="51"/>
      <c r="H36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G363)),
  ROW(),
  ""
)</f>
        <v>363</v>
      </c>
      <c r="I363" s="107">
        <f t="shared" si="23"/>
        <v>0</v>
      </c>
      <c r="J363" s="31" t="str">
        <f t="shared" si="26"/>
        <v/>
      </c>
      <c r="K363" s="82"/>
      <c r="L363" s="40"/>
      <c r="M363" s="40"/>
      <c r="N363" s="78"/>
      <c r="O363" s="79"/>
      <c r="P363" s="26"/>
      <c r="Q363" s="26"/>
      <c r="R363" s="34"/>
      <c r="S363" s="38"/>
      <c r="T363" s="26"/>
      <c r="U363" s="25"/>
    </row>
    <row r="364" spans="7:21" ht="21.75" customHeight="1" x14ac:dyDescent="0.15">
      <c r="G364" s="51"/>
      <c r="H36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G364)),
  ROW(),
  ""
)</f>
        <v>364</v>
      </c>
      <c r="I364" s="107">
        <f t="shared" si="23"/>
        <v>0</v>
      </c>
      <c r="J364" s="31" t="str">
        <f t="shared" si="26"/>
        <v/>
      </c>
      <c r="K364" s="26"/>
      <c r="L364" s="40"/>
      <c r="M364" s="40"/>
      <c r="N364" s="21"/>
      <c r="O364" s="22"/>
      <c r="P364" s="23"/>
      <c r="Q364" s="23"/>
      <c r="R364" s="34"/>
      <c r="S364" s="38"/>
      <c r="T364" s="26"/>
      <c r="U364" s="25"/>
    </row>
    <row r="365" spans="7:21" ht="21.75" customHeight="1" x14ac:dyDescent="0.15">
      <c r="G365" s="51"/>
      <c r="H36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G365)),
  ROW(),
  ""
)</f>
        <v>365</v>
      </c>
      <c r="I365" s="107">
        <f t="shared" si="23"/>
        <v>0</v>
      </c>
      <c r="J365" s="31" t="str">
        <f t="shared" si="26"/>
        <v/>
      </c>
      <c r="K365" s="26"/>
      <c r="L365" s="40"/>
      <c r="M365" s="40"/>
      <c r="N365" s="78"/>
      <c r="O365" s="79"/>
      <c r="P365" s="26"/>
      <c r="Q365" s="26"/>
      <c r="R365" s="34"/>
      <c r="S365" s="38"/>
      <c r="T365" s="26"/>
      <c r="U365" s="25"/>
    </row>
    <row r="366" spans="7:21" ht="21.75" customHeight="1" x14ac:dyDescent="0.15">
      <c r="G366" s="51"/>
      <c r="H36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G366)),
  ROW(),
  ""
)</f>
        <v>366</v>
      </c>
      <c r="I366" s="107">
        <f t="shared" si="23"/>
        <v>0</v>
      </c>
      <c r="J366" s="31" t="str">
        <f t="shared" si="26"/>
        <v/>
      </c>
      <c r="K366" s="34"/>
      <c r="L366" s="40"/>
      <c r="M366" s="40"/>
      <c r="N366" s="21"/>
      <c r="O366" s="22"/>
      <c r="P366" s="23"/>
      <c r="Q366" s="23"/>
      <c r="R366" s="34"/>
      <c r="S366" s="38"/>
      <c r="T366" s="41"/>
      <c r="U366" s="25"/>
    </row>
    <row r="367" spans="7:21" ht="21.75" customHeight="1" x14ac:dyDescent="0.15">
      <c r="G367" s="51"/>
      <c r="H36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G367)),
  ROW(),
  ""
)</f>
        <v>367</v>
      </c>
      <c r="I367" s="107">
        <f t="shared" si="23"/>
        <v>0</v>
      </c>
      <c r="J367" s="31" t="str">
        <f t="shared" si="26"/>
        <v/>
      </c>
      <c r="K367" s="34"/>
      <c r="L367" s="40"/>
      <c r="M367" s="40"/>
      <c r="N367" s="21"/>
      <c r="O367" s="22"/>
      <c r="P367" s="23"/>
      <c r="Q367" s="23"/>
      <c r="R367" s="34"/>
      <c r="S367" s="38"/>
      <c r="T367" s="41"/>
      <c r="U367" s="25"/>
    </row>
    <row r="368" spans="7:21" ht="21.75" customHeight="1" x14ac:dyDescent="0.15">
      <c r="G368" s="51"/>
      <c r="H36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G368)),
  ROW(),
  ""
)</f>
        <v>368</v>
      </c>
      <c r="I368" s="107">
        <f t="shared" si="23"/>
        <v>0</v>
      </c>
      <c r="J368" s="31" t="str">
        <f t="shared" si="26"/>
        <v/>
      </c>
      <c r="K368" s="34"/>
      <c r="L368" s="40"/>
      <c r="M368" s="40"/>
      <c r="N368" s="21"/>
      <c r="O368" s="22"/>
      <c r="P368" s="23"/>
      <c r="Q368" s="23"/>
      <c r="R368" s="34"/>
      <c r="S368" s="38"/>
      <c r="T368" s="41"/>
      <c r="U368" s="25"/>
    </row>
    <row r="369" spans="7:21" ht="21.75" customHeight="1" x14ac:dyDescent="0.15">
      <c r="G369" s="80"/>
      <c r="H36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G369)),
  ROW(),
  ""
)</f>
        <v>369</v>
      </c>
      <c r="I369" s="107">
        <f t="shared" si="23"/>
        <v>0</v>
      </c>
      <c r="J369" s="31" t="str">
        <f t="shared" si="26"/>
        <v/>
      </c>
      <c r="K369" s="26"/>
      <c r="L369" s="40"/>
      <c r="M369" s="21"/>
      <c r="N369" s="21"/>
      <c r="O369" s="22"/>
      <c r="P369" s="23"/>
      <c r="Q369" s="23"/>
      <c r="R369" s="34"/>
      <c r="S369" s="38"/>
      <c r="T369" s="41"/>
      <c r="U369" s="25"/>
    </row>
    <row r="370" spans="7:21" ht="21.75" customHeight="1" x14ac:dyDescent="0.15">
      <c r="G370" s="80"/>
      <c r="H37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G370)),
  ROW(),
  ""
)</f>
        <v>370</v>
      </c>
      <c r="I370" s="107">
        <f t="shared" si="23"/>
        <v>0</v>
      </c>
      <c r="J370" s="31" t="str">
        <f t="shared" si="26"/>
        <v/>
      </c>
      <c r="K370" s="26"/>
      <c r="L370" s="40"/>
      <c r="M370" s="40"/>
      <c r="N370" s="21"/>
      <c r="O370" s="22"/>
      <c r="P370" s="23"/>
      <c r="Q370" s="23"/>
      <c r="R370" s="34"/>
      <c r="S370" s="38"/>
      <c r="T370" s="41"/>
      <c r="U370" s="25"/>
    </row>
    <row r="371" spans="7:21" ht="21.75" customHeight="1" x14ac:dyDescent="0.15">
      <c r="G371" s="80"/>
      <c r="H37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G371)),
  ROW(),
  ""
)</f>
        <v>371</v>
      </c>
      <c r="I371" s="107">
        <f t="shared" si="23"/>
        <v>0</v>
      </c>
      <c r="J371" s="31" t="str">
        <f t="shared" si="26"/>
        <v/>
      </c>
      <c r="K371" s="26"/>
      <c r="L371" s="40"/>
      <c r="M371" s="21"/>
      <c r="N371" s="32"/>
      <c r="O371" s="33"/>
      <c r="P371" s="34"/>
      <c r="Q371" s="34"/>
      <c r="R371" s="34"/>
      <c r="S371" s="38"/>
      <c r="T371" s="41"/>
      <c r="U371" s="25"/>
    </row>
    <row r="372" spans="7:21" ht="21.75" customHeight="1" x14ac:dyDescent="0.15">
      <c r="G372" s="80"/>
      <c r="H37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G372)),
  ROW(),
  ""
)</f>
        <v>372</v>
      </c>
      <c r="I372" s="107">
        <f t="shared" si="23"/>
        <v>0</v>
      </c>
      <c r="J372" s="31" t="str">
        <f t="shared" si="26"/>
        <v/>
      </c>
      <c r="K372" s="26"/>
      <c r="L372" s="40"/>
      <c r="M372" s="21"/>
      <c r="N372" s="32"/>
      <c r="O372" s="33"/>
      <c r="P372" s="34"/>
      <c r="Q372" s="34"/>
      <c r="R372" s="34"/>
      <c r="S372" s="38"/>
      <c r="T372" s="26"/>
      <c r="U372" s="25"/>
    </row>
    <row r="373" spans="7:21" ht="21.75" customHeight="1" x14ac:dyDescent="0.15">
      <c r="G373" s="80"/>
      <c r="H37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G373)),
  ROW(),
  ""
)</f>
        <v>373</v>
      </c>
      <c r="I373" s="107">
        <f t="shared" si="23"/>
        <v>0</v>
      </c>
      <c r="J373" s="31" t="str">
        <f t="shared" si="26"/>
        <v/>
      </c>
      <c r="K373" s="26"/>
      <c r="L373" s="40"/>
      <c r="M373" s="21"/>
      <c r="N373" s="32"/>
      <c r="O373" s="33"/>
      <c r="P373" s="34"/>
      <c r="Q373" s="34"/>
      <c r="R373" s="34"/>
      <c r="S373" s="38"/>
      <c r="T373" s="26"/>
      <c r="U373" s="25"/>
    </row>
    <row r="374" spans="7:21" ht="21.75" customHeight="1" x14ac:dyDescent="0.15">
      <c r="G374" s="80"/>
      <c r="H37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G374)),
  ROW(),
  ""
)</f>
        <v>374</v>
      </c>
      <c r="I374" s="107">
        <f t="shared" si="23"/>
        <v>0</v>
      </c>
      <c r="J374" s="31" t="str">
        <f t="shared" ref="J374:J391" si="27">PHONETIC(G374)</f>
        <v/>
      </c>
      <c r="K374" s="26"/>
      <c r="L374" s="40"/>
      <c r="M374" s="21"/>
      <c r="N374" s="32"/>
      <c r="O374" s="33"/>
      <c r="P374" s="34"/>
      <c r="Q374" s="34"/>
      <c r="R374" s="34"/>
      <c r="S374" s="38"/>
      <c r="T374" s="26"/>
      <c r="U374" s="25"/>
    </row>
    <row r="375" spans="7:21" ht="21.75" customHeight="1" x14ac:dyDescent="0.15">
      <c r="G375" s="80"/>
      <c r="H37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G375)),
  ROW(),
  ""
)</f>
        <v>375</v>
      </c>
      <c r="I375" s="107">
        <f t="shared" si="23"/>
        <v>0</v>
      </c>
      <c r="J375" s="31" t="str">
        <f t="shared" si="27"/>
        <v/>
      </c>
      <c r="K375" s="26"/>
      <c r="L375" s="20"/>
      <c r="M375" s="20"/>
      <c r="N375" s="32"/>
      <c r="O375" s="33"/>
      <c r="P375" s="34"/>
      <c r="Q375" s="34"/>
      <c r="R375" s="34"/>
      <c r="S375" s="38"/>
      <c r="T375" s="26"/>
      <c r="U375" s="25"/>
    </row>
    <row r="376" spans="7:21" ht="21.75" customHeight="1" x14ac:dyDescent="0.15">
      <c r="G376" s="80"/>
      <c r="H37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G376)),
  ROW(),
  ""
)</f>
        <v>376</v>
      </c>
      <c r="I376" s="107">
        <f t="shared" si="23"/>
        <v>0</v>
      </c>
      <c r="J376" s="31" t="str">
        <f t="shared" si="27"/>
        <v/>
      </c>
      <c r="K376" s="26"/>
      <c r="L376" s="126"/>
      <c r="M376" s="126"/>
      <c r="N376" s="34"/>
      <c r="O376" s="26"/>
      <c r="P376" s="26"/>
      <c r="Q376" s="26"/>
      <c r="R376" s="26"/>
      <c r="S376" s="26"/>
      <c r="T376" s="34"/>
      <c r="U376" s="34"/>
    </row>
    <row r="377" spans="7:21" ht="21.75" customHeight="1" x14ac:dyDescent="0.15">
      <c r="G377" s="80"/>
      <c r="H37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G377)),
  ROW(),
  ""
)</f>
        <v>377</v>
      </c>
      <c r="I377" s="107">
        <f t="shared" si="23"/>
        <v>0</v>
      </c>
      <c r="J377" s="31" t="str">
        <f t="shared" si="27"/>
        <v/>
      </c>
      <c r="K377" s="26"/>
      <c r="L377" s="20"/>
      <c r="M377" s="20"/>
      <c r="N377" s="21"/>
      <c r="O377" s="22"/>
      <c r="P377" s="23"/>
      <c r="Q377" s="23"/>
      <c r="R377" s="213"/>
      <c r="S377" s="24"/>
      <c r="T377" s="25"/>
      <c r="U377" s="25"/>
    </row>
    <row r="378" spans="7:21" ht="21.75" customHeight="1" x14ac:dyDescent="0.15">
      <c r="G378" s="80"/>
      <c r="H37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G378)),
  ROW(),
  ""
)</f>
        <v>378</v>
      </c>
      <c r="I378" s="107">
        <f t="shared" si="23"/>
        <v>0</v>
      </c>
      <c r="J378" s="31" t="str">
        <f t="shared" si="27"/>
        <v/>
      </c>
      <c r="K378" s="26"/>
      <c r="L378" s="20" t="s">
        <v>54</v>
      </c>
      <c r="M378" s="21"/>
      <c r="N378" s="32"/>
      <c r="O378" s="33"/>
      <c r="P378" s="86"/>
      <c r="Q378" s="86"/>
      <c r="R378" s="213" t="s">
        <v>54</v>
      </c>
      <c r="S378" s="24"/>
      <c r="T378" s="87"/>
      <c r="U378" s="87"/>
    </row>
    <row r="379" spans="7:21" ht="21.75" customHeight="1" x14ac:dyDescent="0.15">
      <c r="G379" s="80"/>
      <c r="H37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G379)),
  ROW(),
  ""
)</f>
        <v>379</v>
      </c>
      <c r="I379" s="107">
        <f t="shared" si="23"/>
        <v>0</v>
      </c>
      <c r="J379" s="31" t="str">
        <f t="shared" si="27"/>
        <v/>
      </c>
      <c r="K379" s="26"/>
      <c r="L379" s="20" t="s">
        <v>54</v>
      </c>
      <c r="M379" s="21"/>
      <c r="N379" s="32"/>
      <c r="O379" s="33"/>
      <c r="P379" s="86"/>
      <c r="Q379" s="86"/>
      <c r="R379" s="213" t="s">
        <v>54</v>
      </c>
      <c r="S379" s="24"/>
      <c r="T379" s="87"/>
      <c r="U379" s="87"/>
    </row>
    <row r="380" spans="7:21" ht="21.75" customHeight="1" x14ac:dyDescent="0.15">
      <c r="G380" s="80"/>
      <c r="H38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G380)),
  ROW(),
  ""
)</f>
        <v>380</v>
      </c>
      <c r="I380" s="107">
        <f t="shared" si="23"/>
        <v>0</v>
      </c>
      <c r="J380" s="31" t="str">
        <f t="shared" si="27"/>
        <v/>
      </c>
      <c r="K380" s="26"/>
      <c r="L380" s="20" t="s">
        <v>54</v>
      </c>
      <c r="M380" s="20"/>
      <c r="N380" s="21"/>
      <c r="O380" s="22"/>
      <c r="P380" s="23"/>
      <c r="Q380" s="23"/>
      <c r="R380" s="213" t="s">
        <v>54</v>
      </c>
      <c r="S380" s="24"/>
      <c r="T380" s="25"/>
      <c r="U380" s="25"/>
    </row>
    <row r="381" spans="7:21" ht="21.75" customHeight="1" x14ac:dyDescent="0.15">
      <c r="G381" s="80"/>
      <c r="H38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G381)),
  ROW(),
  ""
)</f>
        <v>381</v>
      </c>
      <c r="I381" s="107">
        <f t="shared" si="23"/>
        <v>0</v>
      </c>
      <c r="J381" s="31" t="str">
        <f t="shared" si="27"/>
        <v/>
      </c>
      <c r="K381" s="26"/>
      <c r="L381" s="20" t="s">
        <v>54</v>
      </c>
      <c r="M381" s="21"/>
      <c r="N381" s="32"/>
      <c r="O381" s="33"/>
      <c r="P381" s="18"/>
      <c r="Q381" s="18"/>
      <c r="R381" s="213" t="s">
        <v>54</v>
      </c>
      <c r="S381" s="24"/>
      <c r="T381" s="87"/>
      <c r="U381" s="87"/>
    </row>
    <row r="382" spans="7:21" ht="21.75" customHeight="1" x14ac:dyDescent="0.15">
      <c r="G382" s="80"/>
      <c r="H38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G382)),
  ROW(),
  ""
)</f>
        <v>382</v>
      </c>
      <c r="I382" s="107">
        <f t="shared" si="23"/>
        <v>0</v>
      </c>
      <c r="J382" s="31" t="str">
        <f t="shared" si="27"/>
        <v/>
      </c>
      <c r="K382" s="26"/>
      <c r="L382" s="20" t="s">
        <v>54</v>
      </c>
      <c r="M382" s="20"/>
      <c r="N382" s="21"/>
      <c r="O382" s="22"/>
      <c r="P382" s="23"/>
      <c r="Q382" s="23"/>
      <c r="R382" s="213" t="s">
        <v>54</v>
      </c>
      <c r="S382" s="24"/>
      <c r="T382" s="25"/>
      <c r="U382" s="25"/>
    </row>
    <row r="383" spans="7:21" ht="21.75" customHeight="1" x14ac:dyDescent="0.15">
      <c r="G383" s="80"/>
      <c r="H38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G383)),
  ROW(),
  ""
)</f>
        <v>383</v>
      </c>
      <c r="I383" s="107">
        <f t="shared" si="23"/>
        <v>0</v>
      </c>
      <c r="J383" s="31" t="str">
        <f t="shared" si="27"/>
        <v/>
      </c>
      <c r="K383" s="26"/>
      <c r="L383" s="20" t="s">
        <v>54</v>
      </c>
      <c r="M383" s="20"/>
      <c r="N383" s="21"/>
      <c r="O383" s="22"/>
      <c r="P383" s="23"/>
      <c r="Q383" s="23"/>
      <c r="R383" s="213" t="s">
        <v>54</v>
      </c>
      <c r="S383" s="24"/>
      <c r="T383" s="25"/>
      <c r="U383" s="25"/>
    </row>
    <row r="384" spans="7:21" ht="21.75" customHeight="1" x14ac:dyDescent="0.15">
      <c r="G384" s="80"/>
      <c r="H38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G384)),
  ROW(),
  ""
)</f>
        <v>384</v>
      </c>
      <c r="I384" s="107">
        <f t="shared" ref="I384:I447" si="28">INDEX(G:G,SMALL($H$4:$H$1113,ROW(G381)))</f>
        <v>0</v>
      </c>
      <c r="J384" s="31" t="str">
        <f t="shared" si="27"/>
        <v/>
      </c>
      <c r="K384" s="26"/>
      <c r="L384" s="20" t="s">
        <v>54</v>
      </c>
      <c r="M384" s="20"/>
      <c r="N384" s="21"/>
      <c r="O384" s="22"/>
      <c r="P384" s="23"/>
      <c r="Q384" s="23"/>
      <c r="R384" s="213" t="s">
        <v>54</v>
      </c>
      <c r="S384" s="24"/>
      <c r="T384" s="25"/>
      <c r="U384" s="25"/>
    </row>
    <row r="385" spans="7:21" ht="21.75" customHeight="1" x14ac:dyDescent="0.15">
      <c r="G385" s="80"/>
      <c r="H38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G385)),
  ROW(),
  ""
)</f>
        <v>385</v>
      </c>
      <c r="I385" s="107">
        <f t="shared" si="28"/>
        <v>0</v>
      </c>
      <c r="J385" s="31" t="str">
        <f t="shared" si="27"/>
        <v/>
      </c>
      <c r="K385" s="26"/>
      <c r="L385" s="20" t="s">
        <v>54</v>
      </c>
      <c r="M385" s="21"/>
      <c r="N385" s="32"/>
      <c r="O385" s="33"/>
      <c r="P385" s="86"/>
      <c r="Q385" s="86"/>
      <c r="R385" s="213" t="s">
        <v>54</v>
      </c>
      <c r="S385" s="24"/>
      <c r="T385" s="87"/>
      <c r="U385" s="87"/>
    </row>
    <row r="386" spans="7:21" ht="21.75" customHeight="1" x14ac:dyDescent="0.15">
      <c r="G386" s="80"/>
      <c r="H38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G386)),
  ROW(),
  ""
)</f>
        <v>386</v>
      </c>
      <c r="I386" s="107">
        <f t="shared" si="28"/>
        <v>0</v>
      </c>
      <c r="J386" s="31" t="str">
        <f t="shared" si="27"/>
        <v/>
      </c>
      <c r="K386" s="26"/>
      <c r="L386" s="20" t="s">
        <v>54</v>
      </c>
      <c r="M386" s="21"/>
      <c r="N386" s="32"/>
      <c r="O386" s="33"/>
      <c r="P386" s="86"/>
      <c r="Q386" s="86"/>
      <c r="R386" s="213" t="s">
        <v>54</v>
      </c>
      <c r="S386" s="24"/>
      <c r="T386" s="87"/>
      <c r="U386" s="87"/>
    </row>
    <row r="387" spans="7:21" ht="21.75" customHeight="1" x14ac:dyDescent="0.15">
      <c r="G387" s="80"/>
      <c r="H38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G387)),
  ROW(),
  ""
)</f>
        <v>387</v>
      </c>
      <c r="I387" s="107">
        <f t="shared" si="28"/>
        <v>0</v>
      </c>
      <c r="J387" s="31" t="str">
        <f t="shared" si="27"/>
        <v/>
      </c>
      <c r="K387" s="26"/>
      <c r="L387" s="20" t="s">
        <v>54</v>
      </c>
      <c r="M387" s="20"/>
      <c r="N387" s="21"/>
      <c r="O387" s="22"/>
      <c r="P387" s="23"/>
      <c r="Q387" s="23"/>
      <c r="R387" s="213" t="s">
        <v>54</v>
      </c>
      <c r="S387" s="24"/>
      <c r="T387" s="87"/>
      <c r="U387" s="87"/>
    </row>
    <row r="388" spans="7:21" ht="21.75" customHeight="1" x14ac:dyDescent="0.15">
      <c r="G388" s="80"/>
      <c r="H3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G388)),
  ROW(),
  ""
)</f>
        <v>388</v>
      </c>
      <c r="I388" s="107">
        <f t="shared" si="28"/>
        <v>0</v>
      </c>
      <c r="J388" s="31" t="str">
        <f t="shared" si="27"/>
        <v/>
      </c>
      <c r="K388" s="26"/>
      <c r="L388" s="20" t="s">
        <v>54</v>
      </c>
      <c r="M388" s="20"/>
      <c r="N388" s="21"/>
      <c r="O388" s="22"/>
      <c r="P388" s="23"/>
      <c r="Q388" s="23"/>
      <c r="R388" s="213" t="s">
        <v>54</v>
      </c>
      <c r="S388" s="24"/>
      <c r="T388" s="25"/>
      <c r="U388" s="25"/>
    </row>
    <row r="389" spans="7:21" ht="21.75" customHeight="1" x14ac:dyDescent="0.15">
      <c r="G389" s="80"/>
      <c r="H3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G389)),
  ROW(),
  ""
)</f>
        <v>389</v>
      </c>
      <c r="I389" s="107">
        <f t="shared" si="28"/>
        <v>0</v>
      </c>
      <c r="J389" s="31" t="str">
        <f t="shared" si="27"/>
        <v/>
      </c>
      <c r="K389" s="26"/>
      <c r="L389" s="20" t="s">
        <v>54</v>
      </c>
      <c r="M389" s="91"/>
      <c r="N389" s="92"/>
      <c r="O389" s="93"/>
      <c r="P389" s="86"/>
      <c r="Q389" s="86"/>
      <c r="R389" s="213" t="s">
        <v>54</v>
      </c>
      <c r="S389" s="24"/>
      <c r="T389" s="87"/>
      <c r="U389" s="87"/>
    </row>
    <row r="390" spans="7:21" ht="21.75" customHeight="1" x14ac:dyDescent="0.15">
      <c r="G390" s="80"/>
      <c r="H3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G390)),
  ROW(),
  ""
)</f>
        <v>390</v>
      </c>
      <c r="I390" s="107">
        <f t="shared" si="28"/>
        <v>0</v>
      </c>
      <c r="J390" s="31" t="str">
        <f t="shared" si="27"/>
        <v/>
      </c>
      <c r="K390" s="26"/>
      <c r="L390" s="20" t="s">
        <v>54</v>
      </c>
      <c r="M390" s="91"/>
      <c r="N390" s="92"/>
      <c r="O390" s="93"/>
      <c r="P390" s="86"/>
      <c r="Q390" s="86"/>
      <c r="R390" s="213" t="s">
        <v>54</v>
      </c>
      <c r="S390" s="24"/>
      <c r="T390" s="87"/>
      <c r="U390" s="87"/>
    </row>
    <row r="391" spans="7:21" ht="21.75" customHeight="1" x14ac:dyDescent="0.15">
      <c r="G391" s="80"/>
      <c r="H3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G391)),
  ROW(),
  ""
)</f>
        <v>391</v>
      </c>
      <c r="I391" s="107">
        <f t="shared" si="28"/>
        <v>0</v>
      </c>
      <c r="J391" s="31" t="str">
        <f t="shared" si="27"/>
        <v/>
      </c>
      <c r="K391" s="26"/>
      <c r="L391" s="20" t="s">
        <v>54</v>
      </c>
      <c r="M391" s="21"/>
      <c r="N391" s="32"/>
      <c r="O391" s="33"/>
      <c r="P391" s="86"/>
      <c r="Q391" s="86"/>
      <c r="R391" s="213" t="s">
        <v>54</v>
      </c>
      <c r="S391" s="68"/>
      <c r="T391" s="87"/>
      <c r="U391" s="87"/>
    </row>
    <row r="392" spans="7:21" ht="21.75" customHeight="1" x14ac:dyDescent="0.15">
      <c r="G392" s="90"/>
      <c r="H392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G392)),
  ROW(),
  ""
)</f>
        <v>392</v>
      </c>
      <c r="I392" s="109">
        <f t="shared" si="28"/>
        <v>0</v>
      </c>
      <c r="J392" s="83" t="str">
        <f t="shared" ref="J392:J407" si="29">PHONETIC(G392)</f>
        <v/>
      </c>
      <c r="K392" s="18"/>
      <c r="L392" s="20" t="s">
        <v>54</v>
      </c>
      <c r="M392" s="21"/>
      <c r="N392" s="32"/>
      <c r="O392" s="33"/>
      <c r="P392" s="86"/>
      <c r="Q392" s="86"/>
      <c r="R392" s="213" t="s">
        <v>54</v>
      </c>
      <c r="S392" s="68"/>
      <c r="T392" s="87"/>
      <c r="U392" s="87"/>
    </row>
    <row r="393" spans="7:21" ht="21.75" customHeight="1" x14ac:dyDescent="0.15">
      <c r="G393" s="90"/>
      <c r="H393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G393)),
  ROW(),
  ""
)</f>
        <v>393</v>
      </c>
      <c r="I393" s="109">
        <f t="shared" si="28"/>
        <v>0</v>
      </c>
      <c r="J393" s="83" t="str">
        <f t="shared" si="29"/>
        <v/>
      </c>
      <c r="K393" s="18"/>
      <c r="L393" s="20" t="s">
        <v>54</v>
      </c>
      <c r="M393" s="21"/>
      <c r="N393" s="32"/>
      <c r="O393" s="33"/>
      <c r="P393" s="86"/>
      <c r="Q393" s="86"/>
      <c r="R393" s="213" t="s">
        <v>54</v>
      </c>
      <c r="S393" s="24"/>
      <c r="T393" s="87"/>
      <c r="U393" s="87"/>
    </row>
    <row r="394" spans="7:21" ht="21.75" customHeight="1" x14ac:dyDescent="0.15">
      <c r="G394" s="84"/>
      <c r="H394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G394)),
  ROW(),
  ""
)</f>
        <v>394</v>
      </c>
      <c r="I394" s="109">
        <f t="shared" si="28"/>
        <v>0</v>
      </c>
      <c r="J394" s="83" t="str">
        <f t="shared" si="29"/>
        <v/>
      </c>
      <c r="K394" s="18"/>
      <c r="L394" s="20" t="s">
        <v>54</v>
      </c>
      <c r="M394" s="21"/>
      <c r="N394" s="32"/>
      <c r="O394" s="33"/>
      <c r="P394" s="86"/>
      <c r="Q394" s="86"/>
      <c r="R394" s="213" t="s">
        <v>54</v>
      </c>
      <c r="S394" s="24"/>
      <c r="T394" s="87"/>
      <c r="U394" s="87"/>
    </row>
    <row r="395" spans="7:21" ht="21.75" customHeight="1" x14ac:dyDescent="0.15">
      <c r="G395" s="84"/>
      <c r="H395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G395)),
  ROW(),
  ""
)</f>
        <v>395</v>
      </c>
      <c r="I395" s="109">
        <f t="shared" si="28"/>
        <v>0</v>
      </c>
      <c r="J395" s="83" t="str">
        <f t="shared" si="29"/>
        <v/>
      </c>
      <c r="K395" s="18"/>
      <c r="L395" s="20" t="s">
        <v>54</v>
      </c>
      <c r="M395" s="21"/>
      <c r="N395" s="32"/>
      <c r="O395" s="33"/>
      <c r="P395" s="86"/>
      <c r="Q395" s="86"/>
      <c r="R395" s="213" t="s">
        <v>54</v>
      </c>
      <c r="S395" s="24"/>
      <c r="T395" s="87"/>
      <c r="U395" s="87"/>
    </row>
    <row r="396" spans="7:21" ht="21.75" customHeight="1" x14ac:dyDescent="0.15">
      <c r="G396" s="84"/>
      <c r="H396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G396)),
  ROW(),
  ""
)</f>
        <v>396</v>
      </c>
      <c r="I396" s="109">
        <f t="shared" si="28"/>
        <v>0</v>
      </c>
      <c r="J396" s="83" t="str">
        <f t="shared" si="29"/>
        <v/>
      </c>
      <c r="K396" s="18"/>
      <c r="L396" s="20" t="s">
        <v>54</v>
      </c>
      <c r="M396" s="20"/>
      <c r="N396" s="21"/>
      <c r="O396" s="22"/>
      <c r="P396" s="23"/>
      <c r="Q396" s="23"/>
      <c r="R396" s="213" t="s">
        <v>54</v>
      </c>
      <c r="S396" s="24"/>
      <c r="T396" s="25"/>
      <c r="U396" s="25"/>
    </row>
    <row r="397" spans="7:21" ht="21.75" customHeight="1" x14ac:dyDescent="0.15">
      <c r="G397" s="84"/>
      <c r="H397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G397)),
  ROW(),
  ""
)</f>
        <v>397</v>
      </c>
      <c r="I397" s="109">
        <f t="shared" si="28"/>
        <v>0</v>
      </c>
      <c r="J397" s="83" t="str">
        <f t="shared" si="29"/>
        <v/>
      </c>
      <c r="K397" s="89"/>
      <c r="L397" s="20" t="s">
        <v>54</v>
      </c>
      <c r="M397" s="21"/>
      <c r="N397" s="32"/>
      <c r="O397" s="33"/>
      <c r="P397" s="86"/>
      <c r="Q397" s="86"/>
      <c r="R397" s="213" t="s">
        <v>54</v>
      </c>
      <c r="S397" s="24"/>
      <c r="T397" s="87"/>
      <c r="U397" s="87"/>
    </row>
    <row r="398" spans="7:21" ht="21.75" customHeight="1" x14ac:dyDescent="0.15">
      <c r="G398" s="84"/>
      <c r="H398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G398)),
  ROW(),
  ""
)</f>
        <v>398</v>
      </c>
      <c r="I398" s="109">
        <f t="shared" si="28"/>
        <v>0</v>
      </c>
      <c r="J398" s="83" t="str">
        <f t="shared" si="29"/>
        <v/>
      </c>
      <c r="K398" s="89"/>
      <c r="L398" s="20" t="s">
        <v>54</v>
      </c>
      <c r="M398" s="21"/>
      <c r="N398" s="32"/>
      <c r="O398" s="33"/>
      <c r="P398" s="86"/>
      <c r="Q398" s="86"/>
      <c r="R398" s="213" t="s">
        <v>54</v>
      </c>
      <c r="S398" s="24"/>
      <c r="T398" s="87"/>
      <c r="U398" s="87"/>
    </row>
    <row r="399" spans="7:21" ht="21.75" customHeight="1" x14ac:dyDescent="0.15">
      <c r="G399" s="84"/>
      <c r="H399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G399)),
  ROW(),
  ""
)</f>
        <v>399</v>
      </c>
      <c r="I399" s="109">
        <f t="shared" si="28"/>
        <v>0</v>
      </c>
      <c r="J399" s="83" t="str">
        <f t="shared" si="29"/>
        <v/>
      </c>
      <c r="K399" s="18"/>
      <c r="L399" s="20" t="s">
        <v>54</v>
      </c>
      <c r="M399" s="20"/>
      <c r="N399" s="65"/>
      <c r="O399" s="94"/>
      <c r="P399" s="94"/>
      <c r="Q399" s="94"/>
      <c r="R399" s="213" t="s">
        <v>54</v>
      </c>
      <c r="S399" s="24"/>
      <c r="T399" s="25"/>
      <c r="U399" s="25"/>
    </row>
    <row r="400" spans="7:21" ht="21.75" customHeight="1" x14ac:dyDescent="0.15">
      <c r="G400" s="84"/>
      <c r="H400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G400)),
  ROW(),
  ""
)</f>
        <v>400</v>
      </c>
      <c r="I400" s="109">
        <f t="shared" si="28"/>
        <v>0</v>
      </c>
      <c r="J400" s="83" t="str">
        <f t="shared" si="29"/>
        <v/>
      </c>
      <c r="K400" s="18"/>
      <c r="L400" s="20" t="s">
        <v>54</v>
      </c>
      <c r="M400" s="20"/>
      <c r="N400" s="65"/>
      <c r="O400" s="94"/>
      <c r="P400" s="94"/>
      <c r="Q400" s="94"/>
      <c r="R400" s="213" t="s">
        <v>54</v>
      </c>
      <c r="S400" s="24"/>
      <c r="T400" s="25"/>
      <c r="U400" s="25"/>
    </row>
    <row r="401" spans="7:21" ht="21.75" customHeight="1" x14ac:dyDescent="0.15">
      <c r="G401" s="84"/>
      <c r="H401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G401)),
  ROW(),
  ""
)</f>
        <v>401</v>
      </c>
      <c r="I401" s="109">
        <f t="shared" si="28"/>
        <v>0</v>
      </c>
      <c r="J401" s="83" t="str">
        <f t="shared" si="29"/>
        <v/>
      </c>
      <c r="K401" s="18"/>
      <c r="L401" s="20" t="s">
        <v>54</v>
      </c>
      <c r="M401" s="20"/>
      <c r="N401" s="65"/>
      <c r="O401" s="94"/>
      <c r="P401" s="94"/>
      <c r="Q401" s="94"/>
      <c r="R401" s="213" t="s">
        <v>54</v>
      </c>
      <c r="S401" s="24"/>
      <c r="T401" s="25"/>
      <c r="U401" s="25"/>
    </row>
    <row r="402" spans="7:21" ht="42" x14ac:dyDescent="0.15">
      <c r="G402" s="84"/>
      <c r="H402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G402)),
  ROW(),
  ""
)</f>
        <v>402</v>
      </c>
      <c r="I402" s="109">
        <f t="shared" si="28"/>
        <v>0</v>
      </c>
      <c r="J402" s="83" t="str">
        <f t="shared" si="29"/>
        <v/>
      </c>
      <c r="K402" s="18"/>
      <c r="L402" s="20" t="s">
        <v>54</v>
      </c>
      <c r="M402" s="20"/>
      <c r="N402" s="65"/>
      <c r="O402" s="94"/>
      <c r="P402" s="94"/>
      <c r="Q402" s="94"/>
      <c r="R402" s="213" t="s">
        <v>54</v>
      </c>
      <c r="S402" s="24"/>
      <c r="T402" s="25"/>
      <c r="U402" s="25"/>
    </row>
    <row r="403" spans="7:21" ht="42" x14ac:dyDescent="0.15">
      <c r="G403" s="84"/>
      <c r="H403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G403)),
  ROW(),
  ""
)</f>
        <v>403</v>
      </c>
      <c r="I403" s="109">
        <f t="shared" si="28"/>
        <v>0</v>
      </c>
      <c r="J403" s="83" t="str">
        <f t="shared" si="29"/>
        <v/>
      </c>
      <c r="K403" s="18"/>
      <c r="L403" s="20" t="s">
        <v>54</v>
      </c>
      <c r="M403" s="20"/>
      <c r="N403" s="65"/>
      <c r="O403" s="94"/>
      <c r="P403" s="94"/>
      <c r="Q403" s="94"/>
      <c r="R403" s="213" t="s">
        <v>54</v>
      </c>
      <c r="S403" s="24"/>
      <c r="T403" s="25"/>
      <c r="U403" s="25"/>
    </row>
    <row r="404" spans="7:21" ht="42" x14ac:dyDescent="0.15">
      <c r="G404" s="84"/>
      <c r="H404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G404)),
  ROW(),
  ""
)</f>
        <v>404</v>
      </c>
      <c r="I404" s="109">
        <f t="shared" si="28"/>
        <v>0</v>
      </c>
      <c r="J404" s="83" t="str">
        <f t="shared" si="29"/>
        <v/>
      </c>
      <c r="K404" s="18"/>
      <c r="L404" s="20" t="s">
        <v>54</v>
      </c>
      <c r="M404" s="20"/>
      <c r="N404" s="65"/>
      <c r="O404" s="94"/>
      <c r="P404" s="94"/>
      <c r="Q404" s="94"/>
      <c r="R404" s="213" t="s">
        <v>54</v>
      </c>
      <c r="S404" s="24"/>
      <c r="T404" s="25"/>
      <c r="U404" s="25"/>
    </row>
    <row r="405" spans="7:21" ht="42" x14ac:dyDescent="0.15">
      <c r="G405" s="84"/>
      <c r="H405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G405)),
  ROW(),
  ""
)</f>
        <v>405</v>
      </c>
      <c r="I405" s="109">
        <f t="shared" si="28"/>
        <v>0</v>
      </c>
      <c r="J405" s="83" t="str">
        <f t="shared" si="29"/>
        <v/>
      </c>
      <c r="K405" s="18"/>
      <c r="L405" s="20" t="s">
        <v>54</v>
      </c>
      <c r="M405" s="20"/>
      <c r="N405" s="65"/>
      <c r="O405" s="94"/>
      <c r="P405" s="94"/>
      <c r="Q405" s="94"/>
      <c r="R405" s="213" t="s">
        <v>54</v>
      </c>
      <c r="S405" s="24"/>
      <c r="T405" s="25"/>
      <c r="U405" s="25"/>
    </row>
    <row r="406" spans="7:21" ht="42" x14ac:dyDescent="0.15">
      <c r="G406" s="84"/>
      <c r="H406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G406)),
  ROW(),
  ""
)</f>
        <v>406</v>
      </c>
      <c r="I406" s="109">
        <f t="shared" si="28"/>
        <v>0</v>
      </c>
      <c r="J406" s="83" t="str">
        <f t="shared" si="29"/>
        <v/>
      </c>
      <c r="K406" s="18"/>
      <c r="L406" s="20" t="s">
        <v>54</v>
      </c>
      <c r="M406" s="20"/>
      <c r="N406" s="65"/>
      <c r="O406" s="94"/>
      <c r="P406" s="94"/>
      <c r="Q406" s="94"/>
      <c r="R406" s="213" t="s">
        <v>54</v>
      </c>
      <c r="S406" s="24"/>
      <c r="T406" s="25"/>
      <c r="U406" s="25"/>
    </row>
    <row r="407" spans="7:21" ht="42" x14ac:dyDescent="0.15">
      <c r="G407" s="84"/>
      <c r="H407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G407)),
  ROW(),
  ""
)</f>
        <v>407</v>
      </c>
      <c r="I407" s="109">
        <f t="shared" si="28"/>
        <v>0</v>
      </c>
      <c r="J407" s="83" t="str">
        <f t="shared" si="29"/>
        <v/>
      </c>
      <c r="K407" s="18"/>
      <c r="L407" s="20" t="s">
        <v>54</v>
      </c>
      <c r="M407" s="20"/>
      <c r="N407" s="65"/>
      <c r="O407" s="94"/>
      <c r="P407" s="94"/>
      <c r="Q407" s="94"/>
      <c r="R407" s="213" t="s">
        <v>54</v>
      </c>
      <c r="S407" s="24"/>
      <c r="T407" s="25"/>
      <c r="U407" s="25"/>
    </row>
    <row r="408" spans="7:21" x14ac:dyDescent="0.15">
      <c r="H4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G408)),
  ROW(),
  ""
)</f>
        <v>408</v>
      </c>
      <c r="I408" s="13">
        <f t="shared" si="28"/>
        <v>0</v>
      </c>
    </row>
    <row r="409" spans="7:21" x14ac:dyDescent="0.15">
      <c r="H4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G409)),
  ROW(),
  ""
)</f>
        <v>409</v>
      </c>
      <c r="I409" s="13">
        <f t="shared" si="28"/>
        <v>0</v>
      </c>
    </row>
    <row r="410" spans="7:21" x14ac:dyDescent="0.15">
      <c r="H4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G410)),
  ROW(),
  ""
)</f>
        <v>410</v>
      </c>
      <c r="I410" s="13">
        <f t="shared" si="28"/>
        <v>0</v>
      </c>
    </row>
    <row r="411" spans="7:21" x14ac:dyDescent="0.15">
      <c r="H4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G411)),
  ROW(),
  ""
)</f>
        <v>411</v>
      </c>
      <c r="I411" s="13">
        <f t="shared" si="28"/>
        <v>0</v>
      </c>
    </row>
    <row r="412" spans="7:21" x14ac:dyDescent="0.15">
      <c r="H4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G412)),
  ROW(),
  ""
)</f>
        <v>412</v>
      </c>
      <c r="I412" s="13">
        <f t="shared" si="28"/>
        <v>0</v>
      </c>
    </row>
    <row r="413" spans="7:21" x14ac:dyDescent="0.15">
      <c r="H4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G413)),
  ROW(),
  ""
)</f>
        <v>413</v>
      </c>
      <c r="I413" s="13">
        <f t="shared" si="28"/>
        <v>0</v>
      </c>
    </row>
    <row r="414" spans="7:21" x14ac:dyDescent="0.15">
      <c r="H4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G414)),
  ROW(),
  ""
)</f>
        <v>414</v>
      </c>
      <c r="I414" s="13">
        <f t="shared" si="28"/>
        <v>0</v>
      </c>
    </row>
    <row r="415" spans="7:21" x14ac:dyDescent="0.15">
      <c r="H4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G415)),
  ROW(),
  ""
)</f>
        <v>415</v>
      </c>
      <c r="I415" s="13">
        <f t="shared" si="28"/>
        <v>0</v>
      </c>
    </row>
    <row r="416" spans="7:21" x14ac:dyDescent="0.15">
      <c r="H4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G416)),
  ROW(),
  ""
)</f>
        <v>416</v>
      </c>
      <c r="I416" s="13">
        <f t="shared" si="28"/>
        <v>0</v>
      </c>
    </row>
    <row r="417" spans="8:9" x14ac:dyDescent="0.15">
      <c r="H4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G417)),
  ROW(),
  ""
)</f>
        <v>417</v>
      </c>
      <c r="I417" s="13">
        <f t="shared" si="28"/>
        <v>0</v>
      </c>
    </row>
    <row r="418" spans="8:9" x14ac:dyDescent="0.15">
      <c r="H4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G418)),
  ROW(),
  ""
)</f>
        <v>418</v>
      </c>
      <c r="I418" s="13">
        <f t="shared" si="28"/>
        <v>0</v>
      </c>
    </row>
    <row r="419" spans="8:9" x14ac:dyDescent="0.15">
      <c r="H4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G419)),
  ROW(),
  ""
)</f>
        <v>419</v>
      </c>
      <c r="I419" s="13">
        <f t="shared" si="28"/>
        <v>0</v>
      </c>
    </row>
    <row r="420" spans="8:9" x14ac:dyDescent="0.15">
      <c r="H4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G420)),
  ROW(),
  ""
)</f>
        <v>420</v>
      </c>
      <c r="I420" s="13">
        <f t="shared" si="28"/>
        <v>0</v>
      </c>
    </row>
    <row r="421" spans="8:9" x14ac:dyDescent="0.15">
      <c r="H4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G421)),
  ROW(),
  ""
)</f>
        <v>421</v>
      </c>
      <c r="I421" s="13">
        <f t="shared" si="28"/>
        <v>0</v>
      </c>
    </row>
    <row r="422" spans="8:9" x14ac:dyDescent="0.15">
      <c r="H4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G422)),
  ROW(),
  ""
)</f>
        <v>422</v>
      </c>
      <c r="I422" s="13">
        <f t="shared" si="28"/>
        <v>0</v>
      </c>
    </row>
    <row r="423" spans="8:9" x14ac:dyDescent="0.15">
      <c r="H4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G423)),
  ROW(),
  ""
)</f>
        <v>423</v>
      </c>
      <c r="I423" s="13">
        <f t="shared" si="28"/>
        <v>0</v>
      </c>
    </row>
    <row r="424" spans="8:9" x14ac:dyDescent="0.15">
      <c r="H4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G424)),
  ROW(),
  ""
)</f>
        <v>424</v>
      </c>
      <c r="I424" s="13">
        <f t="shared" si="28"/>
        <v>0</v>
      </c>
    </row>
    <row r="425" spans="8:9" x14ac:dyDescent="0.15">
      <c r="H4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G425)),
  ROW(),
  ""
)</f>
        <v>425</v>
      </c>
      <c r="I425" s="13">
        <f t="shared" si="28"/>
        <v>0</v>
      </c>
    </row>
    <row r="426" spans="8:9" x14ac:dyDescent="0.15">
      <c r="H4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G426)),
  ROW(),
  ""
)</f>
        <v>426</v>
      </c>
      <c r="I426" s="13">
        <f t="shared" si="28"/>
        <v>0</v>
      </c>
    </row>
    <row r="427" spans="8:9" x14ac:dyDescent="0.15">
      <c r="H4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G427)),
  ROW(),
  ""
)</f>
        <v>427</v>
      </c>
      <c r="I427" s="13">
        <f t="shared" si="28"/>
        <v>0</v>
      </c>
    </row>
    <row r="428" spans="8:9" x14ac:dyDescent="0.15">
      <c r="H4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G428)),
  ROW(),
  ""
)</f>
        <v>428</v>
      </c>
      <c r="I428" s="13">
        <f t="shared" si="28"/>
        <v>0</v>
      </c>
    </row>
    <row r="429" spans="8:9" x14ac:dyDescent="0.15">
      <c r="H4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G429)),
  ROW(),
  ""
)</f>
        <v>429</v>
      </c>
      <c r="I429" s="13">
        <f t="shared" si="28"/>
        <v>0</v>
      </c>
    </row>
    <row r="430" spans="8:9" x14ac:dyDescent="0.15">
      <c r="H4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G430)),
  ROW(),
  ""
)</f>
        <v>430</v>
      </c>
      <c r="I430" s="13">
        <f t="shared" si="28"/>
        <v>0</v>
      </c>
    </row>
    <row r="431" spans="8:9" x14ac:dyDescent="0.15">
      <c r="H4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G431)),
  ROW(),
  ""
)</f>
        <v>431</v>
      </c>
      <c r="I431" s="13">
        <f t="shared" si="28"/>
        <v>0</v>
      </c>
    </row>
    <row r="432" spans="8:9" x14ac:dyDescent="0.15">
      <c r="H4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G432)),
  ROW(),
  ""
)</f>
        <v>432</v>
      </c>
      <c r="I432" s="13">
        <f t="shared" si="28"/>
        <v>0</v>
      </c>
    </row>
    <row r="433" spans="8:9" x14ac:dyDescent="0.15">
      <c r="H4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G433)),
  ROW(),
  ""
)</f>
        <v>433</v>
      </c>
      <c r="I433" s="13">
        <f t="shared" si="28"/>
        <v>0</v>
      </c>
    </row>
    <row r="434" spans="8:9" x14ac:dyDescent="0.15">
      <c r="H4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G434)),
  ROW(),
  ""
)</f>
        <v>434</v>
      </c>
      <c r="I434" s="13">
        <f t="shared" si="28"/>
        <v>0</v>
      </c>
    </row>
    <row r="435" spans="8:9" x14ac:dyDescent="0.15">
      <c r="H4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G435)),
  ROW(),
  ""
)</f>
        <v>435</v>
      </c>
      <c r="I435" s="13">
        <f t="shared" si="28"/>
        <v>0</v>
      </c>
    </row>
    <row r="436" spans="8:9" x14ac:dyDescent="0.15">
      <c r="H4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G436)),
  ROW(),
  ""
)</f>
        <v>436</v>
      </c>
      <c r="I436" s="13">
        <f t="shared" si="28"/>
        <v>0</v>
      </c>
    </row>
    <row r="437" spans="8:9" x14ac:dyDescent="0.15">
      <c r="H4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G437)),
  ROW(),
  ""
)</f>
        <v>437</v>
      </c>
      <c r="I437" s="13">
        <f t="shared" si="28"/>
        <v>0</v>
      </c>
    </row>
    <row r="438" spans="8:9" x14ac:dyDescent="0.15">
      <c r="H4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G438)),
  ROW(),
  ""
)</f>
        <v>438</v>
      </c>
      <c r="I438" s="13">
        <f t="shared" si="28"/>
        <v>0</v>
      </c>
    </row>
    <row r="439" spans="8:9" x14ac:dyDescent="0.15">
      <c r="H4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G439)),
  ROW(),
  ""
)</f>
        <v>439</v>
      </c>
      <c r="I439" s="13">
        <f t="shared" si="28"/>
        <v>0</v>
      </c>
    </row>
    <row r="440" spans="8:9" x14ac:dyDescent="0.15">
      <c r="H4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G440)),
  ROW(),
  ""
)</f>
        <v>440</v>
      </c>
      <c r="I440" s="13">
        <f t="shared" si="28"/>
        <v>0</v>
      </c>
    </row>
    <row r="441" spans="8:9" x14ac:dyDescent="0.15">
      <c r="H4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G441)),
  ROW(),
  ""
)</f>
        <v>441</v>
      </c>
      <c r="I441" s="13">
        <f t="shared" si="28"/>
        <v>0</v>
      </c>
    </row>
    <row r="442" spans="8:9" x14ac:dyDescent="0.15">
      <c r="H4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G442)),
  ROW(),
  ""
)</f>
        <v>442</v>
      </c>
      <c r="I442" s="13">
        <f t="shared" si="28"/>
        <v>0</v>
      </c>
    </row>
    <row r="443" spans="8:9" x14ac:dyDescent="0.15">
      <c r="H4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G443)),
  ROW(),
  ""
)</f>
        <v>443</v>
      </c>
      <c r="I443" s="13">
        <f t="shared" si="28"/>
        <v>0</v>
      </c>
    </row>
    <row r="444" spans="8:9" x14ac:dyDescent="0.15">
      <c r="H4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G444)),
  ROW(),
  ""
)</f>
        <v>444</v>
      </c>
      <c r="I444" s="13">
        <f t="shared" si="28"/>
        <v>0</v>
      </c>
    </row>
    <row r="445" spans="8:9" x14ac:dyDescent="0.15">
      <c r="H4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G445)),
  ROW(),
  ""
)</f>
        <v>445</v>
      </c>
      <c r="I445" s="13">
        <f t="shared" si="28"/>
        <v>0</v>
      </c>
    </row>
    <row r="446" spans="8:9" x14ac:dyDescent="0.15">
      <c r="H4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G446)),
  ROW(),
  ""
)</f>
        <v>446</v>
      </c>
      <c r="I446" s="13">
        <f t="shared" si="28"/>
        <v>0</v>
      </c>
    </row>
    <row r="447" spans="8:9" x14ac:dyDescent="0.15">
      <c r="H4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G447)),
  ROW(),
  ""
)</f>
        <v>447</v>
      </c>
      <c r="I447" s="13">
        <f t="shared" si="28"/>
        <v>0</v>
      </c>
    </row>
    <row r="448" spans="8:9" x14ac:dyDescent="0.15">
      <c r="H4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G448)),
  ROW(),
  ""
)</f>
        <v>448</v>
      </c>
      <c r="I448" s="13">
        <f t="shared" ref="I448:I511" si="30">INDEX(G:G,SMALL($H$4:$H$1113,ROW(G445)))</f>
        <v>0</v>
      </c>
    </row>
    <row r="449" spans="8:9" x14ac:dyDescent="0.15">
      <c r="H4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G449)),
  ROW(),
  ""
)</f>
        <v>449</v>
      </c>
      <c r="I449" s="13">
        <f t="shared" si="30"/>
        <v>0</v>
      </c>
    </row>
    <row r="450" spans="8:9" x14ac:dyDescent="0.15">
      <c r="H4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G450)),
  ROW(),
  ""
)</f>
        <v>450</v>
      </c>
      <c r="I450" s="13">
        <f t="shared" si="30"/>
        <v>0</v>
      </c>
    </row>
    <row r="451" spans="8:9" x14ac:dyDescent="0.15">
      <c r="H4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G451)),
  ROW(),
  ""
)</f>
        <v>451</v>
      </c>
      <c r="I451" s="13">
        <f t="shared" si="30"/>
        <v>0</v>
      </c>
    </row>
    <row r="452" spans="8:9" x14ac:dyDescent="0.15">
      <c r="H4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G452)),
  ROW(),
  ""
)</f>
        <v>452</v>
      </c>
      <c r="I452" s="13">
        <f t="shared" si="30"/>
        <v>0</v>
      </c>
    </row>
    <row r="453" spans="8:9" x14ac:dyDescent="0.15">
      <c r="H4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G453)),
  ROW(),
  ""
)</f>
        <v>453</v>
      </c>
      <c r="I453" s="13">
        <f t="shared" si="30"/>
        <v>0</v>
      </c>
    </row>
    <row r="454" spans="8:9" x14ac:dyDescent="0.15">
      <c r="H4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G454)),
  ROW(),
  ""
)</f>
        <v>454</v>
      </c>
      <c r="I454" s="13">
        <f t="shared" si="30"/>
        <v>0</v>
      </c>
    </row>
    <row r="455" spans="8:9" x14ac:dyDescent="0.15">
      <c r="H4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G455)),
  ROW(),
  ""
)</f>
        <v>455</v>
      </c>
      <c r="I455" s="13">
        <f t="shared" si="30"/>
        <v>0</v>
      </c>
    </row>
    <row r="456" spans="8:9" x14ac:dyDescent="0.15">
      <c r="H4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G456)),
  ROW(),
  ""
)</f>
        <v>456</v>
      </c>
      <c r="I456" s="13">
        <f t="shared" si="30"/>
        <v>0</v>
      </c>
    </row>
    <row r="457" spans="8:9" x14ac:dyDescent="0.15">
      <c r="H4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G457)),
  ROW(),
  ""
)</f>
        <v>457</v>
      </c>
      <c r="I457" s="13">
        <f t="shared" si="30"/>
        <v>0</v>
      </c>
    </row>
    <row r="458" spans="8:9" x14ac:dyDescent="0.15">
      <c r="H4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G458)),
  ROW(),
  ""
)</f>
        <v>458</v>
      </c>
      <c r="I458" s="13">
        <f t="shared" si="30"/>
        <v>0</v>
      </c>
    </row>
    <row r="459" spans="8:9" x14ac:dyDescent="0.15">
      <c r="H4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G459)),
  ROW(),
  ""
)</f>
        <v>459</v>
      </c>
      <c r="I459" s="13">
        <f t="shared" si="30"/>
        <v>0</v>
      </c>
    </row>
    <row r="460" spans="8:9" x14ac:dyDescent="0.15">
      <c r="H4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G460)),
  ROW(),
  ""
)</f>
        <v>460</v>
      </c>
      <c r="I460" s="13">
        <f t="shared" si="30"/>
        <v>0</v>
      </c>
    </row>
    <row r="461" spans="8:9" x14ac:dyDescent="0.15">
      <c r="H4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G461)),
  ROW(),
  ""
)</f>
        <v>461</v>
      </c>
      <c r="I461" s="13">
        <f t="shared" si="30"/>
        <v>0</v>
      </c>
    </row>
    <row r="462" spans="8:9" x14ac:dyDescent="0.15">
      <c r="H4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G462)),
  ROW(),
  ""
)</f>
        <v>462</v>
      </c>
      <c r="I462" s="13">
        <f t="shared" si="30"/>
        <v>0</v>
      </c>
    </row>
    <row r="463" spans="8:9" x14ac:dyDescent="0.15">
      <c r="H4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G463)),
  ROW(),
  ""
)</f>
        <v>463</v>
      </c>
      <c r="I463" s="13">
        <f t="shared" si="30"/>
        <v>0</v>
      </c>
    </row>
    <row r="464" spans="8:9" x14ac:dyDescent="0.15">
      <c r="H4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G464)),
  ROW(),
  ""
)</f>
        <v>464</v>
      </c>
      <c r="I464" s="13">
        <f t="shared" si="30"/>
        <v>0</v>
      </c>
    </row>
    <row r="465" spans="8:9" x14ac:dyDescent="0.15">
      <c r="H4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G465)),
  ROW(),
  ""
)</f>
        <v>465</v>
      </c>
      <c r="I465" s="13">
        <f t="shared" si="30"/>
        <v>0</v>
      </c>
    </row>
    <row r="466" spans="8:9" x14ac:dyDescent="0.15">
      <c r="H4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G466)),
  ROW(),
  ""
)</f>
        <v>466</v>
      </c>
      <c r="I466" s="13">
        <f t="shared" si="30"/>
        <v>0</v>
      </c>
    </row>
    <row r="467" spans="8:9" x14ac:dyDescent="0.15">
      <c r="H4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G467)),
  ROW(),
  ""
)</f>
        <v>467</v>
      </c>
      <c r="I467" s="13">
        <f t="shared" si="30"/>
        <v>0</v>
      </c>
    </row>
    <row r="468" spans="8:9" x14ac:dyDescent="0.15">
      <c r="H4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G468)),
  ROW(),
  ""
)</f>
        <v>468</v>
      </c>
      <c r="I468" s="13">
        <f t="shared" si="30"/>
        <v>0</v>
      </c>
    </row>
    <row r="469" spans="8:9" x14ac:dyDescent="0.15">
      <c r="H4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G469)),
  ROW(),
  ""
)</f>
        <v>469</v>
      </c>
      <c r="I469" s="13">
        <f t="shared" si="30"/>
        <v>0</v>
      </c>
    </row>
    <row r="470" spans="8:9" x14ac:dyDescent="0.15">
      <c r="H4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G470)),
  ROW(),
  ""
)</f>
        <v>470</v>
      </c>
      <c r="I470" s="13">
        <f t="shared" si="30"/>
        <v>0</v>
      </c>
    </row>
    <row r="471" spans="8:9" x14ac:dyDescent="0.15">
      <c r="H4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G471)),
  ROW(),
  ""
)</f>
        <v>471</v>
      </c>
      <c r="I471" s="13">
        <f t="shared" si="30"/>
        <v>0</v>
      </c>
    </row>
    <row r="472" spans="8:9" x14ac:dyDescent="0.15">
      <c r="H4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G472)),
  ROW(),
  ""
)</f>
        <v>472</v>
      </c>
      <c r="I472" s="13">
        <f t="shared" si="30"/>
        <v>0</v>
      </c>
    </row>
    <row r="473" spans="8:9" x14ac:dyDescent="0.15">
      <c r="H4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G473)),
  ROW(),
  ""
)</f>
        <v>473</v>
      </c>
      <c r="I473" s="13">
        <f t="shared" si="30"/>
        <v>0</v>
      </c>
    </row>
    <row r="474" spans="8:9" x14ac:dyDescent="0.15">
      <c r="H4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G474)),
  ROW(),
  ""
)</f>
        <v>474</v>
      </c>
      <c r="I474" s="13">
        <f t="shared" si="30"/>
        <v>0</v>
      </c>
    </row>
    <row r="475" spans="8:9" x14ac:dyDescent="0.15">
      <c r="H4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G475)),
  ROW(),
  ""
)</f>
        <v>475</v>
      </c>
      <c r="I475" s="13">
        <f t="shared" si="30"/>
        <v>0</v>
      </c>
    </row>
    <row r="476" spans="8:9" x14ac:dyDescent="0.15">
      <c r="H4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G476)),
  ROW(),
  ""
)</f>
        <v>476</v>
      </c>
      <c r="I476" s="13">
        <f t="shared" si="30"/>
        <v>0</v>
      </c>
    </row>
    <row r="477" spans="8:9" x14ac:dyDescent="0.15">
      <c r="H4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G477)),
  ROW(),
  ""
)</f>
        <v>477</v>
      </c>
      <c r="I477" s="13">
        <f t="shared" si="30"/>
        <v>0</v>
      </c>
    </row>
    <row r="478" spans="8:9" x14ac:dyDescent="0.15">
      <c r="H4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G478)),
  ROW(),
  ""
)</f>
        <v>478</v>
      </c>
      <c r="I478" s="13">
        <f t="shared" si="30"/>
        <v>0</v>
      </c>
    </row>
    <row r="479" spans="8:9" x14ac:dyDescent="0.15">
      <c r="H4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G479)),
  ROW(),
  ""
)</f>
        <v>479</v>
      </c>
      <c r="I479" s="13">
        <f t="shared" si="30"/>
        <v>0</v>
      </c>
    </row>
    <row r="480" spans="8:9" x14ac:dyDescent="0.15">
      <c r="H4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G480)),
  ROW(),
  ""
)</f>
        <v>480</v>
      </c>
      <c r="I480" s="13">
        <f t="shared" si="30"/>
        <v>0</v>
      </c>
    </row>
    <row r="481" spans="8:9" x14ac:dyDescent="0.15">
      <c r="H4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G481)),
  ROW(),
  ""
)</f>
        <v>481</v>
      </c>
      <c r="I481" s="13">
        <f t="shared" si="30"/>
        <v>0</v>
      </c>
    </row>
    <row r="482" spans="8:9" x14ac:dyDescent="0.15">
      <c r="H4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G482)),
  ROW(),
  ""
)</f>
        <v>482</v>
      </c>
      <c r="I482" s="13">
        <f t="shared" si="30"/>
        <v>0</v>
      </c>
    </row>
    <row r="483" spans="8:9" x14ac:dyDescent="0.15">
      <c r="H4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G483)),
  ROW(),
  ""
)</f>
        <v>483</v>
      </c>
      <c r="I483" s="13">
        <f t="shared" si="30"/>
        <v>0</v>
      </c>
    </row>
    <row r="484" spans="8:9" x14ac:dyDescent="0.15">
      <c r="H4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G484)),
  ROW(),
  ""
)</f>
        <v>484</v>
      </c>
      <c r="I484" s="13">
        <f t="shared" si="30"/>
        <v>0</v>
      </c>
    </row>
    <row r="485" spans="8:9" x14ac:dyDescent="0.15">
      <c r="H4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G485)),
  ROW(),
  ""
)</f>
        <v>485</v>
      </c>
      <c r="I485" s="13">
        <f t="shared" si="30"/>
        <v>0</v>
      </c>
    </row>
    <row r="486" spans="8:9" x14ac:dyDescent="0.15">
      <c r="H4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G486)),
  ROW(),
  ""
)</f>
        <v>486</v>
      </c>
      <c r="I486" s="13">
        <f t="shared" si="30"/>
        <v>0</v>
      </c>
    </row>
    <row r="487" spans="8:9" x14ac:dyDescent="0.15">
      <c r="H4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G487)),
  ROW(),
  ""
)</f>
        <v>487</v>
      </c>
      <c r="I487" s="13">
        <f t="shared" si="30"/>
        <v>0</v>
      </c>
    </row>
    <row r="488" spans="8:9" x14ac:dyDescent="0.15">
      <c r="H4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G488)),
  ROW(),
  ""
)</f>
        <v>488</v>
      </c>
      <c r="I488" s="13">
        <f t="shared" si="30"/>
        <v>0</v>
      </c>
    </row>
    <row r="489" spans="8:9" x14ac:dyDescent="0.15">
      <c r="H4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G489)),
  ROW(),
  ""
)</f>
        <v>489</v>
      </c>
      <c r="I489" s="13">
        <f t="shared" si="30"/>
        <v>0</v>
      </c>
    </row>
    <row r="490" spans="8:9" x14ac:dyDescent="0.15">
      <c r="H4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G490)),
  ROW(),
  ""
)</f>
        <v>490</v>
      </c>
      <c r="I490" s="13">
        <f t="shared" si="30"/>
        <v>0</v>
      </c>
    </row>
    <row r="491" spans="8:9" x14ac:dyDescent="0.15">
      <c r="H4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G491)),
  ROW(),
  ""
)</f>
        <v>491</v>
      </c>
      <c r="I491" s="13">
        <f t="shared" si="30"/>
        <v>0</v>
      </c>
    </row>
    <row r="492" spans="8:9" x14ac:dyDescent="0.15">
      <c r="H4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G492)),
  ROW(),
  ""
)</f>
        <v>492</v>
      </c>
      <c r="I492" s="13">
        <f t="shared" si="30"/>
        <v>0</v>
      </c>
    </row>
    <row r="493" spans="8:9" x14ac:dyDescent="0.15">
      <c r="H4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G493)),
  ROW(),
  ""
)</f>
        <v>493</v>
      </c>
      <c r="I493" s="13">
        <f t="shared" si="30"/>
        <v>0</v>
      </c>
    </row>
    <row r="494" spans="8:9" x14ac:dyDescent="0.15">
      <c r="H4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G494)),
  ROW(),
  ""
)</f>
        <v>494</v>
      </c>
      <c r="I494" s="13">
        <f t="shared" si="30"/>
        <v>0</v>
      </c>
    </row>
    <row r="495" spans="8:9" x14ac:dyDescent="0.15">
      <c r="H4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G495)),
  ROW(),
  ""
)</f>
        <v>495</v>
      </c>
      <c r="I495" s="13">
        <f t="shared" si="30"/>
        <v>0</v>
      </c>
    </row>
    <row r="496" spans="8:9" x14ac:dyDescent="0.15">
      <c r="H4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G496)),
  ROW(),
  ""
)</f>
        <v>496</v>
      </c>
      <c r="I496" s="13">
        <f t="shared" si="30"/>
        <v>0</v>
      </c>
    </row>
    <row r="497" spans="8:9" x14ac:dyDescent="0.15">
      <c r="H4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G497)),
  ROW(),
  ""
)</f>
        <v>497</v>
      </c>
      <c r="I497" s="13">
        <f t="shared" si="30"/>
        <v>0</v>
      </c>
    </row>
    <row r="498" spans="8:9" x14ac:dyDescent="0.15">
      <c r="H4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G498)),
  ROW(),
  ""
)</f>
        <v>498</v>
      </c>
      <c r="I498" s="13">
        <f t="shared" si="30"/>
        <v>0</v>
      </c>
    </row>
    <row r="499" spans="8:9" x14ac:dyDescent="0.15">
      <c r="H4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G499)),
  ROW(),
  ""
)</f>
        <v>499</v>
      </c>
      <c r="I499" s="13">
        <f t="shared" si="30"/>
        <v>0</v>
      </c>
    </row>
    <row r="500" spans="8:9" x14ac:dyDescent="0.15">
      <c r="H5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G500)),
  ROW(),
  ""
)</f>
        <v>500</v>
      </c>
      <c r="I500" s="13">
        <f t="shared" si="30"/>
        <v>0</v>
      </c>
    </row>
    <row r="501" spans="8:9" x14ac:dyDescent="0.15">
      <c r="H5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G501)),
  ROW(),
  ""
)</f>
        <v>501</v>
      </c>
      <c r="I501" s="13">
        <f t="shared" si="30"/>
        <v>0</v>
      </c>
    </row>
    <row r="502" spans="8:9" x14ac:dyDescent="0.15">
      <c r="H5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G502)),
  ROW(),
  ""
)</f>
        <v>502</v>
      </c>
      <c r="I502" s="13">
        <f t="shared" si="30"/>
        <v>0</v>
      </c>
    </row>
    <row r="503" spans="8:9" x14ac:dyDescent="0.15">
      <c r="H5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G503)),
  ROW(),
  ""
)</f>
        <v>503</v>
      </c>
      <c r="I503" s="13">
        <f t="shared" si="30"/>
        <v>0</v>
      </c>
    </row>
    <row r="504" spans="8:9" x14ac:dyDescent="0.15">
      <c r="H5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G504)),
  ROW(),
  ""
)</f>
        <v>504</v>
      </c>
      <c r="I504" s="13">
        <f t="shared" si="30"/>
        <v>0</v>
      </c>
    </row>
    <row r="505" spans="8:9" x14ac:dyDescent="0.15">
      <c r="H5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G505)),
  ROW(),
  ""
)</f>
        <v>505</v>
      </c>
      <c r="I505" s="13">
        <f t="shared" si="30"/>
        <v>0</v>
      </c>
    </row>
    <row r="506" spans="8:9" x14ac:dyDescent="0.15">
      <c r="H5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G506)),
  ROW(),
  ""
)</f>
        <v>506</v>
      </c>
      <c r="I506" s="13">
        <f t="shared" si="30"/>
        <v>0</v>
      </c>
    </row>
    <row r="507" spans="8:9" x14ac:dyDescent="0.15">
      <c r="H5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G507)),
  ROW(),
  ""
)</f>
        <v>507</v>
      </c>
      <c r="I507" s="13">
        <f t="shared" si="30"/>
        <v>0</v>
      </c>
    </row>
    <row r="508" spans="8:9" x14ac:dyDescent="0.15">
      <c r="H5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G508)),
  ROW(),
  ""
)</f>
        <v>508</v>
      </c>
      <c r="I508" s="13">
        <f t="shared" si="30"/>
        <v>0</v>
      </c>
    </row>
    <row r="509" spans="8:9" x14ac:dyDescent="0.15">
      <c r="H5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G509)),
  ROW(),
  ""
)</f>
        <v>509</v>
      </c>
      <c r="I509" s="13">
        <f t="shared" si="30"/>
        <v>0</v>
      </c>
    </row>
    <row r="510" spans="8:9" x14ac:dyDescent="0.15">
      <c r="H5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G510)),
  ROW(),
  ""
)</f>
        <v>510</v>
      </c>
      <c r="I510" s="13">
        <f t="shared" si="30"/>
        <v>0</v>
      </c>
    </row>
    <row r="511" spans="8:9" x14ac:dyDescent="0.15">
      <c r="H5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G511)),
  ROW(),
  ""
)</f>
        <v>511</v>
      </c>
      <c r="I511" s="13">
        <f t="shared" si="30"/>
        <v>0</v>
      </c>
    </row>
    <row r="512" spans="8:9" x14ac:dyDescent="0.15">
      <c r="H5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G512)),
  ROW(),
  ""
)</f>
        <v>512</v>
      </c>
      <c r="I512" s="13">
        <f t="shared" ref="I512:I575" si="31">INDEX(G:G,SMALL($H$4:$H$1113,ROW(G509)))</f>
        <v>0</v>
      </c>
    </row>
    <row r="513" spans="8:9" x14ac:dyDescent="0.15">
      <c r="H5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G513)),
  ROW(),
  ""
)</f>
        <v>513</v>
      </c>
      <c r="I513" s="13">
        <f t="shared" si="31"/>
        <v>0</v>
      </c>
    </row>
    <row r="514" spans="8:9" x14ac:dyDescent="0.15">
      <c r="H5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G514)),
  ROW(),
  ""
)</f>
        <v>514</v>
      </c>
      <c r="I514" s="13">
        <f t="shared" si="31"/>
        <v>0</v>
      </c>
    </row>
    <row r="515" spans="8:9" x14ac:dyDescent="0.15">
      <c r="H5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G515)),
  ROW(),
  ""
)</f>
        <v>515</v>
      </c>
      <c r="I515" s="13">
        <f t="shared" si="31"/>
        <v>0</v>
      </c>
    </row>
    <row r="516" spans="8:9" x14ac:dyDescent="0.15">
      <c r="H5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G516)),
  ROW(),
  ""
)</f>
        <v>516</v>
      </c>
      <c r="I516" s="13">
        <f t="shared" si="31"/>
        <v>0</v>
      </c>
    </row>
    <row r="517" spans="8:9" x14ac:dyDescent="0.15">
      <c r="H5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G517)),
  ROW(),
  ""
)</f>
        <v>517</v>
      </c>
      <c r="I517" s="13">
        <f t="shared" si="31"/>
        <v>0</v>
      </c>
    </row>
    <row r="518" spans="8:9" x14ac:dyDescent="0.15">
      <c r="H5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G518)),
  ROW(),
  ""
)</f>
        <v>518</v>
      </c>
      <c r="I518" s="13">
        <f t="shared" si="31"/>
        <v>0</v>
      </c>
    </row>
    <row r="519" spans="8:9" x14ac:dyDescent="0.15">
      <c r="H5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G519)),
  ROW(),
  ""
)</f>
        <v>519</v>
      </c>
      <c r="I519" s="13">
        <f t="shared" si="31"/>
        <v>0</v>
      </c>
    </row>
    <row r="520" spans="8:9" x14ac:dyDescent="0.15">
      <c r="H5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G520)),
  ROW(),
  ""
)</f>
        <v>520</v>
      </c>
      <c r="I520" s="13">
        <f t="shared" si="31"/>
        <v>0</v>
      </c>
    </row>
    <row r="521" spans="8:9" x14ac:dyDescent="0.15">
      <c r="H5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G521)),
  ROW(),
  ""
)</f>
        <v>521</v>
      </c>
      <c r="I521" s="13">
        <f t="shared" si="31"/>
        <v>0</v>
      </c>
    </row>
    <row r="522" spans="8:9" x14ac:dyDescent="0.15">
      <c r="H5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G522)),
  ROW(),
  ""
)</f>
        <v>522</v>
      </c>
      <c r="I522" s="13">
        <f t="shared" si="31"/>
        <v>0</v>
      </c>
    </row>
    <row r="523" spans="8:9" x14ac:dyDescent="0.15">
      <c r="H5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G523)),
  ROW(),
  ""
)</f>
        <v>523</v>
      </c>
      <c r="I523" s="13">
        <f t="shared" si="31"/>
        <v>0</v>
      </c>
    </row>
    <row r="524" spans="8:9" x14ac:dyDescent="0.15">
      <c r="H5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G524)),
  ROW(),
  ""
)</f>
        <v>524</v>
      </c>
      <c r="I524" s="13">
        <f t="shared" si="31"/>
        <v>0</v>
      </c>
    </row>
    <row r="525" spans="8:9" x14ac:dyDescent="0.15">
      <c r="H5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G525)),
  ROW(),
  ""
)</f>
        <v>525</v>
      </c>
      <c r="I525" s="13">
        <f t="shared" si="31"/>
        <v>0</v>
      </c>
    </row>
    <row r="526" spans="8:9" x14ac:dyDescent="0.15">
      <c r="H5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G526)),
  ROW(),
  ""
)</f>
        <v>526</v>
      </c>
      <c r="I526" s="13">
        <f t="shared" si="31"/>
        <v>0</v>
      </c>
    </row>
    <row r="527" spans="8:9" x14ac:dyDescent="0.15">
      <c r="H5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G527)),
  ROW(),
  ""
)</f>
        <v>527</v>
      </c>
      <c r="I527" s="13">
        <f t="shared" si="31"/>
        <v>0</v>
      </c>
    </row>
    <row r="528" spans="8:9" x14ac:dyDescent="0.15">
      <c r="H5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G528)),
  ROW(),
  ""
)</f>
        <v>528</v>
      </c>
      <c r="I528" s="13">
        <f t="shared" si="31"/>
        <v>0</v>
      </c>
    </row>
    <row r="529" spans="8:9" x14ac:dyDescent="0.15">
      <c r="H5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G529)),
  ROW(),
  ""
)</f>
        <v>529</v>
      </c>
      <c r="I529" s="13">
        <f t="shared" si="31"/>
        <v>0</v>
      </c>
    </row>
    <row r="530" spans="8:9" x14ac:dyDescent="0.15">
      <c r="H5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G530)),
  ROW(),
  ""
)</f>
        <v>530</v>
      </c>
      <c r="I530" s="13">
        <f t="shared" si="31"/>
        <v>0</v>
      </c>
    </row>
    <row r="531" spans="8:9" x14ac:dyDescent="0.15">
      <c r="H5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G531)),
  ROW(),
  ""
)</f>
        <v>531</v>
      </c>
      <c r="I531" s="13">
        <f t="shared" si="31"/>
        <v>0</v>
      </c>
    </row>
    <row r="532" spans="8:9" x14ac:dyDescent="0.15">
      <c r="H5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G532)),
  ROW(),
  ""
)</f>
        <v>532</v>
      </c>
      <c r="I532" s="13">
        <f t="shared" si="31"/>
        <v>0</v>
      </c>
    </row>
    <row r="533" spans="8:9" x14ac:dyDescent="0.15">
      <c r="H5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G533)),
  ROW(),
  ""
)</f>
        <v>533</v>
      </c>
      <c r="I533" s="13">
        <f t="shared" si="31"/>
        <v>0</v>
      </c>
    </row>
    <row r="534" spans="8:9" x14ac:dyDescent="0.15">
      <c r="H5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G534)),
  ROW(),
  ""
)</f>
        <v>534</v>
      </c>
      <c r="I534" s="13">
        <f t="shared" si="31"/>
        <v>0</v>
      </c>
    </row>
    <row r="535" spans="8:9" x14ac:dyDescent="0.15">
      <c r="H5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G535)),
  ROW(),
  ""
)</f>
        <v>535</v>
      </c>
      <c r="I535" s="13">
        <f t="shared" si="31"/>
        <v>0</v>
      </c>
    </row>
    <row r="536" spans="8:9" x14ac:dyDescent="0.15">
      <c r="H5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G536)),
  ROW(),
  ""
)</f>
        <v>536</v>
      </c>
      <c r="I536" s="13">
        <f t="shared" si="31"/>
        <v>0</v>
      </c>
    </row>
    <row r="537" spans="8:9" x14ac:dyDescent="0.15">
      <c r="H5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G537)),
  ROW(),
  ""
)</f>
        <v>537</v>
      </c>
      <c r="I537" s="13">
        <f t="shared" si="31"/>
        <v>0</v>
      </c>
    </row>
    <row r="538" spans="8:9" x14ac:dyDescent="0.15">
      <c r="H5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G538)),
  ROW(),
  ""
)</f>
        <v>538</v>
      </c>
      <c r="I538" s="13">
        <f t="shared" si="31"/>
        <v>0</v>
      </c>
    </row>
    <row r="539" spans="8:9" x14ac:dyDescent="0.15">
      <c r="H5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G539)),
  ROW(),
  ""
)</f>
        <v>539</v>
      </c>
      <c r="I539" s="13">
        <f t="shared" si="31"/>
        <v>0</v>
      </c>
    </row>
    <row r="540" spans="8:9" x14ac:dyDescent="0.15">
      <c r="H5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G540)),
  ROW(),
  ""
)</f>
        <v>540</v>
      </c>
      <c r="I540" s="13">
        <f t="shared" si="31"/>
        <v>0</v>
      </c>
    </row>
    <row r="541" spans="8:9" x14ac:dyDescent="0.15">
      <c r="H5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G541)),
  ROW(),
  ""
)</f>
        <v>541</v>
      </c>
      <c r="I541" s="13">
        <f t="shared" si="31"/>
        <v>0</v>
      </c>
    </row>
    <row r="542" spans="8:9" x14ac:dyDescent="0.15">
      <c r="H5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G542)),
  ROW(),
  ""
)</f>
        <v>542</v>
      </c>
      <c r="I542" s="13">
        <f t="shared" si="31"/>
        <v>0</v>
      </c>
    </row>
    <row r="543" spans="8:9" x14ac:dyDescent="0.15">
      <c r="H5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G543)),
  ROW(),
  ""
)</f>
        <v>543</v>
      </c>
      <c r="I543" s="13">
        <f t="shared" si="31"/>
        <v>0</v>
      </c>
    </row>
    <row r="544" spans="8:9" x14ac:dyDescent="0.15">
      <c r="H5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G544)),
  ROW(),
  ""
)</f>
        <v>544</v>
      </c>
      <c r="I544" s="13">
        <f t="shared" si="31"/>
        <v>0</v>
      </c>
    </row>
    <row r="545" spans="8:9" x14ac:dyDescent="0.15">
      <c r="H5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G545)),
  ROW(),
  ""
)</f>
        <v>545</v>
      </c>
      <c r="I545" s="13">
        <f t="shared" si="31"/>
        <v>0</v>
      </c>
    </row>
    <row r="546" spans="8:9" x14ac:dyDescent="0.15">
      <c r="H5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G546)),
  ROW(),
  ""
)</f>
        <v>546</v>
      </c>
      <c r="I546" s="13">
        <f t="shared" si="31"/>
        <v>0</v>
      </c>
    </row>
    <row r="547" spans="8:9" x14ac:dyDescent="0.15">
      <c r="H5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G547)),
  ROW(),
  ""
)</f>
        <v>547</v>
      </c>
      <c r="I547" s="13">
        <f t="shared" si="31"/>
        <v>0</v>
      </c>
    </row>
    <row r="548" spans="8:9" x14ac:dyDescent="0.15">
      <c r="H5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G548)),
  ROW(),
  ""
)</f>
        <v>548</v>
      </c>
      <c r="I548" s="13">
        <f t="shared" si="31"/>
        <v>0</v>
      </c>
    </row>
    <row r="549" spans="8:9" x14ac:dyDescent="0.15">
      <c r="H5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G549)),
  ROW(),
  ""
)</f>
        <v>549</v>
      </c>
      <c r="I549" s="13">
        <f t="shared" si="31"/>
        <v>0</v>
      </c>
    </row>
    <row r="550" spans="8:9" x14ac:dyDescent="0.15">
      <c r="H5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G550)),
  ROW(),
  ""
)</f>
        <v>550</v>
      </c>
      <c r="I550" s="13">
        <f t="shared" si="31"/>
        <v>0</v>
      </c>
    </row>
    <row r="551" spans="8:9" x14ac:dyDescent="0.15">
      <c r="H5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G551)),
  ROW(),
  ""
)</f>
        <v>551</v>
      </c>
      <c r="I551" s="13">
        <f t="shared" si="31"/>
        <v>0</v>
      </c>
    </row>
    <row r="552" spans="8:9" x14ac:dyDescent="0.15">
      <c r="H5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G552)),
  ROW(),
  ""
)</f>
        <v>552</v>
      </c>
      <c r="I552" s="13">
        <f t="shared" si="31"/>
        <v>0</v>
      </c>
    </row>
    <row r="553" spans="8:9" x14ac:dyDescent="0.15">
      <c r="H5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G553)),
  ROW(),
  ""
)</f>
        <v>553</v>
      </c>
      <c r="I553" s="13">
        <f t="shared" si="31"/>
        <v>0</v>
      </c>
    </row>
    <row r="554" spans="8:9" x14ac:dyDescent="0.15">
      <c r="H5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G554)),
  ROW(),
  ""
)</f>
        <v>554</v>
      </c>
      <c r="I554" s="13">
        <f t="shared" si="31"/>
        <v>0</v>
      </c>
    </row>
    <row r="555" spans="8:9" x14ac:dyDescent="0.15">
      <c r="H5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G555)),
  ROW(),
  ""
)</f>
        <v>555</v>
      </c>
      <c r="I555" s="13">
        <f t="shared" si="31"/>
        <v>0</v>
      </c>
    </row>
    <row r="556" spans="8:9" x14ac:dyDescent="0.15">
      <c r="H5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G556)),
  ROW(),
  ""
)</f>
        <v>556</v>
      </c>
      <c r="I556" s="13">
        <f t="shared" si="31"/>
        <v>0</v>
      </c>
    </row>
    <row r="557" spans="8:9" x14ac:dyDescent="0.15">
      <c r="H5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G557)),
  ROW(),
  ""
)</f>
        <v>557</v>
      </c>
      <c r="I557" s="13">
        <f t="shared" si="31"/>
        <v>0</v>
      </c>
    </row>
    <row r="558" spans="8:9" x14ac:dyDescent="0.15">
      <c r="H5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G558)),
  ROW(),
  ""
)</f>
        <v>558</v>
      </c>
      <c r="I558" s="13">
        <f t="shared" si="31"/>
        <v>0</v>
      </c>
    </row>
    <row r="559" spans="8:9" x14ac:dyDescent="0.15">
      <c r="H5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G559)),
  ROW(),
  ""
)</f>
        <v>559</v>
      </c>
      <c r="I559" s="13">
        <f t="shared" si="31"/>
        <v>0</v>
      </c>
    </row>
    <row r="560" spans="8:9" x14ac:dyDescent="0.15">
      <c r="H5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G560)),
  ROW(),
  ""
)</f>
        <v>560</v>
      </c>
      <c r="I560" s="13">
        <f t="shared" si="31"/>
        <v>0</v>
      </c>
    </row>
    <row r="561" spans="8:9" x14ac:dyDescent="0.15">
      <c r="H5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G561)),
  ROW(),
  ""
)</f>
        <v>561</v>
      </c>
      <c r="I561" s="13">
        <f t="shared" si="31"/>
        <v>0</v>
      </c>
    </row>
    <row r="562" spans="8:9" x14ac:dyDescent="0.15">
      <c r="H5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G562)),
  ROW(),
  ""
)</f>
        <v>562</v>
      </c>
      <c r="I562" s="13">
        <f t="shared" si="31"/>
        <v>0</v>
      </c>
    </row>
    <row r="563" spans="8:9" x14ac:dyDescent="0.15">
      <c r="H5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G563)),
  ROW(),
  ""
)</f>
        <v>563</v>
      </c>
      <c r="I563" s="13">
        <f t="shared" si="31"/>
        <v>0</v>
      </c>
    </row>
    <row r="564" spans="8:9" x14ac:dyDescent="0.15">
      <c r="H5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G564)),
  ROW(),
  ""
)</f>
        <v>564</v>
      </c>
      <c r="I564" s="13">
        <f t="shared" si="31"/>
        <v>0</v>
      </c>
    </row>
    <row r="565" spans="8:9" x14ac:dyDescent="0.15">
      <c r="H5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G565)),
  ROW(),
  ""
)</f>
        <v>565</v>
      </c>
      <c r="I565" s="13">
        <f t="shared" si="31"/>
        <v>0</v>
      </c>
    </row>
    <row r="566" spans="8:9" x14ac:dyDescent="0.15">
      <c r="H5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G566)),
  ROW(),
  ""
)</f>
        <v>566</v>
      </c>
      <c r="I566" s="13">
        <f t="shared" si="31"/>
        <v>0</v>
      </c>
    </row>
    <row r="567" spans="8:9" x14ac:dyDescent="0.15">
      <c r="H5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G567)),
  ROW(),
  ""
)</f>
        <v>567</v>
      </c>
      <c r="I567" s="13">
        <f t="shared" si="31"/>
        <v>0</v>
      </c>
    </row>
    <row r="568" spans="8:9" x14ac:dyDescent="0.15">
      <c r="H5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G568)),
  ROW(),
  ""
)</f>
        <v>568</v>
      </c>
      <c r="I568" s="13">
        <f t="shared" si="31"/>
        <v>0</v>
      </c>
    </row>
    <row r="569" spans="8:9" x14ac:dyDescent="0.15">
      <c r="H5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G569)),
  ROW(),
  ""
)</f>
        <v>569</v>
      </c>
      <c r="I569" s="13">
        <f t="shared" si="31"/>
        <v>0</v>
      </c>
    </row>
    <row r="570" spans="8:9" x14ac:dyDescent="0.15">
      <c r="H5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G570)),
  ROW(),
  ""
)</f>
        <v>570</v>
      </c>
      <c r="I570" s="13">
        <f t="shared" si="31"/>
        <v>0</v>
      </c>
    </row>
    <row r="571" spans="8:9" x14ac:dyDescent="0.15">
      <c r="H5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G571)),
  ROW(),
  ""
)</f>
        <v>571</v>
      </c>
      <c r="I571" s="13">
        <f t="shared" si="31"/>
        <v>0</v>
      </c>
    </row>
    <row r="572" spans="8:9" x14ac:dyDescent="0.15">
      <c r="H5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G572)),
  ROW(),
  ""
)</f>
        <v>572</v>
      </c>
      <c r="I572" s="13">
        <f t="shared" si="31"/>
        <v>0</v>
      </c>
    </row>
    <row r="573" spans="8:9" x14ac:dyDescent="0.15">
      <c r="H5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G573)),
  ROW(),
  ""
)</f>
        <v>573</v>
      </c>
      <c r="I573" s="13">
        <f t="shared" si="31"/>
        <v>0</v>
      </c>
    </row>
    <row r="574" spans="8:9" x14ac:dyDescent="0.15">
      <c r="H5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G574)),
  ROW(),
  ""
)</f>
        <v>574</v>
      </c>
      <c r="I574" s="13">
        <f t="shared" si="31"/>
        <v>0</v>
      </c>
    </row>
    <row r="575" spans="8:9" x14ac:dyDescent="0.15">
      <c r="H5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G575)),
  ROW(),
  ""
)</f>
        <v>575</v>
      </c>
      <c r="I575" s="13">
        <f t="shared" si="31"/>
        <v>0</v>
      </c>
    </row>
    <row r="576" spans="8:9" x14ac:dyDescent="0.15">
      <c r="H5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G576)),
  ROW(),
  ""
)</f>
        <v>576</v>
      </c>
      <c r="I576" s="13">
        <f t="shared" ref="I576:I639" si="32">INDEX(G:G,SMALL($H$4:$H$1113,ROW(G573)))</f>
        <v>0</v>
      </c>
    </row>
    <row r="577" spans="8:9" x14ac:dyDescent="0.15">
      <c r="H5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G577)),
  ROW(),
  ""
)</f>
        <v>577</v>
      </c>
      <c r="I577" s="13">
        <f t="shared" si="32"/>
        <v>0</v>
      </c>
    </row>
    <row r="578" spans="8:9" x14ac:dyDescent="0.15">
      <c r="H5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G578)),
  ROW(),
  ""
)</f>
        <v>578</v>
      </c>
      <c r="I578" s="13">
        <f t="shared" si="32"/>
        <v>0</v>
      </c>
    </row>
    <row r="579" spans="8:9" x14ac:dyDescent="0.15">
      <c r="H5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G579)),
  ROW(),
  ""
)</f>
        <v>579</v>
      </c>
      <c r="I579" s="13">
        <f t="shared" si="32"/>
        <v>0</v>
      </c>
    </row>
    <row r="580" spans="8:9" x14ac:dyDescent="0.15">
      <c r="H5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G580)),
  ROW(),
  ""
)</f>
        <v>580</v>
      </c>
      <c r="I580" s="13">
        <f t="shared" si="32"/>
        <v>0</v>
      </c>
    </row>
    <row r="581" spans="8:9" x14ac:dyDescent="0.15">
      <c r="H5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G581)),
  ROW(),
  ""
)</f>
        <v>581</v>
      </c>
      <c r="I581" s="13">
        <f t="shared" si="32"/>
        <v>0</v>
      </c>
    </row>
    <row r="582" spans="8:9" x14ac:dyDescent="0.15">
      <c r="H5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G582)),
  ROW(),
  ""
)</f>
        <v>582</v>
      </c>
      <c r="I582" s="13">
        <f t="shared" si="32"/>
        <v>0</v>
      </c>
    </row>
    <row r="583" spans="8:9" x14ac:dyDescent="0.15">
      <c r="H5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G583)),
  ROW(),
  ""
)</f>
        <v>583</v>
      </c>
      <c r="I583" s="13">
        <f t="shared" si="32"/>
        <v>0</v>
      </c>
    </row>
    <row r="584" spans="8:9" x14ac:dyDescent="0.15">
      <c r="H5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G584)),
  ROW(),
  ""
)</f>
        <v>584</v>
      </c>
      <c r="I584" s="13">
        <f t="shared" si="32"/>
        <v>0</v>
      </c>
    </row>
    <row r="585" spans="8:9" x14ac:dyDescent="0.15">
      <c r="H5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G585)),
  ROW(),
  ""
)</f>
        <v>585</v>
      </c>
      <c r="I585" s="13">
        <f t="shared" si="32"/>
        <v>0</v>
      </c>
    </row>
    <row r="586" spans="8:9" x14ac:dyDescent="0.15">
      <c r="H5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G586)),
  ROW(),
  ""
)</f>
        <v>586</v>
      </c>
      <c r="I586" s="13">
        <f t="shared" si="32"/>
        <v>0</v>
      </c>
    </row>
    <row r="587" spans="8:9" x14ac:dyDescent="0.15">
      <c r="H5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G587)),
  ROW(),
  ""
)</f>
        <v>587</v>
      </c>
      <c r="I587" s="13">
        <f t="shared" si="32"/>
        <v>0</v>
      </c>
    </row>
    <row r="588" spans="8:9" x14ac:dyDescent="0.15">
      <c r="H5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G588)),
  ROW(),
  ""
)</f>
        <v>588</v>
      </c>
      <c r="I588" s="13">
        <f t="shared" si="32"/>
        <v>0</v>
      </c>
    </row>
    <row r="589" spans="8:9" x14ac:dyDescent="0.15">
      <c r="H5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G589)),
  ROW(),
  ""
)</f>
        <v>589</v>
      </c>
      <c r="I589" s="13">
        <f t="shared" si="32"/>
        <v>0</v>
      </c>
    </row>
    <row r="590" spans="8:9" x14ac:dyDescent="0.15">
      <c r="H5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G590)),
  ROW(),
  ""
)</f>
        <v>590</v>
      </c>
      <c r="I590" s="13">
        <f t="shared" si="32"/>
        <v>0</v>
      </c>
    </row>
    <row r="591" spans="8:9" x14ac:dyDescent="0.15">
      <c r="H5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G591)),
  ROW(),
  ""
)</f>
        <v>591</v>
      </c>
      <c r="I591" s="13">
        <f t="shared" si="32"/>
        <v>0</v>
      </c>
    </row>
    <row r="592" spans="8:9" x14ac:dyDescent="0.15">
      <c r="H5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G592)),
  ROW(),
  ""
)</f>
        <v>592</v>
      </c>
      <c r="I592" s="13">
        <f t="shared" si="32"/>
        <v>0</v>
      </c>
    </row>
    <row r="593" spans="8:9" x14ac:dyDescent="0.15">
      <c r="H5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G593)),
  ROW(),
  ""
)</f>
        <v>593</v>
      </c>
      <c r="I593" s="13">
        <f t="shared" si="32"/>
        <v>0</v>
      </c>
    </row>
    <row r="594" spans="8:9" x14ac:dyDescent="0.15">
      <c r="H5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G594)),
  ROW(),
  ""
)</f>
        <v>594</v>
      </c>
      <c r="I594" s="13">
        <f t="shared" si="32"/>
        <v>0</v>
      </c>
    </row>
    <row r="595" spans="8:9" x14ac:dyDescent="0.15">
      <c r="H5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G595)),
  ROW(),
  ""
)</f>
        <v>595</v>
      </c>
      <c r="I595" s="13">
        <f t="shared" si="32"/>
        <v>0</v>
      </c>
    </row>
    <row r="596" spans="8:9" x14ac:dyDescent="0.15">
      <c r="H5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G596)),
  ROW(),
  ""
)</f>
        <v>596</v>
      </c>
      <c r="I596" s="13">
        <f t="shared" si="32"/>
        <v>0</v>
      </c>
    </row>
    <row r="597" spans="8:9" x14ac:dyDescent="0.15">
      <c r="H5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G597)),
  ROW(),
  ""
)</f>
        <v>597</v>
      </c>
      <c r="I597" s="13">
        <f t="shared" si="32"/>
        <v>0</v>
      </c>
    </row>
    <row r="598" spans="8:9" x14ac:dyDescent="0.15">
      <c r="H5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G598)),
  ROW(),
  ""
)</f>
        <v>598</v>
      </c>
      <c r="I598" s="13">
        <f t="shared" si="32"/>
        <v>0</v>
      </c>
    </row>
    <row r="599" spans="8:9" x14ac:dyDescent="0.15">
      <c r="H5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G599)),
  ROW(),
  ""
)</f>
        <v>599</v>
      </c>
      <c r="I599" s="13">
        <f t="shared" si="32"/>
        <v>0</v>
      </c>
    </row>
    <row r="600" spans="8:9" x14ac:dyDescent="0.15">
      <c r="H6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G600)),
  ROW(),
  ""
)</f>
        <v>600</v>
      </c>
      <c r="I600" s="13">
        <f t="shared" si="32"/>
        <v>0</v>
      </c>
    </row>
    <row r="601" spans="8:9" x14ac:dyDescent="0.15">
      <c r="H6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G601)),
  ROW(),
  ""
)</f>
        <v>601</v>
      </c>
      <c r="I601" s="13">
        <f t="shared" si="32"/>
        <v>0</v>
      </c>
    </row>
    <row r="602" spans="8:9" x14ac:dyDescent="0.15">
      <c r="H6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G602)),
  ROW(),
  ""
)</f>
        <v>602</v>
      </c>
      <c r="I602" s="13">
        <f t="shared" si="32"/>
        <v>0</v>
      </c>
    </row>
    <row r="603" spans="8:9" x14ac:dyDescent="0.15">
      <c r="H6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G603)),
  ROW(),
  ""
)</f>
        <v>603</v>
      </c>
      <c r="I603" s="13">
        <f t="shared" si="32"/>
        <v>0</v>
      </c>
    </row>
    <row r="604" spans="8:9" x14ac:dyDescent="0.15">
      <c r="H6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G604)),
  ROW(),
  ""
)</f>
        <v>604</v>
      </c>
      <c r="I604" s="13">
        <f t="shared" si="32"/>
        <v>0</v>
      </c>
    </row>
    <row r="605" spans="8:9" x14ac:dyDescent="0.15">
      <c r="H6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G605)),
  ROW(),
  ""
)</f>
        <v>605</v>
      </c>
      <c r="I605" s="13">
        <f t="shared" si="32"/>
        <v>0</v>
      </c>
    </row>
    <row r="606" spans="8:9" x14ac:dyDescent="0.15">
      <c r="H6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G606)),
  ROW(),
  ""
)</f>
        <v>606</v>
      </c>
      <c r="I606" s="13">
        <f t="shared" si="32"/>
        <v>0</v>
      </c>
    </row>
    <row r="607" spans="8:9" x14ac:dyDescent="0.15">
      <c r="H6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G607)),
  ROW(),
  ""
)</f>
        <v>607</v>
      </c>
      <c r="I607" s="13">
        <f t="shared" si="32"/>
        <v>0</v>
      </c>
    </row>
    <row r="608" spans="8:9" x14ac:dyDescent="0.15">
      <c r="H6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G608)),
  ROW(),
  ""
)</f>
        <v>608</v>
      </c>
      <c r="I608" s="13">
        <f t="shared" si="32"/>
        <v>0</v>
      </c>
    </row>
    <row r="609" spans="8:9" x14ac:dyDescent="0.15">
      <c r="H6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G609)),
  ROW(),
  ""
)</f>
        <v>609</v>
      </c>
      <c r="I609" s="13">
        <f t="shared" si="32"/>
        <v>0</v>
      </c>
    </row>
    <row r="610" spans="8:9" x14ac:dyDescent="0.15">
      <c r="H6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G610)),
  ROW(),
  ""
)</f>
        <v>610</v>
      </c>
      <c r="I610" s="13">
        <f t="shared" si="32"/>
        <v>0</v>
      </c>
    </row>
    <row r="611" spans="8:9" x14ac:dyDescent="0.15">
      <c r="H6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G611)),
  ROW(),
  ""
)</f>
        <v>611</v>
      </c>
      <c r="I611" s="13">
        <f t="shared" si="32"/>
        <v>0</v>
      </c>
    </row>
    <row r="612" spans="8:9" x14ac:dyDescent="0.15">
      <c r="H6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G612)),
  ROW(),
  ""
)</f>
        <v>612</v>
      </c>
      <c r="I612" s="13">
        <f t="shared" si="32"/>
        <v>0</v>
      </c>
    </row>
    <row r="613" spans="8:9" x14ac:dyDescent="0.15">
      <c r="H6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G613)),
  ROW(),
  ""
)</f>
        <v>613</v>
      </c>
      <c r="I613" s="13">
        <f t="shared" si="32"/>
        <v>0</v>
      </c>
    </row>
    <row r="614" spans="8:9" x14ac:dyDescent="0.15">
      <c r="H6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G614)),
  ROW(),
  ""
)</f>
        <v>614</v>
      </c>
      <c r="I614" s="13">
        <f t="shared" si="32"/>
        <v>0</v>
      </c>
    </row>
    <row r="615" spans="8:9" x14ac:dyDescent="0.15">
      <c r="H6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G615)),
  ROW(),
  ""
)</f>
        <v>615</v>
      </c>
      <c r="I615" s="13">
        <f t="shared" si="32"/>
        <v>0</v>
      </c>
    </row>
    <row r="616" spans="8:9" x14ac:dyDescent="0.15">
      <c r="H6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G616)),
  ROW(),
  ""
)</f>
        <v>616</v>
      </c>
      <c r="I616" s="13">
        <f t="shared" si="32"/>
        <v>0</v>
      </c>
    </row>
    <row r="617" spans="8:9" x14ac:dyDescent="0.15">
      <c r="H6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G617)),
  ROW(),
  ""
)</f>
        <v>617</v>
      </c>
      <c r="I617" s="13">
        <f t="shared" si="32"/>
        <v>0</v>
      </c>
    </row>
    <row r="618" spans="8:9" x14ac:dyDescent="0.15">
      <c r="H6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G618)),
  ROW(),
  ""
)</f>
        <v>618</v>
      </c>
      <c r="I618" s="13">
        <f t="shared" si="32"/>
        <v>0</v>
      </c>
    </row>
    <row r="619" spans="8:9" x14ac:dyDescent="0.15">
      <c r="H6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G619)),
  ROW(),
  ""
)</f>
        <v>619</v>
      </c>
      <c r="I619" s="13">
        <f t="shared" si="32"/>
        <v>0</v>
      </c>
    </row>
    <row r="620" spans="8:9" x14ac:dyDescent="0.15">
      <c r="H6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G620)),
  ROW(),
  ""
)</f>
        <v>620</v>
      </c>
      <c r="I620" s="13">
        <f t="shared" si="32"/>
        <v>0</v>
      </c>
    </row>
    <row r="621" spans="8:9" x14ac:dyDescent="0.15">
      <c r="H6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G621)),
  ROW(),
  ""
)</f>
        <v>621</v>
      </c>
      <c r="I621" s="13">
        <f t="shared" si="32"/>
        <v>0</v>
      </c>
    </row>
    <row r="622" spans="8:9" x14ac:dyDescent="0.15">
      <c r="H6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G622)),
  ROW(),
  ""
)</f>
        <v>622</v>
      </c>
      <c r="I622" s="13">
        <f t="shared" si="32"/>
        <v>0</v>
      </c>
    </row>
    <row r="623" spans="8:9" x14ac:dyDescent="0.15">
      <c r="H6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G623)),
  ROW(),
  ""
)</f>
        <v>623</v>
      </c>
      <c r="I623" s="13">
        <f t="shared" si="32"/>
        <v>0</v>
      </c>
    </row>
    <row r="624" spans="8:9" x14ac:dyDescent="0.15">
      <c r="H6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G624)),
  ROW(),
  ""
)</f>
        <v>624</v>
      </c>
      <c r="I624" s="13">
        <f t="shared" si="32"/>
        <v>0</v>
      </c>
    </row>
    <row r="625" spans="8:9" x14ac:dyDescent="0.15">
      <c r="H6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G625)),
  ROW(),
  ""
)</f>
        <v>625</v>
      </c>
      <c r="I625" s="13">
        <f t="shared" si="32"/>
        <v>0</v>
      </c>
    </row>
    <row r="626" spans="8:9" x14ac:dyDescent="0.15">
      <c r="H6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G626)),
  ROW(),
  ""
)</f>
        <v>626</v>
      </c>
      <c r="I626" s="13">
        <f t="shared" si="32"/>
        <v>0</v>
      </c>
    </row>
    <row r="627" spans="8:9" x14ac:dyDescent="0.15">
      <c r="H6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G627)),
  ROW(),
  ""
)</f>
        <v>627</v>
      </c>
      <c r="I627" s="13">
        <f t="shared" si="32"/>
        <v>0</v>
      </c>
    </row>
    <row r="628" spans="8:9" x14ac:dyDescent="0.15">
      <c r="H6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G628)),
  ROW(),
  ""
)</f>
        <v>628</v>
      </c>
      <c r="I628" s="13">
        <f t="shared" si="32"/>
        <v>0</v>
      </c>
    </row>
    <row r="629" spans="8:9" x14ac:dyDescent="0.15">
      <c r="H6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G629)),
  ROW(),
  ""
)</f>
        <v>629</v>
      </c>
      <c r="I629" s="13">
        <f t="shared" si="32"/>
        <v>0</v>
      </c>
    </row>
    <row r="630" spans="8:9" x14ac:dyDescent="0.15">
      <c r="H6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G630)),
  ROW(),
  ""
)</f>
        <v>630</v>
      </c>
      <c r="I630" s="13">
        <f t="shared" si="32"/>
        <v>0</v>
      </c>
    </row>
    <row r="631" spans="8:9" x14ac:dyDescent="0.15">
      <c r="H6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G631)),
  ROW(),
  ""
)</f>
        <v>631</v>
      </c>
      <c r="I631" s="13">
        <f t="shared" si="32"/>
        <v>0</v>
      </c>
    </row>
    <row r="632" spans="8:9" x14ac:dyDescent="0.15">
      <c r="H6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G632)),
  ROW(),
  ""
)</f>
        <v>632</v>
      </c>
      <c r="I632" s="13">
        <f t="shared" si="32"/>
        <v>0</v>
      </c>
    </row>
    <row r="633" spans="8:9" x14ac:dyDescent="0.15">
      <c r="H6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G633)),
  ROW(),
  ""
)</f>
        <v>633</v>
      </c>
      <c r="I633" s="13">
        <f t="shared" si="32"/>
        <v>0</v>
      </c>
    </row>
    <row r="634" spans="8:9" x14ac:dyDescent="0.15">
      <c r="H6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G634)),
  ROW(),
  ""
)</f>
        <v>634</v>
      </c>
      <c r="I634" s="13">
        <f t="shared" si="32"/>
        <v>0</v>
      </c>
    </row>
    <row r="635" spans="8:9" x14ac:dyDescent="0.15">
      <c r="H6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G635)),
  ROW(),
  ""
)</f>
        <v>635</v>
      </c>
      <c r="I635" s="13">
        <f t="shared" si="32"/>
        <v>0</v>
      </c>
    </row>
    <row r="636" spans="8:9" x14ac:dyDescent="0.15">
      <c r="H6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G636)),
  ROW(),
  ""
)</f>
        <v>636</v>
      </c>
      <c r="I636" s="13">
        <f t="shared" si="32"/>
        <v>0</v>
      </c>
    </row>
    <row r="637" spans="8:9" x14ac:dyDescent="0.15">
      <c r="H6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G637)),
  ROW(),
  ""
)</f>
        <v>637</v>
      </c>
      <c r="I637" s="13">
        <f t="shared" si="32"/>
        <v>0</v>
      </c>
    </row>
    <row r="638" spans="8:9" x14ac:dyDescent="0.15">
      <c r="H6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G638)),
  ROW(),
  ""
)</f>
        <v>638</v>
      </c>
      <c r="I638" s="13">
        <f t="shared" si="32"/>
        <v>0</v>
      </c>
    </row>
    <row r="639" spans="8:9" x14ac:dyDescent="0.15">
      <c r="H6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G639)),
  ROW(),
  ""
)</f>
        <v>639</v>
      </c>
      <c r="I639" s="13">
        <f t="shared" si="32"/>
        <v>0</v>
      </c>
    </row>
    <row r="640" spans="8:9" x14ac:dyDescent="0.15">
      <c r="H6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G640)),
  ROW(),
  ""
)</f>
        <v>640</v>
      </c>
      <c r="I640" s="13">
        <f t="shared" ref="I640:I703" si="33">INDEX(G:G,SMALL($H$4:$H$1113,ROW(G637)))</f>
        <v>0</v>
      </c>
    </row>
    <row r="641" spans="8:9" x14ac:dyDescent="0.15">
      <c r="H6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G641)),
  ROW(),
  ""
)</f>
        <v>641</v>
      </c>
      <c r="I641" s="13">
        <f t="shared" si="33"/>
        <v>0</v>
      </c>
    </row>
    <row r="642" spans="8:9" x14ac:dyDescent="0.15">
      <c r="H6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G642)),
  ROW(),
  ""
)</f>
        <v>642</v>
      </c>
      <c r="I642" s="13">
        <f t="shared" si="33"/>
        <v>0</v>
      </c>
    </row>
    <row r="643" spans="8:9" x14ac:dyDescent="0.15">
      <c r="H6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G643)),
  ROW(),
  ""
)</f>
        <v>643</v>
      </c>
      <c r="I643" s="13">
        <f t="shared" si="33"/>
        <v>0</v>
      </c>
    </row>
    <row r="644" spans="8:9" x14ac:dyDescent="0.15">
      <c r="H6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G644)),
  ROW(),
  ""
)</f>
        <v>644</v>
      </c>
      <c r="I644" s="13">
        <f t="shared" si="33"/>
        <v>0</v>
      </c>
    </row>
    <row r="645" spans="8:9" x14ac:dyDescent="0.15">
      <c r="H6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G645)),
  ROW(),
  ""
)</f>
        <v>645</v>
      </c>
      <c r="I645" s="13">
        <f t="shared" si="33"/>
        <v>0</v>
      </c>
    </row>
    <row r="646" spans="8:9" x14ac:dyDescent="0.15">
      <c r="H6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G646)),
  ROW(),
  ""
)</f>
        <v>646</v>
      </c>
      <c r="I646" s="13">
        <f t="shared" si="33"/>
        <v>0</v>
      </c>
    </row>
    <row r="647" spans="8:9" x14ac:dyDescent="0.15">
      <c r="H6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G647)),
  ROW(),
  ""
)</f>
        <v>647</v>
      </c>
      <c r="I647" s="13">
        <f t="shared" si="33"/>
        <v>0</v>
      </c>
    </row>
    <row r="648" spans="8:9" x14ac:dyDescent="0.15">
      <c r="H6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G648)),
  ROW(),
  ""
)</f>
        <v>648</v>
      </c>
      <c r="I648" s="13">
        <f t="shared" si="33"/>
        <v>0</v>
      </c>
    </row>
    <row r="649" spans="8:9" x14ac:dyDescent="0.15">
      <c r="H6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G649)),
  ROW(),
  ""
)</f>
        <v>649</v>
      </c>
      <c r="I649" s="13">
        <f t="shared" si="33"/>
        <v>0</v>
      </c>
    </row>
    <row r="650" spans="8:9" x14ac:dyDescent="0.15">
      <c r="H6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G650)),
  ROW(),
  ""
)</f>
        <v>650</v>
      </c>
      <c r="I650" s="13">
        <f t="shared" si="33"/>
        <v>0</v>
      </c>
    </row>
    <row r="651" spans="8:9" x14ac:dyDescent="0.15">
      <c r="H6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G651)),
  ROW(),
  ""
)</f>
        <v>651</v>
      </c>
      <c r="I651" s="13">
        <f t="shared" si="33"/>
        <v>0</v>
      </c>
    </row>
    <row r="652" spans="8:9" x14ac:dyDescent="0.15">
      <c r="H6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G652)),
  ROW(),
  ""
)</f>
        <v>652</v>
      </c>
      <c r="I652" s="13">
        <f t="shared" si="33"/>
        <v>0</v>
      </c>
    </row>
    <row r="653" spans="8:9" x14ac:dyDescent="0.15">
      <c r="H6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G653)),
  ROW(),
  ""
)</f>
        <v>653</v>
      </c>
      <c r="I653" s="13">
        <f t="shared" si="33"/>
        <v>0</v>
      </c>
    </row>
    <row r="654" spans="8:9" x14ac:dyDescent="0.15">
      <c r="H6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G654)),
  ROW(),
  ""
)</f>
        <v>654</v>
      </c>
      <c r="I654" s="13">
        <f t="shared" si="33"/>
        <v>0</v>
      </c>
    </row>
    <row r="655" spans="8:9" x14ac:dyDescent="0.15">
      <c r="H6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G655)),
  ROW(),
  ""
)</f>
        <v>655</v>
      </c>
      <c r="I655" s="13">
        <f t="shared" si="33"/>
        <v>0</v>
      </c>
    </row>
    <row r="656" spans="8:9" x14ac:dyDescent="0.15">
      <c r="H6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G656)),
  ROW(),
  ""
)</f>
        <v>656</v>
      </c>
      <c r="I656" s="13">
        <f t="shared" si="33"/>
        <v>0</v>
      </c>
    </row>
    <row r="657" spans="8:9" x14ac:dyDescent="0.15">
      <c r="H6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G657)),
  ROW(),
  ""
)</f>
        <v>657</v>
      </c>
      <c r="I657" s="13">
        <f t="shared" si="33"/>
        <v>0</v>
      </c>
    </row>
    <row r="658" spans="8:9" x14ac:dyDescent="0.15">
      <c r="H6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G658)),
  ROW(),
  ""
)</f>
        <v>658</v>
      </c>
      <c r="I658" s="13">
        <f t="shared" si="33"/>
        <v>0</v>
      </c>
    </row>
    <row r="659" spans="8:9" x14ac:dyDescent="0.15">
      <c r="H6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G659)),
  ROW(),
  ""
)</f>
        <v>659</v>
      </c>
      <c r="I659" s="13">
        <f t="shared" si="33"/>
        <v>0</v>
      </c>
    </row>
    <row r="660" spans="8:9" x14ac:dyDescent="0.15">
      <c r="H6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G660)),
  ROW(),
  ""
)</f>
        <v>660</v>
      </c>
      <c r="I660" s="13">
        <f t="shared" si="33"/>
        <v>0</v>
      </c>
    </row>
    <row r="661" spans="8:9" x14ac:dyDescent="0.15">
      <c r="H6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G661)),
  ROW(),
  ""
)</f>
        <v>661</v>
      </c>
      <c r="I661" s="13">
        <f t="shared" si="33"/>
        <v>0</v>
      </c>
    </row>
    <row r="662" spans="8:9" x14ac:dyDescent="0.15">
      <c r="H6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G662)),
  ROW(),
  ""
)</f>
        <v>662</v>
      </c>
      <c r="I662" s="13">
        <f t="shared" si="33"/>
        <v>0</v>
      </c>
    </row>
    <row r="663" spans="8:9" x14ac:dyDescent="0.15">
      <c r="H6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G663)),
  ROW(),
  ""
)</f>
        <v>663</v>
      </c>
      <c r="I663" s="13">
        <f t="shared" si="33"/>
        <v>0</v>
      </c>
    </row>
    <row r="664" spans="8:9" x14ac:dyDescent="0.15">
      <c r="H6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G664)),
  ROW(),
  ""
)</f>
        <v>664</v>
      </c>
      <c r="I664" s="13">
        <f t="shared" si="33"/>
        <v>0</v>
      </c>
    </row>
    <row r="665" spans="8:9" x14ac:dyDescent="0.15">
      <c r="H6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G665)),
  ROW(),
  ""
)</f>
        <v>665</v>
      </c>
      <c r="I665" s="13">
        <f t="shared" si="33"/>
        <v>0</v>
      </c>
    </row>
    <row r="666" spans="8:9" x14ac:dyDescent="0.15">
      <c r="H6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G666)),
  ROW(),
  ""
)</f>
        <v>666</v>
      </c>
      <c r="I666" s="13">
        <f t="shared" si="33"/>
        <v>0</v>
      </c>
    </row>
    <row r="667" spans="8:9" x14ac:dyDescent="0.15">
      <c r="H6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G667)),
  ROW(),
  ""
)</f>
        <v>667</v>
      </c>
      <c r="I667" s="13">
        <f t="shared" si="33"/>
        <v>0</v>
      </c>
    </row>
    <row r="668" spans="8:9" x14ac:dyDescent="0.15">
      <c r="H6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G668)),
  ROW(),
  ""
)</f>
        <v>668</v>
      </c>
      <c r="I668" s="13">
        <f t="shared" si="33"/>
        <v>0</v>
      </c>
    </row>
    <row r="669" spans="8:9" x14ac:dyDescent="0.15">
      <c r="H6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G669)),
  ROW(),
  ""
)</f>
        <v>669</v>
      </c>
      <c r="I669" s="13">
        <f t="shared" si="33"/>
        <v>0</v>
      </c>
    </row>
    <row r="670" spans="8:9" x14ac:dyDescent="0.15">
      <c r="H6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G670)),
  ROW(),
  ""
)</f>
        <v>670</v>
      </c>
      <c r="I670" s="13">
        <f t="shared" si="33"/>
        <v>0</v>
      </c>
    </row>
    <row r="671" spans="8:9" x14ac:dyDescent="0.15">
      <c r="H6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G671)),
  ROW(),
  ""
)</f>
        <v>671</v>
      </c>
      <c r="I671" s="13">
        <f t="shared" si="33"/>
        <v>0</v>
      </c>
    </row>
    <row r="672" spans="8:9" x14ac:dyDescent="0.15">
      <c r="H6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G672)),
  ROW(),
  ""
)</f>
        <v>672</v>
      </c>
      <c r="I672" s="13">
        <f t="shared" si="33"/>
        <v>0</v>
      </c>
    </row>
    <row r="673" spans="8:9" x14ac:dyDescent="0.15">
      <c r="H6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G673)),
  ROW(),
  ""
)</f>
        <v>673</v>
      </c>
      <c r="I673" s="13">
        <f t="shared" si="33"/>
        <v>0</v>
      </c>
    </row>
    <row r="674" spans="8:9" x14ac:dyDescent="0.15">
      <c r="H6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G674)),
  ROW(),
  ""
)</f>
        <v>674</v>
      </c>
      <c r="I674" s="13">
        <f t="shared" si="33"/>
        <v>0</v>
      </c>
    </row>
    <row r="675" spans="8:9" x14ac:dyDescent="0.15">
      <c r="H6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G675)),
  ROW(),
  ""
)</f>
        <v>675</v>
      </c>
      <c r="I675" s="13">
        <f t="shared" si="33"/>
        <v>0</v>
      </c>
    </row>
    <row r="676" spans="8:9" x14ac:dyDescent="0.15">
      <c r="H6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G676)),
  ROW(),
  ""
)</f>
        <v>676</v>
      </c>
      <c r="I676" s="13">
        <f t="shared" si="33"/>
        <v>0</v>
      </c>
    </row>
    <row r="677" spans="8:9" x14ac:dyDescent="0.15">
      <c r="H6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G677)),
  ROW(),
  ""
)</f>
        <v>677</v>
      </c>
      <c r="I677" s="13">
        <f t="shared" si="33"/>
        <v>0</v>
      </c>
    </row>
    <row r="678" spans="8:9" x14ac:dyDescent="0.15">
      <c r="H6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G678)),
  ROW(),
  ""
)</f>
        <v>678</v>
      </c>
      <c r="I678" s="13">
        <f t="shared" si="33"/>
        <v>0</v>
      </c>
    </row>
    <row r="679" spans="8:9" x14ac:dyDescent="0.15">
      <c r="H6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G679)),
  ROW(),
  ""
)</f>
        <v>679</v>
      </c>
      <c r="I679" s="13">
        <f t="shared" si="33"/>
        <v>0</v>
      </c>
    </row>
    <row r="680" spans="8:9" x14ac:dyDescent="0.15">
      <c r="H6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G680)),
  ROW(),
  ""
)</f>
        <v>680</v>
      </c>
      <c r="I680" s="13">
        <f t="shared" si="33"/>
        <v>0</v>
      </c>
    </row>
    <row r="681" spans="8:9" x14ac:dyDescent="0.15">
      <c r="H6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G681)),
  ROW(),
  ""
)</f>
        <v>681</v>
      </c>
      <c r="I681" s="13">
        <f t="shared" si="33"/>
        <v>0</v>
      </c>
    </row>
    <row r="682" spans="8:9" x14ac:dyDescent="0.15">
      <c r="H6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G682)),
  ROW(),
  ""
)</f>
        <v>682</v>
      </c>
      <c r="I682" s="13">
        <f t="shared" si="33"/>
        <v>0</v>
      </c>
    </row>
    <row r="683" spans="8:9" x14ac:dyDescent="0.15">
      <c r="H6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G683)),
  ROW(),
  ""
)</f>
        <v>683</v>
      </c>
      <c r="I683" s="13">
        <f t="shared" si="33"/>
        <v>0</v>
      </c>
    </row>
    <row r="684" spans="8:9" x14ac:dyDescent="0.15">
      <c r="H6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G684)),
  ROW(),
  ""
)</f>
        <v>684</v>
      </c>
      <c r="I684" s="13">
        <f t="shared" si="33"/>
        <v>0</v>
      </c>
    </row>
    <row r="685" spans="8:9" x14ac:dyDescent="0.15">
      <c r="H6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G685)),
  ROW(),
  ""
)</f>
        <v>685</v>
      </c>
      <c r="I685" s="13">
        <f t="shared" si="33"/>
        <v>0</v>
      </c>
    </row>
    <row r="686" spans="8:9" x14ac:dyDescent="0.15">
      <c r="H6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G686)),
  ROW(),
  ""
)</f>
        <v>686</v>
      </c>
      <c r="I686" s="13">
        <f t="shared" si="33"/>
        <v>0</v>
      </c>
    </row>
    <row r="687" spans="8:9" x14ac:dyDescent="0.15">
      <c r="H6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G687)),
  ROW(),
  ""
)</f>
        <v>687</v>
      </c>
      <c r="I687" s="13">
        <f t="shared" si="33"/>
        <v>0</v>
      </c>
    </row>
    <row r="688" spans="8:9" x14ac:dyDescent="0.15">
      <c r="H6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G688)),
  ROW(),
  ""
)</f>
        <v>688</v>
      </c>
      <c r="I688" s="13">
        <f t="shared" si="33"/>
        <v>0</v>
      </c>
    </row>
    <row r="689" spans="8:9" x14ac:dyDescent="0.15">
      <c r="H6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G689)),
  ROW(),
  ""
)</f>
        <v>689</v>
      </c>
      <c r="I689" s="13">
        <f t="shared" si="33"/>
        <v>0</v>
      </c>
    </row>
    <row r="690" spans="8:9" x14ac:dyDescent="0.15">
      <c r="H6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G690)),
  ROW(),
  ""
)</f>
        <v>690</v>
      </c>
      <c r="I690" s="13">
        <f t="shared" si="33"/>
        <v>0</v>
      </c>
    </row>
    <row r="691" spans="8:9" x14ac:dyDescent="0.15">
      <c r="H6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G691)),
  ROW(),
  ""
)</f>
        <v>691</v>
      </c>
      <c r="I691" s="13">
        <f t="shared" si="33"/>
        <v>0</v>
      </c>
    </row>
    <row r="692" spans="8:9" x14ac:dyDescent="0.15">
      <c r="H6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G692)),
  ROW(),
  ""
)</f>
        <v>692</v>
      </c>
      <c r="I692" s="13">
        <f t="shared" si="33"/>
        <v>0</v>
      </c>
    </row>
    <row r="693" spans="8:9" x14ac:dyDescent="0.15">
      <c r="H6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G693)),
  ROW(),
  ""
)</f>
        <v>693</v>
      </c>
      <c r="I693" s="13">
        <f t="shared" si="33"/>
        <v>0</v>
      </c>
    </row>
    <row r="694" spans="8:9" x14ac:dyDescent="0.15">
      <c r="H6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G694)),
  ROW(),
  ""
)</f>
        <v>694</v>
      </c>
      <c r="I694" s="13">
        <f t="shared" si="33"/>
        <v>0</v>
      </c>
    </row>
    <row r="695" spans="8:9" x14ac:dyDescent="0.15">
      <c r="H6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G695)),
  ROW(),
  ""
)</f>
        <v>695</v>
      </c>
      <c r="I695" s="13">
        <f t="shared" si="33"/>
        <v>0</v>
      </c>
    </row>
    <row r="696" spans="8:9" x14ac:dyDescent="0.15">
      <c r="H6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G696)),
  ROW(),
  ""
)</f>
        <v>696</v>
      </c>
      <c r="I696" s="13">
        <f t="shared" si="33"/>
        <v>0</v>
      </c>
    </row>
    <row r="697" spans="8:9" x14ac:dyDescent="0.15">
      <c r="H6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G697)),
  ROW(),
  ""
)</f>
        <v>697</v>
      </c>
      <c r="I697" s="13">
        <f t="shared" si="33"/>
        <v>0</v>
      </c>
    </row>
    <row r="698" spans="8:9" x14ac:dyDescent="0.15">
      <c r="H6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G698)),
  ROW(),
  ""
)</f>
        <v>698</v>
      </c>
      <c r="I698" s="13">
        <f t="shared" si="33"/>
        <v>0</v>
      </c>
    </row>
    <row r="699" spans="8:9" x14ac:dyDescent="0.15">
      <c r="H6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G699)),
  ROW(),
  ""
)</f>
        <v>699</v>
      </c>
      <c r="I699" s="13">
        <f t="shared" si="33"/>
        <v>0</v>
      </c>
    </row>
    <row r="700" spans="8:9" x14ac:dyDescent="0.15">
      <c r="H7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G700)),
  ROW(),
  ""
)</f>
        <v>700</v>
      </c>
      <c r="I700" s="13">
        <f t="shared" si="33"/>
        <v>0</v>
      </c>
    </row>
    <row r="701" spans="8:9" x14ac:dyDescent="0.15">
      <c r="H7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G701)),
  ROW(),
  ""
)</f>
        <v>701</v>
      </c>
      <c r="I701" s="13">
        <f t="shared" si="33"/>
        <v>0</v>
      </c>
    </row>
    <row r="702" spans="8:9" x14ac:dyDescent="0.15">
      <c r="H7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G702)),
  ROW(),
  ""
)</f>
        <v>702</v>
      </c>
      <c r="I702" s="13">
        <f t="shared" si="33"/>
        <v>0</v>
      </c>
    </row>
    <row r="703" spans="8:9" x14ac:dyDescent="0.15">
      <c r="H7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G703)),
  ROW(),
  ""
)</f>
        <v>703</v>
      </c>
      <c r="I703" s="13">
        <f t="shared" si="33"/>
        <v>0</v>
      </c>
    </row>
    <row r="704" spans="8:9" x14ac:dyDescent="0.15">
      <c r="H7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G704)),
  ROW(),
  ""
)</f>
        <v>704</v>
      </c>
      <c r="I704" s="13">
        <f t="shared" ref="I704:I767" si="34">INDEX(G:G,SMALL($H$4:$H$1113,ROW(G701)))</f>
        <v>0</v>
      </c>
    </row>
    <row r="705" spans="8:9" x14ac:dyDescent="0.15">
      <c r="H7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G705)),
  ROW(),
  ""
)</f>
        <v>705</v>
      </c>
      <c r="I705" s="13">
        <f t="shared" si="34"/>
        <v>0</v>
      </c>
    </row>
    <row r="706" spans="8:9" x14ac:dyDescent="0.15">
      <c r="H7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G706)),
  ROW(),
  ""
)</f>
        <v>706</v>
      </c>
      <c r="I706" s="13">
        <f t="shared" si="34"/>
        <v>0</v>
      </c>
    </row>
    <row r="707" spans="8:9" x14ac:dyDescent="0.15">
      <c r="H7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G707)),
  ROW(),
  ""
)</f>
        <v>707</v>
      </c>
      <c r="I707" s="13">
        <f t="shared" si="34"/>
        <v>0</v>
      </c>
    </row>
    <row r="708" spans="8:9" x14ac:dyDescent="0.15">
      <c r="H7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G708)),
  ROW(),
  ""
)</f>
        <v>708</v>
      </c>
      <c r="I708" s="13">
        <f t="shared" si="34"/>
        <v>0</v>
      </c>
    </row>
    <row r="709" spans="8:9" x14ac:dyDescent="0.15">
      <c r="H7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G709)),
  ROW(),
  ""
)</f>
        <v>709</v>
      </c>
      <c r="I709" s="13">
        <f t="shared" si="34"/>
        <v>0</v>
      </c>
    </row>
    <row r="710" spans="8:9" x14ac:dyDescent="0.15">
      <c r="H7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G710)),
  ROW(),
  ""
)</f>
        <v>710</v>
      </c>
      <c r="I710" s="13">
        <f t="shared" si="34"/>
        <v>0</v>
      </c>
    </row>
    <row r="711" spans="8:9" x14ac:dyDescent="0.15">
      <c r="H7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G711)),
  ROW(),
  ""
)</f>
        <v>711</v>
      </c>
      <c r="I711" s="13">
        <f t="shared" si="34"/>
        <v>0</v>
      </c>
    </row>
    <row r="712" spans="8:9" x14ac:dyDescent="0.15">
      <c r="H7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G712)),
  ROW(),
  ""
)</f>
        <v>712</v>
      </c>
      <c r="I712" s="13">
        <f t="shared" si="34"/>
        <v>0</v>
      </c>
    </row>
    <row r="713" spans="8:9" x14ac:dyDescent="0.15">
      <c r="H7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G713)),
  ROW(),
  ""
)</f>
        <v>713</v>
      </c>
      <c r="I713" s="13">
        <f t="shared" si="34"/>
        <v>0</v>
      </c>
    </row>
    <row r="714" spans="8:9" x14ac:dyDescent="0.15">
      <c r="H7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G714)),
  ROW(),
  ""
)</f>
        <v>714</v>
      </c>
      <c r="I714" s="13">
        <f t="shared" si="34"/>
        <v>0</v>
      </c>
    </row>
    <row r="715" spans="8:9" x14ac:dyDescent="0.15">
      <c r="H7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G715)),
  ROW(),
  ""
)</f>
        <v>715</v>
      </c>
      <c r="I715" s="13">
        <f t="shared" si="34"/>
        <v>0</v>
      </c>
    </row>
    <row r="716" spans="8:9" x14ac:dyDescent="0.15">
      <c r="H7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G716)),
  ROW(),
  ""
)</f>
        <v>716</v>
      </c>
      <c r="I716" s="13">
        <f t="shared" si="34"/>
        <v>0</v>
      </c>
    </row>
    <row r="717" spans="8:9" x14ac:dyDescent="0.15">
      <c r="H7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G717)),
  ROW(),
  ""
)</f>
        <v>717</v>
      </c>
      <c r="I717" s="13">
        <f t="shared" si="34"/>
        <v>0</v>
      </c>
    </row>
    <row r="718" spans="8:9" x14ac:dyDescent="0.15">
      <c r="H7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G718)),
  ROW(),
  ""
)</f>
        <v>718</v>
      </c>
      <c r="I718" s="13">
        <f t="shared" si="34"/>
        <v>0</v>
      </c>
    </row>
    <row r="719" spans="8:9" x14ac:dyDescent="0.15">
      <c r="H7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G719)),
  ROW(),
  ""
)</f>
        <v>719</v>
      </c>
      <c r="I719" s="13">
        <f t="shared" si="34"/>
        <v>0</v>
      </c>
    </row>
    <row r="720" spans="8:9" x14ac:dyDescent="0.15">
      <c r="H7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G720)),
  ROW(),
  ""
)</f>
        <v>720</v>
      </c>
      <c r="I720" s="13">
        <f t="shared" si="34"/>
        <v>0</v>
      </c>
    </row>
    <row r="721" spans="8:9" x14ac:dyDescent="0.15">
      <c r="H7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G721)),
  ROW(),
  ""
)</f>
        <v>721</v>
      </c>
      <c r="I721" s="13">
        <f t="shared" si="34"/>
        <v>0</v>
      </c>
    </row>
    <row r="722" spans="8:9" x14ac:dyDescent="0.15">
      <c r="H7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G722)),
  ROW(),
  ""
)</f>
        <v>722</v>
      </c>
      <c r="I722" s="13">
        <f t="shared" si="34"/>
        <v>0</v>
      </c>
    </row>
    <row r="723" spans="8:9" x14ac:dyDescent="0.15">
      <c r="H7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G723)),
  ROW(),
  ""
)</f>
        <v>723</v>
      </c>
      <c r="I723" s="13">
        <f t="shared" si="34"/>
        <v>0</v>
      </c>
    </row>
    <row r="724" spans="8:9" x14ac:dyDescent="0.15">
      <c r="H7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G724)),
  ROW(),
  ""
)</f>
        <v>724</v>
      </c>
      <c r="I724" s="13">
        <f t="shared" si="34"/>
        <v>0</v>
      </c>
    </row>
    <row r="725" spans="8:9" x14ac:dyDescent="0.15">
      <c r="H7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G725)),
  ROW(),
  ""
)</f>
        <v>725</v>
      </c>
      <c r="I725" s="13">
        <f t="shared" si="34"/>
        <v>0</v>
      </c>
    </row>
    <row r="726" spans="8:9" x14ac:dyDescent="0.15">
      <c r="H7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G726)),
  ROW(),
  ""
)</f>
        <v>726</v>
      </c>
      <c r="I726" s="13">
        <f t="shared" si="34"/>
        <v>0</v>
      </c>
    </row>
    <row r="727" spans="8:9" x14ac:dyDescent="0.15">
      <c r="H7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G727)),
  ROW(),
  ""
)</f>
        <v>727</v>
      </c>
      <c r="I727" s="13">
        <f t="shared" si="34"/>
        <v>0</v>
      </c>
    </row>
    <row r="728" spans="8:9" x14ac:dyDescent="0.15">
      <c r="H7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G728)),
  ROW(),
  ""
)</f>
        <v>728</v>
      </c>
      <c r="I728" s="13">
        <f t="shared" si="34"/>
        <v>0</v>
      </c>
    </row>
    <row r="729" spans="8:9" x14ac:dyDescent="0.15">
      <c r="H7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G729)),
  ROW(),
  ""
)</f>
        <v>729</v>
      </c>
      <c r="I729" s="13">
        <f t="shared" si="34"/>
        <v>0</v>
      </c>
    </row>
    <row r="730" spans="8:9" x14ac:dyDescent="0.15">
      <c r="H7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G730)),
  ROW(),
  ""
)</f>
        <v>730</v>
      </c>
      <c r="I730" s="13">
        <f t="shared" si="34"/>
        <v>0</v>
      </c>
    </row>
    <row r="731" spans="8:9" x14ac:dyDescent="0.15">
      <c r="H7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G731)),
  ROW(),
  ""
)</f>
        <v>731</v>
      </c>
      <c r="I731" s="13">
        <f t="shared" si="34"/>
        <v>0</v>
      </c>
    </row>
    <row r="732" spans="8:9" x14ac:dyDescent="0.15">
      <c r="H7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G732)),
  ROW(),
  ""
)</f>
        <v>732</v>
      </c>
      <c r="I732" s="13">
        <f t="shared" si="34"/>
        <v>0</v>
      </c>
    </row>
    <row r="733" spans="8:9" x14ac:dyDescent="0.15">
      <c r="H7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G733)),
  ROW(),
  ""
)</f>
        <v>733</v>
      </c>
      <c r="I733" s="13">
        <f t="shared" si="34"/>
        <v>0</v>
      </c>
    </row>
    <row r="734" spans="8:9" x14ac:dyDescent="0.15">
      <c r="H7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G734)),
  ROW(),
  ""
)</f>
        <v>734</v>
      </c>
      <c r="I734" s="13">
        <f t="shared" si="34"/>
        <v>0</v>
      </c>
    </row>
    <row r="735" spans="8:9" x14ac:dyDescent="0.15">
      <c r="H7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G735)),
  ROW(),
  ""
)</f>
        <v>735</v>
      </c>
      <c r="I735" s="13">
        <f t="shared" si="34"/>
        <v>0</v>
      </c>
    </row>
    <row r="736" spans="8:9" x14ac:dyDescent="0.15">
      <c r="H7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G736)),
  ROW(),
  ""
)</f>
        <v>736</v>
      </c>
      <c r="I736" s="13">
        <f t="shared" si="34"/>
        <v>0</v>
      </c>
    </row>
    <row r="737" spans="8:9" x14ac:dyDescent="0.15">
      <c r="H7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G737)),
  ROW(),
  ""
)</f>
        <v>737</v>
      </c>
      <c r="I737" s="13">
        <f t="shared" si="34"/>
        <v>0</v>
      </c>
    </row>
    <row r="738" spans="8:9" x14ac:dyDescent="0.15">
      <c r="H7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G738)),
  ROW(),
  ""
)</f>
        <v>738</v>
      </c>
      <c r="I738" s="13">
        <f t="shared" si="34"/>
        <v>0</v>
      </c>
    </row>
    <row r="739" spans="8:9" x14ac:dyDescent="0.15">
      <c r="H7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G739)),
  ROW(),
  ""
)</f>
        <v>739</v>
      </c>
      <c r="I739" s="13">
        <f t="shared" si="34"/>
        <v>0</v>
      </c>
    </row>
    <row r="740" spans="8:9" x14ac:dyDescent="0.15">
      <c r="H7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G740)),
  ROW(),
  ""
)</f>
        <v>740</v>
      </c>
      <c r="I740" s="13">
        <f t="shared" si="34"/>
        <v>0</v>
      </c>
    </row>
    <row r="741" spans="8:9" x14ac:dyDescent="0.15">
      <c r="H7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G741)),
  ROW(),
  ""
)</f>
        <v>741</v>
      </c>
      <c r="I741" s="13">
        <f t="shared" si="34"/>
        <v>0</v>
      </c>
    </row>
    <row r="742" spans="8:9" x14ac:dyDescent="0.15">
      <c r="H7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G742)),
  ROW(),
  ""
)</f>
        <v>742</v>
      </c>
      <c r="I742" s="13">
        <f t="shared" si="34"/>
        <v>0</v>
      </c>
    </row>
    <row r="743" spans="8:9" x14ac:dyDescent="0.15">
      <c r="H7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G743)),
  ROW(),
  ""
)</f>
        <v>743</v>
      </c>
      <c r="I743" s="13">
        <f t="shared" si="34"/>
        <v>0</v>
      </c>
    </row>
    <row r="744" spans="8:9" x14ac:dyDescent="0.15">
      <c r="H7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G744)),
  ROW(),
  ""
)</f>
        <v>744</v>
      </c>
      <c r="I744" s="13">
        <f t="shared" si="34"/>
        <v>0</v>
      </c>
    </row>
    <row r="745" spans="8:9" x14ac:dyDescent="0.15">
      <c r="H7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G745)),
  ROW(),
  ""
)</f>
        <v>745</v>
      </c>
      <c r="I745" s="13">
        <f t="shared" si="34"/>
        <v>0</v>
      </c>
    </row>
    <row r="746" spans="8:9" x14ac:dyDescent="0.15">
      <c r="H7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G746)),
  ROW(),
  ""
)</f>
        <v>746</v>
      </c>
      <c r="I746" s="13">
        <f t="shared" si="34"/>
        <v>0</v>
      </c>
    </row>
    <row r="747" spans="8:9" x14ac:dyDescent="0.15">
      <c r="H7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G747)),
  ROW(),
  ""
)</f>
        <v>747</v>
      </c>
      <c r="I747" s="13">
        <f t="shared" si="34"/>
        <v>0</v>
      </c>
    </row>
    <row r="748" spans="8:9" x14ac:dyDescent="0.15">
      <c r="H7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G748)),
  ROW(),
  ""
)</f>
        <v>748</v>
      </c>
      <c r="I748" s="13">
        <f t="shared" si="34"/>
        <v>0</v>
      </c>
    </row>
    <row r="749" spans="8:9" x14ac:dyDescent="0.15">
      <c r="H7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G749)),
  ROW(),
  ""
)</f>
        <v>749</v>
      </c>
      <c r="I749" s="13">
        <f t="shared" si="34"/>
        <v>0</v>
      </c>
    </row>
    <row r="750" spans="8:9" x14ac:dyDescent="0.15">
      <c r="H7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G750)),
  ROW(),
  ""
)</f>
        <v>750</v>
      </c>
      <c r="I750" s="13">
        <f t="shared" si="34"/>
        <v>0</v>
      </c>
    </row>
    <row r="751" spans="8:9" x14ac:dyDescent="0.15">
      <c r="H7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G751)),
  ROW(),
  ""
)</f>
        <v>751</v>
      </c>
      <c r="I751" s="13">
        <f t="shared" si="34"/>
        <v>0</v>
      </c>
    </row>
    <row r="752" spans="8:9" x14ac:dyDescent="0.15">
      <c r="H7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G752)),
  ROW(),
  ""
)</f>
        <v>752</v>
      </c>
      <c r="I752" s="13">
        <f t="shared" si="34"/>
        <v>0</v>
      </c>
    </row>
    <row r="753" spans="8:9" x14ac:dyDescent="0.15">
      <c r="H7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G753)),
  ROW(),
  ""
)</f>
        <v>753</v>
      </c>
      <c r="I753" s="13">
        <f t="shared" si="34"/>
        <v>0</v>
      </c>
    </row>
    <row r="754" spans="8:9" x14ac:dyDescent="0.15">
      <c r="H7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G754)),
  ROW(),
  ""
)</f>
        <v>754</v>
      </c>
      <c r="I754" s="13">
        <f t="shared" si="34"/>
        <v>0</v>
      </c>
    </row>
    <row r="755" spans="8:9" x14ac:dyDescent="0.15">
      <c r="H7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G755)),
  ROW(),
  ""
)</f>
        <v>755</v>
      </c>
      <c r="I755" s="13">
        <f t="shared" si="34"/>
        <v>0</v>
      </c>
    </row>
    <row r="756" spans="8:9" x14ac:dyDescent="0.15">
      <c r="H7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G756)),
  ROW(),
  ""
)</f>
        <v>756</v>
      </c>
      <c r="I756" s="13">
        <f t="shared" si="34"/>
        <v>0</v>
      </c>
    </row>
    <row r="757" spans="8:9" x14ac:dyDescent="0.15">
      <c r="H7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G757)),
  ROW(),
  ""
)</f>
        <v>757</v>
      </c>
      <c r="I757" s="13">
        <f t="shared" si="34"/>
        <v>0</v>
      </c>
    </row>
    <row r="758" spans="8:9" x14ac:dyDescent="0.15">
      <c r="H7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G758)),
  ROW(),
  ""
)</f>
        <v>758</v>
      </c>
      <c r="I758" s="13">
        <f t="shared" si="34"/>
        <v>0</v>
      </c>
    </row>
    <row r="759" spans="8:9" x14ac:dyDescent="0.15">
      <c r="H7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G759)),
  ROW(),
  ""
)</f>
        <v>759</v>
      </c>
      <c r="I759" s="13">
        <f t="shared" si="34"/>
        <v>0</v>
      </c>
    </row>
    <row r="760" spans="8:9" x14ac:dyDescent="0.15">
      <c r="H7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G760)),
  ROW(),
  ""
)</f>
        <v>760</v>
      </c>
      <c r="I760" s="13">
        <f t="shared" si="34"/>
        <v>0</v>
      </c>
    </row>
    <row r="761" spans="8:9" x14ac:dyDescent="0.15">
      <c r="H7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G761)),
  ROW(),
  ""
)</f>
        <v>761</v>
      </c>
      <c r="I761" s="13">
        <f t="shared" si="34"/>
        <v>0</v>
      </c>
    </row>
    <row r="762" spans="8:9" x14ac:dyDescent="0.15">
      <c r="H7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G762)),
  ROW(),
  ""
)</f>
        <v>762</v>
      </c>
      <c r="I762" s="13">
        <f t="shared" si="34"/>
        <v>0</v>
      </c>
    </row>
    <row r="763" spans="8:9" x14ac:dyDescent="0.15">
      <c r="H7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G763)),
  ROW(),
  ""
)</f>
        <v>763</v>
      </c>
      <c r="I763" s="13">
        <f t="shared" si="34"/>
        <v>0</v>
      </c>
    </row>
    <row r="764" spans="8:9" x14ac:dyDescent="0.15">
      <c r="H7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G764)),
  ROW(),
  ""
)</f>
        <v>764</v>
      </c>
      <c r="I764" s="13">
        <f t="shared" si="34"/>
        <v>0</v>
      </c>
    </row>
    <row r="765" spans="8:9" x14ac:dyDescent="0.15">
      <c r="H7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G765)),
  ROW(),
  ""
)</f>
        <v>765</v>
      </c>
      <c r="I765" s="13">
        <f t="shared" si="34"/>
        <v>0</v>
      </c>
    </row>
    <row r="766" spans="8:9" x14ac:dyDescent="0.15">
      <c r="H7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G766)),
  ROW(),
  ""
)</f>
        <v>766</v>
      </c>
      <c r="I766" s="13">
        <f t="shared" si="34"/>
        <v>0</v>
      </c>
    </row>
    <row r="767" spans="8:9" x14ac:dyDescent="0.15">
      <c r="H7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G767)),
  ROW(),
  ""
)</f>
        <v>767</v>
      </c>
      <c r="I767" s="13">
        <f t="shared" si="34"/>
        <v>0</v>
      </c>
    </row>
    <row r="768" spans="8:9" x14ac:dyDescent="0.15">
      <c r="H7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G768)),
  ROW(),
  ""
)</f>
        <v>768</v>
      </c>
      <c r="I768" s="13">
        <f t="shared" ref="I768:I831" si="35">INDEX(G:G,SMALL($H$4:$H$1113,ROW(G765)))</f>
        <v>0</v>
      </c>
    </row>
    <row r="769" spans="8:9" x14ac:dyDescent="0.15">
      <c r="H7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G769)),
  ROW(),
  ""
)</f>
        <v>769</v>
      </c>
      <c r="I769" s="13">
        <f t="shared" si="35"/>
        <v>0</v>
      </c>
    </row>
    <row r="770" spans="8:9" x14ac:dyDescent="0.15">
      <c r="H7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G770)),
  ROW(),
  ""
)</f>
        <v>770</v>
      </c>
      <c r="I770" s="13">
        <f t="shared" si="35"/>
        <v>0</v>
      </c>
    </row>
    <row r="771" spans="8:9" x14ac:dyDescent="0.15">
      <c r="H7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G771)),
  ROW(),
  ""
)</f>
        <v>771</v>
      </c>
      <c r="I771" s="13">
        <f t="shared" si="35"/>
        <v>0</v>
      </c>
    </row>
    <row r="772" spans="8:9" x14ac:dyDescent="0.15">
      <c r="H7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G772)),
  ROW(),
  ""
)</f>
        <v>772</v>
      </c>
      <c r="I772" s="13">
        <f t="shared" si="35"/>
        <v>0</v>
      </c>
    </row>
    <row r="773" spans="8:9" x14ac:dyDescent="0.15">
      <c r="H7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G773)),
  ROW(),
  ""
)</f>
        <v>773</v>
      </c>
      <c r="I773" s="13">
        <f t="shared" si="35"/>
        <v>0</v>
      </c>
    </row>
    <row r="774" spans="8:9" x14ac:dyDescent="0.15">
      <c r="H7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G774)),
  ROW(),
  ""
)</f>
        <v>774</v>
      </c>
      <c r="I774" s="13">
        <f t="shared" si="35"/>
        <v>0</v>
      </c>
    </row>
    <row r="775" spans="8:9" x14ac:dyDescent="0.15">
      <c r="H7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G775)),
  ROW(),
  ""
)</f>
        <v>775</v>
      </c>
      <c r="I775" s="13">
        <f t="shared" si="35"/>
        <v>0</v>
      </c>
    </row>
    <row r="776" spans="8:9" x14ac:dyDescent="0.15">
      <c r="H7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G776)),
  ROW(),
  ""
)</f>
        <v>776</v>
      </c>
      <c r="I776" s="13">
        <f t="shared" si="35"/>
        <v>0</v>
      </c>
    </row>
    <row r="777" spans="8:9" x14ac:dyDescent="0.15">
      <c r="H7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G777)),
  ROW(),
  ""
)</f>
        <v>777</v>
      </c>
      <c r="I777" s="13">
        <f t="shared" si="35"/>
        <v>0</v>
      </c>
    </row>
    <row r="778" spans="8:9" x14ac:dyDescent="0.15">
      <c r="H7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G778)),
  ROW(),
  ""
)</f>
        <v>778</v>
      </c>
      <c r="I778" s="13">
        <f t="shared" si="35"/>
        <v>0</v>
      </c>
    </row>
    <row r="779" spans="8:9" x14ac:dyDescent="0.15">
      <c r="H7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G779)),
  ROW(),
  ""
)</f>
        <v>779</v>
      </c>
      <c r="I779" s="13">
        <f t="shared" si="35"/>
        <v>0</v>
      </c>
    </row>
    <row r="780" spans="8:9" x14ac:dyDescent="0.15">
      <c r="H7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G780)),
  ROW(),
  ""
)</f>
        <v>780</v>
      </c>
      <c r="I780" s="13">
        <f t="shared" si="35"/>
        <v>0</v>
      </c>
    </row>
    <row r="781" spans="8:9" x14ac:dyDescent="0.15">
      <c r="H7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G781)),
  ROW(),
  ""
)</f>
        <v>781</v>
      </c>
      <c r="I781" s="13">
        <f t="shared" si="35"/>
        <v>0</v>
      </c>
    </row>
    <row r="782" spans="8:9" x14ac:dyDescent="0.15">
      <c r="H7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G782)),
  ROW(),
  ""
)</f>
        <v>782</v>
      </c>
      <c r="I782" s="13">
        <f t="shared" si="35"/>
        <v>0</v>
      </c>
    </row>
    <row r="783" spans="8:9" x14ac:dyDescent="0.15">
      <c r="H7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G783)),
  ROW(),
  ""
)</f>
        <v>783</v>
      </c>
      <c r="I783" s="13">
        <f t="shared" si="35"/>
        <v>0</v>
      </c>
    </row>
    <row r="784" spans="8:9" x14ac:dyDescent="0.15">
      <c r="H7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G784)),
  ROW(),
  ""
)</f>
        <v>784</v>
      </c>
      <c r="I784" s="13">
        <f t="shared" si="35"/>
        <v>0</v>
      </c>
    </row>
    <row r="785" spans="8:9" x14ac:dyDescent="0.15">
      <c r="H7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G785)),
  ROW(),
  ""
)</f>
        <v>785</v>
      </c>
      <c r="I785" s="13">
        <f t="shared" si="35"/>
        <v>0</v>
      </c>
    </row>
    <row r="786" spans="8:9" x14ac:dyDescent="0.15">
      <c r="H7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G786)),
  ROW(),
  ""
)</f>
        <v>786</v>
      </c>
      <c r="I786" s="13">
        <f t="shared" si="35"/>
        <v>0</v>
      </c>
    </row>
    <row r="787" spans="8:9" x14ac:dyDescent="0.15">
      <c r="H7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G787)),
  ROW(),
  ""
)</f>
        <v>787</v>
      </c>
      <c r="I787" s="13">
        <f t="shared" si="35"/>
        <v>0</v>
      </c>
    </row>
    <row r="788" spans="8:9" x14ac:dyDescent="0.15">
      <c r="H7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G788)),
  ROW(),
  ""
)</f>
        <v>788</v>
      </c>
      <c r="I788" s="13">
        <f t="shared" si="35"/>
        <v>0</v>
      </c>
    </row>
    <row r="789" spans="8:9" x14ac:dyDescent="0.15">
      <c r="H7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G789)),
  ROW(),
  ""
)</f>
        <v>789</v>
      </c>
      <c r="I789" s="13">
        <f t="shared" si="35"/>
        <v>0</v>
      </c>
    </row>
    <row r="790" spans="8:9" x14ac:dyDescent="0.15">
      <c r="H7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G790)),
  ROW(),
  ""
)</f>
        <v>790</v>
      </c>
      <c r="I790" s="13">
        <f t="shared" si="35"/>
        <v>0</v>
      </c>
    </row>
    <row r="791" spans="8:9" x14ac:dyDescent="0.15">
      <c r="H7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G791)),
  ROW(),
  ""
)</f>
        <v>791</v>
      </c>
      <c r="I791" s="13">
        <f t="shared" si="35"/>
        <v>0</v>
      </c>
    </row>
    <row r="792" spans="8:9" x14ac:dyDescent="0.15">
      <c r="H7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G792)),
  ROW(),
  ""
)</f>
        <v>792</v>
      </c>
      <c r="I792" s="13">
        <f t="shared" si="35"/>
        <v>0</v>
      </c>
    </row>
    <row r="793" spans="8:9" x14ac:dyDescent="0.15">
      <c r="H7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G793)),
  ROW(),
  ""
)</f>
        <v>793</v>
      </c>
      <c r="I793" s="13">
        <f t="shared" si="35"/>
        <v>0</v>
      </c>
    </row>
    <row r="794" spans="8:9" x14ac:dyDescent="0.15">
      <c r="H7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G794)),
  ROW(),
  ""
)</f>
        <v>794</v>
      </c>
      <c r="I794" s="13">
        <f t="shared" si="35"/>
        <v>0</v>
      </c>
    </row>
    <row r="795" spans="8:9" x14ac:dyDescent="0.15">
      <c r="H7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G795)),
  ROW(),
  ""
)</f>
        <v>795</v>
      </c>
      <c r="I795" s="13">
        <f t="shared" si="35"/>
        <v>0</v>
      </c>
    </row>
    <row r="796" spans="8:9" x14ac:dyDescent="0.15">
      <c r="H7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G796)),
  ROW(),
  ""
)</f>
        <v>796</v>
      </c>
      <c r="I796" s="13">
        <f t="shared" si="35"/>
        <v>0</v>
      </c>
    </row>
    <row r="797" spans="8:9" x14ac:dyDescent="0.15">
      <c r="H7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G797)),
  ROW(),
  ""
)</f>
        <v>797</v>
      </c>
      <c r="I797" s="13">
        <f t="shared" si="35"/>
        <v>0</v>
      </c>
    </row>
    <row r="798" spans="8:9" x14ac:dyDescent="0.15">
      <c r="H7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G798)),
  ROW(),
  ""
)</f>
        <v>798</v>
      </c>
      <c r="I798" s="13">
        <f t="shared" si="35"/>
        <v>0</v>
      </c>
    </row>
    <row r="799" spans="8:9" x14ac:dyDescent="0.15">
      <c r="H7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G799)),
  ROW(),
  ""
)</f>
        <v>799</v>
      </c>
      <c r="I799" s="13">
        <f t="shared" si="35"/>
        <v>0</v>
      </c>
    </row>
    <row r="800" spans="8:9" x14ac:dyDescent="0.15">
      <c r="H8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G800)),
  ROW(),
  ""
)</f>
        <v>800</v>
      </c>
      <c r="I800" s="13">
        <f t="shared" si="35"/>
        <v>0</v>
      </c>
    </row>
    <row r="801" spans="8:9" x14ac:dyDescent="0.15">
      <c r="H8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G801)),
  ROW(),
  ""
)</f>
        <v>801</v>
      </c>
      <c r="I801" s="13">
        <f t="shared" si="35"/>
        <v>0</v>
      </c>
    </row>
    <row r="802" spans="8:9" x14ac:dyDescent="0.15">
      <c r="H8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G802)),
  ROW(),
  ""
)</f>
        <v>802</v>
      </c>
      <c r="I802" s="13">
        <f t="shared" si="35"/>
        <v>0</v>
      </c>
    </row>
    <row r="803" spans="8:9" x14ac:dyDescent="0.15">
      <c r="H8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G803)),
  ROW(),
  ""
)</f>
        <v>803</v>
      </c>
      <c r="I803" s="13">
        <f t="shared" si="35"/>
        <v>0</v>
      </c>
    </row>
    <row r="804" spans="8:9" x14ac:dyDescent="0.15">
      <c r="H8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G804)),
  ROW(),
  ""
)</f>
        <v>804</v>
      </c>
      <c r="I804" s="13">
        <f t="shared" si="35"/>
        <v>0</v>
      </c>
    </row>
    <row r="805" spans="8:9" x14ac:dyDescent="0.15">
      <c r="H8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G805)),
  ROW(),
  ""
)</f>
        <v>805</v>
      </c>
      <c r="I805" s="13">
        <f t="shared" si="35"/>
        <v>0</v>
      </c>
    </row>
    <row r="806" spans="8:9" x14ac:dyDescent="0.15">
      <c r="H8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G806)),
  ROW(),
  ""
)</f>
        <v>806</v>
      </c>
      <c r="I806" s="13">
        <f t="shared" si="35"/>
        <v>0</v>
      </c>
    </row>
    <row r="807" spans="8:9" x14ac:dyDescent="0.15">
      <c r="H8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G807)),
  ROW(),
  ""
)</f>
        <v>807</v>
      </c>
      <c r="I807" s="13">
        <f t="shared" si="35"/>
        <v>0</v>
      </c>
    </row>
    <row r="808" spans="8:9" x14ac:dyDescent="0.15">
      <c r="H8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G808)),
  ROW(),
  ""
)</f>
        <v>808</v>
      </c>
      <c r="I808" s="13">
        <f t="shared" si="35"/>
        <v>0</v>
      </c>
    </row>
    <row r="809" spans="8:9" x14ac:dyDescent="0.15">
      <c r="H8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G809)),
  ROW(),
  ""
)</f>
        <v>809</v>
      </c>
      <c r="I809" s="13">
        <f t="shared" si="35"/>
        <v>0</v>
      </c>
    </row>
    <row r="810" spans="8:9" x14ac:dyDescent="0.15">
      <c r="H8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G810)),
  ROW(),
  ""
)</f>
        <v>810</v>
      </c>
      <c r="I810" s="13">
        <f t="shared" si="35"/>
        <v>0</v>
      </c>
    </row>
    <row r="811" spans="8:9" x14ac:dyDescent="0.15">
      <c r="H8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G811)),
  ROW(),
  ""
)</f>
        <v>811</v>
      </c>
      <c r="I811" s="13">
        <f t="shared" si="35"/>
        <v>0</v>
      </c>
    </row>
    <row r="812" spans="8:9" x14ac:dyDescent="0.15">
      <c r="H8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G812)),
  ROW(),
  ""
)</f>
        <v>812</v>
      </c>
      <c r="I812" s="13">
        <f t="shared" si="35"/>
        <v>0</v>
      </c>
    </row>
    <row r="813" spans="8:9" x14ac:dyDescent="0.15">
      <c r="H8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G813)),
  ROW(),
  ""
)</f>
        <v>813</v>
      </c>
      <c r="I813" s="13">
        <f t="shared" si="35"/>
        <v>0</v>
      </c>
    </row>
    <row r="814" spans="8:9" x14ac:dyDescent="0.15">
      <c r="H8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G814)),
  ROW(),
  ""
)</f>
        <v>814</v>
      </c>
      <c r="I814" s="13">
        <f t="shared" si="35"/>
        <v>0</v>
      </c>
    </row>
    <row r="815" spans="8:9" x14ac:dyDescent="0.15">
      <c r="H8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G815)),
  ROW(),
  ""
)</f>
        <v>815</v>
      </c>
      <c r="I815" s="13">
        <f t="shared" si="35"/>
        <v>0</v>
      </c>
    </row>
    <row r="816" spans="8:9" x14ac:dyDescent="0.15">
      <c r="H8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G816)),
  ROW(),
  ""
)</f>
        <v>816</v>
      </c>
      <c r="I816" s="13">
        <f t="shared" si="35"/>
        <v>0</v>
      </c>
    </row>
    <row r="817" spans="8:9" x14ac:dyDescent="0.15">
      <c r="H8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G817)),
  ROW(),
  ""
)</f>
        <v>817</v>
      </c>
      <c r="I817" s="13">
        <f t="shared" si="35"/>
        <v>0</v>
      </c>
    </row>
    <row r="818" spans="8:9" x14ac:dyDescent="0.15">
      <c r="H8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G818)),
  ROW(),
  ""
)</f>
        <v>818</v>
      </c>
      <c r="I818" s="13">
        <f t="shared" si="35"/>
        <v>0</v>
      </c>
    </row>
    <row r="819" spans="8:9" x14ac:dyDescent="0.15">
      <c r="H8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G819)),
  ROW(),
  ""
)</f>
        <v>819</v>
      </c>
      <c r="I819" s="13">
        <f t="shared" si="35"/>
        <v>0</v>
      </c>
    </row>
    <row r="820" spans="8:9" x14ac:dyDescent="0.15">
      <c r="H8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G820)),
  ROW(),
  ""
)</f>
        <v>820</v>
      </c>
      <c r="I820" s="13">
        <f t="shared" si="35"/>
        <v>0</v>
      </c>
    </row>
    <row r="821" spans="8:9" x14ac:dyDescent="0.15">
      <c r="H8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G821)),
  ROW(),
  ""
)</f>
        <v>821</v>
      </c>
      <c r="I821" s="13">
        <f t="shared" si="35"/>
        <v>0</v>
      </c>
    </row>
    <row r="822" spans="8:9" x14ac:dyDescent="0.15">
      <c r="H8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G822)),
  ROW(),
  ""
)</f>
        <v>822</v>
      </c>
      <c r="I822" s="13">
        <f t="shared" si="35"/>
        <v>0</v>
      </c>
    </row>
    <row r="823" spans="8:9" x14ac:dyDescent="0.15">
      <c r="H8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G823)),
  ROW(),
  ""
)</f>
        <v>823</v>
      </c>
      <c r="I823" s="13">
        <f t="shared" si="35"/>
        <v>0</v>
      </c>
    </row>
    <row r="824" spans="8:9" x14ac:dyDescent="0.15">
      <c r="H8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G824)),
  ROW(),
  ""
)</f>
        <v>824</v>
      </c>
      <c r="I824" s="13">
        <f t="shared" si="35"/>
        <v>0</v>
      </c>
    </row>
    <row r="825" spans="8:9" x14ac:dyDescent="0.15">
      <c r="H8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G825)),
  ROW(),
  ""
)</f>
        <v>825</v>
      </c>
      <c r="I825" s="13">
        <f t="shared" si="35"/>
        <v>0</v>
      </c>
    </row>
    <row r="826" spans="8:9" x14ac:dyDescent="0.15">
      <c r="H8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G826)),
  ROW(),
  ""
)</f>
        <v>826</v>
      </c>
      <c r="I826" s="13">
        <f t="shared" si="35"/>
        <v>0</v>
      </c>
    </row>
    <row r="827" spans="8:9" x14ac:dyDescent="0.15">
      <c r="H8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G827)),
  ROW(),
  ""
)</f>
        <v>827</v>
      </c>
      <c r="I827" s="13">
        <f t="shared" si="35"/>
        <v>0</v>
      </c>
    </row>
    <row r="828" spans="8:9" x14ac:dyDescent="0.15">
      <c r="H8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G828)),
  ROW(),
  ""
)</f>
        <v>828</v>
      </c>
      <c r="I828" s="13">
        <f t="shared" si="35"/>
        <v>0</v>
      </c>
    </row>
    <row r="829" spans="8:9" x14ac:dyDescent="0.15">
      <c r="H8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G829)),
  ROW(),
  ""
)</f>
        <v>829</v>
      </c>
      <c r="I829" s="13">
        <f t="shared" si="35"/>
        <v>0</v>
      </c>
    </row>
    <row r="830" spans="8:9" x14ac:dyDescent="0.15">
      <c r="H8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G830)),
  ROW(),
  ""
)</f>
        <v>830</v>
      </c>
      <c r="I830" s="13">
        <f t="shared" si="35"/>
        <v>0</v>
      </c>
    </row>
    <row r="831" spans="8:9" x14ac:dyDescent="0.15">
      <c r="H8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G831)),
  ROW(),
  ""
)</f>
        <v>831</v>
      </c>
      <c r="I831" s="13">
        <f t="shared" si="35"/>
        <v>0</v>
      </c>
    </row>
    <row r="832" spans="8:9" x14ac:dyDescent="0.15">
      <c r="H8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G832)),
  ROW(),
  ""
)</f>
        <v>832</v>
      </c>
      <c r="I832" s="13">
        <f t="shared" ref="I832:I895" si="36">INDEX(G:G,SMALL($H$4:$H$1113,ROW(G829)))</f>
        <v>0</v>
      </c>
    </row>
    <row r="833" spans="8:9" x14ac:dyDescent="0.15">
      <c r="H8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G833)),
  ROW(),
  ""
)</f>
        <v>833</v>
      </c>
      <c r="I833" s="13">
        <f t="shared" si="36"/>
        <v>0</v>
      </c>
    </row>
    <row r="834" spans="8:9" x14ac:dyDescent="0.15">
      <c r="H8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G834)),
  ROW(),
  ""
)</f>
        <v>834</v>
      </c>
      <c r="I834" s="13">
        <f t="shared" si="36"/>
        <v>0</v>
      </c>
    </row>
    <row r="835" spans="8:9" x14ac:dyDescent="0.15">
      <c r="H8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G835)),
  ROW(),
  ""
)</f>
        <v>835</v>
      </c>
      <c r="I835" s="13">
        <f t="shared" si="36"/>
        <v>0</v>
      </c>
    </row>
    <row r="836" spans="8:9" x14ac:dyDescent="0.15">
      <c r="H8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G836)),
  ROW(),
  ""
)</f>
        <v>836</v>
      </c>
      <c r="I836" s="13">
        <f t="shared" si="36"/>
        <v>0</v>
      </c>
    </row>
    <row r="837" spans="8:9" x14ac:dyDescent="0.15">
      <c r="H8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G837)),
  ROW(),
  ""
)</f>
        <v>837</v>
      </c>
      <c r="I837" s="13">
        <f t="shared" si="36"/>
        <v>0</v>
      </c>
    </row>
    <row r="838" spans="8:9" x14ac:dyDescent="0.15">
      <c r="H8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G838)),
  ROW(),
  ""
)</f>
        <v>838</v>
      </c>
      <c r="I838" s="13">
        <f t="shared" si="36"/>
        <v>0</v>
      </c>
    </row>
    <row r="839" spans="8:9" x14ac:dyDescent="0.15">
      <c r="H8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G839)),
  ROW(),
  ""
)</f>
        <v>839</v>
      </c>
      <c r="I839" s="13">
        <f t="shared" si="36"/>
        <v>0</v>
      </c>
    </row>
    <row r="840" spans="8:9" x14ac:dyDescent="0.15">
      <c r="H8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G840)),
  ROW(),
  ""
)</f>
        <v>840</v>
      </c>
      <c r="I840" s="13">
        <f t="shared" si="36"/>
        <v>0</v>
      </c>
    </row>
    <row r="841" spans="8:9" x14ac:dyDescent="0.15">
      <c r="H8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G841)),
  ROW(),
  ""
)</f>
        <v>841</v>
      </c>
      <c r="I841" s="13">
        <f t="shared" si="36"/>
        <v>0</v>
      </c>
    </row>
    <row r="842" spans="8:9" x14ac:dyDescent="0.15">
      <c r="H8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G842)),
  ROW(),
  ""
)</f>
        <v>842</v>
      </c>
      <c r="I842" s="13">
        <f t="shared" si="36"/>
        <v>0</v>
      </c>
    </row>
    <row r="843" spans="8:9" x14ac:dyDescent="0.15">
      <c r="H8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G843)),
  ROW(),
  ""
)</f>
        <v>843</v>
      </c>
      <c r="I843" s="13">
        <f t="shared" si="36"/>
        <v>0</v>
      </c>
    </row>
    <row r="844" spans="8:9" x14ac:dyDescent="0.15">
      <c r="H8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G844)),
  ROW(),
  ""
)</f>
        <v>844</v>
      </c>
      <c r="I844" s="13">
        <f t="shared" si="36"/>
        <v>0</v>
      </c>
    </row>
    <row r="845" spans="8:9" x14ac:dyDescent="0.15">
      <c r="H8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G845)),
  ROW(),
  ""
)</f>
        <v>845</v>
      </c>
      <c r="I845" s="13">
        <f t="shared" si="36"/>
        <v>0</v>
      </c>
    </row>
    <row r="846" spans="8:9" x14ac:dyDescent="0.15">
      <c r="H8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G846)),
  ROW(),
  ""
)</f>
        <v>846</v>
      </c>
      <c r="I846" s="13">
        <f t="shared" si="36"/>
        <v>0</v>
      </c>
    </row>
    <row r="847" spans="8:9" x14ac:dyDescent="0.15">
      <c r="H8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G847)),
  ROW(),
  ""
)</f>
        <v>847</v>
      </c>
      <c r="I847" s="13">
        <f t="shared" si="36"/>
        <v>0</v>
      </c>
    </row>
    <row r="848" spans="8:9" x14ac:dyDescent="0.15">
      <c r="H8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G848)),
  ROW(),
  ""
)</f>
        <v>848</v>
      </c>
      <c r="I848" s="13">
        <f t="shared" si="36"/>
        <v>0</v>
      </c>
    </row>
    <row r="849" spans="8:9" x14ac:dyDescent="0.15">
      <c r="H8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G849)),
  ROW(),
  ""
)</f>
        <v>849</v>
      </c>
      <c r="I849" s="13">
        <f t="shared" si="36"/>
        <v>0</v>
      </c>
    </row>
    <row r="850" spans="8:9" x14ac:dyDescent="0.15">
      <c r="H8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G850)),
  ROW(),
  ""
)</f>
        <v>850</v>
      </c>
      <c r="I850" s="13">
        <f t="shared" si="36"/>
        <v>0</v>
      </c>
    </row>
    <row r="851" spans="8:9" x14ac:dyDescent="0.15">
      <c r="H8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G851)),
  ROW(),
  ""
)</f>
        <v>851</v>
      </c>
      <c r="I851" s="13">
        <f t="shared" si="36"/>
        <v>0</v>
      </c>
    </row>
    <row r="852" spans="8:9" x14ac:dyDescent="0.15">
      <c r="H8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G852)),
  ROW(),
  ""
)</f>
        <v>852</v>
      </c>
      <c r="I852" s="13">
        <f t="shared" si="36"/>
        <v>0</v>
      </c>
    </row>
    <row r="853" spans="8:9" x14ac:dyDescent="0.15">
      <c r="H8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G853)),
  ROW(),
  ""
)</f>
        <v>853</v>
      </c>
      <c r="I853" s="13">
        <f t="shared" si="36"/>
        <v>0</v>
      </c>
    </row>
    <row r="854" spans="8:9" x14ac:dyDescent="0.15">
      <c r="H8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G854)),
  ROW(),
  ""
)</f>
        <v>854</v>
      </c>
      <c r="I854" s="13">
        <f t="shared" si="36"/>
        <v>0</v>
      </c>
    </row>
    <row r="855" spans="8:9" x14ac:dyDescent="0.15">
      <c r="H8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G855)),
  ROW(),
  ""
)</f>
        <v>855</v>
      </c>
      <c r="I855" s="13">
        <f t="shared" si="36"/>
        <v>0</v>
      </c>
    </row>
    <row r="856" spans="8:9" x14ac:dyDescent="0.15">
      <c r="H8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G856)),
  ROW(),
  ""
)</f>
        <v>856</v>
      </c>
      <c r="I856" s="13">
        <f t="shared" si="36"/>
        <v>0</v>
      </c>
    </row>
    <row r="857" spans="8:9" x14ac:dyDescent="0.15">
      <c r="H8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G857)),
  ROW(),
  ""
)</f>
        <v>857</v>
      </c>
      <c r="I857" s="13">
        <f t="shared" si="36"/>
        <v>0</v>
      </c>
    </row>
    <row r="858" spans="8:9" x14ac:dyDescent="0.15">
      <c r="H8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G858)),
  ROW(),
  ""
)</f>
        <v>858</v>
      </c>
      <c r="I858" s="13">
        <f t="shared" si="36"/>
        <v>0</v>
      </c>
    </row>
    <row r="859" spans="8:9" x14ac:dyDescent="0.15">
      <c r="H8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G859)),
  ROW(),
  ""
)</f>
        <v>859</v>
      </c>
      <c r="I859" s="13">
        <f t="shared" si="36"/>
        <v>0</v>
      </c>
    </row>
    <row r="860" spans="8:9" x14ac:dyDescent="0.15">
      <c r="H8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G860)),
  ROW(),
  ""
)</f>
        <v>860</v>
      </c>
      <c r="I860" s="13">
        <f t="shared" si="36"/>
        <v>0</v>
      </c>
    </row>
    <row r="861" spans="8:9" x14ac:dyDescent="0.15">
      <c r="H8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G861)),
  ROW(),
  ""
)</f>
        <v>861</v>
      </c>
      <c r="I861" s="13">
        <f t="shared" si="36"/>
        <v>0</v>
      </c>
    </row>
    <row r="862" spans="8:9" x14ac:dyDescent="0.15">
      <c r="H8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G862)),
  ROW(),
  ""
)</f>
        <v>862</v>
      </c>
      <c r="I862" s="13">
        <f t="shared" si="36"/>
        <v>0</v>
      </c>
    </row>
    <row r="863" spans="8:9" x14ac:dyDescent="0.15">
      <c r="H8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G863)),
  ROW(),
  ""
)</f>
        <v>863</v>
      </c>
      <c r="I863" s="13">
        <f t="shared" si="36"/>
        <v>0</v>
      </c>
    </row>
    <row r="864" spans="8:9" x14ac:dyDescent="0.15">
      <c r="H8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G864)),
  ROW(),
  ""
)</f>
        <v>864</v>
      </c>
      <c r="I864" s="13">
        <f t="shared" si="36"/>
        <v>0</v>
      </c>
    </row>
    <row r="865" spans="8:9" x14ac:dyDescent="0.15">
      <c r="H8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G865)),
  ROW(),
  ""
)</f>
        <v>865</v>
      </c>
      <c r="I865" s="13">
        <f t="shared" si="36"/>
        <v>0</v>
      </c>
    </row>
    <row r="866" spans="8:9" x14ac:dyDescent="0.15">
      <c r="H8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G866)),
  ROW(),
  ""
)</f>
        <v>866</v>
      </c>
      <c r="I866" s="13">
        <f t="shared" si="36"/>
        <v>0</v>
      </c>
    </row>
    <row r="867" spans="8:9" x14ac:dyDescent="0.15">
      <c r="H8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G867)),
  ROW(),
  ""
)</f>
        <v>867</v>
      </c>
      <c r="I867" s="13">
        <f t="shared" si="36"/>
        <v>0</v>
      </c>
    </row>
    <row r="868" spans="8:9" x14ac:dyDescent="0.15">
      <c r="H8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G868)),
  ROW(),
  ""
)</f>
        <v>868</v>
      </c>
      <c r="I868" s="13">
        <f t="shared" si="36"/>
        <v>0</v>
      </c>
    </row>
    <row r="869" spans="8:9" x14ac:dyDescent="0.15">
      <c r="H8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G869)),
  ROW(),
  ""
)</f>
        <v>869</v>
      </c>
      <c r="I869" s="13">
        <f t="shared" si="36"/>
        <v>0</v>
      </c>
    </row>
    <row r="870" spans="8:9" x14ac:dyDescent="0.15">
      <c r="H8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G870)),
  ROW(),
  ""
)</f>
        <v>870</v>
      </c>
      <c r="I870" s="13">
        <f t="shared" si="36"/>
        <v>0</v>
      </c>
    </row>
    <row r="871" spans="8:9" x14ac:dyDescent="0.15">
      <c r="H8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G871)),
  ROW(),
  ""
)</f>
        <v>871</v>
      </c>
      <c r="I871" s="13">
        <f t="shared" si="36"/>
        <v>0</v>
      </c>
    </row>
    <row r="872" spans="8:9" x14ac:dyDescent="0.15">
      <c r="H8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G872)),
  ROW(),
  ""
)</f>
        <v>872</v>
      </c>
      <c r="I872" s="13">
        <f t="shared" si="36"/>
        <v>0</v>
      </c>
    </row>
    <row r="873" spans="8:9" x14ac:dyDescent="0.15">
      <c r="H8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G873)),
  ROW(),
  ""
)</f>
        <v>873</v>
      </c>
      <c r="I873" s="13">
        <f t="shared" si="36"/>
        <v>0</v>
      </c>
    </row>
    <row r="874" spans="8:9" x14ac:dyDescent="0.15">
      <c r="H8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G874)),
  ROW(),
  ""
)</f>
        <v>874</v>
      </c>
      <c r="I874" s="13">
        <f t="shared" si="36"/>
        <v>0</v>
      </c>
    </row>
    <row r="875" spans="8:9" x14ac:dyDescent="0.15">
      <c r="H8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G875)),
  ROW(),
  ""
)</f>
        <v>875</v>
      </c>
      <c r="I875" s="13">
        <f t="shared" si="36"/>
        <v>0</v>
      </c>
    </row>
    <row r="876" spans="8:9" x14ac:dyDescent="0.15">
      <c r="H8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G876)),
  ROW(),
  ""
)</f>
        <v>876</v>
      </c>
      <c r="I876" s="13">
        <f t="shared" si="36"/>
        <v>0</v>
      </c>
    </row>
    <row r="877" spans="8:9" x14ac:dyDescent="0.15">
      <c r="H8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G877)),
  ROW(),
  ""
)</f>
        <v>877</v>
      </c>
      <c r="I877" s="13">
        <f t="shared" si="36"/>
        <v>0</v>
      </c>
    </row>
    <row r="878" spans="8:9" x14ac:dyDescent="0.15">
      <c r="H8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G878)),
  ROW(),
  ""
)</f>
        <v>878</v>
      </c>
      <c r="I878" s="13">
        <f t="shared" si="36"/>
        <v>0</v>
      </c>
    </row>
    <row r="879" spans="8:9" x14ac:dyDescent="0.15">
      <c r="H8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G879)),
  ROW(),
  ""
)</f>
        <v>879</v>
      </c>
      <c r="I879" s="13">
        <f t="shared" si="36"/>
        <v>0</v>
      </c>
    </row>
    <row r="880" spans="8:9" x14ac:dyDescent="0.15">
      <c r="H8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G880)),
  ROW(),
  ""
)</f>
        <v>880</v>
      </c>
      <c r="I880" s="13">
        <f t="shared" si="36"/>
        <v>0</v>
      </c>
    </row>
    <row r="881" spans="8:9" x14ac:dyDescent="0.15">
      <c r="H8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G881)),
  ROW(),
  ""
)</f>
        <v>881</v>
      </c>
      <c r="I881" s="13">
        <f t="shared" si="36"/>
        <v>0</v>
      </c>
    </row>
    <row r="882" spans="8:9" x14ac:dyDescent="0.15">
      <c r="H8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G882)),
  ROW(),
  ""
)</f>
        <v>882</v>
      </c>
      <c r="I882" s="13">
        <f t="shared" si="36"/>
        <v>0</v>
      </c>
    </row>
    <row r="883" spans="8:9" x14ac:dyDescent="0.15">
      <c r="H8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G883)),
  ROW(),
  ""
)</f>
        <v>883</v>
      </c>
      <c r="I883" s="13">
        <f t="shared" si="36"/>
        <v>0</v>
      </c>
    </row>
    <row r="884" spans="8:9" x14ac:dyDescent="0.15">
      <c r="H8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G884)),
  ROW(),
  ""
)</f>
        <v>884</v>
      </c>
      <c r="I884" s="13">
        <f t="shared" si="36"/>
        <v>0</v>
      </c>
    </row>
    <row r="885" spans="8:9" x14ac:dyDescent="0.15">
      <c r="H8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G885)),
  ROW(),
  ""
)</f>
        <v>885</v>
      </c>
      <c r="I885" s="13">
        <f t="shared" si="36"/>
        <v>0</v>
      </c>
    </row>
    <row r="886" spans="8:9" x14ac:dyDescent="0.15">
      <c r="H8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G886)),
  ROW(),
  ""
)</f>
        <v>886</v>
      </c>
      <c r="I886" s="13">
        <f t="shared" si="36"/>
        <v>0</v>
      </c>
    </row>
    <row r="887" spans="8:9" x14ac:dyDescent="0.15">
      <c r="H8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G887)),
  ROW(),
  ""
)</f>
        <v>887</v>
      </c>
      <c r="I887" s="13">
        <f t="shared" si="36"/>
        <v>0</v>
      </c>
    </row>
    <row r="888" spans="8:9" x14ac:dyDescent="0.15">
      <c r="H8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G888)),
  ROW(),
  ""
)</f>
        <v>888</v>
      </c>
      <c r="I888" s="13">
        <f t="shared" si="36"/>
        <v>0</v>
      </c>
    </row>
    <row r="889" spans="8:9" x14ac:dyDescent="0.15">
      <c r="H8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G889)),
  ROW(),
  ""
)</f>
        <v>889</v>
      </c>
      <c r="I889" s="13">
        <f t="shared" si="36"/>
        <v>0</v>
      </c>
    </row>
    <row r="890" spans="8:9" x14ac:dyDescent="0.15">
      <c r="H8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G890)),
  ROW(),
  ""
)</f>
        <v>890</v>
      </c>
      <c r="I890" s="13">
        <f t="shared" si="36"/>
        <v>0</v>
      </c>
    </row>
    <row r="891" spans="8:9" x14ac:dyDescent="0.15">
      <c r="H8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G891)),
  ROW(),
  ""
)</f>
        <v>891</v>
      </c>
      <c r="I891" s="13">
        <f t="shared" si="36"/>
        <v>0</v>
      </c>
    </row>
    <row r="892" spans="8:9" x14ac:dyDescent="0.15">
      <c r="H8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G892)),
  ROW(),
  ""
)</f>
        <v>892</v>
      </c>
      <c r="I892" s="13">
        <f t="shared" si="36"/>
        <v>0</v>
      </c>
    </row>
    <row r="893" spans="8:9" x14ac:dyDescent="0.15">
      <c r="H8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G893)),
  ROW(),
  ""
)</f>
        <v>893</v>
      </c>
      <c r="I893" s="13">
        <f t="shared" si="36"/>
        <v>0</v>
      </c>
    </row>
    <row r="894" spans="8:9" x14ac:dyDescent="0.15">
      <c r="H8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G894)),
  ROW(),
  ""
)</f>
        <v>894</v>
      </c>
      <c r="I894" s="13">
        <f t="shared" si="36"/>
        <v>0</v>
      </c>
    </row>
    <row r="895" spans="8:9" x14ac:dyDescent="0.15">
      <c r="H8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G895)),
  ROW(),
  ""
)</f>
        <v>895</v>
      </c>
      <c r="I895" s="13">
        <f t="shared" si="36"/>
        <v>0</v>
      </c>
    </row>
    <row r="896" spans="8:9" x14ac:dyDescent="0.15">
      <c r="H8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G896)),
  ROW(),
  ""
)</f>
        <v>896</v>
      </c>
      <c r="I896" s="13">
        <f t="shared" ref="I896:I959" si="37">INDEX(G:G,SMALL($H$4:$H$1113,ROW(G893)))</f>
        <v>0</v>
      </c>
    </row>
    <row r="897" spans="8:9" x14ac:dyDescent="0.15">
      <c r="H8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G897)),
  ROW(),
  ""
)</f>
        <v>897</v>
      </c>
      <c r="I897" s="13">
        <f t="shared" si="37"/>
        <v>0</v>
      </c>
    </row>
    <row r="898" spans="8:9" x14ac:dyDescent="0.15">
      <c r="H8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G898)),
  ROW(),
  ""
)</f>
        <v>898</v>
      </c>
      <c r="I898" s="13">
        <f t="shared" si="37"/>
        <v>0</v>
      </c>
    </row>
    <row r="899" spans="8:9" x14ac:dyDescent="0.15">
      <c r="H8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G899)),
  ROW(),
  ""
)</f>
        <v>899</v>
      </c>
      <c r="I899" s="13">
        <f t="shared" si="37"/>
        <v>0</v>
      </c>
    </row>
    <row r="900" spans="8:9" x14ac:dyDescent="0.15">
      <c r="H9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G900)),
  ROW(),
  ""
)</f>
        <v>900</v>
      </c>
      <c r="I900" s="13">
        <f t="shared" si="37"/>
        <v>0</v>
      </c>
    </row>
    <row r="901" spans="8:9" x14ac:dyDescent="0.15">
      <c r="H9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G901)),
  ROW(),
  ""
)</f>
        <v>901</v>
      </c>
      <c r="I901" s="13">
        <f t="shared" si="37"/>
        <v>0</v>
      </c>
    </row>
    <row r="902" spans="8:9" x14ac:dyDescent="0.15">
      <c r="H9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G902)),
  ROW(),
  ""
)</f>
        <v>902</v>
      </c>
      <c r="I902" s="13">
        <f t="shared" si="37"/>
        <v>0</v>
      </c>
    </row>
    <row r="903" spans="8:9" x14ac:dyDescent="0.15">
      <c r="H9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G903)),
  ROW(),
  ""
)</f>
        <v>903</v>
      </c>
      <c r="I903" s="13">
        <f t="shared" si="37"/>
        <v>0</v>
      </c>
    </row>
    <row r="904" spans="8:9" x14ac:dyDescent="0.15">
      <c r="H9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G904)),
  ROW(),
  ""
)</f>
        <v>904</v>
      </c>
      <c r="I904" s="13">
        <f t="shared" si="37"/>
        <v>0</v>
      </c>
    </row>
    <row r="905" spans="8:9" x14ac:dyDescent="0.15">
      <c r="H9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G905)),
  ROW(),
  ""
)</f>
        <v>905</v>
      </c>
      <c r="I905" s="13">
        <f t="shared" si="37"/>
        <v>0</v>
      </c>
    </row>
    <row r="906" spans="8:9" x14ac:dyDescent="0.15">
      <c r="H9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G906)),
  ROW(),
  ""
)</f>
        <v>906</v>
      </c>
      <c r="I906" s="13">
        <f t="shared" si="37"/>
        <v>0</v>
      </c>
    </row>
    <row r="907" spans="8:9" x14ac:dyDescent="0.15">
      <c r="H9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G907)),
  ROW(),
  ""
)</f>
        <v>907</v>
      </c>
      <c r="I907" s="13">
        <f t="shared" si="37"/>
        <v>0</v>
      </c>
    </row>
    <row r="908" spans="8:9" x14ac:dyDescent="0.15">
      <c r="H9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G908)),
  ROW(),
  ""
)</f>
        <v>908</v>
      </c>
      <c r="I908" s="13">
        <f t="shared" si="37"/>
        <v>0</v>
      </c>
    </row>
    <row r="909" spans="8:9" x14ac:dyDescent="0.15">
      <c r="H9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G909)),
  ROW(),
  ""
)</f>
        <v>909</v>
      </c>
      <c r="I909" s="13">
        <f t="shared" si="37"/>
        <v>0</v>
      </c>
    </row>
    <row r="910" spans="8:9" x14ac:dyDescent="0.15">
      <c r="H9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G910)),
  ROW(),
  ""
)</f>
        <v>910</v>
      </c>
      <c r="I910" s="13">
        <f t="shared" si="37"/>
        <v>0</v>
      </c>
    </row>
    <row r="911" spans="8:9" x14ac:dyDescent="0.15">
      <c r="H9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G911)),
  ROW(),
  ""
)</f>
        <v>911</v>
      </c>
      <c r="I911" s="13">
        <f t="shared" si="37"/>
        <v>0</v>
      </c>
    </row>
    <row r="912" spans="8:9" x14ac:dyDescent="0.15">
      <c r="H9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G912)),
  ROW(),
  ""
)</f>
        <v>912</v>
      </c>
      <c r="I912" s="13">
        <f t="shared" si="37"/>
        <v>0</v>
      </c>
    </row>
    <row r="913" spans="8:9" x14ac:dyDescent="0.15">
      <c r="H9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G913)),
  ROW(),
  ""
)</f>
        <v>913</v>
      </c>
      <c r="I913" s="13">
        <f t="shared" si="37"/>
        <v>0</v>
      </c>
    </row>
    <row r="914" spans="8:9" x14ac:dyDescent="0.15">
      <c r="H9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G914)),
  ROW(),
  ""
)</f>
        <v>914</v>
      </c>
      <c r="I914" s="13">
        <f t="shared" si="37"/>
        <v>0</v>
      </c>
    </row>
    <row r="915" spans="8:9" x14ac:dyDescent="0.15">
      <c r="H9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G915)),
  ROW(),
  ""
)</f>
        <v>915</v>
      </c>
      <c r="I915" s="13">
        <f t="shared" si="37"/>
        <v>0</v>
      </c>
    </row>
    <row r="916" spans="8:9" x14ac:dyDescent="0.15">
      <c r="H9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G916)),
  ROW(),
  ""
)</f>
        <v>916</v>
      </c>
      <c r="I916" s="13">
        <f t="shared" si="37"/>
        <v>0</v>
      </c>
    </row>
    <row r="917" spans="8:9" x14ac:dyDescent="0.15">
      <c r="H9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G917)),
  ROW(),
  ""
)</f>
        <v>917</v>
      </c>
      <c r="I917" s="13">
        <f t="shared" si="37"/>
        <v>0</v>
      </c>
    </row>
    <row r="918" spans="8:9" x14ac:dyDescent="0.15">
      <c r="H9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G918)),
  ROW(),
  ""
)</f>
        <v>918</v>
      </c>
      <c r="I918" s="13">
        <f t="shared" si="37"/>
        <v>0</v>
      </c>
    </row>
    <row r="919" spans="8:9" x14ac:dyDescent="0.15">
      <c r="H9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G919)),
  ROW(),
  ""
)</f>
        <v>919</v>
      </c>
      <c r="I919" s="13">
        <f t="shared" si="37"/>
        <v>0</v>
      </c>
    </row>
    <row r="920" spans="8:9" x14ac:dyDescent="0.15">
      <c r="H9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G920)),
  ROW(),
  ""
)</f>
        <v>920</v>
      </c>
      <c r="I920" s="13">
        <f t="shared" si="37"/>
        <v>0</v>
      </c>
    </row>
    <row r="921" spans="8:9" x14ac:dyDescent="0.15">
      <c r="H9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G921)),
  ROW(),
  ""
)</f>
        <v>921</v>
      </c>
      <c r="I921" s="13">
        <f t="shared" si="37"/>
        <v>0</v>
      </c>
    </row>
    <row r="922" spans="8:9" x14ac:dyDescent="0.15">
      <c r="H9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G922)),
  ROW(),
  ""
)</f>
        <v>922</v>
      </c>
      <c r="I922" s="13">
        <f t="shared" si="37"/>
        <v>0</v>
      </c>
    </row>
    <row r="923" spans="8:9" x14ac:dyDescent="0.15">
      <c r="H9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G923)),
  ROW(),
  ""
)</f>
        <v>923</v>
      </c>
      <c r="I923" s="13">
        <f t="shared" si="37"/>
        <v>0</v>
      </c>
    </row>
    <row r="924" spans="8:9" x14ac:dyDescent="0.15">
      <c r="H9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G924)),
  ROW(),
  ""
)</f>
        <v>924</v>
      </c>
      <c r="I924" s="13">
        <f t="shared" si="37"/>
        <v>0</v>
      </c>
    </row>
    <row r="925" spans="8:9" x14ac:dyDescent="0.15">
      <c r="H9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G925)),
  ROW(),
  ""
)</f>
        <v>925</v>
      </c>
      <c r="I925" s="13">
        <f t="shared" si="37"/>
        <v>0</v>
      </c>
    </row>
    <row r="926" spans="8:9" x14ac:dyDescent="0.15">
      <c r="H9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G926)),
  ROW(),
  ""
)</f>
        <v>926</v>
      </c>
      <c r="I926" s="13">
        <f t="shared" si="37"/>
        <v>0</v>
      </c>
    </row>
    <row r="927" spans="8:9" x14ac:dyDescent="0.15">
      <c r="H9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G927)),
  ROW(),
  ""
)</f>
        <v>927</v>
      </c>
      <c r="I927" s="13">
        <f t="shared" si="37"/>
        <v>0</v>
      </c>
    </row>
    <row r="928" spans="8:9" x14ac:dyDescent="0.15">
      <c r="H9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G928)),
  ROW(),
  ""
)</f>
        <v>928</v>
      </c>
      <c r="I928" s="13">
        <f t="shared" si="37"/>
        <v>0</v>
      </c>
    </row>
    <row r="929" spans="8:9" x14ac:dyDescent="0.15">
      <c r="H9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G929)),
  ROW(),
  ""
)</f>
        <v>929</v>
      </c>
      <c r="I929" s="13">
        <f t="shared" si="37"/>
        <v>0</v>
      </c>
    </row>
    <row r="930" spans="8:9" x14ac:dyDescent="0.15">
      <c r="H9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G930)),
  ROW(),
  ""
)</f>
        <v>930</v>
      </c>
      <c r="I930" s="13">
        <f t="shared" si="37"/>
        <v>0</v>
      </c>
    </row>
    <row r="931" spans="8:9" x14ac:dyDescent="0.15">
      <c r="H9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G931)),
  ROW(),
  ""
)</f>
        <v>931</v>
      </c>
      <c r="I931" s="13">
        <f t="shared" si="37"/>
        <v>0</v>
      </c>
    </row>
    <row r="932" spans="8:9" x14ac:dyDescent="0.15">
      <c r="H9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G932)),
  ROW(),
  ""
)</f>
        <v>932</v>
      </c>
      <c r="I932" s="13">
        <f t="shared" si="37"/>
        <v>0</v>
      </c>
    </row>
    <row r="933" spans="8:9" x14ac:dyDescent="0.15">
      <c r="H9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G933)),
  ROW(),
  ""
)</f>
        <v>933</v>
      </c>
      <c r="I933" s="13">
        <f t="shared" si="37"/>
        <v>0</v>
      </c>
    </row>
    <row r="934" spans="8:9" x14ac:dyDescent="0.15">
      <c r="H9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G934)),
  ROW(),
  ""
)</f>
        <v>934</v>
      </c>
      <c r="I934" s="13">
        <f t="shared" si="37"/>
        <v>0</v>
      </c>
    </row>
    <row r="935" spans="8:9" x14ac:dyDescent="0.15">
      <c r="H9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G935)),
  ROW(),
  ""
)</f>
        <v>935</v>
      </c>
      <c r="I935" s="13">
        <f t="shared" si="37"/>
        <v>0</v>
      </c>
    </row>
    <row r="936" spans="8:9" x14ac:dyDescent="0.15">
      <c r="H9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G936)),
  ROW(),
  ""
)</f>
        <v>936</v>
      </c>
      <c r="I936" s="13">
        <f t="shared" si="37"/>
        <v>0</v>
      </c>
    </row>
    <row r="937" spans="8:9" x14ac:dyDescent="0.15">
      <c r="H9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G937)),
  ROW(),
  ""
)</f>
        <v>937</v>
      </c>
      <c r="I937" s="13">
        <f t="shared" si="37"/>
        <v>0</v>
      </c>
    </row>
    <row r="938" spans="8:9" x14ac:dyDescent="0.15">
      <c r="H9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G938)),
  ROW(),
  ""
)</f>
        <v>938</v>
      </c>
      <c r="I938" s="13">
        <f t="shared" si="37"/>
        <v>0</v>
      </c>
    </row>
    <row r="939" spans="8:9" x14ac:dyDescent="0.15">
      <c r="H9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G939)),
  ROW(),
  ""
)</f>
        <v>939</v>
      </c>
      <c r="I939" s="13">
        <f t="shared" si="37"/>
        <v>0</v>
      </c>
    </row>
    <row r="940" spans="8:9" x14ac:dyDescent="0.15">
      <c r="H9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G940)),
  ROW(),
  ""
)</f>
        <v>940</v>
      </c>
      <c r="I940" s="13">
        <f t="shared" si="37"/>
        <v>0</v>
      </c>
    </row>
    <row r="941" spans="8:9" x14ac:dyDescent="0.15">
      <c r="H9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G941)),
  ROW(),
  ""
)</f>
        <v>941</v>
      </c>
      <c r="I941" s="13">
        <f t="shared" si="37"/>
        <v>0</v>
      </c>
    </row>
    <row r="942" spans="8:9" x14ac:dyDescent="0.15">
      <c r="H9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G942)),
  ROW(),
  ""
)</f>
        <v>942</v>
      </c>
      <c r="I942" s="13">
        <f t="shared" si="37"/>
        <v>0</v>
      </c>
    </row>
    <row r="943" spans="8:9" x14ac:dyDescent="0.15">
      <c r="H9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G943)),
  ROW(),
  ""
)</f>
        <v>943</v>
      </c>
      <c r="I943" s="13">
        <f t="shared" si="37"/>
        <v>0</v>
      </c>
    </row>
    <row r="944" spans="8:9" x14ac:dyDescent="0.15">
      <c r="H9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G944)),
  ROW(),
  ""
)</f>
        <v>944</v>
      </c>
      <c r="I944" s="13">
        <f t="shared" si="37"/>
        <v>0</v>
      </c>
    </row>
    <row r="945" spans="8:9" x14ac:dyDescent="0.15">
      <c r="H9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G945)),
  ROW(),
  ""
)</f>
        <v>945</v>
      </c>
      <c r="I945" s="13">
        <f t="shared" si="37"/>
        <v>0</v>
      </c>
    </row>
    <row r="946" spans="8:9" x14ac:dyDescent="0.15">
      <c r="H9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G946)),
  ROW(),
  ""
)</f>
        <v>946</v>
      </c>
      <c r="I946" s="13">
        <f t="shared" si="37"/>
        <v>0</v>
      </c>
    </row>
    <row r="947" spans="8:9" x14ac:dyDescent="0.15">
      <c r="H9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G947)),
  ROW(),
  ""
)</f>
        <v>947</v>
      </c>
      <c r="I947" s="13">
        <f t="shared" si="37"/>
        <v>0</v>
      </c>
    </row>
    <row r="948" spans="8:9" x14ac:dyDescent="0.15">
      <c r="H9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G948)),
  ROW(),
  ""
)</f>
        <v>948</v>
      </c>
      <c r="I948" s="13">
        <f t="shared" si="37"/>
        <v>0</v>
      </c>
    </row>
    <row r="949" spans="8:9" x14ac:dyDescent="0.15">
      <c r="H9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G949)),
  ROW(),
  ""
)</f>
        <v>949</v>
      </c>
      <c r="I949" s="13">
        <f t="shared" si="37"/>
        <v>0</v>
      </c>
    </row>
    <row r="950" spans="8:9" x14ac:dyDescent="0.15">
      <c r="H9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G950)),
  ROW(),
  ""
)</f>
        <v>950</v>
      </c>
      <c r="I950" s="13">
        <f t="shared" si="37"/>
        <v>0</v>
      </c>
    </row>
    <row r="951" spans="8:9" x14ac:dyDescent="0.15">
      <c r="H9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G951)),
  ROW(),
  ""
)</f>
        <v>951</v>
      </c>
      <c r="I951" s="13">
        <f t="shared" si="37"/>
        <v>0</v>
      </c>
    </row>
    <row r="952" spans="8:9" x14ac:dyDescent="0.15">
      <c r="H9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G952)),
  ROW(),
  ""
)</f>
        <v>952</v>
      </c>
      <c r="I952" s="13">
        <f t="shared" si="37"/>
        <v>0</v>
      </c>
    </row>
    <row r="953" spans="8:9" x14ac:dyDescent="0.15">
      <c r="H9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G953)),
  ROW(),
  ""
)</f>
        <v>953</v>
      </c>
      <c r="I953" s="13">
        <f t="shared" si="37"/>
        <v>0</v>
      </c>
    </row>
    <row r="954" spans="8:9" x14ac:dyDescent="0.15">
      <c r="H9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G954)),
  ROW(),
  ""
)</f>
        <v>954</v>
      </c>
      <c r="I954" s="13">
        <f t="shared" si="37"/>
        <v>0</v>
      </c>
    </row>
    <row r="955" spans="8:9" x14ac:dyDescent="0.15">
      <c r="H9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G955)),
  ROW(),
  ""
)</f>
        <v>955</v>
      </c>
      <c r="I955" s="13">
        <f t="shared" si="37"/>
        <v>0</v>
      </c>
    </row>
    <row r="956" spans="8:9" x14ac:dyDescent="0.15">
      <c r="H9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G956)),
  ROW(),
  ""
)</f>
        <v>956</v>
      </c>
      <c r="I956" s="13">
        <f t="shared" si="37"/>
        <v>0</v>
      </c>
    </row>
    <row r="957" spans="8:9" x14ac:dyDescent="0.15">
      <c r="H9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G957)),
  ROW(),
  ""
)</f>
        <v>957</v>
      </c>
      <c r="I957" s="13">
        <f t="shared" si="37"/>
        <v>0</v>
      </c>
    </row>
    <row r="958" spans="8:9" x14ac:dyDescent="0.15">
      <c r="H9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G958)),
  ROW(),
  ""
)</f>
        <v>958</v>
      </c>
      <c r="I958" s="13">
        <f t="shared" si="37"/>
        <v>0</v>
      </c>
    </row>
    <row r="959" spans="8:9" x14ac:dyDescent="0.15">
      <c r="H9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G959)),
  ROW(),
  ""
)</f>
        <v>959</v>
      </c>
      <c r="I959" s="13">
        <f t="shared" si="37"/>
        <v>0</v>
      </c>
    </row>
    <row r="960" spans="8:9" x14ac:dyDescent="0.15">
      <c r="H9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G960)),
  ROW(),
  ""
)</f>
        <v>960</v>
      </c>
      <c r="I960" s="13">
        <f t="shared" ref="I960:I1023" si="38">INDEX(G:G,SMALL($H$4:$H$1113,ROW(G957)))</f>
        <v>0</v>
      </c>
    </row>
    <row r="961" spans="8:9" x14ac:dyDescent="0.15">
      <c r="H9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G961)),
  ROW(),
  ""
)</f>
        <v>961</v>
      </c>
      <c r="I961" s="13">
        <f t="shared" si="38"/>
        <v>0</v>
      </c>
    </row>
    <row r="962" spans="8:9" x14ac:dyDescent="0.15">
      <c r="H9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G962)),
  ROW(),
  ""
)</f>
        <v>962</v>
      </c>
      <c r="I962" s="13">
        <f t="shared" si="38"/>
        <v>0</v>
      </c>
    </row>
    <row r="963" spans="8:9" x14ac:dyDescent="0.15">
      <c r="H9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G963)),
  ROW(),
  ""
)</f>
        <v>963</v>
      </c>
      <c r="I963" s="13">
        <f t="shared" si="38"/>
        <v>0</v>
      </c>
    </row>
    <row r="964" spans="8:9" x14ac:dyDescent="0.15">
      <c r="H9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G964)),
  ROW(),
  ""
)</f>
        <v>964</v>
      </c>
      <c r="I964" s="13">
        <f t="shared" si="38"/>
        <v>0</v>
      </c>
    </row>
    <row r="965" spans="8:9" x14ac:dyDescent="0.15">
      <c r="H9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G965)),
  ROW(),
  ""
)</f>
        <v>965</v>
      </c>
      <c r="I965" s="13">
        <f t="shared" si="38"/>
        <v>0</v>
      </c>
    </row>
    <row r="966" spans="8:9" x14ac:dyDescent="0.15">
      <c r="H9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G966)),
  ROW(),
  ""
)</f>
        <v>966</v>
      </c>
      <c r="I966" s="13">
        <f t="shared" si="38"/>
        <v>0</v>
      </c>
    </row>
    <row r="967" spans="8:9" x14ac:dyDescent="0.15">
      <c r="H9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G967)),
  ROW(),
  ""
)</f>
        <v>967</v>
      </c>
      <c r="I967" s="13">
        <f t="shared" si="38"/>
        <v>0</v>
      </c>
    </row>
    <row r="968" spans="8:9" x14ac:dyDescent="0.15">
      <c r="H9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G968)),
  ROW(),
  ""
)</f>
        <v>968</v>
      </c>
      <c r="I968" s="13">
        <f t="shared" si="38"/>
        <v>0</v>
      </c>
    </row>
    <row r="969" spans="8:9" x14ac:dyDescent="0.15">
      <c r="H9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G969)),
  ROW(),
  ""
)</f>
        <v>969</v>
      </c>
      <c r="I969" s="13">
        <f t="shared" si="38"/>
        <v>0</v>
      </c>
    </row>
    <row r="970" spans="8:9" x14ac:dyDescent="0.15">
      <c r="H9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G970)),
  ROW(),
  ""
)</f>
        <v>970</v>
      </c>
      <c r="I970" s="13">
        <f t="shared" si="38"/>
        <v>0</v>
      </c>
    </row>
    <row r="971" spans="8:9" x14ac:dyDescent="0.15">
      <c r="H9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G971)),
  ROW(),
  ""
)</f>
        <v>971</v>
      </c>
      <c r="I971" s="13">
        <f t="shared" si="38"/>
        <v>0</v>
      </c>
    </row>
    <row r="972" spans="8:9" x14ac:dyDescent="0.15">
      <c r="H9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G972)),
  ROW(),
  ""
)</f>
        <v>972</v>
      </c>
      <c r="I972" s="13">
        <f t="shared" si="38"/>
        <v>0</v>
      </c>
    </row>
    <row r="973" spans="8:9" x14ac:dyDescent="0.15">
      <c r="H9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G973)),
  ROW(),
  ""
)</f>
        <v>973</v>
      </c>
      <c r="I973" s="13">
        <f t="shared" si="38"/>
        <v>0</v>
      </c>
    </row>
    <row r="974" spans="8:9" x14ac:dyDescent="0.15">
      <c r="H9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G974)),
  ROW(),
  ""
)</f>
        <v>974</v>
      </c>
      <c r="I974" s="13">
        <f t="shared" si="38"/>
        <v>0</v>
      </c>
    </row>
    <row r="975" spans="8:9" x14ac:dyDescent="0.15">
      <c r="H9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G975)),
  ROW(),
  ""
)</f>
        <v>975</v>
      </c>
      <c r="I975" s="13">
        <f t="shared" si="38"/>
        <v>0</v>
      </c>
    </row>
    <row r="976" spans="8:9" x14ac:dyDescent="0.15">
      <c r="H9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G976)),
  ROW(),
  ""
)</f>
        <v>976</v>
      </c>
      <c r="I976" s="13">
        <f t="shared" si="38"/>
        <v>0</v>
      </c>
    </row>
    <row r="977" spans="8:9" x14ac:dyDescent="0.15">
      <c r="H9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G977)),
  ROW(),
  ""
)</f>
        <v>977</v>
      </c>
      <c r="I977" s="13">
        <f t="shared" si="38"/>
        <v>0</v>
      </c>
    </row>
    <row r="978" spans="8:9" x14ac:dyDescent="0.15">
      <c r="H9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G978)),
  ROW(),
  ""
)</f>
        <v>978</v>
      </c>
      <c r="I978" s="13">
        <f t="shared" si="38"/>
        <v>0</v>
      </c>
    </row>
    <row r="979" spans="8:9" x14ac:dyDescent="0.15">
      <c r="H9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G979)),
  ROW(),
  ""
)</f>
        <v>979</v>
      </c>
      <c r="I979" s="13">
        <f t="shared" si="38"/>
        <v>0</v>
      </c>
    </row>
    <row r="980" spans="8:9" x14ac:dyDescent="0.15">
      <c r="H9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G980)),
  ROW(),
  ""
)</f>
        <v>980</v>
      </c>
      <c r="I980" s="13">
        <f t="shared" si="38"/>
        <v>0</v>
      </c>
    </row>
    <row r="981" spans="8:9" x14ac:dyDescent="0.15">
      <c r="H9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G981)),
  ROW(),
  ""
)</f>
        <v>981</v>
      </c>
      <c r="I981" s="13">
        <f t="shared" si="38"/>
        <v>0</v>
      </c>
    </row>
    <row r="982" spans="8:9" x14ac:dyDescent="0.15">
      <c r="H9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G982)),
  ROW(),
  ""
)</f>
        <v>982</v>
      </c>
      <c r="I982" s="13">
        <f t="shared" si="38"/>
        <v>0</v>
      </c>
    </row>
    <row r="983" spans="8:9" x14ac:dyDescent="0.15">
      <c r="H9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G983)),
  ROW(),
  ""
)</f>
        <v>983</v>
      </c>
      <c r="I983" s="13">
        <f t="shared" si="38"/>
        <v>0</v>
      </c>
    </row>
    <row r="984" spans="8:9" x14ac:dyDescent="0.15">
      <c r="H9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G984)),
  ROW(),
  ""
)</f>
        <v>984</v>
      </c>
      <c r="I984" s="13">
        <f t="shared" si="38"/>
        <v>0</v>
      </c>
    </row>
    <row r="985" spans="8:9" x14ac:dyDescent="0.15">
      <c r="H9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G985)),
  ROW(),
  ""
)</f>
        <v>985</v>
      </c>
      <c r="I985" s="13">
        <f t="shared" si="38"/>
        <v>0</v>
      </c>
    </row>
    <row r="986" spans="8:9" x14ac:dyDescent="0.15">
      <c r="H9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G986)),
  ROW(),
  ""
)</f>
        <v>986</v>
      </c>
      <c r="I986" s="13">
        <f t="shared" si="38"/>
        <v>0</v>
      </c>
    </row>
    <row r="987" spans="8:9" x14ac:dyDescent="0.15">
      <c r="H9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G987)),
  ROW(),
  ""
)</f>
        <v>987</v>
      </c>
      <c r="I987" s="13">
        <f t="shared" si="38"/>
        <v>0</v>
      </c>
    </row>
    <row r="988" spans="8:9" x14ac:dyDescent="0.15">
      <c r="H9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G988)),
  ROW(),
  ""
)</f>
        <v>988</v>
      </c>
      <c r="I988" s="13">
        <f t="shared" si="38"/>
        <v>0</v>
      </c>
    </row>
    <row r="989" spans="8:9" x14ac:dyDescent="0.15">
      <c r="H9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G989)),
  ROW(),
  ""
)</f>
        <v>989</v>
      </c>
      <c r="I989" s="13">
        <f t="shared" si="38"/>
        <v>0</v>
      </c>
    </row>
    <row r="990" spans="8:9" x14ac:dyDescent="0.15">
      <c r="H9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G990)),
  ROW(),
  ""
)</f>
        <v>990</v>
      </c>
      <c r="I990" s="13">
        <f t="shared" si="38"/>
        <v>0</v>
      </c>
    </row>
    <row r="991" spans="8:9" x14ac:dyDescent="0.15">
      <c r="H9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G991)),
  ROW(),
  ""
)</f>
        <v>991</v>
      </c>
      <c r="I991" s="13">
        <f t="shared" si="38"/>
        <v>0</v>
      </c>
    </row>
    <row r="992" spans="8:9" x14ac:dyDescent="0.15">
      <c r="H9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G992)),
  ROW(),
  ""
)</f>
        <v>992</v>
      </c>
      <c r="I992" s="13">
        <f t="shared" si="38"/>
        <v>0</v>
      </c>
    </row>
    <row r="993" spans="8:9" x14ac:dyDescent="0.15">
      <c r="H9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G993)),
  ROW(),
  ""
)</f>
        <v>993</v>
      </c>
      <c r="I993" s="13">
        <f t="shared" si="38"/>
        <v>0</v>
      </c>
    </row>
    <row r="994" spans="8:9" x14ac:dyDescent="0.15">
      <c r="H9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G994)),
  ROW(),
  ""
)</f>
        <v>994</v>
      </c>
      <c r="I994" s="13">
        <f t="shared" si="38"/>
        <v>0</v>
      </c>
    </row>
    <row r="995" spans="8:9" x14ac:dyDescent="0.15">
      <c r="H9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G995)),
  ROW(),
  ""
)</f>
        <v>995</v>
      </c>
      <c r="I995" s="13">
        <f t="shared" si="38"/>
        <v>0</v>
      </c>
    </row>
    <row r="996" spans="8:9" x14ac:dyDescent="0.15">
      <c r="H9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G996)),
  ROW(),
  ""
)</f>
        <v>996</v>
      </c>
      <c r="I996" s="13">
        <f t="shared" si="38"/>
        <v>0</v>
      </c>
    </row>
    <row r="997" spans="8:9" x14ac:dyDescent="0.15">
      <c r="H9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G997)),
  ROW(),
  ""
)</f>
        <v>997</v>
      </c>
      <c r="I997" s="13">
        <f t="shared" si="38"/>
        <v>0</v>
      </c>
    </row>
    <row r="998" spans="8:9" x14ac:dyDescent="0.15">
      <c r="H9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G998)),
  ROW(),
  ""
)</f>
        <v>998</v>
      </c>
      <c r="I998" s="13">
        <f t="shared" si="38"/>
        <v>0</v>
      </c>
    </row>
    <row r="999" spans="8:9" x14ac:dyDescent="0.15">
      <c r="H9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G999)),
  ROW(),
  ""
)</f>
        <v>999</v>
      </c>
      <c r="I999" s="13">
        <f t="shared" si="38"/>
        <v>0</v>
      </c>
    </row>
    <row r="1000" spans="8:9" x14ac:dyDescent="0.15">
      <c r="H10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G1000)),
  ROW(),
  ""
)</f>
        <v>1000</v>
      </c>
      <c r="I1000" s="13">
        <f t="shared" si="38"/>
        <v>0</v>
      </c>
    </row>
    <row r="1001" spans="8:9" x14ac:dyDescent="0.15">
      <c r="H10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G1001)),
  ROW(),
  ""
)</f>
        <v>1001</v>
      </c>
      <c r="I1001" s="13">
        <f t="shared" si="38"/>
        <v>0</v>
      </c>
    </row>
    <row r="1002" spans="8:9" x14ac:dyDescent="0.15">
      <c r="H10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G1002)),
  ROW(),
  ""
)</f>
        <v>1002</v>
      </c>
      <c r="I1002" s="13">
        <f t="shared" si="38"/>
        <v>0</v>
      </c>
    </row>
    <row r="1003" spans="8:9" x14ac:dyDescent="0.15">
      <c r="H10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G1003)),
  ROW(),
  ""
)</f>
        <v>1003</v>
      </c>
      <c r="I1003" s="13">
        <f t="shared" si="38"/>
        <v>0</v>
      </c>
    </row>
    <row r="1004" spans="8:9" x14ac:dyDescent="0.15">
      <c r="H10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G1004)),
  ROW(),
  ""
)</f>
        <v>1004</v>
      </c>
      <c r="I1004" s="13">
        <f t="shared" si="38"/>
        <v>0</v>
      </c>
    </row>
    <row r="1005" spans="8:9" x14ac:dyDescent="0.15">
      <c r="H10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G1005)),
  ROW(),
  ""
)</f>
        <v>1005</v>
      </c>
      <c r="I1005" s="13">
        <f t="shared" si="38"/>
        <v>0</v>
      </c>
    </row>
    <row r="1006" spans="8:9" x14ac:dyDescent="0.15">
      <c r="H10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G1006)),
  ROW(),
  ""
)</f>
        <v>1006</v>
      </c>
      <c r="I1006" s="13">
        <f t="shared" si="38"/>
        <v>0</v>
      </c>
    </row>
    <row r="1007" spans="8:9" x14ac:dyDescent="0.15">
      <c r="H10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G1007)),
  ROW(),
  ""
)</f>
        <v>1007</v>
      </c>
      <c r="I1007" s="13">
        <f t="shared" si="38"/>
        <v>0</v>
      </c>
    </row>
    <row r="1008" spans="8:9" x14ac:dyDescent="0.15">
      <c r="H10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G1008)),
  ROW(),
  ""
)</f>
        <v>1008</v>
      </c>
      <c r="I1008" s="13">
        <f t="shared" si="38"/>
        <v>0</v>
      </c>
    </row>
    <row r="1009" spans="8:9" x14ac:dyDescent="0.15">
      <c r="H10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G1009)),
  ROW(),
  ""
)</f>
        <v>1009</v>
      </c>
      <c r="I1009" s="13">
        <f t="shared" si="38"/>
        <v>0</v>
      </c>
    </row>
    <row r="1010" spans="8:9" x14ac:dyDescent="0.15">
      <c r="H10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G1010)),
  ROW(),
  ""
)</f>
        <v>1010</v>
      </c>
      <c r="I1010" s="13">
        <f t="shared" si="38"/>
        <v>0</v>
      </c>
    </row>
    <row r="1011" spans="8:9" x14ac:dyDescent="0.15">
      <c r="H10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G1011)),
  ROW(),
  ""
)</f>
        <v>1011</v>
      </c>
      <c r="I1011" s="13">
        <f t="shared" si="38"/>
        <v>0</v>
      </c>
    </row>
    <row r="1012" spans="8:9" x14ac:dyDescent="0.15">
      <c r="H10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G1012)),
  ROW(),
  ""
)</f>
        <v>1012</v>
      </c>
      <c r="I1012" s="13">
        <f t="shared" si="38"/>
        <v>0</v>
      </c>
    </row>
    <row r="1013" spans="8:9" x14ac:dyDescent="0.15">
      <c r="H10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G1013)),
  ROW(),
  ""
)</f>
        <v>1013</v>
      </c>
      <c r="I1013" s="13">
        <f t="shared" si="38"/>
        <v>0</v>
      </c>
    </row>
    <row r="1014" spans="8:9" x14ac:dyDescent="0.15">
      <c r="H10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G1014)),
  ROW(),
  ""
)</f>
        <v>1014</v>
      </c>
      <c r="I1014" s="13">
        <f t="shared" si="38"/>
        <v>0</v>
      </c>
    </row>
    <row r="1015" spans="8:9" x14ac:dyDescent="0.15">
      <c r="H10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G1015)),
  ROW(),
  ""
)</f>
        <v>1015</v>
      </c>
      <c r="I1015" s="13">
        <f t="shared" si="38"/>
        <v>0</v>
      </c>
    </row>
    <row r="1016" spans="8:9" x14ac:dyDescent="0.15">
      <c r="H10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G1016)),
  ROW(),
  ""
)</f>
        <v>1016</v>
      </c>
      <c r="I1016" s="13">
        <f t="shared" si="38"/>
        <v>0</v>
      </c>
    </row>
    <row r="1017" spans="8:9" x14ac:dyDescent="0.15">
      <c r="H10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G1017)),
  ROW(),
  ""
)</f>
        <v>1017</v>
      </c>
      <c r="I1017" s="13">
        <f t="shared" si="38"/>
        <v>0</v>
      </c>
    </row>
    <row r="1018" spans="8:9" x14ac:dyDescent="0.15">
      <c r="H10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G1018)),
  ROW(),
  ""
)</f>
        <v>1018</v>
      </c>
      <c r="I1018" s="13">
        <f t="shared" si="38"/>
        <v>0</v>
      </c>
    </row>
    <row r="1019" spans="8:9" x14ac:dyDescent="0.15">
      <c r="H10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G1019)),
  ROW(),
  ""
)</f>
        <v>1019</v>
      </c>
      <c r="I1019" s="13">
        <f t="shared" si="38"/>
        <v>0</v>
      </c>
    </row>
    <row r="1020" spans="8:9" x14ac:dyDescent="0.15">
      <c r="H10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G1020)),
  ROW(),
  ""
)</f>
        <v>1020</v>
      </c>
      <c r="I1020" s="13">
        <f t="shared" si="38"/>
        <v>0</v>
      </c>
    </row>
    <row r="1021" spans="8:9" x14ac:dyDescent="0.15">
      <c r="H10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G1021)),
  ROW(),
  ""
)</f>
        <v>1021</v>
      </c>
      <c r="I1021" s="13">
        <f t="shared" si="38"/>
        <v>0</v>
      </c>
    </row>
    <row r="1022" spans="8:9" x14ac:dyDescent="0.15">
      <c r="H10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G1022)),
  ROW(),
  ""
)</f>
        <v>1022</v>
      </c>
      <c r="I1022" s="13">
        <f t="shared" si="38"/>
        <v>0</v>
      </c>
    </row>
    <row r="1023" spans="8:9" x14ac:dyDescent="0.15">
      <c r="H10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G1023)),
  ROW(),
  ""
)</f>
        <v>1023</v>
      </c>
      <c r="I1023" s="13">
        <f t="shared" si="38"/>
        <v>0</v>
      </c>
    </row>
    <row r="1024" spans="8:9" x14ac:dyDescent="0.15">
      <c r="H10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G1024)),
  ROW(),
  ""
)</f>
        <v>1024</v>
      </c>
      <c r="I1024" s="13">
        <f t="shared" ref="I1024:I1087" si="39">INDEX(G:G,SMALL($H$4:$H$1113,ROW(G1021)))</f>
        <v>0</v>
      </c>
    </row>
    <row r="1025" spans="8:9" x14ac:dyDescent="0.15">
      <c r="H10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G1025)),
  ROW(),
  ""
)</f>
        <v>1025</v>
      </c>
      <c r="I1025" s="13">
        <f t="shared" si="39"/>
        <v>0</v>
      </c>
    </row>
    <row r="1026" spans="8:9" x14ac:dyDescent="0.15">
      <c r="H10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G1026)),
  ROW(),
  ""
)</f>
        <v>1026</v>
      </c>
      <c r="I1026" s="13">
        <f t="shared" si="39"/>
        <v>0</v>
      </c>
    </row>
    <row r="1027" spans="8:9" x14ac:dyDescent="0.15">
      <c r="H10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G1027)),
  ROW(),
  ""
)</f>
        <v>1027</v>
      </c>
      <c r="I1027" s="13">
        <f t="shared" si="39"/>
        <v>0</v>
      </c>
    </row>
    <row r="1028" spans="8:9" x14ac:dyDescent="0.15">
      <c r="H10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G1028)),
  ROW(),
  ""
)</f>
        <v>1028</v>
      </c>
      <c r="I1028" s="13">
        <f t="shared" si="39"/>
        <v>0</v>
      </c>
    </row>
    <row r="1029" spans="8:9" x14ac:dyDescent="0.15">
      <c r="H10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G1029)),
  ROW(),
  ""
)</f>
        <v>1029</v>
      </c>
      <c r="I1029" s="13">
        <f t="shared" si="39"/>
        <v>0</v>
      </c>
    </row>
    <row r="1030" spans="8:9" x14ac:dyDescent="0.15">
      <c r="H10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G1030)),
  ROW(),
  ""
)</f>
        <v>1030</v>
      </c>
      <c r="I1030" s="13">
        <f t="shared" si="39"/>
        <v>0</v>
      </c>
    </row>
    <row r="1031" spans="8:9" x14ac:dyDescent="0.15">
      <c r="H10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G1031)),
  ROW(),
  ""
)</f>
        <v>1031</v>
      </c>
      <c r="I1031" s="13">
        <f t="shared" si="39"/>
        <v>0</v>
      </c>
    </row>
    <row r="1032" spans="8:9" x14ac:dyDescent="0.15">
      <c r="H10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G1032)),
  ROW(),
  ""
)</f>
        <v>1032</v>
      </c>
      <c r="I1032" s="13">
        <f t="shared" si="39"/>
        <v>0</v>
      </c>
    </row>
    <row r="1033" spans="8:9" x14ac:dyDescent="0.15">
      <c r="H10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G1033)),
  ROW(),
  ""
)</f>
        <v>1033</v>
      </c>
      <c r="I1033" s="13">
        <f t="shared" si="39"/>
        <v>0</v>
      </c>
    </row>
    <row r="1034" spans="8:9" x14ac:dyDescent="0.15">
      <c r="H10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G1034)),
  ROW(),
  ""
)</f>
        <v>1034</v>
      </c>
      <c r="I1034" s="13">
        <f t="shared" si="39"/>
        <v>0</v>
      </c>
    </row>
    <row r="1035" spans="8:9" x14ac:dyDescent="0.15">
      <c r="H10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G1035)),
  ROW(),
  ""
)</f>
        <v>1035</v>
      </c>
      <c r="I1035" s="13">
        <f t="shared" si="39"/>
        <v>0</v>
      </c>
    </row>
    <row r="1036" spans="8:9" x14ac:dyDescent="0.15">
      <c r="H10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G1036)),
  ROW(),
  ""
)</f>
        <v>1036</v>
      </c>
      <c r="I1036" s="13">
        <f t="shared" si="39"/>
        <v>0</v>
      </c>
    </row>
    <row r="1037" spans="8:9" x14ac:dyDescent="0.15">
      <c r="H10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G1037)),
  ROW(),
  ""
)</f>
        <v>1037</v>
      </c>
      <c r="I1037" s="13">
        <f t="shared" si="39"/>
        <v>0</v>
      </c>
    </row>
    <row r="1038" spans="8:9" x14ac:dyDescent="0.15">
      <c r="H10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G1038)),
  ROW(),
  ""
)</f>
        <v>1038</v>
      </c>
      <c r="I1038" s="13">
        <f t="shared" si="39"/>
        <v>0</v>
      </c>
    </row>
    <row r="1039" spans="8:9" x14ac:dyDescent="0.15">
      <c r="H10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G1039)),
  ROW(),
  ""
)</f>
        <v>1039</v>
      </c>
      <c r="I1039" s="13">
        <f t="shared" si="39"/>
        <v>0</v>
      </c>
    </row>
    <row r="1040" spans="8:9" x14ac:dyDescent="0.15">
      <c r="H10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G1040)),
  ROW(),
  ""
)</f>
        <v>1040</v>
      </c>
      <c r="I1040" s="13">
        <f t="shared" si="39"/>
        <v>0</v>
      </c>
    </row>
    <row r="1041" spans="8:9" x14ac:dyDescent="0.15">
      <c r="H10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G1041)),
  ROW(),
  ""
)</f>
        <v>1041</v>
      </c>
      <c r="I1041" s="13">
        <f t="shared" si="39"/>
        <v>0</v>
      </c>
    </row>
    <row r="1042" spans="8:9" x14ac:dyDescent="0.15">
      <c r="H10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G1042)),
  ROW(),
  ""
)</f>
        <v>1042</v>
      </c>
      <c r="I1042" s="13">
        <f t="shared" si="39"/>
        <v>0</v>
      </c>
    </row>
    <row r="1043" spans="8:9" x14ac:dyDescent="0.15">
      <c r="H10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G1043)),
  ROW(),
  ""
)</f>
        <v>1043</v>
      </c>
      <c r="I1043" s="13">
        <f t="shared" si="39"/>
        <v>0</v>
      </c>
    </row>
    <row r="1044" spans="8:9" x14ac:dyDescent="0.15">
      <c r="H10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G1044)),
  ROW(),
  ""
)</f>
        <v>1044</v>
      </c>
      <c r="I1044" s="13">
        <f t="shared" si="39"/>
        <v>0</v>
      </c>
    </row>
    <row r="1045" spans="8:9" x14ac:dyDescent="0.15">
      <c r="H10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G1045)),
  ROW(),
  ""
)</f>
        <v>1045</v>
      </c>
      <c r="I1045" s="13">
        <f t="shared" si="39"/>
        <v>0</v>
      </c>
    </row>
    <row r="1046" spans="8:9" x14ac:dyDescent="0.15">
      <c r="H10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G1046)),
  ROW(),
  ""
)</f>
        <v>1046</v>
      </c>
      <c r="I1046" s="13">
        <f t="shared" si="39"/>
        <v>0</v>
      </c>
    </row>
    <row r="1047" spans="8:9" x14ac:dyDescent="0.15">
      <c r="H10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G1047)),
  ROW(),
  ""
)</f>
        <v>1047</v>
      </c>
      <c r="I1047" s="13">
        <f t="shared" si="39"/>
        <v>0</v>
      </c>
    </row>
    <row r="1048" spans="8:9" x14ac:dyDescent="0.15">
      <c r="H10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G1048)),
  ROW(),
  ""
)</f>
        <v>1048</v>
      </c>
      <c r="I1048" s="13">
        <f t="shared" si="39"/>
        <v>0</v>
      </c>
    </row>
    <row r="1049" spans="8:9" x14ac:dyDescent="0.15">
      <c r="H10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G1049)),
  ROW(),
  ""
)</f>
        <v>1049</v>
      </c>
      <c r="I1049" s="13">
        <f t="shared" si="39"/>
        <v>0</v>
      </c>
    </row>
    <row r="1050" spans="8:9" x14ac:dyDescent="0.15">
      <c r="H10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G1050)),
  ROW(),
  ""
)</f>
        <v>1050</v>
      </c>
      <c r="I1050" s="13">
        <f t="shared" si="39"/>
        <v>0</v>
      </c>
    </row>
    <row r="1051" spans="8:9" x14ac:dyDescent="0.15">
      <c r="H10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G1051)),
  ROW(),
  ""
)</f>
        <v>1051</v>
      </c>
      <c r="I1051" s="13">
        <f t="shared" si="39"/>
        <v>0</v>
      </c>
    </row>
    <row r="1052" spans="8:9" x14ac:dyDescent="0.15">
      <c r="H10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G1052)),
  ROW(),
  ""
)</f>
        <v>1052</v>
      </c>
      <c r="I1052" s="13">
        <f t="shared" si="39"/>
        <v>0</v>
      </c>
    </row>
    <row r="1053" spans="8:9" x14ac:dyDescent="0.15">
      <c r="H10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G1053)),
  ROW(),
  ""
)</f>
        <v>1053</v>
      </c>
      <c r="I1053" s="13">
        <f t="shared" si="39"/>
        <v>0</v>
      </c>
    </row>
    <row r="1054" spans="8:9" x14ac:dyDescent="0.15">
      <c r="H10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G1054)),
  ROW(),
  ""
)</f>
        <v>1054</v>
      </c>
      <c r="I1054" s="13">
        <f t="shared" si="39"/>
        <v>0</v>
      </c>
    </row>
    <row r="1055" spans="8:9" x14ac:dyDescent="0.15">
      <c r="H10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G1055)),
  ROW(),
  ""
)</f>
        <v>1055</v>
      </c>
      <c r="I1055" s="13">
        <f t="shared" si="39"/>
        <v>0</v>
      </c>
    </row>
    <row r="1056" spans="8:9" x14ac:dyDescent="0.15">
      <c r="H10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G1056)),
  ROW(),
  ""
)</f>
        <v>1056</v>
      </c>
      <c r="I1056" s="13">
        <f t="shared" si="39"/>
        <v>0</v>
      </c>
    </row>
    <row r="1057" spans="8:9" x14ac:dyDescent="0.15">
      <c r="H10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G1057)),
  ROW(),
  ""
)</f>
        <v>1057</v>
      </c>
      <c r="I1057" s="13">
        <f t="shared" si="39"/>
        <v>0</v>
      </c>
    </row>
    <row r="1058" spans="8:9" x14ac:dyDescent="0.15">
      <c r="H10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G1058)),
  ROW(),
  ""
)</f>
        <v>1058</v>
      </c>
      <c r="I1058" s="13">
        <f t="shared" si="39"/>
        <v>0</v>
      </c>
    </row>
    <row r="1059" spans="8:9" x14ac:dyDescent="0.15">
      <c r="H10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G1059)),
  ROW(),
  ""
)</f>
        <v>1059</v>
      </c>
      <c r="I1059" s="13">
        <f t="shared" si="39"/>
        <v>0</v>
      </c>
    </row>
    <row r="1060" spans="8:9" x14ac:dyDescent="0.15">
      <c r="H10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G1060)),
  ROW(),
  ""
)</f>
        <v>1060</v>
      </c>
      <c r="I1060" s="13">
        <f t="shared" si="39"/>
        <v>0</v>
      </c>
    </row>
    <row r="1061" spans="8:9" x14ac:dyDescent="0.15">
      <c r="H10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G1061)),
  ROW(),
  ""
)</f>
        <v>1061</v>
      </c>
      <c r="I1061" s="13">
        <f t="shared" si="39"/>
        <v>0</v>
      </c>
    </row>
    <row r="1062" spans="8:9" x14ac:dyDescent="0.15">
      <c r="H10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G1062)),
  ROW(),
  ""
)</f>
        <v>1062</v>
      </c>
      <c r="I1062" s="13">
        <f t="shared" si="39"/>
        <v>0</v>
      </c>
    </row>
    <row r="1063" spans="8:9" x14ac:dyDescent="0.15">
      <c r="H10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G1063)),
  ROW(),
  ""
)</f>
        <v>1063</v>
      </c>
      <c r="I1063" s="13">
        <f t="shared" si="39"/>
        <v>0</v>
      </c>
    </row>
    <row r="1064" spans="8:9" x14ac:dyDescent="0.15">
      <c r="H10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G1064)),
  ROW(),
  ""
)</f>
        <v>1064</v>
      </c>
      <c r="I1064" s="13">
        <f t="shared" si="39"/>
        <v>0</v>
      </c>
    </row>
    <row r="1065" spans="8:9" x14ac:dyDescent="0.15">
      <c r="H10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G1065)),
  ROW(),
  ""
)</f>
        <v>1065</v>
      </c>
      <c r="I1065" s="13">
        <f t="shared" si="39"/>
        <v>0</v>
      </c>
    </row>
    <row r="1066" spans="8:9" x14ac:dyDescent="0.15">
      <c r="H10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G1066)),
  ROW(),
  ""
)</f>
        <v>1066</v>
      </c>
      <c r="I1066" s="13">
        <f t="shared" si="39"/>
        <v>0</v>
      </c>
    </row>
    <row r="1067" spans="8:9" x14ac:dyDescent="0.15">
      <c r="H10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G1067)),
  ROW(),
  ""
)</f>
        <v>1067</v>
      </c>
      <c r="I1067" s="13">
        <f t="shared" si="39"/>
        <v>0</v>
      </c>
    </row>
    <row r="1068" spans="8:9" x14ac:dyDescent="0.15">
      <c r="H10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G1068)),
  ROW(),
  ""
)</f>
        <v>1068</v>
      </c>
      <c r="I1068" s="13">
        <f t="shared" si="39"/>
        <v>0</v>
      </c>
    </row>
    <row r="1069" spans="8:9" x14ac:dyDescent="0.15">
      <c r="H10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G1069)),
  ROW(),
  ""
)</f>
        <v>1069</v>
      </c>
      <c r="I1069" s="13">
        <f t="shared" si="39"/>
        <v>0</v>
      </c>
    </row>
    <row r="1070" spans="8:9" x14ac:dyDescent="0.15">
      <c r="H10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G1070)),
  ROW(),
  ""
)</f>
        <v>1070</v>
      </c>
      <c r="I1070" s="13">
        <f t="shared" si="39"/>
        <v>0</v>
      </c>
    </row>
    <row r="1071" spans="8:9" x14ac:dyDescent="0.15">
      <c r="H10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G1071)),
  ROW(),
  ""
)</f>
        <v>1071</v>
      </c>
      <c r="I1071" s="13">
        <f t="shared" si="39"/>
        <v>0</v>
      </c>
    </row>
    <row r="1072" spans="8:9" x14ac:dyDescent="0.15">
      <c r="H10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G1072)),
  ROW(),
  ""
)</f>
        <v>1072</v>
      </c>
      <c r="I1072" s="13">
        <f t="shared" si="39"/>
        <v>0</v>
      </c>
    </row>
    <row r="1073" spans="8:9" x14ac:dyDescent="0.15">
      <c r="H10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G1073)),
  ROW(),
  ""
)</f>
        <v>1073</v>
      </c>
      <c r="I1073" s="13">
        <f t="shared" si="39"/>
        <v>0</v>
      </c>
    </row>
    <row r="1074" spans="8:9" x14ac:dyDescent="0.15">
      <c r="H10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G1074)),
  ROW(),
  ""
)</f>
        <v>1074</v>
      </c>
      <c r="I1074" s="13">
        <f t="shared" si="39"/>
        <v>0</v>
      </c>
    </row>
    <row r="1075" spans="8:9" x14ac:dyDescent="0.15">
      <c r="H10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G1075)),
  ROW(),
  ""
)</f>
        <v>1075</v>
      </c>
      <c r="I1075" s="13">
        <f t="shared" si="39"/>
        <v>0</v>
      </c>
    </row>
    <row r="1076" spans="8:9" x14ac:dyDescent="0.15">
      <c r="H10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G1076)),
  ROW(),
  ""
)</f>
        <v>1076</v>
      </c>
      <c r="I1076" s="13">
        <f t="shared" si="39"/>
        <v>0</v>
      </c>
    </row>
    <row r="1077" spans="8:9" x14ac:dyDescent="0.15">
      <c r="H10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G1077)),
  ROW(),
  ""
)</f>
        <v>1077</v>
      </c>
      <c r="I1077" s="13">
        <f t="shared" si="39"/>
        <v>0</v>
      </c>
    </row>
    <row r="1078" spans="8:9" x14ac:dyDescent="0.15">
      <c r="H10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G1078)),
  ROW(),
  ""
)</f>
        <v>1078</v>
      </c>
      <c r="I1078" s="13">
        <f t="shared" si="39"/>
        <v>0</v>
      </c>
    </row>
    <row r="1079" spans="8:9" x14ac:dyDescent="0.15">
      <c r="H10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G1079)),
  ROW(),
  ""
)</f>
        <v>1079</v>
      </c>
      <c r="I1079" s="13">
        <f t="shared" si="39"/>
        <v>0</v>
      </c>
    </row>
    <row r="1080" spans="8:9" x14ac:dyDescent="0.15">
      <c r="H10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G1080)),
  ROW(),
  ""
)</f>
        <v>1080</v>
      </c>
      <c r="I1080" s="13">
        <f t="shared" si="39"/>
        <v>0</v>
      </c>
    </row>
    <row r="1081" spans="8:9" x14ac:dyDescent="0.15">
      <c r="H10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G1081)),
  ROW(),
  ""
)</f>
        <v>1081</v>
      </c>
      <c r="I1081" s="13">
        <f t="shared" si="39"/>
        <v>0</v>
      </c>
    </row>
    <row r="1082" spans="8:9" x14ac:dyDescent="0.15">
      <c r="H10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G1082)),
  ROW(),
  ""
)</f>
        <v>1082</v>
      </c>
      <c r="I1082" s="13">
        <f t="shared" si="39"/>
        <v>0</v>
      </c>
    </row>
    <row r="1083" spans="8:9" x14ac:dyDescent="0.15">
      <c r="H10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G1083)),
  ROW(),
  ""
)</f>
        <v>1083</v>
      </c>
      <c r="I1083" s="13">
        <f t="shared" si="39"/>
        <v>0</v>
      </c>
    </row>
    <row r="1084" spans="8:9" x14ac:dyDescent="0.15">
      <c r="H10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G1084)),
  ROW(),
  ""
)</f>
        <v>1084</v>
      </c>
      <c r="I1084" s="13">
        <f t="shared" si="39"/>
        <v>0</v>
      </c>
    </row>
    <row r="1085" spans="8:9" x14ac:dyDescent="0.15">
      <c r="H10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G1085)),
  ROW(),
  ""
)</f>
        <v>1085</v>
      </c>
      <c r="I1085" s="13">
        <f t="shared" si="39"/>
        <v>0</v>
      </c>
    </row>
    <row r="1086" spans="8:9" x14ac:dyDescent="0.15">
      <c r="H10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G1086)),
  ROW(),
  ""
)</f>
        <v>1086</v>
      </c>
      <c r="I1086" s="13">
        <f t="shared" si="39"/>
        <v>0</v>
      </c>
    </row>
    <row r="1087" spans="8:9" x14ac:dyDescent="0.15">
      <c r="H10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G1087)),
  ROW(),
  ""
)</f>
        <v>1087</v>
      </c>
      <c r="I1087" s="13">
        <f t="shared" si="39"/>
        <v>0</v>
      </c>
    </row>
    <row r="1088" spans="8:9" x14ac:dyDescent="0.15">
      <c r="H10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G1088)),
  ROW(),
  ""
)</f>
        <v>1088</v>
      </c>
      <c r="I1088" s="13">
        <f t="shared" ref="I1088:I1113" si="40">INDEX(G:G,SMALL($H$4:$H$1113,ROW(G1085)))</f>
        <v>0</v>
      </c>
    </row>
    <row r="1089" spans="8:9" x14ac:dyDescent="0.15">
      <c r="H10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G1089)),
  ROW(),
  ""
)</f>
        <v>1089</v>
      </c>
      <c r="I1089" s="13">
        <f t="shared" si="40"/>
        <v>0</v>
      </c>
    </row>
    <row r="1090" spans="8:9" x14ac:dyDescent="0.15">
      <c r="H10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G1090)),
  ROW(),
  ""
)</f>
        <v>1090</v>
      </c>
      <c r="I1090" s="13">
        <f t="shared" si="40"/>
        <v>0</v>
      </c>
    </row>
    <row r="1091" spans="8:9" x14ac:dyDescent="0.15">
      <c r="H10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G1091)),
  ROW(),
  ""
)</f>
        <v>1091</v>
      </c>
      <c r="I1091" s="13">
        <f t="shared" si="40"/>
        <v>0</v>
      </c>
    </row>
    <row r="1092" spans="8:9" x14ac:dyDescent="0.15">
      <c r="H10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G1092)),
  ROW(),
  ""
)</f>
        <v>1092</v>
      </c>
      <c r="I1092" s="13">
        <f t="shared" si="40"/>
        <v>0</v>
      </c>
    </row>
    <row r="1093" spans="8:9" x14ac:dyDescent="0.15">
      <c r="H10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G1093)),
  ROW(),
  ""
)</f>
        <v>1093</v>
      </c>
      <c r="I1093" s="13">
        <f t="shared" si="40"/>
        <v>0</v>
      </c>
    </row>
    <row r="1094" spans="8:9" x14ac:dyDescent="0.15">
      <c r="H10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G1094)),
  ROW(),
  ""
)</f>
        <v>1094</v>
      </c>
      <c r="I1094" s="13">
        <f t="shared" si="40"/>
        <v>0</v>
      </c>
    </row>
    <row r="1095" spans="8:9" x14ac:dyDescent="0.15">
      <c r="H10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G1095)),
  ROW(),
  ""
)</f>
        <v>1095</v>
      </c>
      <c r="I1095" s="13">
        <f t="shared" si="40"/>
        <v>0</v>
      </c>
    </row>
    <row r="1096" spans="8:9" x14ac:dyDescent="0.15">
      <c r="H10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G1096)),
  ROW(),
  ""
)</f>
        <v>1096</v>
      </c>
      <c r="I1096" s="13">
        <f t="shared" si="40"/>
        <v>0</v>
      </c>
    </row>
    <row r="1097" spans="8:9" x14ac:dyDescent="0.15">
      <c r="H10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G1097)),
  ROW(),
  ""
)</f>
        <v>1097</v>
      </c>
      <c r="I1097" s="13">
        <f t="shared" si="40"/>
        <v>0</v>
      </c>
    </row>
    <row r="1098" spans="8:9" x14ac:dyDescent="0.15">
      <c r="H10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G1098)),
  ROW(),
  ""
)</f>
        <v>1098</v>
      </c>
      <c r="I1098" s="13">
        <f t="shared" si="40"/>
        <v>0</v>
      </c>
    </row>
    <row r="1099" spans="8:9" x14ac:dyDescent="0.15">
      <c r="H10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G1099)),
  ROW(),
  ""
)</f>
        <v>1099</v>
      </c>
      <c r="I1099" s="13">
        <f t="shared" si="40"/>
        <v>0</v>
      </c>
    </row>
    <row r="1100" spans="8:9" x14ac:dyDescent="0.15">
      <c r="H11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G1100)),
  ROW(),
  ""
)</f>
        <v>1100</v>
      </c>
      <c r="I1100" s="13">
        <f t="shared" si="40"/>
        <v>0</v>
      </c>
    </row>
    <row r="1101" spans="8:9" x14ac:dyDescent="0.15">
      <c r="H11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G1101)),
  ROW(),
  ""
)</f>
        <v>1101</v>
      </c>
      <c r="I1101" s="13">
        <f t="shared" si="40"/>
        <v>0</v>
      </c>
    </row>
    <row r="1102" spans="8:9" x14ac:dyDescent="0.15">
      <c r="H11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G1102)),
  ROW(),
  ""
)</f>
        <v>1102</v>
      </c>
      <c r="I1102" s="13">
        <f t="shared" si="40"/>
        <v>0</v>
      </c>
    </row>
    <row r="1103" spans="8:9" x14ac:dyDescent="0.15">
      <c r="H11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G1103)),
  ROW(),
  ""
)</f>
        <v>1103</v>
      </c>
      <c r="I1103" s="13">
        <f t="shared" si="40"/>
        <v>0</v>
      </c>
    </row>
    <row r="1104" spans="8:9" x14ac:dyDescent="0.15">
      <c r="H11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G1104)),
  ROW(),
  ""
)</f>
        <v>1104</v>
      </c>
      <c r="I1104" s="13">
        <f t="shared" si="40"/>
        <v>0</v>
      </c>
    </row>
    <row r="1105" spans="8:9" x14ac:dyDescent="0.15">
      <c r="H11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G1105)),
  ROW(),
  ""
)</f>
        <v>1105</v>
      </c>
      <c r="I1105" s="13">
        <f t="shared" si="40"/>
        <v>0</v>
      </c>
    </row>
    <row r="1106" spans="8:9" x14ac:dyDescent="0.15">
      <c r="H11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G1106)),
  ROW(),
  ""
)</f>
        <v>1106</v>
      </c>
      <c r="I1106" s="13">
        <f t="shared" si="40"/>
        <v>0</v>
      </c>
    </row>
    <row r="1107" spans="8:9" x14ac:dyDescent="0.15">
      <c r="H11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G1107)),
  ROW(),
  ""
)</f>
        <v>1107</v>
      </c>
      <c r="I1107" s="13">
        <f t="shared" si="40"/>
        <v>0</v>
      </c>
    </row>
    <row r="1108" spans="8:9" x14ac:dyDescent="0.15">
      <c r="H11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G1108)),
  ROW(),
  ""
)</f>
        <v>1108</v>
      </c>
      <c r="I1108" s="13">
        <f t="shared" si="40"/>
        <v>0</v>
      </c>
    </row>
    <row r="1109" spans="8:9" x14ac:dyDescent="0.15">
      <c r="H11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G1109)),
  ROW(),
  ""
)</f>
        <v>1109</v>
      </c>
      <c r="I1109" s="13">
        <f t="shared" si="40"/>
        <v>0</v>
      </c>
    </row>
    <row r="1110" spans="8:9" x14ac:dyDescent="0.15">
      <c r="H11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G1110)),
  ROW(),
  ""
)</f>
        <v>1110</v>
      </c>
      <c r="I1110" s="13">
        <f t="shared" si="40"/>
        <v>0</v>
      </c>
    </row>
    <row r="1111" spans="8:9" x14ac:dyDescent="0.15">
      <c r="H11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G1111)),
  ROW(),
  ""
)</f>
        <v>1111</v>
      </c>
      <c r="I1111" s="13">
        <f t="shared" si="40"/>
        <v>0</v>
      </c>
    </row>
    <row r="1112" spans="8:9" x14ac:dyDescent="0.15">
      <c r="H11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G1112)),
  ROW(),
  ""
)</f>
        <v>1112</v>
      </c>
      <c r="I1112" s="13">
        <f t="shared" si="40"/>
        <v>0</v>
      </c>
    </row>
    <row r="1113" spans="8:9" x14ac:dyDescent="0.15">
      <c r="H11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G1113)),
  ROW(),
  ""
)</f>
        <v>1113</v>
      </c>
      <c r="I1113" s="13">
        <f t="shared" si="40"/>
        <v>0</v>
      </c>
    </row>
  </sheetData>
  <autoFilter ref="K3:K1113" xr:uid="{E8B3D933-AD45-4859-83A4-4F3DFC2A9933}"/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6B82E-7F13-47F4-B501-C95291521D65}">
  <sheetPr codeName="Sheet2"/>
  <dimension ref="A1:O1039"/>
  <sheetViews>
    <sheetView topLeftCell="A195" zoomScale="70" zoomScaleNormal="70" workbookViewId="0">
      <selection activeCell="A217" sqref="A217"/>
    </sheetView>
  </sheetViews>
  <sheetFormatPr defaultRowHeight="21" x14ac:dyDescent="0.15"/>
  <cols>
    <col min="1" max="3" width="27.625" style="13" customWidth="1"/>
    <col min="4" max="4" width="22.75" style="13" customWidth="1"/>
    <col min="5" max="5" width="25.625" style="13" customWidth="1"/>
    <col min="6" max="6" width="11.625" style="116" customWidth="1"/>
    <col min="7" max="7" width="11.75" style="97" customWidth="1"/>
    <col min="8" max="8" width="11.875" style="97" hidden="1" customWidth="1"/>
    <col min="9" max="9" width="11.625" style="98" hidden="1" customWidth="1"/>
    <col min="10" max="10" width="14.875" style="98" hidden="1" customWidth="1"/>
    <col min="11" max="11" width="24" style="98" hidden="1" customWidth="1"/>
    <col min="12" max="12" width="20.625" style="99" customWidth="1"/>
    <col min="13" max="13" width="18.125" style="100" customWidth="1"/>
    <col min="14" max="15" width="10.25" style="101" customWidth="1"/>
  </cols>
  <sheetData>
    <row r="1" spans="1:15" ht="13.5" x14ac:dyDescent="0.1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</row>
    <row r="2" spans="1:15" ht="13.5" x14ac:dyDescent="0.15">
      <c r="A2" s="31" t="s">
        <v>213</v>
      </c>
      <c r="B2" s="51" t="s">
        <v>330</v>
      </c>
      <c r="C2" s="51" t="s">
        <v>331</v>
      </c>
      <c r="D2" s="208" t="s">
        <v>214</v>
      </c>
      <c r="E2" s="208" t="s">
        <v>215</v>
      </c>
      <c r="F2" s="208" t="s">
        <v>216</v>
      </c>
      <c r="G2" s="208" t="s">
        <v>217</v>
      </c>
      <c r="H2" s="208" t="s">
        <v>218</v>
      </c>
      <c r="I2" s="208" t="s">
        <v>219</v>
      </c>
      <c r="J2" s="208" t="s">
        <v>220</v>
      </c>
      <c r="K2" s="208" t="s">
        <v>221</v>
      </c>
      <c r="L2" s="208" t="s">
        <v>222</v>
      </c>
      <c r="M2" s="208" t="s">
        <v>223</v>
      </c>
      <c r="N2" s="208" t="s">
        <v>224</v>
      </c>
      <c r="O2" s="51" t="s">
        <v>225</v>
      </c>
    </row>
    <row r="3" spans="1:15" ht="28.5" x14ac:dyDescent="0.15">
      <c r="A3" s="18" t="s">
        <v>1069</v>
      </c>
      <c r="B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3)),ROW(),"")</f>
        <v>3</v>
      </c>
      <c r="C3" s="18" t="str">
        <f>INDEX(A:A,SMALL($B$3:$B$1039,ROW(A1)))</f>
        <v>ﾌｨﾙﾑﾃｯｸ･ｳｫｰﾀｰ･ｼﾞｬﾊﾟﾝAM</v>
      </c>
      <c r="D3" s="18" t="str">
        <f>PHONETIC(A3)</f>
        <v>フィルムテック･ウォーター･ジャパンAM</v>
      </c>
      <c r="E3" s="18" t="s">
        <v>228</v>
      </c>
      <c r="F3" s="174" t="s">
        <v>229</v>
      </c>
      <c r="G3" s="175">
        <v>0.1875</v>
      </c>
      <c r="H3" s="176"/>
      <c r="I3" s="177"/>
      <c r="J3" s="177"/>
      <c r="K3" s="177"/>
      <c r="L3" s="19" t="s">
        <v>230</v>
      </c>
      <c r="M3" s="178"/>
      <c r="N3" s="179"/>
      <c r="O3" s="179" t="s">
        <v>227</v>
      </c>
    </row>
    <row r="4" spans="1:15" ht="28.5" x14ac:dyDescent="0.15">
      <c r="A4" s="18" t="s">
        <v>1070</v>
      </c>
      <c r="B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4)),ROW(),"")</f>
        <v>4</v>
      </c>
      <c r="C4" s="18" t="str">
        <f>INDEX(A:A,SMALL($B$3:$B$1039,ROW(A2)))</f>
        <v>ﾌｨﾙﾑﾃｯｸ･ｳｫｰﾀｰ･ｼﾞｬﾊﾟﾝ</v>
      </c>
      <c r="D4" s="18" t="str">
        <f>PHONETIC(A4)</f>
        <v>フィルムテック･ウォーター･ジャパン</v>
      </c>
      <c r="E4" s="18" t="s">
        <v>228</v>
      </c>
      <c r="F4" s="174"/>
      <c r="G4" s="180"/>
      <c r="H4" s="181"/>
      <c r="I4" s="182"/>
      <c r="J4" s="182"/>
      <c r="K4" s="182"/>
      <c r="L4" s="19"/>
      <c r="M4" s="183"/>
      <c r="N4" s="184"/>
      <c r="O4" s="179" t="s">
        <v>227</v>
      </c>
    </row>
    <row r="5" spans="1:15" ht="28.5" x14ac:dyDescent="0.15">
      <c r="A5" s="18" t="s">
        <v>869</v>
      </c>
      <c r="B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5)),ROW(),"")</f>
        <v>5</v>
      </c>
      <c r="C5" s="89" t="str">
        <f>INDEX(A:A,SMALL($B$3:$B$1039,ROW(A2)))</f>
        <v>ﾌｨﾙﾑﾃｯｸ･ｳｫｰﾀｰ･ｼﾞｬﾊﾟﾝ</v>
      </c>
      <c r="D5" s="89" t="str">
        <f t="shared" ref="D5:D80" si="0">PHONETIC(A5)</f>
        <v>DNPファインケミカル（ウツノミヤ）</v>
      </c>
      <c r="E5" s="18" t="s">
        <v>618</v>
      </c>
      <c r="F5" s="174"/>
      <c r="G5" s="180">
        <v>0.25</v>
      </c>
      <c r="H5" s="181"/>
      <c r="I5" s="182"/>
      <c r="J5" s="182"/>
      <c r="K5" s="182"/>
      <c r="L5" s="174" t="s">
        <v>226</v>
      </c>
      <c r="M5" s="183"/>
      <c r="N5" s="184"/>
      <c r="O5" s="179" t="s">
        <v>227</v>
      </c>
    </row>
    <row r="6" spans="1:15" ht="28.5" x14ac:dyDescent="0.15">
      <c r="A6" s="18" t="s">
        <v>613</v>
      </c>
      <c r="B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6)),ROW(),"")</f>
        <v>6</v>
      </c>
      <c r="C6" s="18" t="str">
        <f>INDEX(A:A,SMALL($B$3:$B$1039,ROW(A3)))</f>
        <v>DNPﾌｧｲﾝｹﾐｶﾙ（宇都宮）</v>
      </c>
      <c r="D6" s="18" t="str">
        <f t="shared" si="0"/>
        <v>JFEスチール8：00</v>
      </c>
      <c r="E6" s="18" t="s">
        <v>231</v>
      </c>
      <c r="F6" s="175">
        <v>0.33333333333333331</v>
      </c>
      <c r="G6" s="175">
        <v>0.10416666666666667</v>
      </c>
      <c r="H6" s="176"/>
      <c r="I6" s="177"/>
      <c r="J6" s="177"/>
      <c r="K6" s="177"/>
      <c r="L6" s="19" t="s">
        <v>614</v>
      </c>
      <c r="M6" s="178"/>
      <c r="N6" s="18"/>
      <c r="O6" s="179" t="s">
        <v>227</v>
      </c>
    </row>
    <row r="7" spans="1:15" ht="28.5" x14ac:dyDescent="0.15">
      <c r="A7" s="18" t="s">
        <v>870</v>
      </c>
      <c r="B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7)),ROW(),"")</f>
        <v>7</v>
      </c>
      <c r="C7" s="18" t="str">
        <f>INDEX(A:A,SMALL($B$3:$B$1039,ROW(A4)))</f>
        <v>JFEスチール8：00</v>
      </c>
      <c r="D7" s="18" t="str">
        <f t="shared" ref="D7" si="1">PHONETIC(A7)</f>
        <v>JFEスチール</v>
      </c>
      <c r="E7" s="18" t="s">
        <v>231</v>
      </c>
      <c r="F7" s="175"/>
      <c r="G7" s="180"/>
      <c r="H7" s="181"/>
      <c r="I7" s="182"/>
      <c r="J7" s="182"/>
      <c r="K7" s="182"/>
      <c r="L7" s="19"/>
      <c r="M7" s="183"/>
      <c r="N7" s="89"/>
      <c r="O7" s="179" t="s">
        <v>227</v>
      </c>
    </row>
    <row r="8" spans="1:15" x14ac:dyDescent="0.15">
      <c r="A8" s="89" t="s">
        <v>615</v>
      </c>
      <c r="B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8)),ROW(),"")</f>
        <v>8</v>
      </c>
      <c r="C8" s="89" t="str">
        <f>INDEX(A:A,SMALL($B$3:$B$1039,ROW(A5)))</f>
        <v>JFEスチール</v>
      </c>
      <c r="D8" s="89" t="str">
        <f>PHONETIC(A8)</f>
        <v>ＪＸキンゾク（HMC）AM</v>
      </c>
      <c r="E8" s="89" t="s">
        <v>619</v>
      </c>
      <c r="F8" s="174" t="s">
        <v>229</v>
      </c>
      <c r="G8" s="180">
        <v>0.22916666666666666</v>
      </c>
      <c r="H8" s="185"/>
      <c r="I8" s="186"/>
      <c r="J8" s="186"/>
      <c r="K8" s="186"/>
      <c r="L8" s="174" t="s">
        <v>226</v>
      </c>
      <c r="M8" s="183"/>
      <c r="N8" s="184"/>
      <c r="O8" s="179" t="s">
        <v>227</v>
      </c>
    </row>
    <row r="9" spans="1:15" x14ac:dyDescent="0.15">
      <c r="A9" s="89" t="s">
        <v>871</v>
      </c>
      <c r="B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9)),ROW(),"")</f>
        <v>9</v>
      </c>
      <c r="C9" s="89" t="str">
        <f>INDEX(A:A,SMALL($B$3:$B$1039,ROW(A7)))</f>
        <v>ＪＸ金属（HMC）</v>
      </c>
      <c r="D9" s="89" t="str">
        <f>PHONETIC(A9)</f>
        <v>ＪＸキンゾク（HMC）</v>
      </c>
      <c r="E9" s="89" t="s">
        <v>619</v>
      </c>
      <c r="F9" s="174"/>
      <c r="G9" s="180"/>
      <c r="H9" s="185"/>
      <c r="I9" s="186"/>
      <c r="J9" s="186"/>
      <c r="K9" s="186"/>
      <c r="L9" s="174"/>
      <c r="M9" s="183"/>
      <c r="N9" s="184"/>
      <c r="O9" s="179" t="s">
        <v>227</v>
      </c>
    </row>
    <row r="10" spans="1:15" ht="28.5" x14ac:dyDescent="0.15">
      <c r="A10" s="89" t="s">
        <v>233</v>
      </c>
      <c r="B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10)),ROW(),"")</f>
        <v>10</v>
      </c>
      <c r="C10" s="89" t="str">
        <f>INDEX(A:A,SMALL($B$3:$B$1039,ROW(A6)))</f>
        <v>ＪＸ金属（HMC）AM</v>
      </c>
      <c r="D10" s="89" t="str">
        <f t="shared" si="0"/>
        <v>ＪＸキンゾク（イソハラ）</v>
      </c>
      <c r="E10" s="89" t="s">
        <v>619</v>
      </c>
      <c r="F10" s="174" t="s">
        <v>226</v>
      </c>
      <c r="G10" s="187" t="s">
        <v>226</v>
      </c>
      <c r="H10" s="181"/>
      <c r="I10" s="182"/>
      <c r="J10" s="182"/>
      <c r="K10" s="182"/>
      <c r="L10" s="174" t="s">
        <v>226</v>
      </c>
      <c r="M10" s="183"/>
      <c r="N10" s="184"/>
      <c r="O10" s="179" t="s">
        <v>227</v>
      </c>
    </row>
    <row r="11" spans="1:15" ht="28.5" x14ac:dyDescent="0.15">
      <c r="A11" s="89" t="s">
        <v>616</v>
      </c>
      <c r="B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11)),ROW(),"")</f>
        <v>11</v>
      </c>
      <c r="C11" s="89" t="str">
        <f>INDEX(A:A,SMALL($B$3:$B$1039,ROW(A8)))</f>
        <v>ＪＸ金属（磯原）</v>
      </c>
      <c r="D11" s="89" t="str">
        <f>PHONETIC(A11)</f>
        <v>ＪＸキンゾク（キキンゾク）7：30</v>
      </c>
      <c r="E11" s="89" t="s">
        <v>619</v>
      </c>
      <c r="F11" s="175">
        <v>0.3125</v>
      </c>
      <c r="G11" s="180">
        <v>0.1875</v>
      </c>
      <c r="H11" s="181"/>
      <c r="I11" s="182"/>
      <c r="J11" s="182"/>
      <c r="K11" s="182"/>
      <c r="L11" s="174" t="s">
        <v>226</v>
      </c>
      <c r="M11" s="183"/>
      <c r="N11" s="184"/>
      <c r="O11" s="179" t="s">
        <v>227</v>
      </c>
    </row>
    <row r="12" spans="1:15" ht="28.5" x14ac:dyDescent="0.15">
      <c r="A12" s="89" t="s">
        <v>617</v>
      </c>
      <c r="B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12)),ROW(),"")</f>
        <v>12</v>
      </c>
      <c r="C12" s="89" t="str">
        <f>INDEX(A:A,SMALL($B$3:$B$1039,ROW(A10)))</f>
        <v>ＪＸ金属（貴金属）AM</v>
      </c>
      <c r="D12" s="89" t="str">
        <f t="shared" si="0"/>
        <v>ＪＸキンゾク（キキンゾク）AM</v>
      </c>
      <c r="E12" s="89" t="s">
        <v>619</v>
      </c>
      <c r="F12" s="174" t="s">
        <v>229</v>
      </c>
      <c r="G12" s="180">
        <v>0.22916666666666666</v>
      </c>
      <c r="H12" s="181"/>
      <c r="I12" s="182"/>
      <c r="J12" s="182"/>
      <c r="K12" s="182"/>
      <c r="L12" s="174" t="s">
        <v>226</v>
      </c>
      <c r="M12" s="183"/>
      <c r="N12" s="184"/>
      <c r="O12" s="179" t="s">
        <v>227</v>
      </c>
    </row>
    <row r="13" spans="1:15" ht="28.5" x14ac:dyDescent="0.15">
      <c r="A13" s="89" t="s">
        <v>872</v>
      </c>
      <c r="B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13)),ROW(),"")</f>
        <v>13</v>
      </c>
      <c r="C13" s="89" t="str">
        <f>INDEX(A:A,SMALL($B$3:$B$1039,ROW(A11)))</f>
        <v>ＪＸ金属（貴金属）</v>
      </c>
      <c r="D13" s="89" t="str">
        <f t="shared" ref="D13" si="2">PHONETIC(A13)</f>
        <v>ＪＸキンゾク（キキンゾク）</v>
      </c>
      <c r="E13" s="89" t="s">
        <v>619</v>
      </c>
      <c r="F13" s="174"/>
      <c r="G13" s="180"/>
      <c r="H13" s="181"/>
      <c r="I13" s="182"/>
      <c r="J13" s="182"/>
      <c r="K13" s="182"/>
      <c r="L13" s="174"/>
      <c r="M13" s="183"/>
      <c r="N13" s="184"/>
      <c r="O13" s="179" t="s">
        <v>227</v>
      </c>
    </row>
    <row r="14" spans="1:15" ht="28.5" x14ac:dyDescent="0.15">
      <c r="A14" s="89" t="s">
        <v>234</v>
      </c>
      <c r="B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14)),ROW(),"")</f>
        <v>14</v>
      </c>
      <c r="C14" s="89" t="str">
        <f>INDEX(A:A,SMALL($B$3:$B$1039,ROW(A11)))</f>
        <v>ＪＸ金属（貴金属）</v>
      </c>
      <c r="D14" s="89" t="str">
        <f t="shared" si="0"/>
        <v>ＪＸキンゾク（キレート）</v>
      </c>
      <c r="E14" s="89" t="s">
        <v>619</v>
      </c>
      <c r="F14" s="174" t="s">
        <v>226</v>
      </c>
      <c r="G14" s="180">
        <v>0.22916666666666666</v>
      </c>
      <c r="H14" s="181"/>
      <c r="I14" s="182"/>
      <c r="J14" s="182"/>
      <c r="K14" s="182"/>
      <c r="L14" s="174" t="s">
        <v>226</v>
      </c>
      <c r="M14" s="183"/>
      <c r="N14" s="184"/>
      <c r="O14" s="179" t="s">
        <v>227</v>
      </c>
    </row>
    <row r="15" spans="1:15" ht="28.5" x14ac:dyDescent="0.15">
      <c r="A15" s="18" t="s">
        <v>235</v>
      </c>
      <c r="B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15)),ROW(),"")</f>
        <v>15</v>
      </c>
      <c r="C15" s="89" t="str">
        <f>INDEX(A:A,SMALL($B$3:$B$1039,ROW(A12)))</f>
        <v>ＪＸ金属（キレート）</v>
      </c>
      <c r="D15" s="89" t="str">
        <f t="shared" si="0"/>
        <v>ＪＸキンゾク（アツエン）</v>
      </c>
      <c r="E15" s="89" t="s">
        <v>619</v>
      </c>
      <c r="F15" s="175"/>
      <c r="G15" s="175">
        <v>0.25</v>
      </c>
      <c r="H15" s="176"/>
      <c r="I15" s="177"/>
      <c r="J15" s="177"/>
      <c r="K15" s="177"/>
      <c r="L15" s="174" t="s">
        <v>226</v>
      </c>
      <c r="M15" s="178"/>
      <c r="N15" s="179"/>
      <c r="O15" s="179" t="s">
        <v>227</v>
      </c>
    </row>
    <row r="16" spans="1:15" ht="28.5" x14ac:dyDescent="0.15">
      <c r="A16" s="18" t="s">
        <v>620</v>
      </c>
      <c r="B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16)),ROW(),"")</f>
        <v>16</v>
      </c>
      <c r="C16" s="89" t="str">
        <f>INDEX(A:A,SMALL($B$3:$B$1039,ROW(A14)))</f>
        <v>ＪＸ金属（大雄院ボイラー）7：00</v>
      </c>
      <c r="D16" s="89" t="str">
        <f t="shared" si="0"/>
        <v>ＪＸキンゾク（ダイユウインボイラー）7：00</v>
      </c>
      <c r="E16" s="89" t="s">
        <v>619</v>
      </c>
      <c r="F16" s="175">
        <v>0.29166666666666669</v>
      </c>
      <c r="G16" s="175">
        <v>0.22916666666666666</v>
      </c>
      <c r="H16" s="176"/>
      <c r="I16" s="177"/>
      <c r="J16" s="177"/>
      <c r="K16" s="177"/>
      <c r="L16" s="174" t="s">
        <v>226</v>
      </c>
      <c r="M16" s="178"/>
      <c r="N16" s="179"/>
      <c r="O16" s="179" t="s">
        <v>227</v>
      </c>
    </row>
    <row r="17" spans="1:15" ht="28.5" x14ac:dyDescent="0.15">
      <c r="A17" s="18" t="s">
        <v>873</v>
      </c>
      <c r="B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17)),ROW(),"")</f>
        <v>17</v>
      </c>
      <c r="C17" s="89" t="str">
        <f>INDEX(A:A,SMALL($B$3:$B$1039,ROW(A15)))</f>
        <v>ＪＸ金属（大雄院ボイラー）</v>
      </c>
      <c r="D17" s="89" t="str">
        <f t="shared" ref="D17" si="3">PHONETIC(A17)</f>
        <v>ＪＸキンゾク（ダイユウインボイラー）</v>
      </c>
      <c r="E17" s="89" t="s">
        <v>619</v>
      </c>
      <c r="F17" s="175"/>
      <c r="G17" s="175"/>
      <c r="H17" s="176"/>
      <c r="I17" s="177"/>
      <c r="J17" s="177"/>
      <c r="K17" s="177"/>
      <c r="L17" s="174"/>
      <c r="M17" s="178"/>
      <c r="N17" s="179"/>
      <c r="O17" s="179" t="s">
        <v>227</v>
      </c>
    </row>
    <row r="18" spans="1:15" ht="28.5" x14ac:dyDescent="0.15">
      <c r="A18" s="18" t="s">
        <v>621</v>
      </c>
      <c r="B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18)),ROW(),"")</f>
        <v>18</v>
      </c>
      <c r="C18" s="18" t="str">
        <f>INDEX(A:A,SMALL($B$3:$B$1039,ROW(A15)))</f>
        <v>ＪＸ金属（大雄院ボイラー）</v>
      </c>
      <c r="D18" s="18" t="str">
        <f t="shared" si="0"/>
        <v>ＪＸキンゾク（ユピノーグ）7：30</v>
      </c>
      <c r="E18" s="89" t="s">
        <v>619</v>
      </c>
      <c r="F18" s="175">
        <v>0.3125</v>
      </c>
      <c r="G18" s="175">
        <v>0.20833333333333334</v>
      </c>
      <c r="H18" s="176"/>
      <c r="I18" s="177"/>
      <c r="J18" s="177"/>
      <c r="K18" s="177"/>
      <c r="L18" s="174" t="s">
        <v>226</v>
      </c>
      <c r="M18" s="178"/>
      <c r="N18" s="179"/>
      <c r="O18" s="179" t="s">
        <v>227</v>
      </c>
    </row>
    <row r="19" spans="1:15" ht="28.5" x14ac:dyDescent="0.15">
      <c r="A19" s="18" t="s">
        <v>874</v>
      </c>
      <c r="B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19)),ROW(),"")</f>
        <v>19</v>
      </c>
      <c r="C19" s="18" t="str">
        <f>INDEX(A:A,SMALL($B$3:$B$1039,ROW(A16)))</f>
        <v>ＪＸ金属（ユピノーグ）7：30</v>
      </c>
      <c r="D19" s="18" t="str">
        <f t="shared" ref="D19" si="4">PHONETIC(A19)</f>
        <v>ＪＸキンゾク（ユピノーグ)</v>
      </c>
      <c r="E19" s="89" t="s">
        <v>619</v>
      </c>
      <c r="F19" s="175"/>
      <c r="G19" s="175"/>
      <c r="H19" s="176"/>
      <c r="I19" s="177"/>
      <c r="J19" s="177"/>
      <c r="K19" s="177"/>
      <c r="L19" s="174"/>
      <c r="M19" s="178"/>
      <c r="N19" s="179"/>
      <c r="O19" s="179" t="s">
        <v>227</v>
      </c>
    </row>
    <row r="20" spans="1:15" ht="28.5" x14ac:dyDescent="0.15">
      <c r="A20" s="18" t="s">
        <v>622</v>
      </c>
      <c r="B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20)),ROW(),"")</f>
        <v>20</v>
      </c>
      <c r="C20" s="18" t="str">
        <f>INDEX(A:A,SMALL($B$3:$B$1039,ROW(A17)))</f>
        <v>ＪＸ金属（ユピノーグ)</v>
      </c>
      <c r="D20" s="18" t="str">
        <f>PHONETIC(A20)</f>
        <v>MGCエレクトロテクノ8：30</v>
      </c>
      <c r="E20" s="18" t="s">
        <v>627</v>
      </c>
      <c r="F20" s="175">
        <v>0.35416666666666669</v>
      </c>
      <c r="G20" s="175">
        <v>0.22916666666666666</v>
      </c>
      <c r="H20" s="176"/>
      <c r="I20" s="177"/>
      <c r="J20" s="177"/>
      <c r="K20" s="177"/>
      <c r="L20" s="174" t="s">
        <v>226</v>
      </c>
      <c r="M20" s="178"/>
      <c r="N20" s="179"/>
      <c r="O20" s="179" t="s">
        <v>227</v>
      </c>
    </row>
    <row r="21" spans="1:15" ht="28.5" x14ac:dyDescent="0.15">
      <c r="A21" s="18" t="s">
        <v>875</v>
      </c>
      <c r="B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21)),ROW(),"")</f>
        <v>21</v>
      </c>
      <c r="C21" s="18" t="str">
        <f>INDEX(A:A,SMALL($B$3:$B$1039,ROW(A18)))</f>
        <v>MGCエレクトロテクノ8：30</v>
      </c>
      <c r="D21" s="18" t="str">
        <f t="shared" si="0"/>
        <v>MGCエレクトロテクノ</v>
      </c>
      <c r="E21" s="18" t="s">
        <v>627</v>
      </c>
      <c r="F21" s="175"/>
      <c r="G21" s="175"/>
      <c r="H21" s="176"/>
      <c r="I21" s="177"/>
      <c r="J21" s="177"/>
      <c r="K21" s="177"/>
      <c r="L21" s="174" t="s">
        <v>226</v>
      </c>
      <c r="M21" s="178"/>
      <c r="N21" s="179"/>
      <c r="O21" s="179" t="s">
        <v>227</v>
      </c>
    </row>
    <row r="22" spans="1:15" ht="24" x14ac:dyDescent="0.15">
      <c r="A22" s="18" t="s">
        <v>236</v>
      </c>
      <c r="B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22)),ROW(),"")</f>
        <v>22</v>
      </c>
      <c r="C22" s="18" t="str">
        <f>INDEX(A:A,SMALL($B$3:$B$1039,ROW(A20)))</f>
        <v>NCテック(新潟)</v>
      </c>
      <c r="D22" s="18" t="str">
        <f t="shared" si="0"/>
        <v>NCテック(ニイガタ)</v>
      </c>
      <c r="E22" s="18" t="s">
        <v>237</v>
      </c>
      <c r="F22" s="174" t="s">
        <v>226</v>
      </c>
      <c r="G22" s="188">
        <v>8.3333333333333329E-2</v>
      </c>
      <c r="H22" s="188"/>
      <c r="I22" s="110"/>
      <c r="J22" s="18" t="s">
        <v>238</v>
      </c>
      <c r="K22" s="18"/>
      <c r="L22" s="19" t="s">
        <v>239</v>
      </c>
      <c r="M22" s="178"/>
      <c r="N22" s="179"/>
      <c r="O22" s="179" t="s">
        <v>227</v>
      </c>
    </row>
    <row r="23" spans="1:15" ht="24" x14ac:dyDescent="0.15">
      <c r="A23" s="18" t="s">
        <v>623</v>
      </c>
      <c r="B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23)),ROW(),"")</f>
        <v>23</v>
      </c>
      <c r="C23" s="18" t="str">
        <f>INDEX(A:A,SMALL($B$3:$B$1039,ROW(A21)))</f>
        <v>TOPPAN(新潟)8：00</v>
      </c>
      <c r="D23" s="18" t="str">
        <f t="shared" si="0"/>
        <v>TOPPAN(ニイガタ)8：00</v>
      </c>
      <c r="E23" s="18" t="s">
        <v>240</v>
      </c>
      <c r="F23" s="175">
        <v>0.33333333333333331</v>
      </c>
      <c r="G23" s="188">
        <v>0.10416666666666667</v>
      </c>
      <c r="H23" s="188"/>
      <c r="I23" s="110"/>
      <c r="J23" s="18" t="s">
        <v>238</v>
      </c>
      <c r="K23" s="18"/>
      <c r="L23" s="19" t="s">
        <v>239</v>
      </c>
      <c r="M23" s="178"/>
      <c r="N23" s="189"/>
      <c r="O23" s="179" t="s">
        <v>227</v>
      </c>
    </row>
    <row r="24" spans="1:15" ht="24" x14ac:dyDescent="0.15">
      <c r="A24" s="18" t="s">
        <v>624</v>
      </c>
      <c r="B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24)),ROW(),"")</f>
        <v>24</v>
      </c>
      <c r="C24" s="18" t="str">
        <f>INDEX(A:A,SMALL($B$3:$B$1039,ROW(A22)))</f>
        <v>TOPPAN(新潟)8：30</v>
      </c>
      <c r="D24" s="18" t="str">
        <f t="shared" si="0"/>
        <v>TOPPAN(ニイガタ)8：30</v>
      </c>
      <c r="E24" s="18" t="s">
        <v>240</v>
      </c>
      <c r="F24" s="175">
        <v>0.35416666666666669</v>
      </c>
      <c r="G24" s="188">
        <v>0.10416666666666667</v>
      </c>
      <c r="H24" s="188"/>
      <c r="I24" s="110"/>
      <c r="J24" s="18" t="s">
        <v>238</v>
      </c>
      <c r="K24" s="18"/>
      <c r="L24" s="19" t="s">
        <v>239</v>
      </c>
      <c r="M24" s="178"/>
      <c r="N24" s="189"/>
      <c r="O24" s="179" t="s">
        <v>227</v>
      </c>
    </row>
    <row r="25" spans="1:15" ht="24" x14ac:dyDescent="0.15">
      <c r="A25" s="18" t="s">
        <v>876</v>
      </c>
      <c r="B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25)),ROW(),"")</f>
        <v>25</v>
      </c>
      <c r="C25" s="18" t="str">
        <f>INDEX(A:A,SMALL($B$3:$B$1039,ROW(A23)))</f>
        <v>TOPPAN(新潟)</v>
      </c>
      <c r="D25" s="18" t="str">
        <f t="shared" ref="D25" si="5">PHONETIC(A25)</f>
        <v>TOPPAN(ニイガタ)</v>
      </c>
      <c r="E25" s="18" t="s">
        <v>240</v>
      </c>
      <c r="F25" s="175"/>
      <c r="G25" s="188"/>
      <c r="H25" s="188"/>
      <c r="I25" s="110"/>
      <c r="J25" s="18"/>
      <c r="K25" s="18"/>
      <c r="L25" s="19" t="s">
        <v>239</v>
      </c>
      <c r="M25" s="178"/>
      <c r="N25" s="189"/>
      <c r="O25" s="179" t="s">
        <v>227</v>
      </c>
    </row>
    <row r="26" spans="1:15" ht="28.5" x14ac:dyDescent="0.15">
      <c r="A26" s="18" t="s">
        <v>625</v>
      </c>
      <c r="B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26)),ROW(),"")</f>
        <v>26</v>
      </c>
      <c r="C26" s="18" t="str">
        <f>INDEX(A:A,SMALL($B$3:$B$1039,ROW(A23)))</f>
        <v>TOPPAN(新潟)</v>
      </c>
      <c r="D26" s="18" t="str">
        <f t="shared" si="0"/>
        <v>アサカリケンコオリヤマ8：30</v>
      </c>
      <c r="E26" s="18" t="s">
        <v>277</v>
      </c>
      <c r="F26" s="175">
        <v>0.35416666666666669</v>
      </c>
      <c r="G26" s="175">
        <v>0.22916666666666666</v>
      </c>
      <c r="H26" s="176"/>
      <c r="I26" s="177"/>
      <c r="J26" s="177"/>
      <c r="K26" s="177"/>
      <c r="L26" s="174" t="s">
        <v>226</v>
      </c>
      <c r="M26" s="178"/>
      <c r="N26" s="179"/>
      <c r="O26" s="179" t="s">
        <v>227</v>
      </c>
    </row>
    <row r="27" spans="1:15" ht="28.5" x14ac:dyDescent="0.15">
      <c r="A27" s="18" t="s">
        <v>626</v>
      </c>
      <c r="B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27)),ROW(),"")</f>
        <v>27</v>
      </c>
      <c r="C27" s="18" t="str">
        <f>INDEX(A:A,SMALL($B$3:$B$1039,ROW(A24)))</f>
        <v>アサカ理研郡山8：30</v>
      </c>
      <c r="D27" s="18" t="str">
        <f t="shared" si="0"/>
        <v>アサカリケンコオリヤマ9：00</v>
      </c>
      <c r="E27" s="18" t="s">
        <v>277</v>
      </c>
      <c r="F27" s="175">
        <v>0.375</v>
      </c>
      <c r="G27" s="175">
        <v>0.25</v>
      </c>
      <c r="H27" s="176"/>
      <c r="I27" s="177"/>
      <c r="J27" s="177"/>
      <c r="K27" s="177"/>
      <c r="L27" s="174" t="s">
        <v>226</v>
      </c>
      <c r="M27" s="178"/>
      <c r="N27" s="179"/>
      <c r="O27" s="179" t="s">
        <v>227</v>
      </c>
    </row>
    <row r="28" spans="1:15" ht="28.5" x14ac:dyDescent="0.15">
      <c r="A28" s="18" t="s">
        <v>877</v>
      </c>
      <c r="B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28)),ROW(),"")</f>
        <v>28</v>
      </c>
      <c r="C28" s="18" t="str">
        <f>INDEX(A:A,SMALL($B$3:$B$1039,ROW(A26)))</f>
        <v>アサカ理研郡山</v>
      </c>
      <c r="D28" s="18" t="str">
        <f t="shared" ref="D28" si="6">PHONETIC(A28)</f>
        <v>アサカリケンコオリヤマ</v>
      </c>
      <c r="E28" s="18" t="s">
        <v>277</v>
      </c>
      <c r="F28" s="175"/>
      <c r="G28" s="175"/>
      <c r="H28" s="176"/>
      <c r="I28" s="177"/>
      <c r="J28" s="177"/>
      <c r="K28" s="177"/>
      <c r="L28" s="174"/>
      <c r="M28" s="178"/>
      <c r="N28" s="179"/>
      <c r="O28" s="179" t="s">
        <v>227</v>
      </c>
    </row>
    <row r="29" spans="1:15" ht="28.5" x14ac:dyDescent="0.15">
      <c r="A29" s="18" t="s">
        <v>628</v>
      </c>
      <c r="B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29)),ROW(),"")</f>
        <v>29</v>
      </c>
      <c r="C29" s="18" t="str">
        <f>INDEX(A:A,SMALL($B$3:$B$1039,ROW(A26)))</f>
        <v>アサカ理研郡山</v>
      </c>
      <c r="D29" s="18" t="str">
        <f t="shared" si="0"/>
        <v>アサカリケン（イワキ）8：30</v>
      </c>
      <c r="E29" s="18" t="s">
        <v>277</v>
      </c>
      <c r="F29" s="175">
        <v>0.35416666666666669</v>
      </c>
      <c r="G29" s="175">
        <v>0.3125</v>
      </c>
      <c r="H29" s="176"/>
      <c r="I29" s="177"/>
      <c r="J29" s="177"/>
      <c r="K29" s="177"/>
      <c r="L29" s="174" t="s">
        <v>226</v>
      </c>
      <c r="M29" s="178"/>
      <c r="N29" s="179"/>
      <c r="O29" s="179" t="s">
        <v>227</v>
      </c>
    </row>
    <row r="30" spans="1:15" ht="28.5" x14ac:dyDescent="0.15">
      <c r="A30" s="18" t="s">
        <v>878</v>
      </c>
      <c r="B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30)),ROW(),"")</f>
        <v>30</v>
      </c>
      <c r="C30" s="18" t="str">
        <f t="shared" ref="C30:C61" si="7">INDEX(A:A,SMALL($B$3:$B$1039,ROW(A28)))</f>
        <v>アサカ理研（いわき）</v>
      </c>
      <c r="D30" s="18" t="str">
        <f t="shared" ref="D30" si="8">PHONETIC(A30)</f>
        <v>アサカリケン（イワキ）</v>
      </c>
      <c r="E30" s="18" t="s">
        <v>277</v>
      </c>
      <c r="F30" s="175"/>
      <c r="G30" s="175"/>
      <c r="H30" s="176"/>
      <c r="I30" s="177"/>
      <c r="J30" s="177"/>
      <c r="K30" s="177"/>
      <c r="L30" s="174"/>
      <c r="M30" s="178"/>
      <c r="N30" s="179"/>
      <c r="O30" s="179" t="s">
        <v>227</v>
      </c>
    </row>
    <row r="31" spans="1:15" ht="28.5" x14ac:dyDescent="0.15">
      <c r="A31" s="18" t="s">
        <v>629</v>
      </c>
      <c r="B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31)),ROW(),"")</f>
        <v>31</v>
      </c>
      <c r="C31" s="18" t="str">
        <f t="shared" si="7"/>
        <v>ｱﾙﾌﾟｽｱﾙﾊﾟｲﾝ（平）13：30</v>
      </c>
      <c r="D31" s="18" t="str">
        <f t="shared" si="0"/>
        <v>アルプスアルパイン（タイラ）13：30</v>
      </c>
      <c r="E31" s="18" t="s">
        <v>289</v>
      </c>
      <c r="F31" s="175">
        <v>0.5625</v>
      </c>
      <c r="G31" s="174" t="s">
        <v>226</v>
      </c>
      <c r="H31" s="176"/>
      <c r="I31" s="177"/>
      <c r="J31" s="177"/>
      <c r="K31" s="177"/>
      <c r="L31" s="174" t="s">
        <v>226</v>
      </c>
      <c r="M31" s="178"/>
      <c r="N31" s="179"/>
      <c r="O31" s="179" t="s">
        <v>227</v>
      </c>
    </row>
    <row r="32" spans="1:15" ht="28.5" x14ac:dyDescent="0.15">
      <c r="A32" s="18" t="s">
        <v>630</v>
      </c>
      <c r="B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32)),ROW(),"")</f>
        <v>32</v>
      </c>
      <c r="C32" s="18" t="str">
        <f t="shared" si="7"/>
        <v>ｱﾙﾌﾟｽｱﾙﾊﾟｲﾝ（平）10：00</v>
      </c>
      <c r="D32" s="18" t="str">
        <f t="shared" si="0"/>
        <v>アルプスアルパイン（タイラ）10：00</v>
      </c>
      <c r="E32" s="18" t="s">
        <v>289</v>
      </c>
      <c r="F32" s="175">
        <v>0.41666666666666669</v>
      </c>
      <c r="G32" s="175">
        <v>0.35416666666666669</v>
      </c>
      <c r="H32" s="176"/>
      <c r="I32" s="177"/>
      <c r="J32" s="177"/>
      <c r="K32" s="177"/>
      <c r="L32" s="174" t="s">
        <v>226</v>
      </c>
      <c r="M32" s="178"/>
      <c r="N32" s="179"/>
      <c r="O32" s="179" t="s">
        <v>227</v>
      </c>
    </row>
    <row r="33" spans="1:15" ht="28.5" x14ac:dyDescent="0.15">
      <c r="A33" s="18" t="s">
        <v>631</v>
      </c>
      <c r="B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33)),ROW(),"")</f>
        <v>33</v>
      </c>
      <c r="C33" s="18" t="str">
        <f t="shared" si="7"/>
        <v>ｱﾙﾌﾟｽｱﾙﾊﾟｲﾝ（平）9：00</v>
      </c>
      <c r="D33" s="18" t="str">
        <f t="shared" si="0"/>
        <v>アルプスアルパイン（タイラ）9：00</v>
      </c>
      <c r="E33" s="18" t="s">
        <v>289</v>
      </c>
      <c r="F33" s="175">
        <v>0.375</v>
      </c>
      <c r="G33" s="175">
        <v>0.3125</v>
      </c>
      <c r="H33" s="176"/>
      <c r="I33" s="177"/>
      <c r="J33" s="177"/>
      <c r="K33" s="177"/>
      <c r="L33" s="174" t="s">
        <v>226</v>
      </c>
      <c r="M33" s="178"/>
      <c r="N33" s="179"/>
      <c r="O33" s="179" t="s">
        <v>227</v>
      </c>
    </row>
    <row r="34" spans="1:15" ht="28.5" x14ac:dyDescent="0.15">
      <c r="A34" s="18" t="s">
        <v>879</v>
      </c>
      <c r="B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34)),ROW(),"")</f>
        <v>34</v>
      </c>
      <c r="C34" s="18" t="str">
        <f t="shared" si="7"/>
        <v>ｱﾙﾌﾟｽｱﾙﾊﾟｲﾝ（平）</v>
      </c>
      <c r="D34" s="18" t="str">
        <f t="shared" ref="D34" si="9">PHONETIC(A34)</f>
        <v>アルプスアルパイン（タイラ）</v>
      </c>
      <c r="E34" s="18" t="s">
        <v>289</v>
      </c>
      <c r="F34" s="175"/>
      <c r="G34" s="175"/>
      <c r="H34" s="176"/>
      <c r="I34" s="177"/>
      <c r="J34" s="177"/>
      <c r="K34" s="177"/>
      <c r="L34" s="174"/>
      <c r="M34" s="178"/>
      <c r="N34" s="179"/>
      <c r="O34" s="179" t="s">
        <v>227</v>
      </c>
    </row>
    <row r="35" spans="1:15" ht="24" x14ac:dyDescent="0.15">
      <c r="A35" s="18" t="s">
        <v>632</v>
      </c>
      <c r="B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35)),ROW(),"")</f>
        <v>35</v>
      </c>
      <c r="C35" s="18" t="str">
        <f t="shared" si="7"/>
        <v>ｱﾙﾌﾟｽｱﾙﾊﾟｲﾝ（涌谷）</v>
      </c>
      <c r="D35" s="18" t="str">
        <f t="shared" si="0"/>
        <v>アルプスアルパイン（ワクヤ）</v>
      </c>
      <c r="E35" s="18" t="s">
        <v>241</v>
      </c>
      <c r="F35" s="174" t="s">
        <v>226</v>
      </c>
      <c r="G35" s="188">
        <v>0.125</v>
      </c>
      <c r="H35" s="188"/>
      <c r="I35" s="110"/>
      <c r="J35" s="18" t="s">
        <v>238</v>
      </c>
      <c r="K35" s="18"/>
      <c r="L35" s="19" t="s">
        <v>230</v>
      </c>
      <c r="M35" s="178"/>
      <c r="N35" s="189"/>
      <c r="O35" s="179" t="s">
        <v>227</v>
      </c>
    </row>
    <row r="36" spans="1:15" ht="24" x14ac:dyDescent="0.15">
      <c r="A36" s="18" t="s">
        <v>242</v>
      </c>
      <c r="B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36)),ROW(),"")</f>
        <v>36</v>
      </c>
      <c r="C36" s="18" t="str">
        <f t="shared" si="7"/>
        <v>いわき大王製紙</v>
      </c>
      <c r="D36" s="18" t="str">
        <f t="shared" si="0"/>
        <v>イワキダイオウセイシ</v>
      </c>
      <c r="E36" s="18" t="s">
        <v>258</v>
      </c>
      <c r="F36" s="174"/>
      <c r="G36" s="188"/>
      <c r="H36" s="188"/>
      <c r="I36" s="110"/>
      <c r="J36" s="18"/>
      <c r="K36" s="18"/>
      <c r="L36" s="19"/>
      <c r="M36" s="178"/>
      <c r="N36" s="189"/>
      <c r="O36" s="179" t="s">
        <v>227</v>
      </c>
    </row>
    <row r="37" spans="1:15" ht="28.5" x14ac:dyDescent="0.15">
      <c r="A37" s="18" t="s">
        <v>633</v>
      </c>
      <c r="B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37)),ROW(),"")</f>
        <v>37</v>
      </c>
      <c r="C37" s="18" t="str">
        <f t="shared" si="7"/>
        <v>ｴｱｰｳｫｰﾀｰ（小名浜）10：00</v>
      </c>
      <c r="D37" s="18" t="str">
        <f t="shared" si="0"/>
        <v>エアーウォーター（オナハマ）10：00</v>
      </c>
      <c r="E37" s="18" t="s">
        <v>258</v>
      </c>
      <c r="F37" s="175">
        <v>0.41666666666666669</v>
      </c>
      <c r="G37" s="175">
        <v>0.375</v>
      </c>
      <c r="H37" s="176"/>
      <c r="I37" s="177"/>
      <c r="J37" s="177"/>
      <c r="K37" s="177"/>
      <c r="L37" s="174" t="s">
        <v>226</v>
      </c>
      <c r="M37" s="178"/>
      <c r="N37" s="179"/>
      <c r="O37" s="179" t="s">
        <v>227</v>
      </c>
    </row>
    <row r="38" spans="1:15" ht="28.5" x14ac:dyDescent="0.15">
      <c r="A38" s="18" t="s">
        <v>880</v>
      </c>
      <c r="B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38)),ROW(),"")</f>
        <v>38</v>
      </c>
      <c r="C38" s="18" t="str">
        <f t="shared" si="7"/>
        <v>ｴｱｰｳｫｰﾀｰ（小名浜）</v>
      </c>
      <c r="D38" s="18" t="str">
        <f t="shared" ref="D38" si="10">PHONETIC(A38)</f>
        <v>エアーウォーター（オナハマ）</v>
      </c>
      <c r="E38" s="18" t="s">
        <v>258</v>
      </c>
      <c r="F38" s="175"/>
      <c r="G38" s="175"/>
      <c r="H38" s="176"/>
      <c r="I38" s="177"/>
      <c r="J38" s="177"/>
      <c r="K38" s="177"/>
      <c r="L38" s="174"/>
      <c r="M38" s="178"/>
      <c r="N38" s="179"/>
      <c r="O38" s="179" t="s">
        <v>227</v>
      </c>
    </row>
    <row r="39" spans="1:15" ht="28.5" x14ac:dyDescent="0.15">
      <c r="A39" s="18" t="s">
        <v>244</v>
      </c>
      <c r="B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39)),ROW(),"")</f>
        <v>39</v>
      </c>
      <c r="C39" s="18" t="str">
        <f t="shared" si="7"/>
        <v>エフオン（白河）</v>
      </c>
      <c r="D39" s="18" t="str">
        <f t="shared" si="0"/>
        <v>エフオン（シラカワ）</v>
      </c>
      <c r="E39" s="18" t="s">
        <v>258</v>
      </c>
      <c r="F39" s="174" t="s">
        <v>226</v>
      </c>
      <c r="G39" s="175"/>
      <c r="H39" s="176"/>
      <c r="I39" s="177"/>
      <c r="J39" s="177"/>
      <c r="K39" s="177"/>
      <c r="L39" s="174"/>
      <c r="M39" s="178"/>
      <c r="N39" s="179"/>
      <c r="O39" s="179" t="s">
        <v>227</v>
      </c>
    </row>
    <row r="40" spans="1:15" ht="24" x14ac:dyDescent="0.15">
      <c r="A40" s="86" t="s">
        <v>245</v>
      </c>
      <c r="B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40)),ROW(),"")</f>
        <v>40</v>
      </c>
      <c r="C40" s="18" t="str">
        <f t="shared" si="7"/>
        <v>大阪シーリング（那須）</v>
      </c>
      <c r="D40" s="18" t="str">
        <f t="shared" si="0"/>
        <v>オオサカシーリング（ナス）</v>
      </c>
      <c r="E40" s="18" t="s">
        <v>246</v>
      </c>
      <c r="F40" s="174" t="s">
        <v>226</v>
      </c>
      <c r="G40" s="188">
        <v>0.16666666666666666</v>
      </c>
      <c r="H40" s="188"/>
      <c r="I40" s="110"/>
      <c r="J40" s="18"/>
      <c r="K40" s="18"/>
      <c r="L40" s="174" t="s">
        <v>226</v>
      </c>
      <c r="M40" s="190"/>
      <c r="N40" s="18"/>
      <c r="O40" s="179" t="s">
        <v>227</v>
      </c>
    </row>
    <row r="41" spans="1:15" ht="28.5" x14ac:dyDescent="0.15">
      <c r="A41" s="18" t="s">
        <v>634</v>
      </c>
      <c r="B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41)),ROW(),"")</f>
        <v>41</v>
      </c>
      <c r="C41" s="18" t="str">
        <f t="shared" si="7"/>
        <v>小名浜製錬AM</v>
      </c>
      <c r="D41" s="18" t="str">
        <f t="shared" si="0"/>
        <v>オナハマセイレンAM</v>
      </c>
      <c r="E41" s="18" t="s">
        <v>243</v>
      </c>
      <c r="F41" s="174" t="s">
        <v>229</v>
      </c>
      <c r="G41" s="175">
        <v>0.33333333333333331</v>
      </c>
      <c r="H41" s="176"/>
      <c r="I41" s="177"/>
      <c r="J41" s="177"/>
      <c r="K41" s="177"/>
      <c r="L41" s="174" t="s">
        <v>226</v>
      </c>
      <c r="M41" s="178"/>
      <c r="N41" s="179"/>
      <c r="O41" s="179" t="s">
        <v>227</v>
      </c>
    </row>
    <row r="42" spans="1:15" ht="28.5" x14ac:dyDescent="0.15">
      <c r="A42" s="18" t="s">
        <v>881</v>
      </c>
      <c r="B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42)),ROW(),"")</f>
        <v>42</v>
      </c>
      <c r="C42" s="18" t="str">
        <f t="shared" si="7"/>
        <v>小名浜製錬</v>
      </c>
      <c r="D42" s="18" t="str">
        <f t="shared" ref="D42" si="11">PHONETIC(A42)</f>
        <v>オナハマセイレン</v>
      </c>
      <c r="E42" s="18" t="s">
        <v>243</v>
      </c>
      <c r="F42" s="174"/>
      <c r="G42" s="175"/>
      <c r="H42" s="176"/>
      <c r="I42" s="177"/>
      <c r="J42" s="177"/>
      <c r="K42" s="177"/>
      <c r="L42" s="174"/>
      <c r="M42" s="178"/>
      <c r="N42" s="179"/>
      <c r="O42" s="179" t="s">
        <v>227</v>
      </c>
    </row>
    <row r="43" spans="1:15" ht="24" x14ac:dyDescent="0.15">
      <c r="A43" s="84" t="s">
        <v>635</v>
      </c>
      <c r="B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43)),ROW(),"")</f>
        <v>43</v>
      </c>
      <c r="C43" s="18" t="str">
        <f t="shared" si="7"/>
        <v>カゴメ（那須）8：00</v>
      </c>
      <c r="D43" s="84" t="str">
        <f t="shared" si="0"/>
        <v>カゴメ（ナス）8：00</v>
      </c>
      <c r="E43" s="18" t="s">
        <v>246</v>
      </c>
      <c r="F43" s="175">
        <v>0.33333333333333331</v>
      </c>
      <c r="G43" s="188">
        <v>0.14583333333333334</v>
      </c>
      <c r="H43" s="188"/>
      <c r="I43" s="110"/>
      <c r="J43" s="18"/>
      <c r="K43" s="18"/>
      <c r="L43" s="174" t="s">
        <v>226</v>
      </c>
      <c r="M43" s="178"/>
      <c r="N43" s="18"/>
      <c r="O43" s="179" t="s">
        <v>227</v>
      </c>
    </row>
    <row r="44" spans="1:15" ht="24" x14ac:dyDescent="0.15">
      <c r="A44" s="84" t="s">
        <v>882</v>
      </c>
      <c r="B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44)),ROW(),"")</f>
        <v>44</v>
      </c>
      <c r="C44" s="18" t="str">
        <f t="shared" si="7"/>
        <v>カゴメ（那須）</v>
      </c>
      <c r="D44" s="84" t="str">
        <f t="shared" ref="D44" si="12">PHONETIC(A44)</f>
        <v>カゴメ（ナス）</v>
      </c>
      <c r="E44" s="18" t="s">
        <v>246</v>
      </c>
      <c r="F44" s="175"/>
      <c r="G44" s="188"/>
      <c r="H44" s="188"/>
      <c r="I44" s="110"/>
      <c r="J44" s="18"/>
      <c r="K44" s="18"/>
      <c r="L44" s="174"/>
      <c r="M44" s="178"/>
      <c r="N44" s="18"/>
      <c r="O44" s="179" t="s">
        <v>227</v>
      </c>
    </row>
    <row r="45" spans="1:15" ht="24" x14ac:dyDescent="0.15">
      <c r="A45" s="18" t="s">
        <v>636</v>
      </c>
      <c r="B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45)),ROW(),"")</f>
        <v>45</v>
      </c>
      <c r="C45" s="18" t="str">
        <f t="shared" si="7"/>
        <v>鹿島北共同発電　PM</v>
      </c>
      <c r="D45" s="18" t="str">
        <f t="shared" si="0"/>
        <v>カシマキタキョウドウハツデン　PM</v>
      </c>
      <c r="E45" s="18" t="s">
        <v>247</v>
      </c>
      <c r="F45" s="174" t="s">
        <v>248</v>
      </c>
      <c r="G45" s="188">
        <v>0.27083333333333331</v>
      </c>
      <c r="H45" s="188"/>
      <c r="I45" s="110"/>
      <c r="J45" s="18"/>
      <c r="K45" s="18"/>
      <c r="L45" s="174" t="s">
        <v>226</v>
      </c>
      <c r="M45" s="178"/>
      <c r="N45" s="18"/>
      <c r="O45" s="179" t="s">
        <v>227</v>
      </c>
    </row>
    <row r="46" spans="1:15" ht="24" x14ac:dyDescent="0.15">
      <c r="A46" s="18" t="s">
        <v>637</v>
      </c>
      <c r="B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46)),ROW(),"")</f>
        <v>46</v>
      </c>
      <c r="C46" s="18" t="str">
        <f t="shared" si="7"/>
        <v>鹿島北共同発電AM</v>
      </c>
      <c r="D46" s="18" t="str">
        <f t="shared" si="0"/>
        <v>カシマキタキョウドウハツデンAM</v>
      </c>
      <c r="E46" s="18" t="s">
        <v>247</v>
      </c>
      <c r="F46" s="174" t="s">
        <v>229</v>
      </c>
      <c r="G46" s="188">
        <v>0.14583333333333334</v>
      </c>
      <c r="H46" s="188"/>
      <c r="I46" s="110"/>
      <c r="J46" s="18"/>
      <c r="K46" s="18" t="s">
        <v>249</v>
      </c>
      <c r="L46" s="174" t="s">
        <v>226</v>
      </c>
      <c r="M46" s="178"/>
      <c r="N46" s="18"/>
      <c r="O46" s="179" t="s">
        <v>227</v>
      </c>
    </row>
    <row r="47" spans="1:15" ht="24" x14ac:dyDescent="0.15">
      <c r="A47" s="18" t="s">
        <v>883</v>
      </c>
      <c r="B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47)),ROW(),"")</f>
        <v>47</v>
      </c>
      <c r="C47" s="18" t="str">
        <f t="shared" si="7"/>
        <v>鹿島北共同発電</v>
      </c>
      <c r="D47" s="18" t="str">
        <f t="shared" si="0"/>
        <v>カシマキタキョウドウハツデン</v>
      </c>
      <c r="E47" s="18" t="s">
        <v>247</v>
      </c>
      <c r="F47" s="174"/>
      <c r="G47" s="188"/>
      <c r="H47" s="188"/>
      <c r="I47" s="110"/>
      <c r="J47" s="18"/>
      <c r="K47" s="18"/>
      <c r="L47" s="174" t="s">
        <v>226</v>
      </c>
      <c r="M47" s="178"/>
      <c r="N47" s="18"/>
      <c r="O47" s="179" t="s">
        <v>227</v>
      </c>
    </row>
    <row r="48" spans="1:15" ht="28.5" x14ac:dyDescent="0.15">
      <c r="A48" s="18" t="s">
        <v>638</v>
      </c>
      <c r="B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48)),ROW(),"")</f>
        <v>48</v>
      </c>
      <c r="C48" s="18" t="str">
        <f t="shared" si="7"/>
        <v>カシムラ工業所（日立）7：00</v>
      </c>
      <c r="D48" s="18" t="str">
        <f t="shared" si="0"/>
        <v>カシムラコウギョウショ（ヒタチ）7：00</v>
      </c>
      <c r="E48" s="18" t="s">
        <v>250</v>
      </c>
      <c r="F48" s="175">
        <v>0.29166666666666669</v>
      </c>
      <c r="G48" s="175">
        <v>0.20833333333333334</v>
      </c>
      <c r="H48" s="176"/>
      <c r="I48" s="177"/>
      <c r="J48" s="177"/>
      <c r="K48" s="177"/>
      <c r="L48" s="174" t="s">
        <v>226</v>
      </c>
      <c r="M48" s="178"/>
      <c r="N48" s="179"/>
      <c r="O48" s="179" t="s">
        <v>227</v>
      </c>
    </row>
    <row r="49" spans="1:15" ht="28.5" x14ac:dyDescent="0.15">
      <c r="A49" s="18" t="s">
        <v>884</v>
      </c>
      <c r="B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49)),ROW(),"")</f>
        <v>49</v>
      </c>
      <c r="C49" s="18" t="str">
        <f t="shared" si="7"/>
        <v>カシムラ工業所（日立）</v>
      </c>
      <c r="D49" s="18" t="str">
        <f t="shared" ref="D49" si="13">PHONETIC(A49)</f>
        <v>カシムラコウギョウショ（ヒタチ）</v>
      </c>
      <c r="E49" s="18" t="s">
        <v>250</v>
      </c>
      <c r="F49" s="175"/>
      <c r="G49" s="175"/>
      <c r="H49" s="176"/>
      <c r="I49" s="177"/>
      <c r="J49" s="177"/>
      <c r="K49" s="177"/>
      <c r="L49" s="174"/>
      <c r="M49" s="178"/>
      <c r="N49" s="179"/>
      <c r="O49" s="179" t="s">
        <v>227</v>
      </c>
    </row>
    <row r="50" spans="1:15" ht="24" x14ac:dyDescent="0.15">
      <c r="A50" s="18" t="s">
        <v>251</v>
      </c>
      <c r="B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50)),ROW(),"")</f>
        <v>50</v>
      </c>
      <c r="C50" s="18" t="str">
        <f t="shared" si="7"/>
        <v>北日本工業</v>
      </c>
      <c r="D50" s="18" t="str">
        <f t="shared" si="0"/>
        <v>キタニホンコウギョウ</v>
      </c>
      <c r="E50" s="18" t="s">
        <v>252</v>
      </c>
      <c r="F50" s="174"/>
      <c r="G50" s="188">
        <v>0.10416666666666667</v>
      </c>
      <c r="H50" s="188"/>
      <c r="I50" s="110"/>
      <c r="J50" s="18" t="s">
        <v>238</v>
      </c>
      <c r="K50" s="18"/>
      <c r="L50" s="19" t="s">
        <v>230</v>
      </c>
      <c r="M50" s="178"/>
      <c r="N50" s="189"/>
      <c r="O50" s="179" t="s">
        <v>227</v>
      </c>
    </row>
    <row r="51" spans="1:15" ht="24" x14ac:dyDescent="0.15">
      <c r="A51" s="19" t="s">
        <v>639</v>
      </c>
      <c r="B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51)),ROW(),"")</f>
        <v>51</v>
      </c>
      <c r="C51" s="18" t="str">
        <f t="shared" si="7"/>
        <v>キャノン(岩間）9：15</v>
      </c>
      <c r="D51" s="19" t="str">
        <f t="shared" si="0"/>
        <v>キャノン(イワマ）9：15</v>
      </c>
      <c r="E51" s="18" t="s">
        <v>253</v>
      </c>
      <c r="F51" s="175">
        <v>0.38541666666666669</v>
      </c>
      <c r="G51" s="188">
        <v>0.1875</v>
      </c>
      <c r="H51" s="188"/>
      <c r="I51" s="110"/>
      <c r="J51" s="18" t="s">
        <v>254</v>
      </c>
      <c r="K51" s="18"/>
      <c r="L51" s="174" t="s">
        <v>226</v>
      </c>
      <c r="M51" s="178"/>
      <c r="N51" s="18"/>
      <c r="O51" s="179" t="s">
        <v>227</v>
      </c>
    </row>
    <row r="52" spans="1:15" ht="24" x14ac:dyDescent="0.15">
      <c r="A52" s="19" t="s">
        <v>885</v>
      </c>
      <c r="B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52)),ROW(),"")</f>
        <v>52</v>
      </c>
      <c r="C52" s="18" t="str">
        <f t="shared" si="7"/>
        <v>キャノン(岩間）</v>
      </c>
      <c r="D52" s="19" t="str">
        <f t="shared" ref="D52" si="14">PHONETIC(A52)</f>
        <v>キャノン(イワマ）</v>
      </c>
      <c r="E52" s="18" t="s">
        <v>253</v>
      </c>
      <c r="F52" s="175"/>
      <c r="G52" s="188"/>
      <c r="H52" s="188"/>
      <c r="I52" s="110"/>
      <c r="J52" s="18"/>
      <c r="K52" s="18"/>
      <c r="L52" s="174"/>
      <c r="M52" s="178"/>
      <c r="N52" s="18"/>
      <c r="O52" s="179" t="s">
        <v>227</v>
      </c>
    </row>
    <row r="53" spans="1:15" ht="28.5" x14ac:dyDescent="0.15">
      <c r="A53" s="18" t="s">
        <v>642</v>
      </c>
      <c r="B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53)),ROW(),"")</f>
        <v>53</v>
      </c>
      <c r="C53" s="18" t="str">
        <f t="shared" si="7"/>
        <v>キョウデン東北</v>
      </c>
      <c r="D53" s="18" t="str">
        <f t="shared" si="0"/>
        <v>キョウデントウホク</v>
      </c>
      <c r="E53" s="18" t="s">
        <v>640</v>
      </c>
      <c r="F53" s="174"/>
      <c r="G53" s="175">
        <v>0.3125</v>
      </c>
      <c r="H53" s="176"/>
      <c r="I53" s="177"/>
      <c r="J53" s="177"/>
      <c r="K53" s="177"/>
      <c r="L53" s="174" t="s">
        <v>226</v>
      </c>
      <c r="M53" s="178"/>
      <c r="N53" s="179"/>
      <c r="O53" s="179" t="s">
        <v>227</v>
      </c>
    </row>
    <row r="54" spans="1:15" ht="28.5" x14ac:dyDescent="0.15">
      <c r="A54" s="18" t="s">
        <v>641</v>
      </c>
      <c r="B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54)),ROW(),"")</f>
        <v>54</v>
      </c>
      <c r="C54" s="18" t="str">
        <f t="shared" si="7"/>
        <v>キョウデン東北AM</v>
      </c>
      <c r="D54" s="18" t="str">
        <f t="shared" si="0"/>
        <v>キョウデントウホクAM</v>
      </c>
      <c r="E54" s="18" t="s">
        <v>640</v>
      </c>
      <c r="F54" s="174" t="s">
        <v>229</v>
      </c>
      <c r="G54" s="175">
        <v>0.3125</v>
      </c>
      <c r="H54" s="176"/>
      <c r="I54" s="177"/>
      <c r="J54" s="177"/>
      <c r="K54" s="177"/>
      <c r="L54" s="174" t="s">
        <v>226</v>
      </c>
      <c r="M54" s="178"/>
      <c r="N54" s="179"/>
      <c r="O54" s="179" t="s">
        <v>227</v>
      </c>
    </row>
    <row r="55" spans="1:15" ht="24" x14ac:dyDescent="0.15">
      <c r="A55" s="86" t="s">
        <v>643</v>
      </c>
      <c r="B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55)),ROW(),"")</f>
        <v>55</v>
      </c>
      <c r="C55" s="18" t="str">
        <f t="shared" si="7"/>
        <v>クラレ（新潟）9：00</v>
      </c>
      <c r="D55" s="18" t="str">
        <f t="shared" si="0"/>
        <v>クラレ（ニイガタ）9：00</v>
      </c>
      <c r="E55" s="18" t="s">
        <v>255</v>
      </c>
      <c r="F55" s="175">
        <v>0.375</v>
      </c>
      <c r="G55" s="188">
        <v>0.125</v>
      </c>
      <c r="H55" s="188"/>
      <c r="I55" s="110"/>
      <c r="J55" s="18" t="s">
        <v>238</v>
      </c>
      <c r="K55" s="18"/>
      <c r="L55" s="19" t="s">
        <v>239</v>
      </c>
      <c r="M55" s="178"/>
      <c r="N55" s="179"/>
      <c r="O55" s="179" t="s">
        <v>227</v>
      </c>
    </row>
    <row r="56" spans="1:15" ht="24" x14ac:dyDescent="0.15">
      <c r="A56" s="86" t="s">
        <v>644</v>
      </c>
      <c r="B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56)),ROW(),"")</f>
        <v>56</v>
      </c>
      <c r="C56" s="18" t="str">
        <f t="shared" si="7"/>
        <v>クラレ（新潟）10：30</v>
      </c>
      <c r="D56" s="18" t="str">
        <f t="shared" si="0"/>
        <v>クラレ（ニイガタ）10：30</v>
      </c>
      <c r="E56" s="18" t="s">
        <v>255</v>
      </c>
      <c r="F56" s="175">
        <v>0.4375</v>
      </c>
      <c r="G56" s="188">
        <v>0.20833333333333334</v>
      </c>
      <c r="H56" s="188"/>
      <c r="I56" s="110"/>
      <c r="J56" s="18" t="s">
        <v>256</v>
      </c>
      <c r="K56" s="18"/>
      <c r="L56" s="19" t="s">
        <v>239</v>
      </c>
      <c r="M56" s="178"/>
      <c r="N56" s="18"/>
      <c r="O56" s="179" t="s">
        <v>227</v>
      </c>
    </row>
    <row r="57" spans="1:15" ht="24" x14ac:dyDescent="0.15">
      <c r="A57" s="86" t="s">
        <v>886</v>
      </c>
      <c r="B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57)),ROW(),"")</f>
        <v>57</v>
      </c>
      <c r="C57" s="18" t="str">
        <f t="shared" si="7"/>
        <v>クラレ（新潟）</v>
      </c>
      <c r="D57" s="18" t="str">
        <f t="shared" si="0"/>
        <v>クラレ（ニイガタ）</v>
      </c>
      <c r="E57" s="18" t="s">
        <v>255</v>
      </c>
      <c r="F57" s="175"/>
      <c r="G57" s="188"/>
      <c r="H57" s="188"/>
      <c r="I57" s="110"/>
      <c r="J57" s="18"/>
      <c r="K57" s="18"/>
      <c r="L57" s="19"/>
      <c r="M57" s="178"/>
      <c r="N57" s="18"/>
      <c r="O57" s="179" t="s">
        <v>227</v>
      </c>
    </row>
    <row r="58" spans="1:15" ht="28.5" x14ac:dyDescent="0.15">
      <c r="A58" s="18" t="s">
        <v>257</v>
      </c>
      <c r="B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58)),ROW(),"")</f>
        <v>58</v>
      </c>
      <c r="C58" s="18" t="str">
        <f t="shared" si="7"/>
        <v>クレハ環境</v>
      </c>
      <c r="D58" s="18" t="str">
        <f t="shared" si="0"/>
        <v>クレハカンキョウ</v>
      </c>
      <c r="E58" s="18" t="s">
        <v>258</v>
      </c>
      <c r="F58" s="174" t="s">
        <v>226</v>
      </c>
      <c r="G58" s="174" t="s">
        <v>226</v>
      </c>
      <c r="H58" s="176"/>
      <c r="I58" s="177"/>
      <c r="J58" s="177"/>
      <c r="K58" s="177"/>
      <c r="L58" s="174" t="s">
        <v>226</v>
      </c>
      <c r="M58" s="178"/>
      <c r="N58" s="179"/>
      <c r="O58" s="179" t="s">
        <v>227</v>
      </c>
    </row>
    <row r="59" spans="1:15" ht="28.5" x14ac:dyDescent="0.15">
      <c r="A59" s="18" t="s">
        <v>259</v>
      </c>
      <c r="B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59)),ROW(),"")</f>
        <v>59</v>
      </c>
      <c r="C59" s="18" t="str">
        <f t="shared" si="7"/>
        <v>クレハ樹脂加工（茨城）</v>
      </c>
      <c r="D59" s="18" t="str">
        <f t="shared" si="0"/>
        <v>クレハジュシカコウ（イバラキ）</v>
      </c>
      <c r="E59" s="18" t="s">
        <v>260</v>
      </c>
      <c r="F59" s="174" t="s">
        <v>226</v>
      </c>
      <c r="G59" s="175">
        <v>0.20833333333333334</v>
      </c>
      <c r="H59" s="176"/>
      <c r="I59" s="177"/>
      <c r="J59" s="177"/>
      <c r="K59" s="177"/>
      <c r="L59" s="174" t="s">
        <v>226</v>
      </c>
      <c r="M59" s="178"/>
      <c r="N59" s="179"/>
      <c r="O59" s="179" t="s">
        <v>227</v>
      </c>
    </row>
    <row r="60" spans="1:15" ht="28.5" x14ac:dyDescent="0.15">
      <c r="A60" s="18" t="s">
        <v>261</v>
      </c>
      <c r="B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60)),ROW(),"")</f>
        <v>60</v>
      </c>
      <c r="C60" s="18" t="str">
        <f t="shared" si="7"/>
        <v>桑名商事（真岡）</v>
      </c>
      <c r="D60" s="18" t="str">
        <f t="shared" si="0"/>
        <v>クワナショウジ（モオカ）</v>
      </c>
      <c r="E60" s="18" t="s">
        <v>262</v>
      </c>
      <c r="F60" s="174" t="s">
        <v>226</v>
      </c>
      <c r="G60" s="175">
        <v>0.16666666666666666</v>
      </c>
      <c r="H60" s="176"/>
      <c r="I60" s="177"/>
      <c r="J60" s="177"/>
      <c r="K60" s="177"/>
      <c r="L60" s="19" t="s">
        <v>232</v>
      </c>
      <c r="M60" s="178"/>
      <c r="N60" s="179"/>
      <c r="O60" s="179" t="s">
        <v>227</v>
      </c>
    </row>
    <row r="61" spans="1:15" ht="28.5" x14ac:dyDescent="0.15">
      <c r="A61" s="18" t="s">
        <v>646</v>
      </c>
      <c r="B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61)),ROW(),"")</f>
        <v>61</v>
      </c>
      <c r="C61" s="18" t="str">
        <f t="shared" si="7"/>
        <v>ｹﾐｺﾝ東日本（喜多方）6：00</v>
      </c>
      <c r="D61" s="18" t="str">
        <f t="shared" si="0"/>
        <v>ケミコン東日本（キタカタ）6：00</v>
      </c>
      <c r="E61" s="18" t="s">
        <v>263</v>
      </c>
      <c r="F61" s="175">
        <v>0.25</v>
      </c>
      <c r="G61" s="175">
        <v>8.3333333333333329E-2</v>
      </c>
      <c r="H61" s="188"/>
      <c r="I61" s="110"/>
      <c r="J61" s="177"/>
      <c r="K61" s="177"/>
      <c r="L61" s="19" t="s">
        <v>645</v>
      </c>
      <c r="M61" s="177"/>
      <c r="N61" s="18"/>
      <c r="O61" s="179" t="s">
        <v>227</v>
      </c>
    </row>
    <row r="62" spans="1:15" ht="28.5" x14ac:dyDescent="0.15">
      <c r="A62" s="18" t="s">
        <v>887</v>
      </c>
      <c r="B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62)),ROW(),"")</f>
        <v>62</v>
      </c>
      <c r="C62" s="18" t="str">
        <f t="shared" ref="C62:C93" si="15">INDEX(A:A,SMALL($B$3:$B$1039,ROW(A60)))</f>
        <v>ｹﾐｺﾝ東日本（喜多方）</v>
      </c>
      <c r="D62" s="18" t="str">
        <f t="shared" ref="D62" si="16">PHONETIC(A62)</f>
        <v>ケミコン東日本（キタカタ）</v>
      </c>
      <c r="E62" s="18" t="s">
        <v>263</v>
      </c>
      <c r="F62" s="175"/>
      <c r="G62" s="175"/>
      <c r="H62" s="188"/>
      <c r="I62" s="110"/>
      <c r="J62" s="177"/>
      <c r="K62" s="177"/>
      <c r="L62" s="19"/>
      <c r="M62" s="177"/>
      <c r="N62" s="18"/>
      <c r="O62" s="179" t="s">
        <v>227</v>
      </c>
    </row>
    <row r="63" spans="1:15" ht="24" x14ac:dyDescent="0.15">
      <c r="A63" s="19" t="s">
        <v>647</v>
      </c>
      <c r="B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63)),ROW(),"")</f>
        <v>63</v>
      </c>
      <c r="C63" s="18" t="str">
        <f t="shared" si="15"/>
        <v>コスモ石油（千葉）8：00</v>
      </c>
      <c r="D63" s="18" t="str">
        <f t="shared" si="0"/>
        <v>コスモセキユ（チバ）8：00</v>
      </c>
      <c r="E63" s="18" t="s">
        <v>231</v>
      </c>
      <c r="F63" s="191">
        <v>0.33333333333333331</v>
      </c>
      <c r="G63" s="188">
        <v>6.25E-2</v>
      </c>
      <c r="H63" s="188"/>
      <c r="I63" s="110"/>
      <c r="J63" s="18" t="s">
        <v>238</v>
      </c>
      <c r="K63" s="19" t="s">
        <v>264</v>
      </c>
      <c r="L63" s="19" t="s">
        <v>265</v>
      </c>
      <c r="M63" s="178"/>
      <c r="N63" s="18"/>
      <c r="O63" s="179" t="s">
        <v>227</v>
      </c>
    </row>
    <row r="64" spans="1:15" ht="24" x14ac:dyDescent="0.15">
      <c r="A64" s="19" t="s">
        <v>888</v>
      </c>
      <c r="B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64)),ROW(),"")</f>
        <v>64</v>
      </c>
      <c r="C64" s="18" t="str">
        <f t="shared" si="15"/>
        <v>コスモ石油（千葉）</v>
      </c>
      <c r="D64" s="18" t="str">
        <f t="shared" si="0"/>
        <v>コスモセキユ（チバ）</v>
      </c>
      <c r="E64" s="18" t="s">
        <v>231</v>
      </c>
      <c r="F64" s="191"/>
      <c r="G64" s="188"/>
      <c r="H64" s="188"/>
      <c r="I64" s="110"/>
      <c r="J64" s="18" t="s">
        <v>266</v>
      </c>
      <c r="K64" s="19"/>
      <c r="L64" s="192" t="s">
        <v>648</v>
      </c>
      <c r="M64" s="178"/>
      <c r="N64" s="18"/>
      <c r="O64" s="179" t="s">
        <v>227</v>
      </c>
    </row>
    <row r="65" spans="1:15" ht="24" x14ac:dyDescent="0.15">
      <c r="A65" s="86" t="s">
        <v>649</v>
      </c>
      <c r="B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65)),ROW(),"")</f>
        <v>65</v>
      </c>
      <c r="C65" s="18" t="str">
        <f t="shared" si="15"/>
        <v>コダック（群馬）8：30</v>
      </c>
      <c r="D65" s="18" t="str">
        <f t="shared" si="0"/>
        <v>コダック（グンマ）8：30</v>
      </c>
      <c r="E65" s="18" t="s">
        <v>267</v>
      </c>
      <c r="F65" s="191">
        <v>0.35416666666666669</v>
      </c>
      <c r="G65" s="188">
        <v>0.125</v>
      </c>
      <c r="H65" s="188"/>
      <c r="I65" s="110"/>
      <c r="J65" s="18" t="s">
        <v>254</v>
      </c>
      <c r="K65" s="18"/>
      <c r="L65" s="19" t="s">
        <v>268</v>
      </c>
      <c r="M65" s="178"/>
      <c r="N65" s="189"/>
      <c r="O65" s="179" t="s">
        <v>227</v>
      </c>
    </row>
    <row r="66" spans="1:15" ht="24" x14ac:dyDescent="0.15">
      <c r="A66" s="86" t="s">
        <v>889</v>
      </c>
      <c r="B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66)),ROW(),"")</f>
        <v>66</v>
      </c>
      <c r="C66" s="18" t="str">
        <f t="shared" si="15"/>
        <v>コダック（群馬）</v>
      </c>
      <c r="D66" s="18" t="str">
        <f t="shared" ref="D66:D67" si="17">PHONETIC(A66)</f>
        <v>コダック（グンマ）</v>
      </c>
      <c r="E66" s="18" t="s">
        <v>267</v>
      </c>
      <c r="F66" s="191"/>
      <c r="G66" s="188"/>
      <c r="H66" s="188"/>
      <c r="I66" s="110"/>
      <c r="J66" s="18"/>
      <c r="K66" s="18"/>
      <c r="L66" s="19"/>
      <c r="M66" s="178"/>
      <c r="N66" s="189"/>
      <c r="O66" s="179" t="s">
        <v>227</v>
      </c>
    </row>
    <row r="67" spans="1:15" ht="24" x14ac:dyDescent="0.15">
      <c r="A67" s="18" t="s">
        <v>650</v>
      </c>
      <c r="B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67)),ROW(),"")</f>
        <v>67</v>
      </c>
      <c r="C67" s="18" t="str">
        <f t="shared" si="15"/>
        <v>小林(伊勢崎)8：30</v>
      </c>
      <c r="D67" s="18" t="str">
        <f t="shared" si="17"/>
        <v>コバヤシ(イセザキ)8：30</v>
      </c>
      <c r="E67" s="18" t="s">
        <v>267</v>
      </c>
      <c r="F67" s="193">
        <v>0.35416666666666669</v>
      </c>
      <c r="G67" s="194">
        <v>0.10416666666666667</v>
      </c>
      <c r="H67" s="188"/>
      <c r="I67" s="110"/>
      <c r="J67" s="18" t="s">
        <v>254</v>
      </c>
      <c r="K67" s="18"/>
      <c r="L67" s="19" t="s">
        <v>232</v>
      </c>
      <c r="M67" s="178"/>
      <c r="N67" s="18"/>
      <c r="O67" s="179" t="s">
        <v>227</v>
      </c>
    </row>
    <row r="68" spans="1:15" ht="24" x14ac:dyDescent="0.15">
      <c r="A68" s="18" t="s">
        <v>890</v>
      </c>
      <c r="B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68)),ROW(),"")</f>
        <v>68</v>
      </c>
      <c r="C68" s="18" t="str">
        <f t="shared" si="15"/>
        <v>小林(伊勢崎)</v>
      </c>
      <c r="D68" s="18" t="str">
        <f t="shared" ref="D68" si="18">PHONETIC(A68)</f>
        <v>コバヤシ(イセザキ)</v>
      </c>
      <c r="E68" s="18" t="s">
        <v>267</v>
      </c>
      <c r="F68" s="193"/>
      <c r="G68" s="194"/>
      <c r="H68" s="188"/>
      <c r="I68" s="110"/>
      <c r="J68" s="18"/>
      <c r="K68" s="18"/>
      <c r="L68" s="19"/>
      <c r="M68" s="178"/>
      <c r="N68" s="18"/>
      <c r="O68" s="179" t="s">
        <v>227</v>
      </c>
    </row>
    <row r="69" spans="1:15" x14ac:dyDescent="0.15">
      <c r="A69" s="18" t="s">
        <v>270</v>
      </c>
      <c r="B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69)),ROW(),"")</f>
        <v>69</v>
      </c>
      <c r="C69" s="18" t="str">
        <f t="shared" si="15"/>
        <v>コンクリートコーリング</v>
      </c>
      <c r="D69" s="18" t="str">
        <f t="shared" si="0"/>
        <v>コンクリートコーリング</v>
      </c>
      <c r="E69" s="18" t="s">
        <v>271</v>
      </c>
      <c r="F69" s="174" t="s">
        <v>226</v>
      </c>
      <c r="G69" s="174" t="s">
        <v>226</v>
      </c>
      <c r="H69" s="195"/>
      <c r="I69" s="196"/>
      <c r="J69" s="196"/>
      <c r="K69" s="196"/>
      <c r="L69" s="174" t="s">
        <v>226</v>
      </c>
      <c r="M69" s="178"/>
      <c r="N69" s="179"/>
      <c r="O69" s="179" t="s">
        <v>227</v>
      </c>
    </row>
    <row r="70" spans="1:15" ht="24" x14ac:dyDescent="0.15">
      <c r="A70" s="18" t="s">
        <v>651</v>
      </c>
      <c r="B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70)),ROW(),"")</f>
        <v>70</v>
      </c>
      <c r="C70" s="18" t="str">
        <f t="shared" si="15"/>
        <v>近藤産業(燕市)8：30</v>
      </c>
      <c r="D70" s="18" t="str">
        <f t="shared" si="0"/>
        <v>コンドウサンギョウ(ツバメシ)8：30</v>
      </c>
      <c r="E70" s="18" t="s">
        <v>272</v>
      </c>
      <c r="F70" s="175">
        <v>0.35416666666666669</v>
      </c>
      <c r="G70" s="188">
        <v>8.3333333333333329E-2</v>
      </c>
      <c r="H70" s="188"/>
      <c r="I70" s="110"/>
      <c r="J70" s="18" t="s">
        <v>238</v>
      </c>
      <c r="K70" s="18"/>
      <c r="L70" s="19" t="s">
        <v>239</v>
      </c>
      <c r="M70" s="178"/>
      <c r="N70" s="18"/>
      <c r="O70" s="179" t="s">
        <v>227</v>
      </c>
    </row>
    <row r="71" spans="1:15" ht="24" x14ac:dyDescent="0.15">
      <c r="A71" s="18" t="s">
        <v>891</v>
      </c>
      <c r="B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71)),ROW(),"")</f>
        <v>71</v>
      </c>
      <c r="C71" s="18" t="str">
        <f t="shared" si="15"/>
        <v>近藤産業(燕市)</v>
      </c>
      <c r="D71" s="18" t="str">
        <f t="shared" ref="D71" si="19">PHONETIC(A71)</f>
        <v>コンドウサンギョウ(ツバメシ)</v>
      </c>
      <c r="E71" s="18" t="s">
        <v>272</v>
      </c>
      <c r="F71" s="175"/>
      <c r="G71" s="188"/>
      <c r="H71" s="188"/>
      <c r="I71" s="110"/>
      <c r="J71" s="18"/>
      <c r="K71" s="18"/>
      <c r="L71" s="19"/>
      <c r="M71" s="178"/>
      <c r="N71" s="18"/>
      <c r="O71" s="179" t="s">
        <v>227</v>
      </c>
    </row>
    <row r="72" spans="1:15" ht="28.5" x14ac:dyDescent="0.15">
      <c r="A72" s="18" t="s">
        <v>892</v>
      </c>
      <c r="B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72)),ROW(),"")</f>
        <v>72</v>
      </c>
      <c r="C72" s="18" t="str">
        <f t="shared" si="15"/>
        <v>堺（大剣）10：00</v>
      </c>
      <c r="D72" s="18" t="str">
        <f t="shared" si="0"/>
        <v>サカイ（オオツルギ）10：00</v>
      </c>
      <c r="E72" s="18" t="s">
        <v>640</v>
      </c>
      <c r="F72" s="175">
        <v>0.41666666666666669</v>
      </c>
      <c r="G72" s="175">
        <v>0.3125</v>
      </c>
      <c r="H72" s="176"/>
      <c r="I72" s="177"/>
      <c r="J72" s="177"/>
      <c r="K72" s="177"/>
      <c r="L72" s="174" t="s">
        <v>226</v>
      </c>
      <c r="M72" s="178"/>
      <c r="N72" s="179"/>
      <c r="O72" s="179" t="s">
        <v>227</v>
      </c>
    </row>
    <row r="73" spans="1:15" ht="28.5" x14ac:dyDescent="0.15">
      <c r="A73" s="18" t="s">
        <v>652</v>
      </c>
      <c r="B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73)),ROW(),"")</f>
        <v>73</v>
      </c>
      <c r="C73" s="18" t="str">
        <f t="shared" si="15"/>
        <v>堺（大剣）</v>
      </c>
      <c r="D73" s="18" t="str">
        <f t="shared" si="0"/>
        <v>サカイ（オオツルギ）</v>
      </c>
      <c r="E73" s="18" t="s">
        <v>640</v>
      </c>
      <c r="F73" s="174" t="s">
        <v>226</v>
      </c>
      <c r="G73" s="175"/>
      <c r="H73" s="176"/>
      <c r="I73" s="177"/>
      <c r="J73" s="177"/>
      <c r="K73" s="177"/>
      <c r="L73" s="174" t="s">
        <v>226</v>
      </c>
      <c r="M73" s="178"/>
      <c r="N73" s="179"/>
      <c r="O73" s="179" t="s">
        <v>227</v>
      </c>
    </row>
    <row r="74" spans="1:15" ht="28.5" x14ac:dyDescent="0.15">
      <c r="A74" s="18" t="s">
        <v>273</v>
      </c>
      <c r="B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74)),ROW(),"")</f>
        <v>74</v>
      </c>
      <c r="C74" s="18" t="str">
        <f t="shared" si="15"/>
        <v>堺（小名浜）</v>
      </c>
      <c r="D74" s="18" t="str">
        <f t="shared" si="0"/>
        <v>サカイ（オナハマ）</v>
      </c>
      <c r="E74" s="18" t="s">
        <v>640</v>
      </c>
      <c r="F74" s="175"/>
      <c r="G74" s="175">
        <v>0.3125</v>
      </c>
      <c r="H74" s="176"/>
      <c r="I74" s="177"/>
      <c r="J74" s="177"/>
      <c r="K74" s="177"/>
      <c r="L74" s="174" t="s">
        <v>226</v>
      </c>
      <c r="M74" s="178"/>
      <c r="N74" s="179"/>
      <c r="O74" s="179" t="s">
        <v>227</v>
      </c>
    </row>
    <row r="75" spans="1:15" ht="28.5" x14ac:dyDescent="0.15">
      <c r="A75" s="18" t="s">
        <v>653</v>
      </c>
      <c r="B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75)),ROW(),"")</f>
        <v>75</v>
      </c>
      <c r="C75" s="18" t="str">
        <f t="shared" si="15"/>
        <v>十全（郡山）7：30</v>
      </c>
      <c r="D75" s="18" t="str">
        <f t="shared" si="0"/>
        <v>ジュウゼン（コオリヤマ）7：30</v>
      </c>
      <c r="E75" s="18" t="s">
        <v>277</v>
      </c>
      <c r="F75" s="175">
        <v>0.3125</v>
      </c>
      <c r="G75" s="175">
        <v>0.1875</v>
      </c>
      <c r="H75" s="176"/>
      <c r="I75" s="177"/>
      <c r="J75" s="177"/>
      <c r="K75" s="177"/>
      <c r="L75" s="174" t="s">
        <v>226</v>
      </c>
      <c r="M75" s="178"/>
      <c r="N75" s="179"/>
      <c r="O75" s="179" t="s">
        <v>227</v>
      </c>
    </row>
    <row r="76" spans="1:15" ht="28.5" x14ac:dyDescent="0.15">
      <c r="A76" s="18" t="s">
        <v>654</v>
      </c>
      <c r="B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76)),ROW(),"")</f>
        <v>76</v>
      </c>
      <c r="C76" s="18" t="str">
        <f t="shared" si="15"/>
        <v>十全（郡山）5：30</v>
      </c>
      <c r="D76" s="18" t="str">
        <f t="shared" si="0"/>
        <v>ジュウゼン（コオリヤマ）5：30</v>
      </c>
      <c r="E76" s="18" t="s">
        <v>277</v>
      </c>
      <c r="F76" s="175">
        <v>0.22916666666666666</v>
      </c>
      <c r="G76" s="175">
        <v>0.125</v>
      </c>
      <c r="H76" s="176"/>
      <c r="I76" s="177"/>
      <c r="J76" s="177"/>
      <c r="K76" s="177"/>
      <c r="L76" s="174" t="s">
        <v>226</v>
      </c>
      <c r="M76" s="178"/>
      <c r="N76" s="179"/>
      <c r="O76" s="179" t="s">
        <v>227</v>
      </c>
    </row>
    <row r="77" spans="1:15" ht="28.5" x14ac:dyDescent="0.15">
      <c r="A77" s="18" t="s">
        <v>893</v>
      </c>
      <c r="B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77)),ROW(),"")</f>
        <v>77</v>
      </c>
      <c r="C77" s="18" t="str">
        <f t="shared" si="15"/>
        <v>十全（郡山）</v>
      </c>
      <c r="D77" s="18" t="str">
        <f t="shared" si="0"/>
        <v>ジュウゼン（コオリヤマ）</v>
      </c>
      <c r="E77" s="18" t="s">
        <v>277</v>
      </c>
      <c r="F77" s="175"/>
      <c r="G77" s="175"/>
      <c r="H77" s="176"/>
      <c r="I77" s="177"/>
      <c r="J77" s="177"/>
      <c r="K77" s="177"/>
      <c r="L77" s="174" t="s">
        <v>226</v>
      </c>
      <c r="M77" s="178"/>
      <c r="N77" s="179"/>
      <c r="O77" s="179" t="s">
        <v>227</v>
      </c>
    </row>
    <row r="78" spans="1:15" ht="28.5" x14ac:dyDescent="0.15">
      <c r="A78" s="18" t="s">
        <v>655</v>
      </c>
      <c r="B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78)),ROW(),"")</f>
        <v>78</v>
      </c>
      <c r="C78" s="18" t="str">
        <f t="shared" si="15"/>
        <v>純正化学（茨城）AM</v>
      </c>
      <c r="D78" s="18" t="str">
        <f t="shared" si="0"/>
        <v>ジュンセイカガク（イバラキ）AM</v>
      </c>
      <c r="E78" s="18" t="s">
        <v>511</v>
      </c>
      <c r="F78" s="174" t="s">
        <v>229</v>
      </c>
      <c r="G78" s="194">
        <v>0.29166666666666669</v>
      </c>
      <c r="H78" s="176"/>
      <c r="I78" s="177"/>
      <c r="J78" s="177"/>
      <c r="K78" s="177"/>
      <c r="L78" s="174" t="s">
        <v>226</v>
      </c>
      <c r="M78" s="178"/>
      <c r="N78" s="179"/>
      <c r="O78" s="179" t="s">
        <v>227</v>
      </c>
    </row>
    <row r="79" spans="1:15" ht="24" x14ac:dyDescent="0.15">
      <c r="A79" s="18" t="s">
        <v>894</v>
      </c>
      <c r="B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79)),ROW(),"")</f>
        <v>79</v>
      </c>
      <c r="C79" s="18" t="str">
        <f t="shared" si="15"/>
        <v>純正化学（茨城）</v>
      </c>
      <c r="D79" s="18" t="str">
        <f t="shared" si="0"/>
        <v>ジュンセイカガク（イバラキ）</v>
      </c>
      <c r="E79" s="18" t="s">
        <v>656</v>
      </c>
      <c r="F79" s="174"/>
      <c r="G79" s="194"/>
      <c r="H79" s="197"/>
      <c r="I79" s="111"/>
      <c r="J79" s="18"/>
      <c r="K79" s="18"/>
      <c r="L79" s="174" t="s">
        <v>226</v>
      </c>
      <c r="M79" s="178"/>
      <c r="N79" s="18"/>
      <c r="O79" s="179" t="s">
        <v>227</v>
      </c>
    </row>
    <row r="80" spans="1:15" ht="24" x14ac:dyDescent="0.15">
      <c r="A80" s="18" t="s">
        <v>274</v>
      </c>
      <c r="B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80)),ROW(),"")</f>
        <v>80</v>
      </c>
      <c r="C80" s="18" t="str">
        <f t="shared" si="15"/>
        <v>昭和産業(鹿島）</v>
      </c>
      <c r="D80" s="18" t="str">
        <f t="shared" si="0"/>
        <v>ショウワサンギョウ(カシマ）</v>
      </c>
      <c r="E80" s="18" t="s">
        <v>247</v>
      </c>
      <c r="F80" s="174" t="s">
        <v>226</v>
      </c>
      <c r="G80" s="194">
        <v>0.16666666666666666</v>
      </c>
      <c r="H80" s="197"/>
      <c r="I80" s="111"/>
      <c r="J80" s="18"/>
      <c r="K80" s="18"/>
      <c r="L80" s="174" t="s">
        <v>226</v>
      </c>
      <c r="M80" s="178"/>
      <c r="N80" s="18"/>
      <c r="O80" s="179" t="s">
        <v>227</v>
      </c>
    </row>
    <row r="81" spans="1:15" ht="24" x14ac:dyDescent="0.15">
      <c r="A81" s="18" t="s">
        <v>275</v>
      </c>
      <c r="B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81)),ROW(),"")</f>
        <v>81</v>
      </c>
      <c r="C81" s="18" t="str">
        <f t="shared" si="15"/>
        <v>常磐共同火力</v>
      </c>
      <c r="D81" s="18" t="str">
        <f t="shared" ref="D81:D111" si="20">PHONETIC(A81)</f>
        <v>ジョウバンキョウドウカリョク</v>
      </c>
      <c r="E81" s="18" t="s">
        <v>276</v>
      </c>
      <c r="F81" s="174"/>
      <c r="G81" s="194"/>
      <c r="H81" s="197"/>
      <c r="I81" s="111"/>
      <c r="J81" s="18"/>
      <c r="K81" s="18"/>
      <c r="L81" s="174"/>
      <c r="M81" s="178"/>
      <c r="N81" s="18"/>
      <c r="O81" s="179" t="s">
        <v>227</v>
      </c>
    </row>
    <row r="82" spans="1:15" ht="28.5" x14ac:dyDescent="0.15">
      <c r="A82" s="18" t="s">
        <v>657</v>
      </c>
      <c r="B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82)),ROW(),"")</f>
        <v>82</v>
      </c>
      <c r="C82" s="18" t="str">
        <f t="shared" si="15"/>
        <v>新日本電工（郡山）6：30</v>
      </c>
      <c r="D82" s="18" t="str">
        <f t="shared" si="20"/>
        <v>シンニホンデンコウ（コオリヤマ）6：30</v>
      </c>
      <c r="E82" s="18" t="s">
        <v>277</v>
      </c>
      <c r="F82" s="175">
        <v>0.27083333333333331</v>
      </c>
      <c r="G82" s="175">
        <v>0.16666666666666666</v>
      </c>
      <c r="H82" s="176"/>
      <c r="I82" s="177"/>
      <c r="J82" s="177"/>
      <c r="K82" s="177"/>
      <c r="L82" s="174" t="s">
        <v>226</v>
      </c>
      <c r="M82" s="178"/>
      <c r="N82" s="179"/>
      <c r="O82" s="179" t="s">
        <v>227</v>
      </c>
    </row>
    <row r="83" spans="1:15" ht="28.5" x14ac:dyDescent="0.15">
      <c r="A83" s="84" t="s">
        <v>658</v>
      </c>
      <c r="B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83)),ROW(),"")</f>
        <v>83</v>
      </c>
      <c r="C83" s="84" t="str">
        <f t="shared" si="15"/>
        <v>新日本電工（郡山）8：00</v>
      </c>
      <c r="D83" s="84" t="str">
        <f t="shared" si="20"/>
        <v>シンニホンデンコウ（コオリヤマ）8：00</v>
      </c>
      <c r="E83" s="18" t="s">
        <v>277</v>
      </c>
      <c r="F83" s="175">
        <v>0.33333333333333331</v>
      </c>
      <c r="G83" s="175">
        <v>0.20833333333333334</v>
      </c>
      <c r="H83" s="176"/>
      <c r="I83" s="177"/>
      <c r="J83" s="177"/>
      <c r="K83" s="177"/>
      <c r="L83" s="174" t="s">
        <v>226</v>
      </c>
      <c r="M83" s="178"/>
      <c r="N83" s="179"/>
      <c r="O83" s="179" t="s">
        <v>227</v>
      </c>
    </row>
    <row r="84" spans="1:15" ht="28.5" x14ac:dyDescent="0.15">
      <c r="A84" s="84" t="s">
        <v>895</v>
      </c>
      <c r="B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84)),ROW(),"")</f>
        <v>84</v>
      </c>
      <c r="C84" s="84" t="str">
        <f t="shared" si="15"/>
        <v>新日本電工（郡山）</v>
      </c>
      <c r="D84" s="84" t="str">
        <f t="shared" ref="D84" si="21">PHONETIC(A84)</f>
        <v>シンニホンデンコウ（コオリヤマ）</v>
      </c>
      <c r="E84" s="18" t="s">
        <v>277</v>
      </c>
      <c r="F84" s="175"/>
      <c r="G84" s="175"/>
      <c r="H84" s="176"/>
      <c r="I84" s="177"/>
      <c r="J84" s="177"/>
      <c r="K84" s="177"/>
      <c r="L84" s="174"/>
      <c r="M84" s="178"/>
      <c r="N84" s="179"/>
      <c r="O84" s="179" t="s">
        <v>227</v>
      </c>
    </row>
    <row r="85" spans="1:15" ht="28.5" x14ac:dyDescent="0.15">
      <c r="A85" s="18" t="s">
        <v>659</v>
      </c>
      <c r="B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85)),ROW(),"")</f>
        <v>85</v>
      </c>
      <c r="C85" s="84" t="str">
        <f t="shared" si="15"/>
        <v>新菱（いわき・タイク工場）8：00</v>
      </c>
      <c r="D85" s="18" t="str">
        <f t="shared" si="20"/>
        <v>シンリョウ（イワキ・タイクコウジョウ）8：00</v>
      </c>
      <c r="E85" s="18" t="s">
        <v>258</v>
      </c>
      <c r="F85" s="175">
        <v>0.33333333333333331</v>
      </c>
      <c r="G85" s="175">
        <v>0.3125</v>
      </c>
      <c r="H85" s="176"/>
      <c r="I85" s="177"/>
      <c r="J85" s="177"/>
      <c r="K85" s="177"/>
      <c r="L85" s="174" t="s">
        <v>226</v>
      </c>
      <c r="M85" s="18" t="s">
        <v>278</v>
      </c>
      <c r="N85" s="179"/>
      <c r="O85" s="179" t="s">
        <v>227</v>
      </c>
    </row>
    <row r="86" spans="1:15" ht="28.5" x14ac:dyDescent="0.15">
      <c r="A86" s="18" t="s">
        <v>896</v>
      </c>
      <c r="B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86)),ROW(),"")</f>
        <v>86</v>
      </c>
      <c r="C86" s="18" t="str">
        <f t="shared" si="15"/>
        <v>新菱（いわき・タイク工場）</v>
      </c>
      <c r="D86" s="18" t="str">
        <f t="shared" ref="D86" si="22">PHONETIC(A86)</f>
        <v>シンリョウ（イワキ・タイクコウジョウ）</v>
      </c>
      <c r="E86" s="18" t="s">
        <v>258</v>
      </c>
      <c r="F86" s="175"/>
      <c r="G86" s="175"/>
      <c r="H86" s="176"/>
      <c r="I86" s="177"/>
      <c r="J86" s="177"/>
      <c r="K86" s="177"/>
      <c r="L86" s="174"/>
      <c r="M86" s="18"/>
      <c r="N86" s="179"/>
      <c r="O86" s="179" t="s">
        <v>227</v>
      </c>
    </row>
    <row r="87" spans="1:15" ht="28.5" x14ac:dyDescent="0.15">
      <c r="A87" s="18" t="s">
        <v>660</v>
      </c>
      <c r="B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87)),ROW(),"")</f>
        <v>87</v>
      </c>
      <c r="C87" s="18" t="str">
        <f t="shared" si="15"/>
        <v>住友化学（茨城）13：00</v>
      </c>
      <c r="D87" s="18" t="str">
        <f t="shared" si="20"/>
        <v>スミトモカガク（イバラキ）13：00</v>
      </c>
      <c r="E87" s="18" t="s">
        <v>279</v>
      </c>
      <c r="F87" s="175">
        <v>0.54166666666666663</v>
      </c>
      <c r="G87" s="175">
        <v>0.41666666666666669</v>
      </c>
      <c r="H87" s="176"/>
      <c r="I87" s="177"/>
      <c r="J87" s="177"/>
      <c r="K87" s="177"/>
      <c r="L87" s="174" t="s">
        <v>226</v>
      </c>
      <c r="M87" s="18" t="s">
        <v>280</v>
      </c>
      <c r="N87" s="179"/>
      <c r="O87" s="179" t="s">
        <v>227</v>
      </c>
    </row>
    <row r="88" spans="1:15" ht="28.5" x14ac:dyDescent="0.15">
      <c r="A88" s="18" t="s">
        <v>897</v>
      </c>
      <c r="B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88)),ROW(),"")</f>
        <v>88</v>
      </c>
      <c r="C88" s="18" t="str">
        <f t="shared" si="15"/>
        <v>住友化学（茨城）</v>
      </c>
      <c r="D88" s="18" t="str">
        <f t="shared" ref="D88" si="23">PHONETIC(A88)</f>
        <v>スミトモカガク（イバラキ）</v>
      </c>
      <c r="E88" s="18" t="s">
        <v>279</v>
      </c>
      <c r="F88" s="175"/>
      <c r="G88" s="175"/>
      <c r="H88" s="176"/>
      <c r="I88" s="177"/>
      <c r="J88" s="177"/>
      <c r="K88" s="177"/>
      <c r="L88" s="174"/>
      <c r="M88" s="18"/>
      <c r="N88" s="179"/>
      <c r="O88" s="179" t="s">
        <v>227</v>
      </c>
    </row>
    <row r="89" spans="1:15" ht="24" x14ac:dyDescent="0.15">
      <c r="A89" s="34" t="s">
        <v>661</v>
      </c>
      <c r="B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89)),ROW(),"")</f>
        <v>89</v>
      </c>
      <c r="C89" s="18" t="str">
        <f t="shared" si="15"/>
        <v>ソーダニッカ（七ヶ浜）10：00</v>
      </c>
      <c r="D89" s="18" t="str">
        <f t="shared" si="20"/>
        <v>ソーダゴウッカ（シチガハマ）10：00</v>
      </c>
      <c r="E89" s="18" t="s">
        <v>281</v>
      </c>
      <c r="F89" s="175">
        <v>0.41666666666666669</v>
      </c>
      <c r="G89" s="188">
        <v>0.22916666666666666</v>
      </c>
      <c r="H89" s="188"/>
      <c r="I89" s="110"/>
      <c r="J89" s="18" t="s">
        <v>282</v>
      </c>
      <c r="K89" s="18"/>
      <c r="L89" s="19" t="s">
        <v>230</v>
      </c>
      <c r="M89" s="178"/>
      <c r="N89" s="18"/>
      <c r="O89" s="179" t="s">
        <v>227</v>
      </c>
    </row>
    <row r="90" spans="1:15" ht="24" x14ac:dyDescent="0.15">
      <c r="A90" s="34" t="s">
        <v>662</v>
      </c>
      <c r="B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90)),ROW(),"")</f>
        <v>90</v>
      </c>
      <c r="C90" s="18" t="str">
        <f t="shared" si="15"/>
        <v>ソーダニッカ（七ヶ浜）10：30</v>
      </c>
      <c r="D90" s="18" t="str">
        <f t="shared" si="20"/>
        <v>ソーダゴウッカ（シチガハマ）10：30</v>
      </c>
      <c r="E90" s="18" t="s">
        <v>281</v>
      </c>
      <c r="F90" s="175">
        <v>0.4375</v>
      </c>
      <c r="G90" s="188">
        <v>0.22916666666666666</v>
      </c>
      <c r="H90" s="188"/>
      <c r="I90" s="110"/>
      <c r="J90" s="18" t="s">
        <v>254</v>
      </c>
      <c r="K90" s="18"/>
      <c r="L90" s="19" t="s">
        <v>230</v>
      </c>
      <c r="M90" s="178"/>
      <c r="N90" s="18"/>
      <c r="O90" s="179" t="s">
        <v>227</v>
      </c>
    </row>
    <row r="91" spans="1:15" ht="24" x14ac:dyDescent="0.15">
      <c r="A91" s="34" t="s">
        <v>663</v>
      </c>
      <c r="B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91)),ROW(),"")</f>
        <v>91</v>
      </c>
      <c r="C91" s="18" t="str">
        <f t="shared" si="15"/>
        <v>ソーダニッカ（七ヶ浜）AM</v>
      </c>
      <c r="D91" s="18" t="str">
        <f t="shared" si="20"/>
        <v>ソーダゴウッカ（シチガハマ）AM</v>
      </c>
      <c r="E91" s="18" t="s">
        <v>281</v>
      </c>
      <c r="F91" s="175" t="s">
        <v>229</v>
      </c>
      <c r="G91" s="188">
        <v>0.14583333333333334</v>
      </c>
      <c r="H91" s="188"/>
      <c r="I91" s="110"/>
      <c r="J91" s="18" t="s">
        <v>254</v>
      </c>
      <c r="K91" s="18"/>
      <c r="L91" s="19" t="s">
        <v>230</v>
      </c>
      <c r="M91" s="178"/>
      <c r="N91" s="18"/>
      <c r="O91" s="179" t="s">
        <v>227</v>
      </c>
    </row>
    <row r="92" spans="1:15" ht="24" x14ac:dyDescent="0.15">
      <c r="A92" s="34" t="s">
        <v>664</v>
      </c>
      <c r="B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92)),ROW(),"")</f>
        <v>92</v>
      </c>
      <c r="C92" s="18" t="str">
        <f t="shared" si="15"/>
        <v>ソーダニッカ（七ヶ浜）8：00</v>
      </c>
      <c r="D92" s="18" t="str">
        <f t="shared" si="20"/>
        <v>ソーダニッカ（シチガハマ）8：00</v>
      </c>
      <c r="E92" s="18" t="s">
        <v>281</v>
      </c>
      <c r="F92" s="175">
        <v>0.33333333333333331</v>
      </c>
      <c r="G92" s="188">
        <v>0.14583333333333334</v>
      </c>
      <c r="H92" s="188"/>
      <c r="I92" s="110"/>
      <c r="J92" s="18" t="s">
        <v>254</v>
      </c>
      <c r="K92" s="18"/>
      <c r="L92" s="19" t="s">
        <v>230</v>
      </c>
      <c r="M92" s="178"/>
      <c r="N92" s="19"/>
      <c r="O92" s="179" t="s">
        <v>227</v>
      </c>
    </row>
    <row r="93" spans="1:15" ht="24" x14ac:dyDescent="0.15">
      <c r="A93" s="34" t="s">
        <v>898</v>
      </c>
      <c r="B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93)),ROW(),"")</f>
        <v>93</v>
      </c>
      <c r="C93" s="18" t="str">
        <f t="shared" si="15"/>
        <v>ソーダニッカ（七ヶ浜）</v>
      </c>
      <c r="D93" s="18" t="str">
        <f t="shared" ref="D93" si="24">PHONETIC(A93)</f>
        <v>ソーダニッカ（シチガハマ）</v>
      </c>
      <c r="E93" s="18" t="s">
        <v>281</v>
      </c>
      <c r="F93" s="175"/>
      <c r="G93" s="188"/>
      <c r="H93" s="188"/>
      <c r="I93" s="110"/>
      <c r="J93" s="18"/>
      <c r="K93" s="18"/>
      <c r="L93" s="19"/>
      <c r="M93" s="178"/>
      <c r="N93" s="19"/>
      <c r="O93" s="179" t="s">
        <v>227</v>
      </c>
    </row>
    <row r="94" spans="1:15" ht="28.5" x14ac:dyDescent="0.15">
      <c r="A94" s="18" t="s">
        <v>665</v>
      </c>
      <c r="B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94)),ROW(),"")</f>
        <v>94</v>
      </c>
      <c r="C94" s="18" t="str">
        <f t="shared" ref="C94:C125" si="25">INDEX(A:A,SMALL($B$3:$B$1039,ROW(A92)))</f>
        <v>大建工業（高萩）AM</v>
      </c>
      <c r="D94" s="18" t="str">
        <f t="shared" si="20"/>
        <v>ダイケンコウギョウ（タカハギ）AM</v>
      </c>
      <c r="E94" s="18" t="s">
        <v>666</v>
      </c>
      <c r="F94" s="174" t="s">
        <v>229</v>
      </c>
      <c r="G94" s="175">
        <v>0.29166666666666669</v>
      </c>
      <c r="H94" s="176"/>
      <c r="I94" s="177"/>
      <c r="J94" s="177"/>
      <c r="K94" s="177"/>
      <c r="L94" s="174" t="s">
        <v>226</v>
      </c>
      <c r="M94" s="178"/>
      <c r="N94" s="179"/>
      <c r="O94" s="179" t="s">
        <v>227</v>
      </c>
    </row>
    <row r="95" spans="1:15" ht="28.5" x14ac:dyDescent="0.15">
      <c r="A95" s="18" t="s">
        <v>899</v>
      </c>
      <c r="B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95)),ROW(),"")</f>
        <v>95</v>
      </c>
      <c r="C95" s="18" t="str">
        <f t="shared" si="25"/>
        <v>大建工業（高萩）</v>
      </c>
      <c r="D95" s="18" t="str">
        <f t="shared" ref="D95" si="26">PHONETIC(A95)</f>
        <v>ダイケンコウギョウ（タカハギ）</v>
      </c>
      <c r="E95" s="18" t="s">
        <v>666</v>
      </c>
      <c r="F95" s="174"/>
      <c r="G95" s="175"/>
      <c r="H95" s="176"/>
      <c r="I95" s="177"/>
      <c r="J95" s="177"/>
      <c r="K95" s="177"/>
      <c r="L95" s="174"/>
      <c r="M95" s="178"/>
      <c r="N95" s="179"/>
      <c r="O95" s="179" t="s">
        <v>227</v>
      </c>
    </row>
    <row r="96" spans="1:15" ht="24" x14ac:dyDescent="0.15">
      <c r="A96" s="18" t="s">
        <v>283</v>
      </c>
      <c r="B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96)),ROW(),"")</f>
        <v>96</v>
      </c>
      <c r="C96" s="18" t="str">
        <f t="shared" si="25"/>
        <v>大昌電子(栃木）</v>
      </c>
      <c r="D96" s="18" t="str">
        <f t="shared" si="20"/>
        <v>ダイショウデンシ(トチギ）</v>
      </c>
      <c r="E96" s="18" t="s">
        <v>284</v>
      </c>
      <c r="F96" s="174" t="s">
        <v>226</v>
      </c>
      <c r="G96" s="188">
        <v>0.14583333333333334</v>
      </c>
      <c r="H96" s="188"/>
      <c r="I96" s="110"/>
      <c r="J96" s="18"/>
      <c r="K96" s="18"/>
      <c r="L96" s="174" t="s">
        <v>226</v>
      </c>
      <c r="M96" s="178"/>
      <c r="N96" s="19"/>
      <c r="O96" s="179" t="s">
        <v>227</v>
      </c>
    </row>
    <row r="97" spans="1:15" ht="24" x14ac:dyDescent="0.15">
      <c r="A97" s="84" t="s">
        <v>667</v>
      </c>
      <c r="B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97)),ROW(),"")</f>
        <v>97</v>
      </c>
      <c r="C97" s="18" t="str">
        <f t="shared" si="25"/>
        <v>大明化学(東京)9：30</v>
      </c>
      <c r="D97" s="84" t="str">
        <f t="shared" si="20"/>
        <v>タイメイカガク(トウキョウ)9：30</v>
      </c>
      <c r="E97" s="18" t="s">
        <v>285</v>
      </c>
      <c r="F97" s="191">
        <v>0.39583333333333331</v>
      </c>
      <c r="G97" s="188">
        <v>0.14583333333333334</v>
      </c>
      <c r="H97" s="188"/>
      <c r="I97" s="110"/>
      <c r="J97" s="18" t="s">
        <v>238</v>
      </c>
      <c r="K97" s="18"/>
      <c r="L97" s="19" t="s">
        <v>232</v>
      </c>
      <c r="M97" s="178"/>
      <c r="N97" s="19"/>
      <c r="O97" s="179" t="s">
        <v>227</v>
      </c>
    </row>
    <row r="98" spans="1:15" ht="24" x14ac:dyDescent="0.15">
      <c r="A98" s="84" t="s">
        <v>900</v>
      </c>
      <c r="B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98)),ROW(),"")</f>
        <v>98</v>
      </c>
      <c r="C98" s="18" t="str">
        <f t="shared" si="25"/>
        <v>大明化学(東京)</v>
      </c>
      <c r="D98" s="84" t="str">
        <f t="shared" ref="D98" si="27">PHONETIC(A98)</f>
        <v>タイメイカガク(トウキョウ)</v>
      </c>
      <c r="E98" s="18" t="s">
        <v>285</v>
      </c>
      <c r="F98" s="191"/>
      <c r="G98" s="188"/>
      <c r="H98" s="188"/>
      <c r="I98" s="110"/>
      <c r="J98" s="18"/>
      <c r="K98" s="18"/>
      <c r="L98" s="19"/>
      <c r="M98" s="178"/>
      <c r="N98" s="19"/>
      <c r="O98" s="179" t="s">
        <v>227</v>
      </c>
    </row>
    <row r="99" spans="1:15" ht="24" x14ac:dyDescent="0.15">
      <c r="A99" s="85" t="s">
        <v>286</v>
      </c>
      <c r="B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99)),ROW(),"")</f>
        <v>99</v>
      </c>
      <c r="C99" s="18" t="str">
        <f t="shared" si="25"/>
        <v>多木化学（千葉）</v>
      </c>
      <c r="D99" s="85" t="str">
        <f t="shared" si="20"/>
        <v>タキカガク（チバ）</v>
      </c>
      <c r="E99" s="18" t="s">
        <v>231</v>
      </c>
      <c r="F99" s="198" t="s">
        <v>287</v>
      </c>
      <c r="G99" s="188">
        <v>0.10416666666666667</v>
      </c>
      <c r="H99" s="188"/>
      <c r="I99" s="110"/>
      <c r="J99" s="18" t="s">
        <v>238</v>
      </c>
      <c r="K99" s="18"/>
      <c r="L99" s="19" t="s">
        <v>1029</v>
      </c>
      <c r="M99" s="178"/>
      <c r="N99" s="19"/>
      <c r="O99" s="179" t="s">
        <v>227</v>
      </c>
    </row>
    <row r="100" spans="1:15" ht="28.5" x14ac:dyDescent="0.15">
      <c r="A100" s="84" t="s">
        <v>669</v>
      </c>
      <c r="B1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100)),ROW(),"")</f>
        <v>100</v>
      </c>
      <c r="C100" s="18" t="str">
        <f t="shared" si="25"/>
        <v>タニオビスジャパン8：30</v>
      </c>
      <c r="D100" s="84" t="str">
        <f t="shared" si="20"/>
        <v>タニオビスジャパン8：30</v>
      </c>
      <c r="E100" s="18" t="s">
        <v>668</v>
      </c>
      <c r="F100" s="175">
        <v>0.35416666666666669</v>
      </c>
      <c r="G100" s="175">
        <v>0.20833333333333334</v>
      </c>
      <c r="H100" s="176"/>
      <c r="I100" s="177"/>
      <c r="J100" s="177"/>
      <c r="K100" s="177"/>
      <c r="L100" s="174" t="s">
        <v>226</v>
      </c>
      <c r="M100" s="178"/>
      <c r="N100" s="179"/>
      <c r="O100" s="179" t="s">
        <v>227</v>
      </c>
    </row>
    <row r="101" spans="1:15" ht="28.5" x14ac:dyDescent="0.15">
      <c r="A101" s="84" t="s">
        <v>901</v>
      </c>
      <c r="B1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101)),ROW(),"")</f>
        <v>101</v>
      </c>
      <c r="C101" s="18" t="str">
        <f t="shared" si="25"/>
        <v>タニオビスジャパン</v>
      </c>
      <c r="D101" s="84" t="str">
        <f t="shared" ref="D101" si="28">PHONETIC(A101)</f>
        <v>タニオビスジャパン</v>
      </c>
      <c r="E101" s="18" t="s">
        <v>668</v>
      </c>
      <c r="F101" s="175"/>
      <c r="G101" s="175"/>
      <c r="H101" s="176"/>
      <c r="I101" s="177"/>
      <c r="J101" s="177"/>
      <c r="K101" s="177"/>
      <c r="L101" s="174"/>
      <c r="M101" s="178"/>
      <c r="N101" s="179"/>
      <c r="O101" s="179" t="s">
        <v>227</v>
      </c>
    </row>
    <row r="102" spans="1:15" ht="28.5" x14ac:dyDescent="0.15">
      <c r="A102" s="84" t="s">
        <v>288</v>
      </c>
      <c r="B1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102)),ROW(),"")</f>
        <v>102</v>
      </c>
      <c r="C102" s="18" t="str">
        <f t="shared" si="25"/>
        <v>鶴見鋼管（いわき）</v>
      </c>
      <c r="D102" s="84" t="str">
        <f t="shared" si="20"/>
        <v>ツルミコウカン（イワキ）</v>
      </c>
      <c r="E102" s="18" t="s">
        <v>289</v>
      </c>
      <c r="F102" s="174"/>
      <c r="G102" s="175"/>
      <c r="H102" s="176"/>
      <c r="I102" s="177"/>
      <c r="J102" s="177"/>
      <c r="K102" s="177"/>
      <c r="L102" s="19"/>
      <c r="M102" s="178"/>
      <c r="N102" s="179"/>
      <c r="O102" s="179" t="s">
        <v>227</v>
      </c>
    </row>
    <row r="103" spans="1:15" ht="28.5" x14ac:dyDescent="0.15">
      <c r="A103" s="112" t="s">
        <v>670</v>
      </c>
      <c r="B1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103)),ROW(),"")</f>
        <v>103</v>
      </c>
      <c r="C103" s="18" t="str">
        <f t="shared" si="25"/>
        <v>ﾃﾞﾝﾛｺｰﾎﾟﾚｰｼｮﾝ(相馬)AM</v>
      </c>
      <c r="D103" s="112" t="str">
        <f t="shared" si="20"/>
        <v>デンロコーポレーション(相馬)AM</v>
      </c>
      <c r="E103" s="113" t="s">
        <v>671</v>
      </c>
      <c r="F103" s="174" t="s">
        <v>229</v>
      </c>
      <c r="G103" s="199">
        <v>0.20833333333333334</v>
      </c>
      <c r="H103" s="176"/>
      <c r="I103" s="177"/>
      <c r="J103" s="177"/>
      <c r="K103" s="177"/>
      <c r="L103" s="19" t="s">
        <v>230</v>
      </c>
      <c r="M103" s="178"/>
      <c r="N103" s="179"/>
      <c r="O103" s="179" t="s">
        <v>227</v>
      </c>
    </row>
    <row r="104" spans="1:15" ht="28.5" x14ac:dyDescent="0.15">
      <c r="A104" s="112" t="s">
        <v>902</v>
      </c>
      <c r="B1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104)),ROW(),"")</f>
        <v>104</v>
      </c>
      <c r="C104" s="18" t="str">
        <f t="shared" si="25"/>
        <v>ﾃﾞﾝﾛｺｰﾎﾟﾚｰｼｮﾝ(相馬)</v>
      </c>
      <c r="D104" s="112" t="str">
        <f t="shared" ref="D104" si="29">PHONETIC(A104)</f>
        <v>デンロコーポレーション(相馬)</v>
      </c>
      <c r="E104" s="113" t="s">
        <v>671</v>
      </c>
      <c r="F104" s="174"/>
      <c r="G104" s="199"/>
      <c r="H104" s="176"/>
      <c r="I104" s="177"/>
      <c r="J104" s="177"/>
      <c r="K104" s="177"/>
      <c r="L104" s="19"/>
      <c r="M104" s="178"/>
      <c r="N104" s="179"/>
      <c r="O104" s="179" t="s">
        <v>227</v>
      </c>
    </row>
    <row r="105" spans="1:15" ht="28.5" x14ac:dyDescent="0.15">
      <c r="A105" s="84" t="s">
        <v>290</v>
      </c>
      <c r="B1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105)),ROW(),"")</f>
        <v>105</v>
      </c>
      <c r="C105" s="18" t="str">
        <f t="shared" si="25"/>
        <v>東京色材工業</v>
      </c>
      <c r="D105" s="84" t="str">
        <f t="shared" si="20"/>
        <v>トウキョウシキザイコウギョウ</v>
      </c>
      <c r="E105" s="18" t="s">
        <v>289</v>
      </c>
      <c r="F105" s="175"/>
      <c r="G105" s="175"/>
      <c r="H105" s="176"/>
      <c r="I105" s="177"/>
      <c r="J105" s="177"/>
      <c r="K105" s="177"/>
      <c r="L105" s="174"/>
      <c r="M105" s="178"/>
      <c r="N105" s="179"/>
      <c r="O105" s="179" t="s">
        <v>227</v>
      </c>
    </row>
    <row r="106" spans="1:15" ht="28.5" x14ac:dyDescent="0.15">
      <c r="A106" s="84" t="s">
        <v>673</v>
      </c>
      <c r="B1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106)),ROW(),"")</f>
        <v>106</v>
      </c>
      <c r="C106" s="18" t="str">
        <f t="shared" si="25"/>
        <v>東京パワー（広野）10：00</v>
      </c>
      <c r="D106" s="84" t="str">
        <f t="shared" si="20"/>
        <v>トウキョウパワー（ヒロノ）10：00</v>
      </c>
      <c r="E106" s="18" t="s">
        <v>672</v>
      </c>
      <c r="F106" s="175">
        <v>0.41666666666666669</v>
      </c>
      <c r="G106" s="175">
        <v>0.3125</v>
      </c>
      <c r="H106" s="176"/>
      <c r="I106" s="177"/>
      <c r="J106" s="177"/>
      <c r="K106" s="177"/>
      <c r="L106" s="19"/>
      <c r="M106" s="178"/>
      <c r="N106" s="179"/>
      <c r="O106" s="179" t="s">
        <v>227</v>
      </c>
    </row>
    <row r="107" spans="1:15" ht="28.5" x14ac:dyDescent="0.15">
      <c r="A107" s="84" t="s">
        <v>903</v>
      </c>
      <c r="B1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107)),ROW(),"")</f>
        <v>107</v>
      </c>
      <c r="C107" s="18" t="str">
        <f t="shared" si="25"/>
        <v>東京パワー（広野）</v>
      </c>
      <c r="D107" s="84" t="str">
        <f t="shared" si="20"/>
        <v>トウキョウパワー（ヒロノ）</v>
      </c>
      <c r="E107" s="18" t="s">
        <v>672</v>
      </c>
      <c r="F107" s="175"/>
      <c r="G107" s="175"/>
      <c r="H107" s="176"/>
      <c r="I107" s="177"/>
      <c r="J107" s="177"/>
      <c r="K107" s="177"/>
      <c r="L107" s="19" t="s">
        <v>1030</v>
      </c>
      <c r="M107" s="200"/>
      <c r="N107" s="179"/>
      <c r="O107" s="179" t="s">
        <v>227</v>
      </c>
    </row>
    <row r="108" spans="1:15" ht="24" x14ac:dyDescent="0.15">
      <c r="A108" s="84" t="s">
        <v>674</v>
      </c>
      <c r="B1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108)),ROW(),"")</f>
        <v>108</v>
      </c>
      <c r="C108" s="18" t="str">
        <f t="shared" si="25"/>
        <v>東信化学（八潮)AM</v>
      </c>
      <c r="D108" s="84" t="str">
        <f t="shared" si="20"/>
        <v>トウシンカガク（ヤシオ)AM</v>
      </c>
      <c r="E108" s="18" t="s">
        <v>291</v>
      </c>
      <c r="F108" s="174" t="s">
        <v>229</v>
      </c>
      <c r="G108" s="188">
        <v>0.16666666666666666</v>
      </c>
      <c r="H108" s="188"/>
      <c r="I108" s="110"/>
      <c r="J108" s="18" t="s">
        <v>254</v>
      </c>
      <c r="K108" s="18" t="s">
        <v>292</v>
      </c>
      <c r="L108" s="19" t="s">
        <v>293</v>
      </c>
      <c r="M108" s="200"/>
      <c r="N108" s="19"/>
      <c r="O108" s="179" t="s">
        <v>227</v>
      </c>
    </row>
    <row r="109" spans="1:15" ht="24" x14ac:dyDescent="0.15">
      <c r="A109" s="84" t="s">
        <v>904</v>
      </c>
      <c r="B1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109)),ROW(),"")</f>
        <v>109</v>
      </c>
      <c r="C109" s="18" t="str">
        <f t="shared" si="25"/>
        <v>東信化学（八潮)</v>
      </c>
      <c r="D109" s="84" t="str">
        <f t="shared" ref="D109" si="30">PHONETIC(A109)</f>
        <v>トウシンカガク（ヤシオ)</v>
      </c>
      <c r="E109" s="18" t="s">
        <v>291</v>
      </c>
      <c r="F109" s="174"/>
      <c r="G109" s="188"/>
      <c r="H109" s="188"/>
      <c r="I109" s="110"/>
      <c r="J109" s="18"/>
      <c r="K109" s="18"/>
      <c r="L109" s="19"/>
      <c r="M109" s="200"/>
      <c r="N109" s="19"/>
      <c r="O109" s="179" t="s">
        <v>227</v>
      </c>
    </row>
    <row r="110" spans="1:15" ht="28.5" x14ac:dyDescent="0.15">
      <c r="A110" s="84" t="s">
        <v>294</v>
      </c>
      <c r="B1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110)),ROW(),"")</f>
        <v>110</v>
      </c>
      <c r="C110" s="18" t="str">
        <f t="shared" si="25"/>
        <v>東邦亜鉛</v>
      </c>
      <c r="D110" s="84" t="str">
        <f t="shared" si="20"/>
        <v>トウホウアエン</v>
      </c>
      <c r="E110" s="18" t="s">
        <v>258</v>
      </c>
      <c r="F110" s="175"/>
      <c r="G110" s="175">
        <v>0.3125</v>
      </c>
      <c r="H110" s="176"/>
      <c r="I110" s="177"/>
      <c r="J110" s="177"/>
      <c r="K110" s="177"/>
      <c r="L110" s="174" t="s">
        <v>122</v>
      </c>
      <c r="M110" s="200"/>
      <c r="N110" s="179"/>
      <c r="O110" s="179" t="s">
        <v>227</v>
      </c>
    </row>
    <row r="111" spans="1:15" ht="28.5" x14ac:dyDescent="0.15">
      <c r="A111" s="84" t="s">
        <v>675</v>
      </c>
      <c r="B1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111)),ROW(),"")</f>
        <v>111</v>
      </c>
      <c r="C111" s="18" t="str">
        <f t="shared" si="25"/>
        <v>東北三之橋（相馬）7：30</v>
      </c>
      <c r="D111" s="84" t="str">
        <f t="shared" si="20"/>
        <v>トウホクサンノハシ（ソウマ）7：30</v>
      </c>
      <c r="E111" s="18" t="s">
        <v>228</v>
      </c>
      <c r="F111" s="175">
        <v>0.3125</v>
      </c>
      <c r="G111" s="175">
        <v>0.1875</v>
      </c>
      <c r="H111" s="176"/>
      <c r="I111" s="177"/>
      <c r="J111" s="177"/>
      <c r="K111" s="177"/>
      <c r="L111" s="19" t="s">
        <v>230</v>
      </c>
      <c r="M111" s="200"/>
      <c r="N111" s="179"/>
      <c r="O111" s="179" t="s">
        <v>227</v>
      </c>
    </row>
    <row r="112" spans="1:15" ht="28.5" x14ac:dyDescent="0.15">
      <c r="A112" s="84" t="s">
        <v>905</v>
      </c>
      <c r="B1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112)),ROW(),"")</f>
        <v>112</v>
      </c>
      <c r="C112" s="18" t="str">
        <f t="shared" si="25"/>
        <v>東北三之橋（相馬）</v>
      </c>
      <c r="D112" s="84" t="str">
        <f t="shared" ref="D112" si="31">PHONETIC(A112)</f>
        <v>トウホクサンノハシ（ソウマ）</v>
      </c>
      <c r="E112" s="18" t="s">
        <v>228</v>
      </c>
      <c r="F112" s="175"/>
      <c r="G112" s="175"/>
      <c r="H112" s="176"/>
      <c r="I112" s="177"/>
      <c r="J112" s="177"/>
      <c r="K112" s="177"/>
      <c r="L112" s="19"/>
      <c r="M112" s="200"/>
      <c r="N112" s="179"/>
      <c r="O112" s="179" t="s">
        <v>227</v>
      </c>
    </row>
    <row r="113" spans="1:15" ht="28.5" x14ac:dyDescent="0.15">
      <c r="A113" s="84" t="s">
        <v>677</v>
      </c>
      <c r="B1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113)),ROW(),"")</f>
        <v>113</v>
      </c>
      <c r="C113" s="18" t="str">
        <f t="shared" si="25"/>
        <v>豊通リチウムAM</v>
      </c>
      <c r="D113" s="84" t="s">
        <v>295</v>
      </c>
      <c r="E113" s="113" t="s">
        <v>676</v>
      </c>
      <c r="F113" s="174" t="s">
        <v>229</v>
      </c>
      <c r="G113" s="199">
        <v>0.27083333333333331</v>
      </c>
      <c r="H113" s="176"/>
      <c r="I113" s="201"/>
      <c r="J113" s="177"/>
      <c r="K113" s="177"/>
      <c r="L113" s="174"/>
      <c r="M113" s="200"/>
      <c r="N113" s="179"/>
      <c r="O113" s="179" t="s">
        <v>227</v>
      </c>
    </row>
    <row r="114" spans="1:15" ht="28.5" x14ac:dyDescent="0.15">
      <c r="A114" s="84" t="s">
        <v>678</v>
      </c>
      <c r="B1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114)),ROW(),"")</f>
        <v>114</v>
      </c>
      <c r="C114" s="18" t="str">
        <f t="shared" si="25"/>
        <v>豊通リチウムPM</v>
      </c>
      <c r="D114" s="84" t="s">
        <v>295</v>
      </c>
      <c r="E114" s="113" t="s">
        <v>676</v>
      </c>
      <c r="F114" s="174" t="s">
        <v>248</v>
      </c>
      <c r="G114" s="199">
        <v>0.41666666666666669</v>
      </c>
      <c r="H114" s="176"/>
      <c r="I114" s="177"/>
      <c r="J114" s="177"/>
      <c r="K114" s="177"/>
      <c r="L114" s="174" t="s">
        <v>226</v>
      </c>
      <c r="M114" s="178"/>
      <c r="N114" s="179"/>
      <c r="O114" s="179" t="s">
        <v>227</v>
      </c>
    </row>
    <row r="115" spans="1:15" ht="28.5" x14ac:dyDescent="0.15">
      <c r="A115" s="84" t="s">
        <v>906</v>
      </c>
      <c r="B1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115)),ROW(),"")</f>
        <v>115</v>
      </c>
      <c r="C115" s="18" t="str">
        <f t="shared" si="25"/>
        <v>豊通リチウム</v>
      </c>
      <c r="D115" s="84" t="s">
        <v>295</v>
      </c>
      <c r="E115" s="113" t="s">
        <v>676</v>
      </c>
      <c r="F115" s="174"/>
      <c r="G115" s="199"/>
      <c r="H115" s="176"/>
      <c r="I115" s="177"/>
      <c r="J115" s="177"/>
      <c r="K115" s="177"/>
      <c r="L115" s="174"/>
      <c r="M115" s="178"/>
      <c r="N115" s="179"/>
      <c r="O115" s="179" t="s">
        <v>227</v>
      </c>
    </row>
    <row r="116" spans="1:15" ht="28.5" x14ac:dyDescent="0.15">
      <c r="A116" s="84" t="s">
        <v>679</v>
      </c>
      <c r="B1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116)),ROW(),"")</f>
        <v>116</v>
      </c>
      <c r="C116" s="18" t="str">
        <f t="shared" si="25"/>
        <v>永井製薬所（茨城）9：00</v>
      </c>
      <c r="D116" s="84" t="str">
        <f t="shared" ref="D116:D192" si="32">PHONETIC(A116)</f>
        <v>ナガイセイヤクジョ（茨城）9：00</v>
      </c>
      <c r="E116" s="18" t="s">
        <v>680</v>
      </c>
      <c r="F116" s="175">
        <v>0.375</v>
      </c>
      <c r="G116" s="175">
        <v>0.16666666666666666</v>
      </c>
      <c r="H116" s="176"/>
      <c r="I116" s="177"/>
      <c r="J116" s="177"/>
      <c r="K116" s="202" t="s">
        <v>296</v>
      </c>
      <c r="L116" s="19" t="s">
        <v>297</v>
      </c>
      <c r="M116" s="178"/>
      <c r="N116" s="179"/>
      <c r="O116" s="179" t="s">
        <v>227</v>
      </c>
    </row>
    <row r="117" spans="1:15" ht="28.5" x14ac:dyDescent="0.15">
      <c r="A117" s="84" t="s">
        <v>907</v>
      </c>
      <c r="B1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117)),ROW(),"")</f>
        <v>117</v>
      </c>
      <c r="C117" s="18" t="str">
        <f t="shared" si="25"/>
        <v>永井製薬所（茨城）</v>
      </c>
      <c r="D117" s="84" t="str">
        <f t="shared" ref="D117" si="33">PHONETIC(A117)</f>
        <v>ナガイセイヤクジョ（茨城）</v>
      </c>
      <c r="E117" s="18" t="s">
        <v>680</v>
      </c>
      <c r="F117" s="175"/>
      <c r="G117" s="175"/>
      <c r="H117" s="176"/>
      <c r="I117" s="177"/>
      <c r="J117" s="177"/>
      <c r="K117" s="202"/>
      <c r="L117" s="19"/>
      <c r="M117" s="178"/>
      <c r="N117" s="179"/>
      <c r="O117" s="179" t="s">
        <v>227</v>
      </c>
    </row>
    <row r="118" spans="1:15" ht="28.5" x14ac:dyDescent="0.15">
      <c r="A118" s="84" t="s">
        <v>298</v>
      </c>
      <c r="B1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118)),ROW(),"")</f>
        <v>118</v>
      </c>
      <c r="C118" s="18" t="str">
        <f t="shared" si="25"/>
        <v>ニッソーファイン（茨城）</v>
      </c>
      <c r="D118" s="84" t="str">
        <f t="shared" si="32"/>
        <v>ニッソーファイン（イバラキ）</v>
      </c>
      <c r="E118" s="18" t="s">
        <v>656</v>
      </c>
      <c r="F118" s="174"/>
      <c r="G118" s="174"/>
      <c r="H118" s="176"/>
      <c r="I118" s="177"/>
      <c r="J118" s="177"/>
      <c r="K118" s="177"/>
      <c r="L118" s="174"/>
      <c r="M118" s="178"/>
      <c r="N118" s="179"/>
      <c r="O118" s="179" t="s">
        <v>227</v>
      </c>
    </row>
    <row r="119" spans="1:15" ht="28.5" x14ac:dyDescent="0.15">
      <c r="A119" s="84" t="s">
        <v>299</v>
      </c>
      <c r="B1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119)),ROW(),"")</f>
        <v>119</v>
      </c>
      <c r="C119" s="18" t="str">
        <f t="shared" si="25"/>
        <v>ニッソーファイン（いわき）</v>
      </c>
      <c r="D119" s="84" t="str">
        <f t="shared" si="32"/>
        <v>ニッソーファイン（イワキ）</v>
      </c>
      <c r="E119" s="18" t="s">
        <v>289</v>
      </c>
      <c r="F119" s="174" t="s">
        <v>226</v>
      </c>
      <c r="G119" s="174" t="s">
        <v>226</v>
      </c>
      <c r="H119" s="176"/>
      <c r="I119" s="177"/>
      <c r="J119" s="177"/>
      <c r="K119" s="177"/>
      <c r="L119" s="174" t="s">
        <v>226</v>
      </c>
      <c r="M119" s="178"/>
      <c r="N119" s="179"/>
      <c r="O119" s="179" t="s">
        <v>227</v>
      </c>
    </row>
    <row r="120" spans="1:15" ht="28.5" x14ac:dyDescent="0.15">
      <c r="A120" s="84" t="s">
        <v>682</v>
      </c>
      <c r="B1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120)),ROW(),"")</f>
        <v>120</v>
      </c>
      <c r="C120" s="18" t="str">
        <f t="shared" si="25"/>
        <v>ニッソーファイン（郡山）8：30</v>
      </c>
      <c r="D120" s="84" t="str">
        <f t="shared" si="32"/>
        <v>ニッソーファイン（コオリヤマ）8：30</v>
      </c>
      <c r="E120" s="18" t="s">
        <v>681</v>
      </c>
      <c r="F120" s="175">
        <v>0.35416666666666669</v>
      </c>
      <c r="G120" s="175">
        <v>0.22916666666666666</v>
      </c>
      <c r="H120" s="176"/>
      <c r="I120" s="177"/>
      <c r="J120" s="177"/>
      <c r="K120" s="177"/>
      <c r="L120" s="174" t="s">
        <v>226</v>
      </c>
      <c r="M120" s="178"/>
      <c r="N120" s="179"/>
      <c r="O120" s="179" t="s">
        <v>227</v>
      </c>
    </row>
    <row r="121" spans="1:15" ht="28.5" x14ac:dyDescent="0.15">
      <c r="A121" s="84" t="s">
        <v>908</v>
      </c>
      <c r="B1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121)),ROW(),"")</f>
        <v>121</v>
      </c>
      <c r="C121" s="18" t="str">
        <f t="shared" si="25"/>
        <v>ニッソーファイン（郡山）</v>
      </c>
      <c r="D121" s="84" t="str">
        <f t="shared" ref="D121" si="34">PHONETIC(A121)</f>
        <v>ニッソーファイン（コオリヤマ）</v>
      </c>
      <c r="E121" s="18" t="s">
        <v>681</v>
      </c>
      <c r="F121" s="175"/>
      <c r="G121" s="175"/>
      <c r="H121" s="176"/>
      <c r="I121" s="177"/>
      <c r="J121" s="177"/>
      <c r="K121" s="177"/>
      <c r="L121" s="174"/>
      <c r="M121" s="178"/>
      <c r="N121" s="179"/>
      <c r="O121" s="179" t="s">
        <v>227</v>
      </c>
    </row>
    <row r="122" spans="1:15" x14ac:dyDescent="0.15">
      <c r="A122" s="84" t="s">
        <v>300</v>
      </c>
      <c r="B1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122)),ROW(),"")</f>
        <v>122</v>
      </c>
      <c r="C122" s="18" t="str">
        <f t="shared" si="25"/>
        <v>日特（いわき）</v>
      </c>
      <c r="D122" s="84" t="str">
        <f t="shared" si="32"/>
        <v>ニットク（イワキ）</v>
      </c>
      <c r="E122" s="18" t="s">
        <v>289</v>
      </c>
      <c r="F122" s="174" t="s">
        <v>226</v>
      </c>
      <c r="G122" s="174" t="s">
        <v>226</v>
      </c>
      <c r="H122" s="195"/>
      <c r="I122" s="196"/>
      <c r="J122" s="196"/>
      <c r="K122" s="196"/>
      <c r="L122" s="174" t="s">
        <v>226</v>
      </c>
      <c r="M122" s="178"/>
      <c r="N122" s="179"/>
      <c r="O122" s="179" t="s">
        <v>227</v>
      </c>
    </row>
    <row r="123" spans="1:15" x14ac:dyDescent="0.15">
      <c r="A123" s="84" t="s">
        <v>683</v>
      </c>
      <c r="B1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123)),ROW(),"")</f>
        <v>123</v>
      </c>
      <c r="C123" s="18" t="str">
        <f t="shared" si="25"/>
        <v>日本化学（第一）9：00</v>
      </c>
      <c r="D123" s="84" t="str">
        <f t="shared" si="32"/>
        <v>ニホンカガク（ダイイチ）9：00</v>
      </c>
      <c r="E123" s="18" t="s">
        <v>681</v>
      </c>
      <c r="F123" s="175">
        <v>0.375</v>
      </c>
      <c r="G123" s="175">
        <v>0.22916666666666666</v>
      </c>
      <c r="H123" s="195"/>
      <c r="I123" s="196"/>
      <c r="J123" s="196"/>
      <c r="K123" s="196"/>
      <c r="L123" s="174" t="s">
        <v>226</v>
      </c>
      <c r="M123" s="178"/>
      <c r="N123" s="179"/>
      <c r="O123" s="179" t="s">
        <v>227</v>
      </c>
    </row>
    <row r="124" spans="1:15" ht="28.5" x14ac:dyDescent="0.15">
      <c r="A124" s="84" t="s">
        <v>909</v>
      </c>
      <c r="B1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124)),ROW(),"")</f>
        <v>124</v>
      </c>
      <c r="C124" s="18" t="str">
        <f t="shared" si="25"/>
        <v>日本化学（第一）</v>
      </c>
      <c r="D124" s="84" t="str">
        <f t="shared" si="32"/>
        <v>ニホンカガク（ダイイチ）</v>
      </c>
      <c r="E124" s="18" t="s">
        <v>684</v>
      </c>
      <c r="F124" s="175" t="s">
        <v>301</v>
      </c>
      <c r="G124" s="175">
        <v>0.25</v>
      </c>
      <c r="H124" s="176"/>
      <c r="I124" s="177"/>
      <c r="J124" s="177"/>
      <c r="K124" s="177"/>
      <c r="L124" s="174" t="s">
        <v>226</v>
      </c>
      <c r="M124" s="178"/>
      <c r="N124" s="179"/>
      <c r="O124" s="179" t="s">
        <v>227</v>
      </c>
    </row>
    <row r="125" spans="1:15" ht="28.5" x14ac:dyDescent="0.15">
      <c r="A125" s="84" t="s">
        <v>686</v>
      </c>
      <c r="B1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125)),ROW(),"")</f>
        <v>125</v>
      </c>
      <c r="C125" s="18" t="str">
        <f t="shared" si="25"/>
        <v>日本化学（第二）AM</v>
      </c>
      <c r="D125" s="84" t="str">
        <f t="shared" si="32"/>
        <v>ニホンカガク（ダイニ）AM</v>
      </c>
      <c r="E125" s="18" t="s">
        <v>685</v>
      </c>
      <c r="F125" s="174" t="s">
        <v>229</v>
      </c>
      <c r="G125" s="175">
        <v>0.25</v>
      </c>
      <c r="H125" s="176"/>
      <c r="I125" s="177"/>
      <c r="J125" s="177"/>
      <c r="K125" s="177"/>
      <c r="L125" s="174" t="s">
        <v>226</v>
      </c>
      <c r="M125" s="178"/>
      <c r="N125" s="179"/>
      <c r="O125" s="179" t="s">
        <v>227</v>
      </c>
    </row>
    <row r="126" spans="1:15" ht="28.5" x14ac:dyDescent="0.15">
      <c r="A126" s="84" t="s">
        <v>910</v>
      </c>
      <c r="B1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126)),ROW(),"")</f>
        <v>126</v>
      </c>
      <c r="C126" s="18" t="str">
        <f t="shared" ref="C126:C156" si="35">INDEX(A:A,SMALL($B$3:$B$1039,ROW(A124)))</f>
        <v>日本化学（第二）</v>
      </c>
      <c r="D126" s="84" t="str">
        <f t="shared" si="32"/>
        <v>ニホンカガク（ダイニ）</v>
      </c>
      <c r="E126" s="18" t="s">
        <v>685</v>
      </c>
      <c r="F126" s="174"/>
      <c r="G126" s="175"/>
      <c r="H126" s="176"/>
      <c r="I126" s="177"/>
      <c r="J126" s="177"/>
      <c r="K126" s="177"/>
      <c r="L126" s="174"/>
      <c r="M126" s="178"/>
      <c r="N126" s="179"/>
      <c r="O126" s="179" t="s">
        <v>227</v>
      </c>
    </row>
    <row r="127" spans="1:15" ht="28.5" x14ac:dyDescent="0.15">
      <c r="A127" s="84" t="s">
        <v>302</v>
      </c>
      <c r="B1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127)),ROW(),"")</f>
        <v>127</v>
      </c>
      <c r="C127" s="18" t="str">
        <f t="shared" si="35"/>
        <v>日本化学産業（広野）</v>
      </c>
      <c r="D127" s="84" t="str">
        <f t="shared" ref="D127" si="36">PHONETIC(A127)</f>
        <v>ニホンカガクサンギョウ（ヒロノ）</v>
      </c>
      <c r="E127" s="18" t="s">
        <v>303</v>
      </c>
      <c r="F127" s="174"/>
      <c r="G127" s="175"/>
      <c r="H127" s="176"/>
      <c r="I127" s="177"/>
      <c r="J127" s="177"/>
      <c r="K127" s="177"/>
      <c r="L127" s="174"/>
      <c r="M127" s="178"/>
      <c r="N127" s="179"/>
      <c r="O127" s="179" t="s">
        <v>227</v>
      </c>
    </row>
    <row r="128" spans="1:15" ht="24" x14ac:dyDescent="0.15">
      <c r="A128" s="90" t="s">
        <v>687</v>
      </c>
      <c r="B1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128)),ROW(),"")</f>
        <v>128</v>
      </c>
      <c r="C128" s="18" t="str">
        <f t="shared" si="35"/>
        <v>日本化薬(高崎）8：00</v>
      </c>
      <c r="D128" s="84" t="str">
        <f t="shared" si="32"/>
        <v>ニホンカヤク(タカサキ）8：00</v>
      </c>
      <c r="E128" s="89" t="s">
        <v>304</v>
      </c>
      <c r="F128" s="191">
        <v>0.33333333333333331</v>
      </c>
      <c r="G128" s="188">
        <v>0.125</v>
      </c>
      <c r="H128" s="188"/>
      <c r="I128" s="110"/>
      <c r="J128" s="18" t="s">
        <v>238</v>
      </c>
      <c r="K128" s="18"/>
      <c r="L128" s="19" t="s">
        <v>1029</v>
      </c>
      <c r="M128" s="178"/>
      <c r="N128" s="179"/>
      <c r="O128" s="179" t="s">
        <v>227</v>
      </c>
    </row>
    <row r="129" spans="1:15" ht="24" x14ac:dyDescent="0.15">
      <c r="A129" s="90" t="s">
        <v>911</v>
      </c>
      <c r="B1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129)),ROW(),"")</f>
        <v>129</v>
      </c>
      <c r="C129" s="18" t="str">
        <f t="shared" si="35"/>
        <v>日本化薬(高崎）</v>
      </c>
      <c r="D129" s="84" t="str">
        <f t="shared" si="32"/>
        <v>ニホンカヤク(タカサキ）</v>
      </c>
      <c r="E129" s="89" t="s">
        <v>304</v>
      </c>
      <c r="F129" s="191"/>
      <c r="G129" s="188"/>
      <c r="H129" s="188"/>
      <c r="I129" s="110"/>
      <c r="J129" s="18"/>
      <c r="K129" s="18"/>
      <c r="L129" s="19"/>
      <c r="M129" s="178"/>
      <c r="N129" s="19"/>
      <c r="O129" s="179" t="s">
        <v>227</v>
      </c>
    </row>
    <row r="130" spans="1:15" ht="24" x14ac:dyDescent="0.15">
      <c r="A130" s="114" t="s">
        <v>305</v>
      </c>
      <c r="B1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130)),ROW(),"")</f>
        <v>130</v>
      </c>
      <c r="C130" s="18" t="str">
        <f t="shared" si="35"/>
        <v>日本ケミコン(新潟）</v>
      </c>
      <c r="D130" s="85" t="str">
        <f t="shared" si="32"/>
        <v>ニホンケミコン(ニイガタ）</v>
      </c>
      <c r="E130" s="89" t="s">
        <v>237</v>
      </c>
      <c r="F130" s="174" t="s">
        <v>226</v>
      </c>
      <c r="G130" s="188">
        <v>8.3333333333333329E-2</v>
      </c>
      <c r="H130" s="188"/>
      <c r="I130" s="110"/>
      <c r="J130" s="18" t="s">
        <v>238</v>
      </c>
      <c r="K130" s="18"/>
      <c r="L130" s="19" t="s">
        <v>239</v>
      </c>
      <c r="M130" s="178"/>
      <c r="N130" s="19"/>
      <c r="O130" s="179" t="s">
        <v>227</v>
      </c>
    </row>
    <row r="131" spans="1:15" ht="28.5" x14ac:dyDescent="0.15">
      <c r="A131" s="84" t="s">
        <v>688</v>
      </c>
      <c r="B1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131)),ROW(),"")</f>
        <v>131</v>
      </c>
      <c r="C131" s="18" t="str">
        <f t="shared" si="35"/>
        <v>日本ケミコン（高萩）</v>
      </c>
      <c r="D131" s="84" t="str">
        <f t="shared" si="32"/>
        <v>ニホンケミコン（タカハギ）</v>
      </c>
      <c r="E131" s="89" t="s">
        <v>666</v>
      </c>
      <c r="F131" s="174" t="s">
        <v>226</v>
      </c>
      <c r="G131" s="175">
        <v>0.27083333333333331</v>
      </c>
      <c r="H131" s="176"/>
      <c r="I131" s="177"/>
      <c r="J131" s="177"/>
      <c r="K131" s="177"/>
      <c r="L131" s="174" t="s">
        <v>226</v>
      </c>
      <c r="M131" s="178"/>
      <c r="N131" s="179"/>
      <c r="O131" s="179" t="s">
        <v>227</v>
      </c>
    </row>
    <row r="132" spans="1:15" ht="28.5" x14ac:dyDescent="0.15">
      <c r="A132" s="90" t="s">
        <v>306</v>
      </c>
      <c r="B1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132)),ROW(),"")</f>
        <v>132</v>
      </c>
      <c r="C132" s="18" t="str">
        <f t="shared" si="35"/>
        <v>日本ｻｰﾌｧｸﾀﾝﾄ（那須）</v>
      </c>
      <c r="D132" s="84" t="str">
        <f t="shared" si="32"/>
        <v>ニホンサーファクタント（ナス）</v>
      </c>
      <c r="E132" s="18" t="s">
        <v>307</v>
      </c>
      <c r="F132" s="174" t="s">
        <v>226</v>
      </c>
      <c r="G132" s="188">
        <v>0.14583333333333334</v>
      </c>
      <c r="H132" s="176"/>
      <c r="I132" s="177"/>
      <c r="J132" s="177"/>
      <c r="K132" s="177"/>
      <c r="L132" s="174" t="s">
        <v>226</v>
      </c>
      <c r="M132" s="178"/>
      <c r="N132" s="179"/>
      <c r="O132" s="179" t="s">
        <v>227</v>
      </c>
    </row>
    <row r="133" spans="1:15" ht="24" x14ac:dyDescent="0.15">
      <c r="A133" s="84" t="s">
        <v>308</v>
      </c>
      <c r="B1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133)),ROW(),"")</f>
        <v>133</v>
      </c>
      <c r="C133" s="18" t="str">
        <f t="shared" si="35"/>
        <v>日本色材（いわき）</v>
      </c>
      <c r="D133" s="84" t="str">
        <f t="shared" si="32"/>
        <v>ニホンシキザイ（イワキ）</v>
      </c>
      <c r="E133" s="18" t="s">
        <v>258</v>
      </c>
      <c r="F133" s="174"/>
      <c r="G133" s="188"/>
      <c r="H133" s="188"/>
      <c r="I133" s="110"/>
      <c r="J133" s="18"/>
      <c r="K133" s="18"/>
      <c r="L133" s="174" t="s">
        <v>226</v>
      </c>
      <c r="M133" s="178"/>
      <c r="N133" s="189"/>
      <c r="O133" s="179" t="s">
        <v>227</v>
      </c>
    </row>
    <row r="134" spans="1:15" ht="24" x14ac:dyDescent="0.15">
      <c r="A134" s="90" t="s">
        <v>689</v>
      </c>
      <c r="B1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134)),ROW(),"")</f>
        <v>134</v>
      </c>
      <c r="C134" s="18" t="str">
        <f t="shared" si="35"/>
        <v>日本製紙(石巻）7：30</v>
      </c>
      <c r="D134" s="84" t="str">
        <f t="shared" si="32"/>
        <v>ニホンセイシ(イシノマキ）7：30</v>
      </c>
      <c r="E134" s="18" t="s">
        <v>309</v>
      </c>
      <c r="F134" s="175">
        <v>0.3125</v>
      </c>
      <c r="G134" s="188">
        <v>0.10416666666666667</v>
      </c>
      <c r="H134" s="188"/>
      <c r="I134" s="110"/>
      <c r="J134" s="18" t="s">
        <v>254</v>
      </c>
      <c r="K134" s="18"/>
      <c r="L134" s="19" t="s">
        <v>230</v>
      </c>
      <c r="M134" s="178"/>
      <c r="N134" s="179"/>
      <c r="O134" s="179" t="s">
        <v>227</v>
      </c>
    </row>
    <row r="135" spans="1:15" ht="24" x14ac:dyDescent="0.15">
      <c r="A135" s="90" t="s">
        <v>912</v>
      </c>
      <c r="B1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135)),ROW(),"")</f>
        <v>135</v>
      </c>
      <c r="C135" s="18" t="str">
        <f t="shared" si="35"/>
        <v>日本製紙(石巻）</v>
      </c>
      <c r="D135" s="84" t="str">
        <f t="shared" si="32"/>
        <v>ニホンセイシ(イシノマキ）</v>
      </c>
      <c r="E135" s="18" t="s">
        <v>309</v>
      </c>
      <c r="F135" s="175"/>
      <c r="G135" s="188"/>
      <c r="H135" s="188"/>
      <c r="I135" s="110"/>
      <c r="J135" s="18"/>
      <c r="K135" s="18"/>
      <c r="L135" s="19"/>
      <c r="M135" s="178"/>
      <c r="N135" s="189"/>
      <c r="O135" s="179" t="s">
        <v>227</v>
      </c>
    </row>
    <row r="136" spans="1:15" x14ac:dyDescent="0.15">
      <c r="A136" s="84" t="s">
        <v>691</v>
      </c>
      <c r="B1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136)),ROW(),"")</f>
        <v>136</v>
      </c>
      <c r="C136" s="18" t="str">
        <f t="shared" si="35"/>
        <v>日本製紙（岩沼）8：30</v>
      </c>
      <c r="D136" s="84" t="str">
        <f t="shared" si="32"/>
        <v>ニホンセイシ（イワヌマ）8：30</v>
      </c>
      <c r="E136" s="18" t="s">
        <v>690</v>
      </c>
      <c r="F136" s="175">
        <v>0.35416666666666669</v>
      </c>
      <c r="G136" s="175">
        <v>0.14583333333333334</v>
      </c>
      <c r="H136" s="195"/>
      <c r="I136" s="196"/>
      <c r="J136" s="196"/>
      <c r="K136" s="196"/>
      <c r="L136" s="174" t="s">
        <v>226</v>
      </c>
      <c r="M136" s="178"/>
      <c r="N136" s="179"/>
      <c r="O136" s="179" t="s">
        <v>227</v>
      </c>
    </row>
    <row r="137" spans="1:15" x14ac:dyDescent="0.15">
      <c r="A137" s="84" t="s">
        <v>913</v>
      </c>
      <c r="B1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137)),ROW(),"")</f>
        <v>137</v>
      </c>
      <c r="C137" s="18" t="str">
        <f t="shared" si="35"/>
        <v>日本製紙（岩沼）</v>
      </c>
      <c r="D137" s="84" t="str">
        <f t="shared" ref="D137" si="37">PHONETIC(A137)</f>
        <v>ニホンセイシ（イワヌマ）</v>
      </c>
      <c r="E137" s="18" t="s">
        <v>690</v>
      </c>
      <c r="F137" s="175"/>
      <c r="G137" s="175"/>
      <c r="H137" s="195"/>
      <c r="I137" s="196"/>
      <c r="J137" s="196"/>
      <c r="K137" s="196"/>
      <c r="L137" s="174"/>
      <c r="M137" s="178"/>
      <c r="N137" s="179"/>
      <c r="O137" s="179" t="s">
        <v>227</v>
      </c>
    </row>
    <row r="138" spans="1:15" ht="24" x14ac:dyDescent="0.15">
      <c r="A138" s="90" t="s">
        <v>692</v>
      </c>
      <c r="B1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138)),ROW(),"")</f>
        <v>138</v>
      </c>
      <c r="C138" s="18" t="str">
        <f t="shared" si="35"/>
        <v>日本製紙(勿来）13：00</v>
      </c>
      <c r="D138" s="84" t="str">
        <f t="shared" si="32"/>
        <v>ニホンセイシ(ナコソ）13：00</v>
      </c>
      <c r="E138" s="18" t="s">
        <v>640</v>
      </c>
      <c r="F138" s="175">
        <v>0.54166666666666663</v>
      </c>
      <c r="G138" s="188"/>
      <c r="H138" s="188"/>
      <c r="I138" s="110"/>
      <c r="J138" s="18"/>
      <c r="K138" s="18"/>
      <c r="L138" s="19"/>
      <c r="M138" s="178"/>
      <c r="N138" s="189"/>
      <c r="O138" s="179" t="s">
        <v>227</v>
      </c>
    </row>
    <row r="139" spans="1:15" ht="24" x14ac:dyDescent="0.15">
      <c r="A139" s="90" t="s">
        <v>914</v>
      </c>
      <c r="B1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139)),ROW(),"")</f>
        <v>139</v>
      </c>
      <c r="C139" s="18" t="str">
        <f t="shared" si="35"/>
        <v>日本製紙(勿来）</v>
      </c>
      <c r="D139" s="84" t="str">
        <f t="shared" ref="D139" si="38">PHONETIC(A139)</f>
        <v>ニホンセイシ(ナコソ）</v>
      </c>
      <c r="E139" s="18" t="s">
        <v>640</v>
      </c>
      <c r="F139" s="175"/>
      <c r="G139" s="188"/>
      <c r="H139" s="188"/>
      <c r="I139" s="110"/>
      <c r="J139" s="18"/>
      <c r="K139" s="18"/>
      <c r="L139" s="19"/>
      <c r="M139" s="178"/>
      <c r="N139" s="189"/>
      <c r="O139" s="179" t="s">
        <v>227</v>
      </c>
    </row>
    <row r="140" spans="1:15" ht="24" x14ac:dyDescent="0.15">
      <c r="A140" s="84" t="s">
        <v>310</v>
      </c>
      <c r="B1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140)),ROW(),"")</f>
        <v>140</v>
      </c>
      <c r="C140" s="18" t="str">
        <f t="shared" si="35"/>
        <v>日本製鉄（鹿島）</v>
      </c>
      <c r="D140" s="84" t="str">
        <f t="shared" si="32"/>
        <v>ニホンセイテツ（カシマ）</v>
      </c>
      <c r="E140" s="18" t="s">
        <v>311</v>
      </c>
      <c r="F140" s="203"/>
      <c r="G140" s="175">
        <v>0.16666666666666666</v>
      </c>
      <c r="H140" s="188"/>
      <c r="I140" s="110"/>
      <c r="J140" s="18"/>
      <c r="K140" s="18"/>
      <c r="L140" s="174" t="s">
        <v>226</v>
      </c>
      <c r="M140" s="178"/>
      <c r="N140" s="179"/>
      <c r="O140" s="179" t="s">
        <v>227</v>
      </c>
    </row>
    <row r="141" spans="1:15" ht="28.5" x14ac:dyDescent="0.15">
      <c r="A141" s="84" t="s">
        <v>693</v>
      </c>
      <c r="B1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141)),ROW(),"")</f>
        <v>141</v>
      </c>
      <c r="C141" s="18" t="str">
        <f t="shared" si="35"/>
        <v>日本テキサス（会津）AM</v>
      </c>
      <c r="D141" s="84" t="str">
        <f t="shared" si="32"/>
        <v>ニホンテキサス（アイズ）AM</v>
      </c>
      <c r="E141" s="89" t="s">
        <v>694</v>
      </c>
      <c r="F141" s="174" t="s">
        <v>229</v>
      </c>
      <c r="G141" s="175">
        <v>0.16666666666666666</v>
      </c>
      <c r="H141" s="176"/>
      <c r="I141" s="177"/>
      <c r="J141" s="177"/>
      <c r="K141" s="177"/>
      <c r="L141" s="174" t="s">
        <v>226</v>
      </c>
      <c r="M141" s="178"/>
      <c r="N141" s="179"/>
      <c r="O141" s="179" t="s">
        <v>227</v>
      </c>
    </row>
    <row r="142" spans="1:15" ht="28.5" x14ac:dyDescent="0.15">
      <c r="A142" s="84" t="s">
        <v>915</v>
      </c>
      <c r="B1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142)),ROW(),"")</f>
        <v>142</v>
      </c>
      <c r="C142" s="18" t="str">
        <f t="shared" si="35"/>
        <v>日本テキサス（会津）</v>
      </c>
      <c r="D142" s="84" t="str">
        <f t="shared" ref="D142" si="39">PHONETIC(A142)</f>
        <v>ニホンテキサス（アイズ）</v>
      </c>
      <c r="E142" s="89" t="s">
        <v>694</v>
      </c>
      <c r="F142" s="174"/>
      <c r="G142" s="175"/>
      <c r="H142" s="176"/>
      <c r="I142" s="177"/>
      <c r="J142" s="177"/>
      <c r="K142" s="177"/>
      <c r="L142" s="174"/>
      <c r="M142" s="178"/>
      <c r="N142" s="179"/>
      <c r="O142" s="179" t="s">
        <v>227</v>
      </c>
    </row>
    <row r="143" spans="1:15" ht="24" x14ac:dyDescent="0.15">
      <c r="A143" s="84" t="s">
        <v>312</v>
      </c>
      <c r="B1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143)),ROW(),"")</f>
        <v>143</v>
      </c>
      <c r="C143" s="18" t="str">
        <f t="shared" si="35"/>
        <v>日本電解(下館）</v>
      </c>
      <c r="D143" s="18" t="str">
        <f t="shared" si="32"/>
        <v>ニホンデンカイ(シモダテ）</v>
      </c>
      <c r="E143" s="89" t="s">
        <v>313</v>
      </c>
      <c r="F143" s="174" t="s">
        <v>226</v>
      </c>
      <c r="G143" s="197"/>
      <c r="H143" s="197"/>
      <c r="I143" s="111"/>
      <c r="J143" s="18"/>
      <c r="K143" s="18"/>
      <c r="L143" s="174" t="s">
        <v>226</v>
      </c>
      <c r="M143" s="178"/>
      <c r="N143" s="189"/>
      <c r="O143" s="179" t="s">
        <v>227</v>
      </c>
    </row>
    <row r="144" spans="1:15" ht="28.5" x14ac:dyDescent="0.15">
      <c r="A144" s="84" t="s">
        <v>695</v>
      </c>
      <c r="B1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144)),ROW(),"")</f>
        <v>144</v>
      </c>
      <c r="C144" s="18" t="str">
        <f t="shared" si="35"/>
        <v>日本無機（結城）8：35</v>
      </c>
      <c r="D144" s="18" t="str">
        <f t="shared" si="32"/>
        <v>ニホンムキ（ユウキ）8：35</v>
      </c>
      <c r="E144" s="89" t="s">
        <v>696</v>
      </c>
      <c r="F144" s="175">
        <v>0.3576388888888889</v>
      </c>
      <c r="G144" s="175">
        <v>0.1875</v>
      </c>
      <c r="H144" s="176"/>
      <c r="I144" s="177"/>
      <c r="J144" s="177"/>
      <c r="K144" s="177"/>
      <c r="L144" s="19" t="s">
        <v>232</v>
      </c>
      <c r="M144" s="178"/>
      <c r="N144" s="179"/>
      <c r="O144" s="179" t="s">
        <v>227</v>
      </c>
    </row>
    <row r="145" spans="1:15" ht="28.5" x14ac:dyDescent="0.15">
      <c r="A145" s="84" t="s">
        <v>916</v>
      </c>
      <c r="B1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145)),ROW(),"")</f>
        <v>145</v>
      </c>
      <c r="C145" s="18" t="str">
        <f t="shared" si="35"/>
        <v>日本無機（結城）</v>
      </c>
      <c r="D145" s="18" t="str">
        <f t="shared" ref="D145" si="40">PHONETIC(A145)</f>
        <v>ニホンムキ（ユウキ）</v>
      </c>
      <c r="E145" s="89" t="s">
        <v>696</v>
      </c>
      <c r="F145" s="175"/>
      <c r="G145" s="175"/>
      <c r="H145" s="176"/>
      <c r="I145" s="177"/>
      <c r="J145" s="177"/>
      <c r="K145" s="177"/>
      <c r="L145" s="19"/>
      <c r="M145" s="178"/>
      <c r="N145" s="179"/>
      <c r="O145" s="179" t="s">
        <v>227</v>
      </c>
    </row>
    <row r="146" spans="1:15" ht="24" x14ac:dyDescent="0.15">
      <c r="A146" s="90" t="s">
        <v>314</v>
      </c>
      <c r="B1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146)),ROW(),"")</f>
        <v>146</v>
      </c>
      <c r="C146" s="18" t="str">
        <f t="shared" si="35"/>
        <v>早川器械(日光）</v>
      </c>
      <c r="D146" s="84" t="str">
        <f t="shared" si="32"/>
        <v>ハヤカワキカイ(ニッコウ）</v>
      </c>
      <c r="E146" s="18" t="s">
        <v>284</v>
      </c>
      <c r="F146" s="174" t="s">
        <v>226</v>
      </c>
      <c r="G146" s="188">
        <v>0.10416666666666667</v>
      </c>
      <c r="H146" s="188"/>
      <c r="I146" s="110"/>
      <c r="J146" s="18"/>
      <c r="K146" s="18"/>
      <c r="L146" s="174" t="s">
        <v>226</v>
      </c>
      <c r="M146" s="178"/>
      <c r="N146" s="189"/>
      <c r="O146" s="179" t="s">
        <v>227</v>
      </c>
    </row>
    <row r="147" spans="1:15" ht="28.5" x14ac:dyDescent="0.15">
      <c r="A147" s="84" t="s">
        <v>701</v>
      </c>
      <c r="B1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147)),ROW(),"")</f>
        <v>147</v>
      </c>
      <c r="C147" s="18" t="str">
        <f t="shared" si="35"/>
        <v>半導体エネルギー研究所9：00</v>
      </c>
      <c r="D147" s="84" t="str">
        <f t="shared" si="32"/>
        <v>ハンドウタイエネルギーケンキュウジョ9：00</v>
      </c>
      <c r="E147" s="18" t="s">
        <v>697</v>
      </c>
      <c r="F147" s="175">
        <v>0.375</v>
      </c>
      <c r="G147" s="175">
        <v>0.16666666666666666</v>
      </c>
      <c r="H147" s="176"/>
      <c r="I147" s="177"/>
      <c r="J147" s="177"/>
      <c r="K147" s="177"/>
      <c r="L147" s="174" t="s">
        <v>226</v>
      </c>
      <c r="M147" s="178"/>
      <c r="N147" s="179"/>
      <c r="O147" s="179" t="s">
        <v>227</v>
      </c>
    </row>
    <row r="148" spans="1:15" ht="28.5" x14ac:dyDescent="0.15">
      <c r="A148" s="84" t="s">
        <v>917</v>
      </c>
      <c r="B1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148)),ROW(),"")</f>
        <v>148</v>
      </c>
      <c r="C148" s="18" t="str">
        <f t="shared" si="35"/>
        <v>半導体エネルギー研究所</v>
      </c>
      <c r="D148" s="84" t="str">
        <f t="shared" ref="D148" si="41">PHONETIC(A148)</f>
        <v>ハンドウタイエネルギーケンキュウジョ</v>
      </c>
      <c r="E148" s="18" t="s">
        <v>697</v>
      </c>
      <c r="F148" s="175"/>
      <c r="G148" s="175"/>
      <c r="H148" s="176"/>
      <c r="I148" s="177"/>
      <c r="J148" s="177"/>
      <c r="K148" s="177"/>
      <c r="L148" s="174"/>
      <c r="M148" s="178"/>
      <c r="N148" s="179"/>
      <c r="O148" s="179" t="s">
        <v>227</v>
      </c>
    </row>
    <row r="149" spans="1:15" ht="28.5" x14ac:dyDescent="0.15">
      <c r="A149" s="84" t="s">
        <v>698</v>
      </c>
      <c r="B1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149)),ROW(),"")</f>
        <v>149</v>
      </c>
      <c r="C149" s="18" t="str">
        <f t="shared" si="35"/>
        <v>日立市清掃センター</v>
      </c>
      <c r="D149" s="84" t="str">
        <f t="shared" si="32"/>
        <v>ヒタチシセイソウセンター</v>
      </c>
      <c r="E149" s="18" t="s">
        <v>250</v>
      </c>
      <c r="F149" s="174" t="s">
        <v>226</v>
      </c>
      <c r="G149" s="175">
        <v>0.25</v>
      </c>
      <c r="H149" s="176"/>
      <c r="I149" s="177"/>
      <c r="J149" s="177"/>
      <c r="K149" s="177"/>
      <c r="L149" s="174" t="s">
        <v>226</v>
      </c>
      <c r="M149" s="178"/>
      <c r="N149" s="179"/>
      <c r="O149" s="179" t="s">
        <v>227</v>
      </c>
    </row>
    <row r="150" spans="1:15" ht="28.5" x14ac:dyDescent="0.15">
      <c r="A150" s="84" t="s">
        <v>700</v>
      </c>
      <c r="B1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150)),ROW(),"")</f>
        <v>150</v>
      </c>
      <c r="C150" s="18" t="str">
        <f t="shared" si="35"/>
        <v>日立パワー（勝田）14：00</v>
      </c>
      <c r="D150" s="84" t="str">
        <f t="shared" si="32"/>
        <v>ヒタチパワー（カツタ）14：00</v>
      </c>
      <c r="E150" s="18" t="s">
        <v>699</v>
      </c>
      <c r="F150" s="175">
        <v>0.58333333333333337</v>
      </c>
      <c r="G150" s="175">
        <v>0.5</v>
      </c>
      <c r="H150" s="176"/>
      <c r="I150" s="177"/>
      <c r="J150" s="177"/>
      <c r="K150" s="177"/>
      <c r="L150" s="174" t="s">
        <v>226</v>
      </c>
      <c r="M150" s="178"/>
      <c r="N150" s="179"/>
      <c r="O150" s="179" t="s">
        <v>227</v>
      </c>
    </row>
    <row r="151" spans="1:15" ht="28.5" x14ac:dyDescent="0.15">
      <c r="A151" s="84" t="s">
        <v>918</v>
      </c>
      <c r="B1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151)),ROW(),"")</f>
        <v>151</v>
      </c>
      <c r="C151" s="18" t="str">
        <f t="shared" si="35"/>
        <v>日立パワー（勝田）</v>
      </c>
      <c r="D151" s="84" t="str">
        <f t="shared" ref="D151" si="42">PHONETIC(A151)</f>
        <v>ヒタチパワー（カツタ）</v>
      </c>
      <c r="E151" s="18" t="s">
        <v>699</v>
      </c>
      <c r="F151" s="175"/>
      <c r="G151" s="175"/>
      <c r="H151" s="176"/>
      <c r="I151" s="177"/>
      <c r="J151" s="177"/>
      <c r="K151" s="177"/>
      <c r="L151" s="174"/>
      <c r="M151" s="178"/>
      <c r="N151" s="179"/>
      <c r="O151" s="179" t="s">
        <v>227</v>
      </c>
    </row>
    <row r="152" spans="1:15" ht="28.5" x14ac:dyDescent="0.15">
      <c r="A152" s="84" t="s">
        <v>702</v>
      </c>
      <c r="B1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152)),ROW(),"")</f>
        <v>152</v>
      </c>
      <c r="C152" s="18" t="str">
        <f t="shared" si="35"/>
        <v>ミネベアPD臨海13：00</v>
      </c>
      <c r="D152" s="84" t="str">
        <f t="shared" si="32"/>
        <v>ミネベアPDリンカイ13：00</v>
      </c>
      <c r="E152" s="18" t="s">
        <v>250</v>
      </c>
      <c r="F152" s="175">
        <v>0.54166666666666663</v>
      </c>
      <c r="G152" s="174" t="s">
        <v>226</v>
      </c>
      <c r="H152" s="176"/>
      <c r="I152" s="177"/>
      <c r="J152" s="177"/>
      <c r="K152" s="177"/>
      <c r="L152" s="174" t="s">
        <v>226</v>
      </c>
      <c r="M152" s="178"/>
      <c r="N152" s="179"/>
      <c r="O152" s="179" t="s">
        <v>227</v>
      </c>
    </row>
    <row r="153" spans="1:15" ht="28.5" x14ac:dyDescent="0.15">
      <c r="A153" s="84" t="s">
        <v>919</v>
      </c>
      <c r="B1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153)),ROW(),"")</f>
        <v>153</v>
      </c>
      <c r="C153" s="18" t="str">
        <f t="shared" si="35"/>
        <v>ミネベアPD臨海</v>
      </c>
      <c r="D153" s="84" t="str">
        <f t="shared" ref="D153" si="43">PHONETIC(A153)</f>
        <v>ミネベアPDリンカイ</v>
      </c>
      <c r="E153" s="18" t="s">
        <v>250</v>
      </c>
      <c r="F153" s="175"/>
      <c r="G153" s="174"/>
      <c r="H153" s="176"/>
      <c r="I153" s="177"/>
      <c r="J153" s="177"/>
      <c r="K153" s="177"/>
      <c r="L153" s="174"/>
      <c r="M153" s="178"/>
      <c r="N153" s="179"/>
      <c r="O153" s="179" t="s">
        <v>227</v>
      </c>
    </row>
    <row r="154" spans="1:15" ht="28.5" x14ac:dyDescent="0.15">
      <c r="A154" s="84" t="s">
        <v>703</v>
      </c>
      <c r="B1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154)),ROW(),"")</f>
        <v>154</v>
      </c>
      <c r="C154" s="18" t="str">
        <f t="shared" si="35"/>
        <v>富士フィルムワコーケミカルAM</v>
      </c>
      <c r="D154" s="84" t="str">
        <f t="shared" si="32"/>
        <v>フジフィルムワコーケミカルAM</v>
      </c>
      <c r="E154" s="89" t="s">
        <v>672</v>
      </c>
      <c r="F154" s="174" t="s">
        <v>229</v>
      </c>
      <c r="G154" s="175">
        <v>0.27083333333333331</v>
      </c>
      <c r="H154" s="176"/>
      <c r="I154" s="177"/>
      <c r="J154" s="177"/>
      <c r="K154" s="177"/>
      <c r="L154" s="174" t="s">
        <v>226</v>
      </c>
      <c r="M154" s="178"/>
      <c r="N154" s="179"/>
      <c r="O154" s="179" t="s">
        <v>227</v>
      </c>
    </row>
    <row r="155" spans="1:15" ht="28.5" x14ac:dyDescent="0.15">
      <c r="A155" s="84" t="s">
        <v>920</v>
      </c>
      <c r="B1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155)),ROW(),"")</f>
        <v>155</v>
      </c>
      <c r="C155" s="18" t="str">
        <f t="shared" si="35"/>
        <v>富士フィルムワコーケミカル</v>
      </c>
      <c r="D155" s="84" t="str">
        <f t="shared" ref="D155" si="44">PHONETIC(A155)</f>
        <v>フジフィルムワコーケミカル</v>
      </c>
      <c r="E155" s="89" t="s">
        <v>672</v>
      </c>
      <c r="F155" s="174"/>
      <c r="G155" s="175"/>
      <c r="H155" s="176"/>
      <c r="I155" s="177"/>
      <c r="J155" s="177"/>
      <c r="K155" s="177"/>
      <c r="L155" s="174"/>
      <c r="M155" s="178"/>
      <c r="N155" s="179"/>
      <c r="O155" s="179" t="s">
        <v>227</v>
      </c>
    </row>
    <row r="156" spans="1:15" ht="28.5" x14ac:dyDescent="0.15">
      <c r="A156" s="84" t="s">
        <v>704</v>
      </c>
      <c r="B1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156)),ROW(),"")</f>
        <v>156</v>
      </c>
      <c r="C156" s="18" t="str">
        <f t="shared" si="35"/>
        <v>小名浜製錬PGM</v>
      </c>
      <c r="D156" s="84" t="str">
        <f t="shared" si="32"/>
        <v>オナハマセイレンPGM</v>
      </c>
      <c r="E156" s="18" t="s">
        <v>640</v>
      </c>
      <c r="F156" s="203"/>
      <c r="G156" s="175">
        <v>0.3125</v>
      </c>
      <c r="H156" s="176"/>
      <c r="I156" s="177"/>
      <c r="J156" s="177"/>
      <c r="K156" s="177"/>
      <c r="L156" s="174" t="s">
        <v>226</v>
      </c>
      <c r="M156" s="204" t="s">
        <v>705</v>
      </c>
      <c r="N156" s="179"/>
      <c r="O156" s="179" t="s">
        <v>227</v>
      </c>
    </row>
    <row r="157" spans="1:15" ht="24" x14ac:dyDescent="0.15">
      <c r="A157" s="85" t="s">
        <v>315</v>
      </c>
      <c r="B1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157)),ROW(),"")</f>
        <v>157</v>
      </c>
      <c r="C157" s="18" t="str">
        <f>INDEX(A:A,SMALL($B$3:$B$1039,ROW(A155)))</f>
        <v>丸善石油（千葉）</v>
      </c>
      <c r="D157" s="85" t="str">
        <f t="shared" si="32"/>
        <v>マルゼンセキユ（チバ）</v>
      </c>
      <c r="E157" s="18" t="s">
        <v>231</v>
      </c>
      <c r="F157" s="198" t="s">
        <v>287</v>
      </c>
      <c r="G157" s="188">
        <v>0.10416666666666667</v>
      </c>
      <c r="H157" s="188"/>
      <c r="I157" s="110"/>
      <c r="J157" s="18" t="s">
        <v>238</v>
      </c>
      <c r="K157" s="18" t="s">
        <v>264</v>
      </c>
      <c r="L157" s="19" t="s">
        <v>706</v>
      </c>
      <c r="M157" s="178"/>
      <c r="N157" s="189"/>
      <c r="O157" s="179" t="s">
        <v>227</v>
      </c>
    </row>
    <row r="158" spans="1:15" ht="24" x14ac:dyDescent="0.15">
      <c r="A158" s="84" t="s">
        <v>985</v>
      </c>
      <c r="B1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158)),ROW(),"")</f>
        <v>158</v>
      </c>
      <c r="C158" s="18" t="str">
        <f t="shared" ref="C158:C189" si="45">INDEX(A:A,SMALL($B$3:$B$1039,ROW(A156)))</f>
        <v>水澤化学(新潟)</v>
      </c>
      <c r="D158" s="85" t="str">
        <f t="shared" si="32"/>
        <v>ミズサワカガク(ニイガタ)</v>
      </c>
      <c r="E158" s="18" t="s">
        <v>255</v>
      </c>
      <c r="F158" s="174" t="s">
        <v>226</v>
      </c>
      <c r="G158" s="188">
        <v>8.3333333333333329E-2</v>
      </c>
      <c r="H158" s="188"/>
      <c r="I158" s="110"/>
      <c r="J158" s="18" t="s">
        <v>238</v>
      </c>
      <c r="K158" s="18"/>
      <c r="L158" s="19" t="s">
        <v>239</v>
      </c>
      <c r="M158" s="178"/>
      <c r="N158" s="189"/>
      <c r="O158" s="179" t="s">
        <v>227</v>
      </c>
    </row>
    <row r="159" spans="1:15" ht="24" x14ac:dyDescent="0.15">
      <c r="A159" s="85" t="s">
        <v>316</v>
      </c>
      <c r="B1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159)),ROW(),"")</f>
        <v>159</v>
      </c>
      <c r="C159" s="18" t="str">
        <f t="shared" si="45"/>
        <v>ミツエイ</v>
      </c>
      <c r="D159" s="84" t="str">
        <f t="shared" si="32"/>
        <v>ミツエイ</v>
      </c>
      <c r="E159" s="18" t="s">
        <v>640</v>
      </c>
      <c r="F159" s="198"/>
      <c r="G159" s="188"/>
      <c r="H159" s="188"/>
      <c r="I159" s="110"/>
      <c r="J159" s="18"/>
      <c r="K159" s="18"/>
      <c r="L159" s="19"/>
      <c r="M159" s="178"/>
      <c r="N159" s="189"/>
      <c r="O159" s="179" t="s">
        <v>227</v>
      </c>
    </row>
    <row r="160" spans="1:15" ht="28.5" x14ac:dyDescent="0.15">
      <c r="A160" s="84" t="s">
        <v>317</v>
      </c>
      <c r="B1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160)),ROW(),"")</f>
        <v>160</v>
      </c>
      <c r="C160" s="18" t="str">
        <f t="shared" si="45"/>
        <v>三菱原子燃料</v>
      </c>
      <c r="D160" s="85" t="str">
        <f t="shared" si="32"/>
        <v>ミツビシゲンシネンリョウ</v>
      </c>
      <c r="E160" s="18" t="s">
        <v>707</v>
      </c>
      <c r="F160" s="174"/>
      <c r="G160" s="175"/>
      <c r="H160" s="176"/>
      <c r="I160" s="177"/>
      <c r="J160" s="177"/>
      <c r="K160" s="177"/>
      <c r="L160" s="19"/>
      <c r="M160" s="178"/>
      <c r="N160" s="189"/>
      <c r="O160" s="179" t="s">
        <v>227</v>
      </c>
    </row>
    <row r="161" spans="1:15" ht="28.5" x14ac:dyDescent="0.15">
      <c r="A161" s="84" t="s">
        <v>708</v>
      </c>
      <c r="B1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161)),ROW(),"")</f>
        <v>161</v>
      </c>
      <c r="C161" s="18" t="str">
        <f t="shared" si="45"/>
        <v>三菱ケミカル小名浜AM</v>
      </c>
      <c r="D161" s="84" t="str">
        <f t="shared" si="32"/>
        <v>ミツビシケミカルオナハマAM</v>
      </c>
      <c r="E161" s="18" t="s">
        <v>640</v>
      </c>
      <c r="F161" s="203" t="s">
        <v>229</v>
      </c>
      <c r="G161" s="175">
        <v>0.3125</v>
      </c>
      <c r="H161" s="176"/>
      <c r="I161" s="177"/>
      <c r="J161" s="177"/>
      <c r="K161" s="177"/>
      <c r="L161" s="19"/>
      <c r="M161" s="178"/>
      <c r="N161" s="179"/>
      <c r="O161" s="179" t="s">
        <v>227</v>
      </c>
    </row>
    <row r="162" spans="1:15" ht="28.5" x14ac:dyDescent="0.15">
      <c r="A162" s="84" t="s">
        <v>921</v>
      </c>
      <c r="B1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162)),ROW(),"")</f>
        <v>162</v>
      </c>
      <c r="C162" s="18" t="str">
        <f t="shared" si="45"/>
        <v>三菱ケミカル小名浜</v>
      </c>
      <c r="D162" s="84" t="str">
        <f t="shared" si="32"/>
        <v>ミツビシケミカルオナハマ</v>
      </c>
      <c r="E162" s="18" t="s">
        <v>640</v>
      </c>
      <c r="F162" s="203"/>
      <c r="G162" s="175"/>
      <c r="H162" s="176"/>
      <c r="I162" s="177"/>
      <c r="J162" s="177"/>
      <c r="K162" s="177"/>
      <c r="L162" s="174" t="s">
        <v>226</v>
      </c>
      <c r="M162" s="178"/>
      <c r="N162" s="179"/>
      <c r="O162" s="179" t="s">
        <v>227</v>
      </c>
    </row>
    <row r="163" spans="1:15" ht="28.5" x14ac:dyDescent="0.15">
      <c r="A163" s="84" t="s">
        <v>709</v>
      </c>
      <c r="B1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163)),ROW(),"")</f>
        <v>163</v>
      </c>
      <c r="C163" s="18" t="str">
        <f t="shared" si="45"/>
        <v>三星化学（相馬）AM</v>
      </c>
      <c r="D163" s="84" t="str">
        <f t="shared" si="32"/>
        <v>ミツボシカガク（ソウマ）AM</v>
      </c>
      <c r="E163" s="18" t="s">
        <v>710</v>
      </c>
      <c r="F163" s="174" t="s">
        <v>229</v>
      </c>
      <c r="G163" s="175">
        <v>0.1875</v>
      </c>
      <c r="H163" s="176"/>
      <c r="I163" s="177"/>
      <c r="J163" s="177"/>
      <c r="K163" s="177"/>
      <c r="L163" s="19" t="s">
        <v>230</v>
      </c>
      <c r="M163" s="178"/>
      <c r="N163" s="179"/>
      <c r="O163" s="179" t="s">
        <v>227</v>
      </c>
    </row>
    <row r="164" spans="1:15" ht="28.5" x14ac:dyDescent="0.15">
      <c r="A164" s="84" t="s">
        <v>922</v>
      </c>
      <c r="B1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164)),ROW(),"")</f>
        <v>164</v>
      </c>
      <c r="C164" s="18" t="str">
        <f t="shared" si="45"/>
        <v>三星化学（相馬）</v>
      </c>
      <c r="D164" s="84" t="str">
        <f t="shared" si="32"/>
        <v>ミツボシカガク（ソウマ）</v>
      </c>
      <c r="E164" s="18" t="s">
        <v>710</v>
      </c>
      <c r="F164" s="174"/>
      <c r="G164" s="175"/>
      <c r="H164" s="176"/>
      <c r="I164" s="177"/>
      <c r="J164" s="177"/>
      <c r="K164" s="177"/>
      <c r="L164" s="19"/>
      <c r="M164" s="178"/>
      <c r="N164" s="179"/>
      <c r="O164" s="179" t="s">
        <v>227</v>
      </c>
    </row>
    <row r="165" spans="1:15" ht="24" x14ac:dyDescent="0.15">
      <c r="A165" s="84" t="s">
        <v>318</v>
      </c>
      <c r="B1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165)),ROW(),"")</f>
        <v>165</v>
      </c>
      <c r="C165" s="18" t="str">
        <f t="shared" si="45"/>
        <v>光村印刷(那須）</v>
      </c>
      <c r="D165" s="84" t="str">
        <f t="shared" si="32"/>
        <v>ミツムラインサツ(ナス）</v>
      </c>
      <c r="E165" s="88" t="s">
        <v>307</v>
      </c>
      <c r="F165" s="174" t="s">
        <v>226</v>
      </c>
      <c r="G165" s="188">
        <v>0.14583333333333334</v>
      </c>
      <c r="H165" s="188"/>
      <c r="I165" s="110"/>
      <c r="J165" s="18"/>
      <c r="K165" s="18"/>
      <c r="L165" s="174" t="s">
        <v>226</v>
      </c>
      <c r="M165" s="178"/>
      <c r="N165" s="189"/>
      <c r="O165" s="179" t="s">
        <v>227</v>
      </c>
    </row>
    <row r="166" spans="1:15" ht="28.5" x14ac:dyDescent="0.15">
      <c r="A166" s="84" t="s">
        <v>712</v>
      </c>
      <c r="B1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166)),ROW(),"")</f>
        <v>166</v>
      </c>
      <c r="C166" s="18" t="str">
        <f t="shared" si="45"/>
        <v>ミネベア原町（第一）13：00</v>
      </c>
      <c r="D166" s="115" t="str">
        <f t="shared" si="32"/>
        <v>ミネベアハラマチ（ダイイチ）13：00</v>
      </c>
      <c r="E166" s="18" t="s">
        <v>711</v>
      </c>
      <c r="F166" s="205">
        <v>0.54166666666666663</v>
      </c>
      <c r="G166" s="175"/>
      <c r="H166" s="176"/>
      <c r="I166" s="177"/>
      <c r="J166" s="177"/>
      <c r="K166" s="177"/>
      <c r="L166" s="19" t="s">
        <v>230</v>
      </c>
      <c r="M166" s="178"/>
      <c r="N166" s="179"/>
      <c r="O166" s="179" t="s">
        <v>227</v>
      </c>
    </row>
    <row r="167" spans="1:15" ht="28.5" x14ac:dyDescent="0.15">
      <c r="A167" s="84" t="s">
        <v>923</v>
      </c>
      <c r="B1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167)),ROW(),"")</f>
        <v>167</v>
      </c>
      <c r="C167" s="18" t="str">
        <f t="shared" si="45"/>
        <v>ミネベア原町（第一）</v>
      </c>
      <c r="D167" s="115" t="str">
        <f t="shared" ref="D167" si="46">PHONETIC(A167)</f>
        <v>ミネベアハラマチ（ダイイチ）</v>
      </c>
      <c r="E167" s="18" t="s">
        <v>711</v>
      </c>
      <c r="F167" s="205"/>
      <c r="G167" s="175"/>
      <c r="H167" s="176"/>
      <c r="I167" s="177"/>
      <c r="J167" s="177"/>
      <c r="K167" s="177"/>
      <c r="L167" s="19"/>
      <c r="M167" s="178"/>
      <c r="N167" s="179"/>
      <c r="O167" s="179" t="s">
        <v>227</v>
      </c>
    </row>
    <row r="168" spans="1:15" ht="28.5" x14ac:dyDescent="0.15">
      <c r="A168" s="84" t="s">
        <v>713</v>
      </c>
      <c r="B1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168)),ROW(),"")</f>
        <v>168</v>
      </c>
      <c r="C168" s="18" t="str">
        <f t="shared" si="45"/>
        <v>ミネベア原町（第二）13：00</v>
      </c>
      <c r="D168" s="115" t="str">
        <f t="shared" si="32"/>
        <v>ミネベアハラマチ（ダイニ）13：00</v>
      </c>
      <c r="E168" s="18" t="s">
        <v>711</v>
      </c>
      <c r="F168" s="205">
        <v>0.54166666666666663</v>
      </c>
      <c r="G168" s="175">
        <v>0.25</v>
      </c>
      <c r="H168" s="176"/>
      <c r="I168" s="177"/>
      <c r="J168" s="177"/>
      <c r="K168" s="177"/>
      <c r="L168" s="19" t="s">
        <v>230</v>
      </c>
      <c r="M168" s="178"/>
      <c r="N168" s="179"/>
      <c r="O168" s="179" t="s">
        <v>227</v>
      </c>
    </row>
    <row r="169" spans="1:15" ht="28.5" x14ac:dyDescent="0.15">
      <c r="A169" s="84" t="s">
        <v>924</v>
      </c>
      <c r="B1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169)),ROW(),"")</f>
        <v>169</v>
      </c>
      <c r="C169" s="18" t="str">
        <f t="shared" si="45"/>
        <v>ミネベア原町（第二）</v>
      </c>
      <c r="D169" s="115" t="str">
        <f t="shared" ref="D169" si="47">PHONETIC(A169)</f>
        <v>ミネベアハラマチ（ダイニ）</v>
      </c>
      <c r="E169" s="18" t="s">
        <v>711</v>
      </c>
      <c r="F169" s="205"/>
      <c r="G169" s="175"/>
      <c r="H169" s="176"/>
      <c r="I169" s="177"/>
      <c r="J169" s="177"/>
      <c r="K169" s="177"/>
      <c r="L169" s="19"/>
      <c r="M169" s="178"/>
      <c r="N169" s="179"/>
      <c r="O169" s="179" t="s">
        <v>227</v>
      </c>
    </row>
    <row r="170" spans="1:15" ht="28.5" x14ac:dyDescent="0.15">
      <c r="A170" s="84" t="s">
        <v>714</v>
      </c>
      <c r="B1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170)),ROW(),"")</f>
        <v>170</v>
      </c>
      <c r="C170" s="18" t="str">
        <f t="shared" si="45"/>
        <v>ミネベアPD臨海9：00</v>
      </c>
      <c r="D170" s="115" t="str">
        <f t="shared" si="32"/>
        <v>ミネベアPDリンカイ9：00</v>
      </c>
      <c r="E170" s="18" t="s">
        <v>250</v>
      </c>
      <c r="F170" s="205">
        <v>0.375</v>
      </c>
      <c r="G170" s="175">
        <v>0.25</v>
      </c>
      <c r="H170" s="176"/>
      <c r="I170" s="177"/>
      <c r="J170" s="177"/>
      <c r="K170" s="177"/>
      <c r="L170" s="174" t="s">
        <v>226</v>
      </c>
      <c r="M170" s="178"/>
      <c r="N170" s="179"/>
      <c r="O170" s="179" t="s">
        <v>227</v>
      </c>
    </row>
    <row r="171" spans="1:15" ht="28.5" x14ac:dyDescent="0.15">
      <c r="A171" s="84" t="s">
        <v>715</v>
      </c>
      <c r="B1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171)),ROW(),"")</f>
        <v>171</v>
      </c>
      <c r="C171" s="18" t="str">
        <f t="shared" si="45"/>
        <v>ミネベアPD臨海（積発）13：00</v>
      </c>
      <c r="D171" s="115" t="str">
        <f t="shared" ref="D171" si="48">PHONETIC(A171)</f>
        <v>ミネベアPDリンカイ（積発）13：00</v>
      </c>
      <c r="E171" s="18" t="s">
        <v>250</v>
      </c>
      <c r="F171" s="205">
        <v>0.54166666666666663</v>
      </c>
      <c r="G171" s="175">
        <v>0.3125</v>
      </c>
      <c r="H171" s="176"/>
      <c r="I171" s="177"/>
      <c r="J171" s="177"/>
      <c r="K171" s="177"/>
      <c r="L171" s="174" t="s">
        <v>226</v>
      </c>
      <c r="M171" s="178"/>
      <c r="N171" s="179"/>
      <c r="O171" s="179" t="s">
        <v>227</v>
      </c>
    </row>
    <row r="172" spans="1:15" ht="28.5" x14ac:dyDescent="0.15">
      <c r="A172" s="84" t="s">
        <v>919</v>
      </c>
      <c r="B1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172)),ROW(),"")</f>
        <v>172</v>
      </c>
      <c r="C172" s="18" t="str">
        <f t="shared" si="45"/>
        <v>ミネベアPD臨海</v>
      </c>
      <c r="D172" s="115" t="str">
        <f t="shared" si="32"/>
        <v>ミネベアPDリンカイ</v>
      </c>
      <c r="E172" s="18" t="s">
        <v>250</v>
      </c>
      <c r="F172" s="205"/>
      <c r="G172" s="175"/>
      <c r="H172" s="176"/>
      <c r="I172" s="177"/>
      <c r="J172" s="177"/>
      <c r="K172" s="177"/>
      <c r="L172" s="174" t="s">
        <v>226</v>
      </c>
      <c r="M172" s="178"/>
      <c r="N172" s="179"/>
      <c r="O172" s="179" t="s">
        <v>227</v>
      </c>
    </row>
    <row r="173" spans="1:15" ht="24" x14ac:dyDescent="0.15">
      <c r="A173" s="84" t="s">
        <v>716</v>
      </c>
      <c r="B1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173)),ROW(),"")</f>
        <v>173</v>
      </c>
      <c r="C173" s="18" t="str">
        <f t="shared" si="45"/>
        <v>宮城メイコー(石巻）9：00</v>
      </c>
      <c r="D173" s="115" t="str">
        <f t="shared" si="32"/>
        <v>ミヤギメイコー(イシノマキ）9：00</v>
      </c>
      <c r="E173" s="89" t="s">
        <v>309</v>
      </c>
      <c r="F173" s="175">
        <v>0.375</v>
      </c>
      <c r="G173" s="188">
        <v>0.16666666666666666</v>
      </c>
      <c r="H173" s="188"/>
      <c r="I173" s="110"/>
      <c r="J173" s="18" t="s">
        <v>238</v>
      </c>
      <c r="K173" s="18"/>
      <c r="L173" s="19" t="s">
        <v>230</v>
      </c>
      <c r="M173" s="178"/>
      <c r="N173" s="179"/>
      <c r="O173" s="179" t="s">
        <v>227</v>
      </c>
    </row>
    <row r="174" spans="1:15" ht="28.5" x14ac:dyDescent="0.15">
      <c r="A174" s="84" t="s">
        <v>925</v>
      </c>
      <c r="B1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174)),ROW(),"")</f>
        <v>174</v>
      </c>
      <c r="C174" s="18" t="str">
        <f t="shared" si="45"/>
        <v>宮城メイコー(石巻）</v>
      </c>
      <c r="D174" s="115" t="str">
        <f t="shared" si="32"/>
        <v>ミヤギメイコー(イシノマキ）</v>
      </c>
      <c r="E174" s="89" t="s">
        <v>309</v>
      </c>
      <c r="F174" s="175"/>
      <c r="G174" s="175"/>
      <c r="H174" s="176"/>
      <c r="I174" s="177"/>
      <c r="J174" s="177"/>
      <c r="K174" s="177"/>
      <c r="L174" s="174"/>
      <c r="M174" s="178"/>
      <c r="N174" s="179"/>
      <c r="O174" s="179" t="s">
        <v>227</v>
      </c>
    </row>
    <row r="175" spans="1:15" ht="24" x14ac:dyDescent="0.15">
      <c r="A175" s="84" t="s">
        <v>717</v>
      </c>
      <c r="B1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175)),ROW(),"")</f>
        <v>175</v>
      </c>
      <c r="C175" s="18" t="str">
        <f t="shared" si="45"/>
        <v>メイコー福島9：00</v>
      </c>
      <c r="D175" s="115" t="str">
        <f t="shared" si="32"/>
        <v>メイコーフクシマ9：00</v>
      </c>
      <c r="E175" s="18" t="s">
        <v>672</v>
      </c>
      <c r="F175" s="175">
        <v>0.375</v>
      </c>
      <c r="G175" s="175">
        <v>0.27083333333333331</v>
      </c>
      <c r="H175" s="188"/>
      <c r="I175" s="110"/>
      <c r="J175" s="18"/>
      <c r="K175" s="18"/>
      <c r="L175" s="19"/>
      <c r="M175" s="178"/>
      <c r="N175" s="206"/>
      <c r="O175" s="179" t="s">
        <v>227</v>
      </c>
    </row>
    <row r="176" spans="1:15" ht="28.5" x14ac:dyDescent="0.15">
      <c r="A176" s="84" t="s">
        <v>926</v>
      </c>
      <c r="B1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176)),ROW(),"")</f>
        <v>176</v>
      </c>
      <c r="C176" s="18" t="str">
        <f t="shared" si="45"/>
        <v>メイコー福島</v>
      </c>
      <c r="D176" s="115" t="str">
        <f t="shared" si="32"/>
        <v>メイコーフクシマ</v>
      </c>
      <c r="E176" s="18" t="s">
        <v>672</v>
      </c>
      <c r="F176" s="175"/>
      <c r="G176" s="175"/>
      <c r="H176" s="176"/>
      <c r="I176" s="177"/>
      <c r="J176" s="177"/>
      <c r="K176" s="177"/>
      <c r="L176" s="174" t="s">
        <v>226</v>
      </c>
      <c r="M176" s="178"/>
      <c r="N176" s="189"/>
      <c r="O176" s="179" t="s">
        <v>227</v>
      </c>
    </row>
    <row r="177" spans="1:15" ht="28.5" x14ac:dyDescent="0.15">
      <c r="A177" s="84" t="s">
        <v>1061</v>
      </c>
      <c r="B1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177)),ROW(),"")</f>
        <v>177</v>
      </c>
      <c r="C177" s="18" t="str">
        <f t="shared" si="45"/>
        <v>スソニティジャパン8：30</v>
      </c>
      <c r="D177" s="115" t="str">
        <f t="shared" si="32"/>
        <v>スソニティジャパン8：30</v>
      </c>
      <c r="E177" s="18" t="s">
        <v>640</v>
      </c>
      <c r="F177" s="175">
        <v>0.35416666666666669</v>
      </c>
      <c r="G177" s="175">
        <v>0.33333333333333331</v>
      </c>
      <c r="H177" s="176"/>
      <c r="I177" s="177"/>
      <c r="J177" s="177"/>
      <c r="K177" s="177"/>
      <c r="L177" s="174"/>
      <c r="M177" s="178"/>
      <c r="N177" s="179"/>
      <c r="O177" s="179" t="s">
        <v>227</v>
      </c>
    </row>
    <row r="178" spans="1:15" ht="28.5" x14ac:dyDescent="0.15">
      <c r="A178" s="84" t="s">
        <v>1062</v>
      </c>
      <c r="B1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178)),ROW(),"")</f>
        <v>178</v>
      </c>
      <c r="C178" s="18" t="str">
        <f t="shared" si="45"/>
        <v>スソニティジャパン3：00</v>
      </c>
      <c r="D178" s="115" t="str">
        <f t="shared" si="32"/>
        <v>スソニティジャパン3：00</v>
      </c>
      <c r="E178" s="18" t="s">
        <v>640</v>
      </c>
      <c r="F178" s="175">
        <v>0.54166666666666663</v>
      </c>
      <c r="G178" s="175"/>
      <c r="H178" s="176"/>
      <c r="I178" s="177"/>
      <c r="J178" s="177"/>
      <c r="K178" s="177"/>
      <c r="L178" s="174"/>
      <c r="M178" s="178"/>
      <c r="N178" s="179"/>
      <c r="O178" s="179" t="s">
        <v>227</v>
      </c>
    </row>
    <row r="179" spans="1:15" ht="28.5" x14ac:dyDescent="0.15">
      <c r="A179" s="84" t="s">
        <v>1063</v>
      </c>
      <c r="B1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179)),ROW(),"")</f>
        <v>179</v>
      </c>
      <c r="C179" s="18" t="str">
        <f t="shared" si="45"/>
        <v>スソニティジャパン</v>
      </c>
      <c r="D179" s="115" t="str">
        <f t="shared" ref="D179" si="49">PHONETIC(A179)</f>
        <v>スソニティジャパン</v>
      </c>
      <c r="E179" s="18" t="s">
        <v>640</v>
      </c>
      <c r="F179" s="175"/>
      <c r="G179" s="175"/>
      <c r="H179" s="176"/>
      <c r="I179" s="177"/>
      <c r="J179" s="177"/>
      <c r="K179" s="177"/>
      <c r="L179" s="174"/>
      <c r="M179" s="178"/>
      <c r="N179" s="179"/>
      <c r="O179" s="179" t="s">
        <v>227</v>
      </c>
    </row>
    <row r="180" spans="1:15" ht="24" x14ac:dyDescent="0.15">
      <c r="A180" s="90" t="s">
        <v>718</v>
      </c>
      <c r="B1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180)),ROW(),"")</f>
        <v>180</v>
      </c>
      <c r="C180" s="18" t="str">
        <f t="shared" si="45"/>
        <v>モメンティブ（太田）6：30</v>
      </c>
      <c r="D180" s="115" t="str">
        <f t="shared" si="32"/>
        <v>モメンティブ（オオタ）6：30</v>
      </c>
      <c r="E180" s="18" t="s">
        <v>319</v>
      </c>
      <c r="F180" s="175">
        <v>0.27083333333333331</v>
      </c>
      <c r="G180" s="188">
        <v>4.1666666666666664E-2</v>
      </c>
      <c r="H180" s="188"/>
      <c r="I180" s="207"/>
      <c r="J180" s="18" t="s">
        <v>254</v>
      </c>
      <c r="K180" s="18"/>
      <c r="L180" s="19" t="s">
        <v>1029</v>
      </c>
      <c r="M180" s="178"/>
      <c r="N180" s="189"/>
      <c r="O180" s="179" t="s">
        <v>227</v>
      </c>
    </row>
    <row r="181" spans="1:15" ht="24" x14ac:dyDescent="0.15">
      <c r="A181" s="90" t="s">
        <v>719</v>
      </c>
      <c r="B1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181)),ROW(),"")</f>
        <v>181</v>
      </c>
      <c r="C181" s="18" t="str">
        <f t="shared" si="45"/>
        <v>モメンティブ（太田）9：00</v>
      </c>
      <c r="D181" s="115" t="str">
        <f t="shared" si="32"/>
        <v>モメンティブ（オオタ）9：00</v>
      </c>
      <c r="E181" s="18" t="s">
        <v>319</v>
      </c>
      <c r="F181" s="175">
        <v>0.375</v>
      </c>
      <c r="G181" s="188">
        <v>0.125</v>
      </c>
      <c r="H181" s="188"/>
      <c r="I181" s="207"/>
      <c r="J181" s="18" t="s">
        <v>254</v>
      </c>
      <c r="K181" s="18"/>
      <c r="L181" s="19" t="s">
        <v>1029</v>
      </c>
      <c r="M181" s="178"/>
      <c r="N181" s="189"/>
      <c r="O181" s="179" t="s">
        <v>227</v>
      </c>
    </row>
    <row r="182" spans="1:15" ht="24" x14ac:dyDescent="0.15">
      <c r="A182" s="90" t="s">
        <v>720</v>
      </c>
      <c r="B1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182)),ROW(),"")</f>
        <v>182</v>
      </c>
      <c r="C182" s="18" t="str">
        <f t="shared" si="45"/>
        <v>モメンティブ（太田）10：30</v>
      </c>
      <c r="D182" s="84" t="str">
        <f t="shared" si="32"/>
        <v>モメンティブ（オオタ）10：30</v>
      </c>
      <c r="E182" s="18" t="s">
        <v>319</v>
      </c>
      <c r="F182" s="175">
        <v>0.4375</v>
      </c>
      <c r="G182" s="188" t="s">
        <v>320</v>
      </c>
      <c r="H182" s="188"/>
      <c r="I182" s="207"/>
      <c r="J182" s="18" t="s">
        <v>238</v>
      </c>
      <c r="K182" s="18"/>
      <c r="L182" s="19" t="s">
        <v>321</v>
      </c>
      <c r="M182" s="178"/>
      <c r="N182" s="206"/>
      <c r="O182" s="179" t="s">
        <v>227</v>
      </c>
    </row>
    <row r="183" spans="1:15" ht="24" x14ac:dyDescent="0.15">
      <c r="A183" s="90" t="s">
        <v>927</v>
      </c>
      <c r="B1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183)),ROW(),"")</f>
        <v>183</v>
      </c>
      <c r="C183" s="18" t="str">
        <f t="shared" si="45"/>
        <v>モメンティブ（太田）</v>
      </c>
      <c r="D183" s="84" t="str">
        <f t="shared" ref="D183" si="50">PHONETIC(A183)</f>
        <v>モメンティブ（オオタ）</v>
      </c>
      <c r="E183" s="18" t="s">
        <v>319</v>
      </c>
      <c r="F183" s="175"/>
      <c r="G183" s="188"/>
      <c r="H183" s="188"/>
      <c r="I183" s="207"/>
      <c r="J183" s="18"/>
      <c r="K183" s="18"/>
      <c r="L183" s="19"/>
      <c r="M183" s="178"/>
      <c r="N183" s="206"/>
      <c r="O183" s="179" t="s">
        <v>227</v>
      </c>
    </row>
    <row r="184" spans="1:15" ht="24" x14ac:dyDescent="0.15">
      <c r="A184" s="90" t="s">
        <v>322</v>
      </c>
      <c r="B1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184)),ROW(),"")</f>
        <v>184</v>
      </c>
      <c r="C184" s="18" t="str">
        <f t="shared" si="45"/>
        <v>有機合成</v>
      </c>
      <c r="D184" s="84" t="str">
        <f>PHONETIC(A184)</f>
        <v>ユウキゴウセイ</v>
      </c>
      <c r="E184" s="18" t="s">
        <v>289</v>
      </c>
      <c r="F184" s="174" t="s">
        <v>226</v>
      </c>
      <c r="G184" s="188">
        <v>0.3125</v>
      </c>
      <c r="H184" s="188"/>
      <c r="I184" s="207"/>
      <c r="J184" s="18"/>
      <c r="K184" s="18"/>
      <c r="L184" s="174" t="s">
        <v>226</v>
      </c>
      <c r="M184" s="18"/>
      <c r="N184" s="206"/>
      <c r="O184" s="179" t="s">
        <v>227</v>
      </c>
    </row>
    <row r="185" spans="1:15" ht="24" x14ac:dyDescent="0.15">
      <c r="A185" s="84" t="s">
        <v>928</v>
      </c>
      <c r="B1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185)),ROW(),"")</f>
        <v>185</v>
      </c>
      <c r="C185" s="18" t="str">
        <f t="shared" si="45"/>
        <v>宵積み</v>
      </c>
      <c r="D185" s="84" t="str">
        <f t="shared" si="32"/>
        <v>ヨイヅミ</v>
      </c>
      <c r="E185" s="18" t="s">
        <v>640</v>
      </c>
      <c r="F185" s="174"/>
      <c r="G185" s="188"/>
      <c r="H185" s="188"/>
      <c r="I185" s="207"/>
      <c r="J185" s="18"/>
      <c r="K185" s="18"/>
      <c r="L185" s="174" t="s">
        <v>226</v>
      </c>
      <c r="M185" s="18"/>
      <c r="N185" s="206"/>
      <c r="O185" s="179" t="s">
        <v>227</v>
      </c>
    </row>
    <row r="186" spans="1:15" ht="24" x14ac:dyDescent="0.15">
      <c r="A186" s="90" t="s">
        <v>721</v>
      </c>
      <c r="B1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186)),ROW(),"")</f>
        <v>186</v>
      </c>
      <c r="C186" s="18" t="str">
        <f t="shared" si="45"/>
        <v>ラサ工業（伊勢崎）8：30</v>
      </c>
      <c r="D186" s="84" t="str">
        <f t="shared" si="32"/>
        <v>ラサコウギョウ（イセザキ）8：30</v>
      </c>
      <c r="E186" s="18" t="s">
        <v>269</v>
      </c>
      <c r="F186" s="191">
        <v>0.35416666666666669</v>
      </c>
      <c r="G186" s="188">
        <v>0.14583333333333334</v>
      </c>
      <c r="H186" s="188"/>
      <c r="I186" s="110"/>
      <c r="J186" s="18" t="s">
        <v>254</v>
      </c>
      <c r="K186" s="18"/>
      <c r="L186" s="19" t="s">
        <v>321</v>
      </c>
      <c r="M186" s="178"/>
      <c r="N186" s="179"/>
      <c r="O186" s="179" t="s">
        <v>227</v>
      </c>
    </row>
    <row r="187" spans="1:15" ht="24" x14ac:dyDescent="0.15">
      <c r="A187" s="90" t="s">
        <v>929</v>
      </c>
      <c r="B1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187)),ROW(),"")</f>
        <v>187</v>
      </c>
      <c r="C187" s="18" t="str">
        <f t="shared" si="45"/>
        <v>ラサ工業（伊勢崎）</v>
      </c>
      <c r="D187" s="84" t="str">
        <f t="shared" si="32"/>
        <v>ラサコウギョウ（イセザキ）</v>
      </c>
      <c r="E187" s="18" t="s">
        <v>269</v>
      </c>
      <c r="F187" s="191"/>
      <c r="G187" s="188"/>
      <c r="H187" s="188"/>
      <c r="I187" s="110"/>
      <c r="J187" s="18"/>
      <c r="K187" s="18"/>
      <c r="L187" s="19"/>
      <c r="M187" s="190"/>
      <c r="N187" s="206"/>
      <c r="O187" s="179" t="s">
        <v>227</v>
      </c>
    </row>
    <row r="188" spans="1:15" ht="24" x14ac:dyDescent="0.15">
      <c r="A188" s="84" t="s">
        <v>722</v>
      </c>
      <c r="B1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188)),ROW(),"")</f>
        <v>188</v>
      </c>
      <c r="C188" s="18" t="str">
        <f t="shared" si="45"/>
        <v>ラサ工業（野田）7：00</v>
      </c>
      <c r="D188" s="84" t="str">
        <f t="shared" si="32"/>
        <v>ラサコウギョウ（ノダ）7：00</v>
      </c>
      <c r="E188" s="18" t="s">
        <v>323</v>
      </c>
      <c r="F188" s="175">
        <v>0.29166666666666669</v>
      </c>
      <c r="G188" s="188">
        <v>0.10416666666666667</v>
      </c>
      <c r="H188" s="188"/>
      <c r="I188" s="110"/>
      <c r="J188" s="18" t="s">
        <v>254</v>
      </c>
      <c r="K188" s="18"/>
      <c r="L188" s="19" t="s">
        <v>1029</v>
      </c>
      <c r="M188" s="178"/>
      <c r="N188" s="206"/>
      <c r="O188" s="179" t="s">
        <v>227</v>
      </c>
    </row>
    <row r="189" spans="1:15" ht="24" x14ac:dyDescent="0.15">
      <c r="A189" s="84" t="s">
        <v>723</v>
      </c>
      <c r="B1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189)),ROW(),"")</f>
        <v>189</v>
      </c>
      <c r="C189" s="18" t="str">
        <f t="shared" si="45"/>
        <v>ラサ工業（野田）AM</v>
      </c>
      <c r="D189" s="84" t="str">
        <f t="shared" si="32"/>
        <v>ラサコウギョウ（ノダ）AM</v>
      </c>
      <c r="E189" s="18" t="s">
        <v>323</v>
      </c>
      <c r="F189" s="175" t="s">
        <v>229</v>
      </c>
      <c r="G189" s="188">
        <v>0.10416666666666667</v>
      </c>
      <c r="H189" s="188"/>
      <c r="I189" s="110"/>
      <c r="J189" s="18" t="s">
        <v>254</v>
      </c>
      <c r="K189" s="18"/>
      <c r="L189" s="19" t="s">
        <v>1029</v>
      </c>
      <c r="M189" s="178"/>
      <c r="N189" s="206"/>
      <c r="O189" s="179" t="s">
        <v>227</v>
      </c>
    </row>
    <row r="190" spans="1:15" ht="24" x14ac:dyDescent="0.15">
      <c r="A190" s="84" t="s">
        <v>930</v>
      </c>
      <c r="B1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190)),ROW(),"")</f>
        <v>190</v>
      </c>
      <c r="C190" s="18" t="str">
        <f t="shared" ref="C190:C195" si="51">INDEX(A:A,SMALL($B$3:$B$1039,ROW(A188)))</f>
        <v>ラサ工業（野田）PM</v>
      </c>
      <c r="D190" s="84" t="str">
        <f t="shared" si="32"/>
        <v>ラサコウギョウ（ノダ）PM</v>
      </c>
      <c r="E190" s="18" t="s">
        <v>323</v>
      </c>
      <c r="F190" s="175" t="s">
        <v>248</v>
      </c>
      <c r="G190" s="188">
        <v>0.29166666666666669</v>
      </c>
      <c r="H190" s="188"/>
      <c r="I190" s="110"/>
      <c r="J190" s="18" t="s">
        <v>324</v>
      </c>
      <c r="K190" s="18"/>
      <c r="L190" s="19" t="s">
        <v>1029</v>
      </c>
      <c r="M190" s="178"/>
      <c r="N190" s="206"/>
      <c r="O190" s="179" t="s">
        <v>227</v>
      </c>
    </row>
    <row r="191" spans="1:15" ht="24" x14ac:dyDescent="0.15">
      <c r="A191" s="84" t="s">
        <v>931</v>
      </c>
      <c r="B1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191)),ROW(),"")</f>
        <v>191</v>
      </c>
      <c r="C191" s="18" t="str">
        <f t="shared" si="51"/>
        <v>ラサ工業（野田）</v>
      </c>
      <c r="D191" s="84" t="str">
        <f t="shared" ref="D191" si="52">PHONETIC(A191)</f>
        <v>ラサコウギョウ（ノダ）</v>
      </c>
      <c r="E191" s="18" t="s">
        <v>323</v>
      </c>
      <c r="F191" s="175"/>
      <c r="G191" s="188"/>
      <c r="H191" s="188"/>
      <c r="I191" s="110"/>
      <c r="J191" s="18"/>
      <c r="K191" s="18"/>
      <c r="L191" s="19"/>
      <c r="M191" s="178"/>
      <c r="N191" s="206"/>
      <c r="O191" s="179" t="s">
        <v>227</v>
      </c>
    </row>
    <row r="192" spans="1:15" ht="24" x14ac:dyDescent="0.15">
      <c r="A192" s="90" t="s">
        <v>724</v>
      </c>
      <c r="B1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192)),ROW(),"")</f>
        <v>192</v>
      </c>
      <c r="C192" s="18" t="str">
        <f t="shared" si="51"/>
        <v>ラサ工業（三本木）9：30</v>
      </c>
      <c r="D192" s="84" t="str">
        <f t="shared" si="32"/>
        <v>ラサコウギョウ（三本木）9：30</v>
      </c>
      <c r="E192" s="18" t="s">
        <v>325</v>
      </c>
      <c r="F192" s="175">
        <v>0.39583333333333331</v>
      </c>
      <c r="G192" s="188">
        <v>0.16666666666666666</v>
      </c>
      <c r="H192" s="188"/>
      <c r="I192" s="110"/>
      <c r="J192" s="18" t="s">
        <v>238</v>
      </c>
      <c r="K192" s="18"/>
      <c r="L192" s="19" t="s">
        <v>230</v>
      </c>
      <c r="M192" s="190"/>
      <c r="N192" s="206"/>
      <c r="O192" s="179" t="s">
        <v>227</v>
      </c>
    </row>
    <row r="193" spans="1:15" ht="24" x14ac:dyDescent="0.15">
      <c r="A193" s="90" t="s">
        <v>725</v>
      </c>
      <c r="B1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193)),ROW(),"")</f>
        <v>193</v>
      </c>
      <c r="C193" s="18" t="str">
        <f t="shared" si="51"/>
        <v>ラサ工業（三本木）8：30</v>
      </c>
      <c r="D193" s="84" t="str">
        <f t="shared" ref="D193:D201" si="53">PHONETIC(A193)</f>
        <v>ラサコウギョウ（三本木）8：30</v>
      </c>
      <c r="E193" s="18" t="s">
        <v>325</v>
      </c>
      <c r="F193" s="175">
        <v>0.35416666666666669</v>
      </c>
      <c r="G193" s="188">
        <v>0.16666666666666666</v>
      </c>
      <c r="H193" s="188"/>
      <c r="I193" s="110"/>
      <c r="J193" s="18" t="s">
        <v>254</v>
      </c>
      <c r="K193" s="18"/>
      <c r="L193" s="19" t="s">
        <v>230</v>
      </c>
      <c r="M193" s="178"/>
      <c r="N193" s="206"/>
      <c r="O193" s="179" t="s">
        <v>227</v>
      </c>
    </row>
    <row r="194" spans="1:15" ht="24" x14ac:dyDescent="0.15">
      <c r="A194" s="90" t="s">
        <v>932</v>
      </c>
      <c r="B1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194)),ROW(),"")</f>
        <v>194</v>
      </c>
      <c r="C194" s="18" t="str">
        <f t="shared" si="51"/>
        <v>ラサ工業（三本木）</v>
      </c>
      <c r="D194" s="84" t="str">
        <f t="shared" ref="D194" si="54">PHONETIC(A194)</f>
        <v>ラサコウギョウ（三本木）</v>
      </c>
      <c r="E194" s="18" t="s">
        <v>325</v>
      </c>
      <c r="F194" s="175"/>
      <c r="G194" s="188"/>
      <c r="H194" s="188"/>
      <c r="I194" s="110"/>
      <c r="J194" s="18"/>
      <c r="K194" s="18"/>
      <c r="L194" s="19"/>
      <c r="M194" s="178"/>
      <c r="N194" s="206"/>
      <c r="O194" s="179" t="s">
        <v>227</v>
      </c>
    </row>
    <row r="195" spans="1:15" ht="24" x14ac:dyDescent="0.15">
      <c r="A195" s="84" t="s">
        <v>726</v>
      </c>
      <c r="B1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195)),ROW(),"")</f>
        <v>195</v>
      </c>
      <c r="C195" s="18" t="str">
        <f t="shared" si="51"/>
        <v>ルネサス(高崎)8：45</v>
      </c>
      <c r="D195" s="84" t="str">
        <f t="shared" si="53"/>
        <v>ルネサス(タカサキ)8：45</v>
      </c>
      <c r="E195" s="18" t="s">
        <v>304</v>
      </c>
      <c r="F195" s="191">
        <v>0.36458333333333331</v>
      </c>
      <c r="G195" s="188">
        <v>0.125</v>
      </c>
      <c r="H195" s="188"/>
      <c r="I195" s="110"/>
      <c r="J195" s="18" t="s">
        <v>254</v>
      </c>
      <c r="K195" s="18"/>
      <c r="L195" s="19" t="s">
        <v>1029</v>
      </c>
      <c r="M195" s="178"/>
      <c r="N195" s="206"/>
      <c r="O195" s="179" t="s">
        <v>227</v>
      </c>
    </row>
    <row r="196" spans="1:15" ht="24" x14ac:dyDescent="0.15">
      <c r="A196" s="84" t="s">
        <v>933</v>
      </c>
      <c r="B1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196)),ROW(),"")</f>
        <v>196</v>
      </c>
      <c r="C196" s="18" t="str">
        <f t="shared" ref="C196:C204" si="55">INDEX(A:A,SMALL($B$3:$B$1039,ROW(A194)))</f>
        <v>ルネサス(高崎)</v>
      </c>
      <c r="D196" s="84" t="str">
        <f t="shared" ref="D196" si="56">PHONETIC(A196)</f>
        <v>ルネサス(タカサキ)</v>
      </c>
      <c r="E196" s="18" t="s">
        <v>304</v>
      </c>
      <c r="F196" s="191"/>
      <c r="G196" s="188"/>
      <c r="H196" s="188"/>
      <c r="I196" s="110"/>
      <c r="J196" s="18"/>
      <c r="K196" s="18"/>
      <c r="L196" s="19"/>
      <c r="M196" s="178"/>
      <c r="N196" s="206"/>
      <c r="O196" s="179" t="s">
        <v>227</v>
      </c>
    </row>
    <row r="197" spans="1:15" ht="28.5" x14ac:dyDescent="0.15">
      <c r="A197" s="84" t="s">
        <v>727</v>
      </c>
      <c r="B1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197)),ROW(),"")</f>
        <v>197</v>
      </c>
      <c r="C197" s="18" t="str">
        <f t="shared" si="55"/>
        <v>ルネサス（那珂）AM</v>
      </c>
      <c r="D197" s="115" t="str">
        <f t="shared" si="53"/>
        <v>ルネサス（ナカ）AM</v>
      </c>
      <c r="E197" s="89" t="s">
        <v>728</v>
      </c>
      <c r="F197" s="174" t="s">
        <v>229</v>
      </c>
      <c r="G197" s="175">
        <v>0.16666666666666666</v>
      </c>
      <c r="H197" s="176"/>
      <c r="I197" s="177"/>
      <c r="J197" s="177"/>
      <c r="K197" s="177"/>
      <c r="L197" s="174" t="s">
        <v>226</v>
      </c>
      <c r="M197" s="178"/>
      <c r="N197" s="179"/>
      <c r="O197" s="179" t="s">
        <v>227</v>
      </c>
    </row>
    <row r="198" spans="1:15" ht="28.5" x14ac:dyDescent="0.15">
      <c r="A198" s="84" t="s">
        <v>934</v>
      </c>
      <c r="B1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198)),ROW(),"")</f>
        <v>198</v>
      </c>
      <c r="C198" s="18" t="str">
        <f t="shared" si="55"/>
        <v>ルネサス（那珂）</v>
      </c>
      <c r="D198" s="115" t="str">
        <f t="shared" ref="D198" si="57">PHONETIC(A198)</f>
        <v>ルネサス（ナカ）</v>
      </c>
      <c r="E198" s="89" t="s">
        <v>728</v>
      </c>
      <c r="F198" s="174"/>
      <c r="G198" s="175"/>
      <c r="H198" s="176"/>
      <c r="I198" s="177"/>
      <c r="J198" s="177"/>
      <c r="K198" s="177"/>
      <c r="L198" s="174"/>
      <c r="M198" s="178"/>
      <c r="N198" s="179"/>
      <c r="O198" s="179" t="s">
        <v>227</v>
      </c>
    </row>
    <row r="199" spans="1:15" ht="24" x14ac:dyDescent="0.15">
      <c r="A199" s="84" t="s">
        <v>326</v>
      </c>
      <c r="B1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199)),ROW(),"")</f>
        <v>199</v>
      </c>
      <c r="C199" s="18" t="str">
        <f t="shared" si="55"/>
        <v>ルネサス(米沢）</v>
      </c>
      <c r="D199" s="84" t="str">
        <f t="shared" si="53"/>
        <v>ルネサス(ヨネザワ）</v>
      </c>
      <c r="E199" s="89" t="s">
        <v>327</v>
      </c>
      <c r="F199" s="174" t="s">
        <v>226</v>
      </c>
      <c r="G199" s="188">
        <v>0.10416666666666667</v>
      </c>
      <c r="H199" s="188"/>
      <c r="I199" s="110"/>
      <c r="J199" s="18" t="s">
        <v>254</v>
      </c>
      <c r="K199" s="18"/>
      <c r="L199" s="19" t="s">
        <v>239</v>
      </c>
      <c r="M199" s="178"/>
      <c r="N199" s="189"/>
      <c r="O199" s="179" t="s">
        <v>227</v>
      </c>
    </row>
    <row r="200" spans="1:15" ht="24" x14ac:dyDescent="0.15">
      <c r="A200" s="84" t="s">
        <v>328</v>
      </c>
      <c r="B2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200)),ROW(),"")</f>
        <v>200</v>
      </c>
      <c r="C200" s="18" t="str">
        <f t="shared" si="55"/>
        <v>レゾナック（川崎）</v>
      </c>
      <c r="D200" s="84" t="str">
        <f t="shared" si="53"/>
        <v>レゾナック（カワサキ）</v>
      </c>
      <c r="E200" s="18" t="s">
        <v>329</v>
      </c>
      <c r="F200" s="174" t="s">
        <v>226</v>
      </c>
      <c r="G200" s="188">
        <v>0.10416666666666667</v>
      </c>
      <c r="H200" s="188"/>
      <c r="I200" s="110"/>
      <c r="J200" s="18" t="s">
        <v>254</v>
      </c>
      <c r="K200" s="18"/>
      <c r="L200" s="19" t="s">
        <v>232</v>
      </c>
      <c r="M200" s="178"/>
      <c r="N200" s="189"/>
      <c r="O200" s="179" t="s">
        <v>227</v>
      </c>
    </row>
    <row r="201" spans="1:15" ht="24" x14ac:dyDescent="0.15">
      <c r="A201" s="84" t="s">
        <v>1041</v>
      </c>
      <c r="B2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201)),ROW(),"")</f>
        <v>201</v>
      </c>
      <c r="C201" s="18" t="str">
        <f t="shared" si="55"/>
        <v>デュポン(新潟)8:30</v>
      </c>
      <c r="D201" s="84" t="str">
        <f t="shared" si="53"/>
        <v>デュポン(ニイガタ)8:30</v>
      </c>
      <c r="E201" s="18" t="s">
        <v>240</v>
      </c>
      <c r="F201" s="175">
        <v>0.35416666666666669</v>
      </c>
      <c r="G201" s="188">
        <v>0.10416666666666667</v>
      </c>
      <c r="H201" s="188"/>
      <c r="I201" s="110"/>
      <c r="J201" s="18" t="s">
        <v>238</v>
      </c>
      <c r="K201" s="18"/>
      <c r="L201" s="19" t="s">
        <v>239</v>
      </c>
      <c r="M201" s="178"/>
      <c r="N201" s="189"/>
      <c r="O201" s="179" t="s">
        <v>227</v>
      </c>
    </row>
    <row r="202" spans="1:15" ht="28.5" x14ac:dyDescent="0.15">
      <c r="A202" s="84" t="s">
        <v>1042</v>
      </c>
      <c r="B2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202)),ROW(),"")</f>
        <v>202</v>
      </c>
      <c r="C202" s="18" t="str">
        <f t="shared" si="55"/>
        <v>デュポン(新潟)</v>
      </c>
      <c r="D202" s="84" t="str">
        <f t="shared" ref="D202" si="58">PHONETIC(A202)</f>
        <v>デュポン(ニイガタ)</v>
      </c>
      <c r="E202" s="18" t="s">
        <v>240</v>
      </c>
      <c r="F202" s="175"/>
      <c r="G202" s="175"/>
      <c r="H202" s="176"/>
      <c r="I202" s="177"/>
      <c r="J202" s="177"/>
      <c r="K202" s="177"/>
      <c r="L202" s="174"/>
      <c r="M202" s="178"/>
      <c r="N202" s="179"/>
      <c r="O202" s="179" t="s">
        <v>227</v>
      </c>
    </row>
    <row r="203" spans="1:15" x14ac:dyDescent="0.15">
      <c r="A203" s="18" t="s">
        <v>935</v>
      </c>
      <c r="B2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203)),ROW(),"")</f>
        <v>203</v>
      </c>
      <c r="C203" s="18" t="str">
        <f t="shared" si="55"/>
        <v>洗浄AM</v>
      </c>
      <c r="D203" s="84" t="str">
        <f t="shared" ref="D203:D205" si="59">PHONETIC(A203)</f>
        <v>センジョウAM</v>
      </c>
      <c r="E203" s="18" t="s">
        <v>938</v>
      </c>
      <c r="F203" s="174"/>
      <c r="G203" s="175">
        <v>0.27083333333333331</v>
      </c>
      <c r="H203" s="195"/>
      <c r="I203" s="196"/>
      <c r="J203" s="196"/>
      <c r="K203" s="196"/>
      <c r="L203" s="174"/>
      <c r="M203" s="178"/>
      <c r="N203" s="179"/>
      <c r="O203" s="179" t="s">
        <v>227</v>
      </c>
    </row>
    <row r="204" spans="1:15" x14ac:dyDescent="0.15">
      <c r="A204" s="18" t="s">
        <v>936</v>
      </c>
      <c r="B2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204)),ROW(),"")</f>
        <v>204</v>
      </c>
      <c r="C204" s="18" t="str">
        <f t="shared" si="55"/>
        <v>洗浄PM</v>
      </c>
      <c r="D204" s="84" t="str">
        <f t="shared" si="59"/>
        <v>センジョウPM</v>
      </c>
      <c r="E204" s="18" t="s">
        <v>938</v>
      </c>
      <c r="F204" s="174"/>
      <c r="G204" s="175">
        <v>0.47916666666666669</v>
      </c>
      <c r="H204" s="195"/>
      <c r="I204" s="196"/>
      <c r="J204" s="196"/>
      <c r="K204" s="196"/>
      <c r="L204" s="174"/>
      <c r="M204" s="178"/>
      <c r="N204" s="179"/>
      <c r="O204" s="179" t="s">
        <v>227</v>
      </c>
    </row>
    <row r="205" spans="1:15" x14ac:dyDescent="0.15">
      <c r="A205" s="89" t="s">
        <v>937</v>
      </c>
      <c r="B2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205)),ROW(),"")</f>
        <v>205</v>
      </c>
      <c r="C205" s="18" t="str">
        <f t="shared" ref="C205:C211" si="60">INDEX(A:A,SMALL($B$3:$B$1039,ROW(A203)))</f>
        <v>洗浄</v>
      </c>
      <c r="D205" s="84" t="str">
        <f t="shared" si="59"/>
        <v>センジョウ</v>
      </c>
      <c r="E205" s="18" t="s">
        <v>938</v>
      </c>
      <c r="F205" s="174"/>
      <c r="G205" s="175"/>
      <c r="H205" s="195"/>
      <c r="I205" s="196"/>
      <c r="J205" s="196"/>
      <c r="K205" s="196"/>
      <c r="L205" s="174"/>
      <c r="M205" s="178"/>
      <c r="N205" s="179"/>
      <c r="O205" s="179" t="s">
        <v>227</v>
      </c>
    </row>
    <row r="206" spans="1:15" x14ac:dyDescent="0.15">
      <c r="A206" s="89" t="s">
        <v>971</v>
      </c>
      <c r="B2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206)),ROW(),"")</f>
        <v>206</v>
      </c>
      <c r="C206" s="18" t="str">
        <f t="shared" si="60"/>
        <v>長井製薬所(茨城)</v>
      </c>
      <c r="D206" s="84" t="str">
        <f>PHONETIC(A206)</f>
        <v>ナガイセイヤクショ(イバラキ)</v>
      </c>
      <c r="E206" s="18" t="s">
        <v>640</v>
      </c>
      <c r="F206" s="174"/>
      <c r="G206" s="175"/>
      <c r="H206" s="195"/>
      <c r="I206" s="196"/>
      <c r="J206" s="196"/>
      <c r="K206" s="196"/>
      <c r="L206" s="174"/>
      <c r="M206" s="178"/>
      <c r="N206" s="179"/>
      <c r="O206" s="179" t="s">
        <v>227</v>
      </c>
    </row>
    <row r="207" spans="1:15" x14ac:dyDescent="0.15">
      <c r="A207" s="89" t="s">
        <v>972</v>
      </c>
      <c r="B2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207)),ROW(),"")</f>
        <v>207</v>
      </c>
      <c r="C207" s="84" t="str">
        <f t="shared" si="60"/>
        <v>太陽工業（羽生）</v>
      </c>
      <c r="D207" s="84" t="str">
        <f>PHONETIC(A207)</f>
        <v>タイヨウコウギョウ（ハニュウ）</v>
      </c>
      <c r="E207" s="18" t="s">
        <v>640</v>
      </c>
      <c r="F207" s="174"/>
      <c r="G207" s="175"/>
      <c r="H207" s="195"/>
      <c r="I207" s="196"/>
      <c r="J207" s="196"/>
      <c r="K207" s="196"/>
      <c r="L207" s="174"/>
      <c r="M207" s="178"/>
      <c r="N207" s="179"/>
      <c r="O207" s="179" t="s">
        <v>227</v>
      </c>
    </row>
    <row r="208" spans="1:15" x14ac:dyDescent="0.15">
      <c r="A208" s="89" t="s">
        <v>987</v>
      </c>
      <c r="B2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208)),ROW(),"")</f>
        <v>208</v>
      </c>
      <c r="C208" s="84" t="str">
        <f t="shared" si="60"/>
        <v>大陽工業（羽生）8：30</v>
      </c>
      <c r="D208" s="84" t="str">
        <f t="shared" ref="D208" si="61">PHONETIC(A208)</f>
        <v>ダイヨウコウギョウ（ハニュウ）8：30</v>
      </c>
      <c r="E208" s="18" t="s">
        <v>989</v>
      </c>
      <c r="F208" s="175">
        <v>0.35416666666666669</v>
      </c>
      <c r="G208" s="175">
        <v>0.125</v>
      </c>
      <c r="H208" s="195"/>
      <c r="I208" s="196"/>
      <c r="J208" s="196"/>
      <c r="K208" s="196"/>
      <c r="L208" s="174"/>
      <c r="M208" s="178"/>
      <c r="N208" s="179"/>
      <c r="O208" s="179" t="s">
        <v>227</v>
      </c>
    </row>
    <row r="209" spans="1:15" x14ac:dyDescent="0.15">
      <c r="A209" s="89" t="s">
        <v>988</v>
      </c>
      <c r="B2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209)),ROW(),"")</f>
        <v>209</v>
      </c>
      <c r="C209" s="18" t="str">
        <f t="shared" si="60"/>
        <v>仙台ニコン</v>
      </c>
      <c r="D209" s="84" t="str">
        <f t="shared" ref="D209" si="62">PHONETIC(A209)</f>
        <v>センダイニコン</v>
      </c>
      <c r="E209" s="18" t="s">
        <v>990</v>
      </c>
      <c r="F209" s="174"/>
      <c r="G209" s="175"/>
      <c r="H209" s="195"/>
      <c r="I209" s="196"/>
      <c r="J209" s="196"/>
      <c r="K209" s="196"/>
      <c r="L209" s="174"/>
      <c r="M209" s="178"/>
      <c r="N209" s="179"/>
      <c r="O209" s="179" t="s">
        <v>227</v>
      </c>
    </row>
    <row r="210" spans="1:15" x14ac:dyDescent="0.15">
      <c r="A210" s="18" t="s">
        <v>997</v>
      </c>
      <c r="B2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210)),ROW(),"")</f>
        <v>210</v>
      </c>
      <c r="C210" s="18" t="str">
        <f t="shared" si="60"/>
        <v>揚水</v>
      </c>
      <c r="D210" s="84" t="str">
        <f t="shared" ref="D210:D238" si="63">PHONETIC(A210)</f>
        <v>ヨウスイ</v>
      </c>
      <c r="E210" s="18" t="s">
        <v>998</v>
      </c>
      <c r="F210" s="175">
        <v>0.54166666666666663</v>
      </c>
      <c r="G210" s="175"/>
      <c r="H210" s="195"/>
      <c r="I210" s="196"/>
      <c r="J210" s="196"/>
      <c r="K210" s="196"/>
      <c r="L210" s="174"/>
      <c r="M210" s="178"/>
      <c r="N210" s="179"/>
      <c r="O210" s="179" t="s">
        <v>227</v>
      </c>
    </row>
    <row r="211" spans="1:15" x14ac:dyDescent="0.15">
      <c r="A211" s="18" t="s">
        <v>1006</v>
      </c>
      <c r="B2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211)),ROW(),"")</f>
        <v>211</v>
      </c>
      <c r="C211" s="18" t="str">
        <f t="shared" si="60"/>
        <v>クリーンテック（第二）9:30</v>
      </c>
      <c r="D211" s="18" t="str">
        <f t="shared" si="63"/>
        <v>クリーンテック（第二）9:30</v>
      </c>
      <c r="E211" s="18" t="s">
        <v>1003</v>
      </c>
      <c r="F211" s="175">
        <v>0.39583333333333331</v>
      </c>
      <c r="G211" s="175">
        <v>0.20833333333333334</v>
      </c>
      <c r="H211" s="195"/>
      <c r="I211" s="196"/>
      <c r="J211" s="196"/>
      <c r="K211" s="196"/>
      <c r="L211" s="19" t="s">
        <v>1032</v>
      </c>
      <c r="M211" s="178"/>
      <c r="N211" s="179" t="s">
        <v>1004</v>
      </c>
      <c r="O211" s="179" t="s">
        <v>1005</v>
      </c>
    </row>
    <row r="212" spans="1:15" x14ac:dyDescent="0.15">
      <c r="A212" s="86" t="s">
        <v>1017</v>
      </c>
      <c r="B2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212)),ROW(),"")</f>
        <v>212</v>
      </c>
      <c r="C212" s="18" t="str">
        <f t="shared" ref="C212:C238" si="64">INDEX(A:A,SMALL($B$3:$B$1039,ROW(A210)))</f>
        <v>量子科学技術(那珂)</v>
      </c>
      <c r="D212" s="84" t="str">
        <f t="shared" si="63"/>
        <v>リョウシカガクギジュツ(ナカ)</v>
      </c>
      <c r="E212" s="18" t="s">
        <v>1016</v>
      </c>
      <c r="F212" s="174" t="s">
        <v>229</v>
      </c>
      <c r="G212" s="175"/>
      <c r="H212" s="195"/>
      <c r="I212" s="196"/>
      <c r="J212" s="196"/>
      <c r="K212" s="196"/>
      <c r="L212" s="19" t="s">
        <v>1031</v>
      </c>
      <c r="M212" s="178"/>
      <c r="N212" s="179"/>
      <c r="O212" s="179" t="s">
        <v>227</v>
      </c>
    </row>
    <row r="213" spans="1:15" x14ac:dyDescent="0.15">
      <c r="A213" s="18" t="s">
        <v>1044</v>
      </c>
      <c r="B2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213)),ROW(),"")</f>
        <v>213</v>
      </c>
      <c r="C213" s="18" t="str">
        <f t="shared" si="64"/>
        <v>ニチノーサービス（鹿島）AM</v>
      </c>
      <c r="D213" s="84" t="str">
        <f t="shared" si="63"/>
        <v>ニチノーサービス（カシマ）AM</v>
      </c>
      <c r="E213" s="18" t="s">
        <v>1043</v>
      </c>
      <c r="F213" s="174" t="s">
        <v>229</v>
      </c>
      <c r="G213" s="175">
        <v>0.14583333333333334</v>
      </c>
      <c r="H213" s="195"/>
      <c r="I213" s="196"/>
      <c r="J213" s="196"/>
      <c r="K213" s="196"/>
      <c r="L213" s="174"/>
      <c r="M213" s="178"/>
      <c r="N213" s="179"/>
      <c r="O213" s="179" t="s">
        <v>227</v>
      </c>
    </row>
    <row r="214" spans="1:15" x14ac:dyDescent="0.15">
      <c r="A214" s="18" t="s">
        <v>1047</v>
      </c>
      <c r="B2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214)),ROW(),"")</f>
        <v>214</v>
      </c>
      <c r="C214" s="18" t="str">
        <f t="shared" si="64"/>
        <v>Ｔ・Ａ・Ｄ（いわき）</v>
      </c>
      <c r="D214" s="84" t="str">
        <f t="shared" si="63"/>
        <v>Ｔ・Ａ・Ｄ（イワキ）</v>
      </c>
      <c r="E214" s="18" t="s">
        <v>640</v>
      </c>
      <c r="F214" s="174"/>
      <c r="G214" s="175"/>
      <c r="H214" s="195"/>
      <c r="I214" s="196"/>
      <c r="J214" s="196"/>
      <c r="K214" s="196"/>
      <c r="L214" s="174"/>
      <c r="M214" s="178"/>
      <c r="N214" s="179"/>
      <c r="O214" s="179" t="s">
        <v>227</v>
      </c>
    </row>
    <row r="215" spans="1:15" x14ac:dyDescent="0.15">
      <c r="A215" s="18" t="s">
        <v>1104</v>
      </c>
      <c r="B2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215)),ROW(),"")</f>
        <v>215</v>
      </c>
      <c r="C215" s="18" t="str">
        <f t="shared" si="64"/>
        <v>新日本電工（郡山）8：30</v>
      </c>
      <c r="D215" s="84" t="str">
        <f t="shared" si="63"/>
        <v>シンニホンデンコウ（コオリヤマ）8：30</v>
      </c>
      <c r="E215" s="18" t="s">
        <v>277</v>
      </c>
      <c r="F215" s="40">
        <v>0.35416666666666669</v>
      </c>
      <c r="G215" s="40">
        <v>0.20833333333333334</v>
      </c>
      <c r="H215" s="195"/>
      <c r="I215" s="196"/>
      <c r="J215" s="196"/>
      <c r="K215" s="196"/>
      <c r="L215" s="174"/>
      <c r="M215" s="178"/>
      <c r="N215" s="179"/>
      <c r="O215" s="179" t="s">
        <v>227</v>
      </c>
    </row>
    <row r="216" spans="1:15" x14ac:dyDescent="0.15">
      <c r="A216" s="18" t="s">
        <v>1105</v>
      </c>
      <c r="B2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216)),ROW(),"")</f>
        <v>216</v>
      </c>
      <c r="C216" s="18" t="str">
        <f t="shared" si="64"/>
        <v>AGC鹿島引き取り</v>
      </c>
      <c r="D216" s="84" t="str">
        <f t="shared" si="63"/>
        <v>AGCカシマヒキトリ</v>
      </c>
      <c r="E216" s="18" t="s">
        <v>1106</v>
      </c>
      <c r="F216" s="40"/>
      <c r="G216" s="40"/>
      <c r="H216" s="195"/>
      <c r="I216" s="196"/>
      <c r="J216" s="196"/>
      <c r="K216" s="196"/>
      <c r="L216" s="174"/>
      <c r="M216" s="178"/>
      <c r="N216" s="179"/>
      <c r="O216" s="179" t="s">
        <v>227</v>
      </c>
    </row>
    <row r="217" spans="1:15" x14ac:dyDescent="0.15">
      <c r="A217" s="18" t="s">
        <v>1195</v>
      </c>
      <c r="B2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217)),ROW(),"")</f>
        <v>217</v>
      </c>
      <c r="C217" s="18" t="str">
        <f t="shared" si="64"/>
        <v>日本製紙(足利)</v>
      </c>
      <c r="D217" s="84" t="str">
        <f t="shared" si="63"/>
        <v>ニホンセイシ(アシカガ)</v>
      </c>
      <c r="E217" s="18" t="s">
        <v>1196</v>
      </c>
      <c r="F217" s="174"/>
      <c r="G217" s="175"/>
      <c r="H217" s="195"/>
      <c r="I217" s="196"/>
      <c r="J217" s="196"/>
      <c r="K217" s="196"/>
      <c r="L217" s="174"/>
      <c r="M217" s="178"/>
      <c r="N217" s="179"/>
      <c r="O217" s="179" t="s">
        <v>227</v>
      </c>
    </row>
    <row r="218" spans="1:15" x14ac:dyDescent="0.15">
      <c r="A218" s="18"/>
      <c r="B2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218)),ROW(),"")</f>
        <v>218</v>
      </c>
      <c r="C218" s="18">
        <f t="shared" si="64"/>
        <v>0</v>
      </c>
      <c r="D218" s="84" t="str">
        <f t="shared" si="63"/>
        <v/>
      </c>
      <c r="E218" s="18"/>
      <c r="F218" s="174"/>
      <c r="G218" s="175"/>
      <c r="H218" s="195"/>
      <c r="I218" s="196"/>
      <c r="J218" s="196"/>
      <c r="K218" s="196"/>
      <c r="L218" s="174"/>
      <c r="M218" s="178"/>
      <c r="N218" s="179"/>
      <c r="O218" s="179" t="s">
        <v>227</v>
      </c>
    </row>
    <row r="219" spans="1:15" x14ac:dyDescent="0.15">
      <c r="A219" s="18"/>
      <c r="B2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219)),ROW(),"")</f>
        <v>219</v>
      </c>
      <c r="C219" s="18">
        <f t="shared" si="64"/>
        <v>0</v>
      </c>
      <c r="D219" s="84" t="str">
        <f t="shared" si="63"/>
        <v/>
      </c>
      <c r="E219" s="18"/>
      <c r="F219" s="174"/>
      <c r="G219" s="175"/>
      <c r="H219" s="195"/>
      <c r="I219" s="196"/>
      <c r="J219" s="196"/>
      <c r="K219" s="196"/>
      <c r="L219" s="174"/>
      <c r="M219" s="178"/>
      <c r="N219" s="179"/>
      <c r="O219" s="179" t="s">
        <v>227</v>
      </c>
    </row>
    <row r="220" spans="1:15" x14ac:dyDescent="0.15">
      <c r="A220" s="18"/>
      <c r="B2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220)),ROW(),"")</f>
        <v>220</v>
      </c>
      <c r="C220" s="18">
        <f t="shared" si="64"/>
        <v>0</v>
      </c>
      <c r="D220" s="84" t="str">
        <f t="shared" si="63"/>
        <v/>
      </c>
      <c r="E220" s="18"/>
      <c r="F220" s="174"/>
      <c r="G220" s="175"/>
      <c r="H220" s="195"/>
      <c r="I220" s="196"/>
      <c r="J220" s="196"/>
      <c r="K220" s="196"/>
      <c r="L220" s="174"/>
      <c r="M220" s="178"/>
      <c r="N220" s="179"/>
      <c r="O220" s="179" t="s">
        <v>227</v>
      </c>
    </row>
    <row r="221" spans="1:15" x14ac:dyDescent="0.15">
      <c r="A221" s="18"/>
      <c r="B2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221)),ROW(),"")</f>
        <v>221</v>
      </c>
      <c r="C221" s="18">
        <f t="shared" si="64"/>
        <v>0</v>
      </c>
      <c r="D221" s="84" t="str">
        <f t="shared" si="63"/>
        <v/>
      </c>
      <c r="E221" s="18"/>
      <c r="F221" s="174"/>
      <c r="G221" s="175"/>
      <c r="H221" s="195"/>
      <c r="I221" s="196"/>
      <c r="J221" s="196"/>
      <c r="K221" s="196"/>
      <c r="L221" s="174"/>
      <c r="M221" s="178"/>
      <c r="N221" s="179"/>
      <c r="O221" s="179" t="s">
        <v>227</v>
      </c>
    </row>
    <row r="222" spans="1:15" x14ac:dyDescent="0.15">
      <c r="A222" s="18"/>
      <c r="B2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222)),ROW(),"")</f>
        <v>222</v>
      </c>
      <c r="C222" s="13">
        <f t="shared" si="64"/>
        <v>0</v>
      </c>
      <c r="D222" s="84" t="str">
        <f t="shared" si="63"/>
        <v/>
      </c>
      <c r="E222" s="18"/>
      <c r="F222" s="174"/>
      <c r="G222" s="175"/>
      <c r="H222" s="195"/>
      <c r="I222" s="196"/>
      <c r="J222" s="196"/>
      <c r="K222" s="196"/>
      <c r="L222" s="174"/>
      <c r="M222" s="178"/>
      <c r="N222" s="179"/>
      <c r="O222" s="179" t="s">
        <v>227</v>
      </c>
    </row>
    <row r="223" spans="1:15" x14ac:dyDescent="0.15">
      <c r="A223" s="18"/>
      <c r="B2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223)),ROW(),"")</f>
        <v>223</v>
      </c>
      <c r="C223" s="13">
        <f t="shared" si="64"/>
        <v>0</v>
      </c>
      <c r="D223" s="84" t="str">
        <f t="shared" si="63"/>
        <v/>
      </c>
      <c r="E223" s="18"/>
      <c r="F223" s="174"/>
      <c r="G223" s="175"/>
      <c r="H223" s="195"/>
      <c r="I223" s="196"/>
      <c r="J223" s="196"/>
      <c r="K223" s="196"/>
      <c r="L223" s="174"/>
      <c r="M223" s="178"/>
      <c r="N223" s="179"/>
      <c r="O223" s="179" t="s">
        <v>227</v>
      </c>
    </row>
    <row r="224" spans="1:15" x14ac:dyDescent="0.15">
      <c r="A224" s="18"/>
      <c r="B2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224)),ROW(),"")</f>
        <v>224</v>
      </c>
      <c r="C224" s="13">
        <f t="shared" si="64"/>
        <v>0</v>
      </c>
      <c r="D224" s="84" t="str">
        <f t="shared" si="63"/>
        <v/>
      </c>
      <c r="E224" s="18"/>
      <c r="F224" s="174"/>
      <c r="G224" s="175"/>
      <c r="H224" s="195"/>
      <c r="I224" s="196"/>
      <c r="J224" s="196"/>
      <c r="K224" s="196"/>
      <c r="L224" s="174"/>
      <c r="M224" s="178"/>
      <c r="N224" s="179"/>
      <c r="O224" s="179" t="s">
        <v>227</v>
      </c>
    </row>
    <row r="225" spans="1:15" x14ac:dyDescent="0.15">
      <c r="A225" s="18"/>
      <c r="B2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225)),ROW(),"")</f>
        <v>225</v>
      </c>
      <c r="C225" s="13">
        <f t="shared" si="64"/>
        <v>0</v>
      </c>
      <c r="D225" s="84" t="str">
        <f t="shared" si="63"/>
        <v/>
      </c>
      <c r="E225" s="18"/>
      <c r="F225" s="174"/>
      <c r="G225" s="175"/>
      <c r="H225" s="195"/>
      <c r="I225" s="196"/>
      <c r="J225" s="196"/>
      <c r="K225" s="196"/>
      <c r="L225" s="174"/>
      <c r="M225" s="178"/>
      <c r="N225" s="179"/>
      <c r="O225" s="179" t="s">
        <v>227</v>
      </c>
    </row>
    <row r="226" spans="1:15" x14ac:dyDescent="0.15">
      <c r="A226" s="18"/>
      <c r="B2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226)),ROW(),"")</f>
        <v>226</v>
      </c>
      <c r="C226" s="13">
        <f t="shared" si="64"/>
        <v>0</v>
      </c>
      <c r="D226" s="84" t="str">
        <f t="shared" si="63"/>
        <v/>
      </c>
      <c r="E226" s="18"/>
      <c r="F226" s="174"/>
      <c r="G226" s="175"/>
      <c r="H226" s="195"/>
      <c r="I226" s="196"/>
      <c r="J226" s="196"/>
      <c r="K226" s="196"/>
      <c r="L226" s="174"/>
      <c r="M226" s="178"/>
      <c r="N226" s="179"/>
      <c r="O226" s="179" t="s">
        <v>227</v>
      </c>
    </row>
    <row r="227" spans="1:15" x14ac:dyDescent="0.15">
      <c r="A227" s="18"/>
      <c r="B2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227)),ROW(),"")</f>
        <v>227</v>
      </c>
      <c r="C227" s="13">
        <f t="shared" si="64"/>
        <v>0</v>
      </c>
      <c r="D227" s="84" t="str">
        <f t="shared" si="63"/>
        <v/>
      </c>
      <c r="E227" s="18"/>
      <c r="F227" s="174"/>
      <c r="G227" s="175"/>
      <c r="H227" s="195"/>
      <c r="I227" s="196"/>
      <c r="J227" s="196"/>
      <c r="K227" s="196"/>
      <c r="L227" s="174"/>
      <c r="M227" s="178"/>
      <c r="N227" s="179"/>
      <c r="O227" s="179" t="s">
        <v>227</v>
      </c>
    </row>
    <row r="228" spans="1:15" x14ac:dyDescent="0.15">
      <c r="A228" s="86"/>
      <c r="B2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228)),ROW(),"")</f>
        <v>228</v>
      </c>
      <c r="C228" s="13">
        <f t="shared" si="64"/>
        <v>0</v>
      </c>
      <c r="D228" s="84" t="str">
        <f t="shared" si="63"/>
        <v/>
      </c>
      <c r="E228" s="18"/>
      <c r="F228" s="174"/>
      <c r="G228" s="175"/>
      <c r="H228" s="195"/>
      <c r="I228" s="196"/>
      <c r="J228" s="196"/>
      <c r="K228" s="196"/>
      <c r="L228" s="174"/>
      <c r="M228" s="178"/>
      <c r="N228" s="179"/>
      <c r="O228" s="179" t="s">
        <v>227</v>
      </c>
    </row>
    <row r="229" spans="1:15" x14ac:dyDescent="0.15">
      <c r="A229" s="18"/>
      <c r="B2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229)),ROW(),"")</f>
        <v>229</v>
      </c>
      <c r="C229" s="13">
        <f t="shared" si="64"/>
        <v>0</v>
      </c>
      <c r="D229" s="84" t="str">
        <f t="shared" si="63"/>
        <v/>
      </c>
      <c r="E229" s="18"/>
      <c r="F229" s="174"/>
      <c r="G229" s="175"/>
      <c r="H229" s="195"/>
      <c r="I229" s="196"/>
      <c r="J229" s="196"/>
      <c r="K229" s="196"/>
      <c r="L229" s="174"/>
      <c r="M229" s="178"/>
      <c r="N229" s="179"/>
      <c r="O229" s="179" t="s">
        <v>227</v>
      </c>
    </row>
    <row r="230" spans="1:15" x14ac:dyDescent="0.15">
      <c r="A230" s="18"/>
      <c r="B2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230)),ROW(),"")</f>
        <v>230</v>
      </c>
      <c r="C230" s="13">
        <f t="shared" si="64"/>
        <v>0</v>
      </c>
      <c r="D230" s="84" t="str">
        <f t="shared" si="63"/>
        <v/>
      </c>
      <c r="E230" s="18"/>
      <c r="F230" s="174"/>
      <c r="G230" s="175"/>
      <c r="H230" s="195"/>
      <c r="I230" s="196"/>
      <c r="J230" s="196"/>
      <c r="K230" s="196"/>
      <c r="L230" s="174"/>
      <c r="M230" s="178"/>
      <c r="N230" s="179"/>
      <c r="O230" s="179" t="s">
        <v>227</v>
      </c>
    </row>
    <row r="231" spans="1:15" x14ac:dyDescent="0.15">
      <c r="A231" s="84"/>
      <c r="B2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231)),ROW(),"")</f>
        <v>231</v>
      </c>
      <c r="C231" s="13">
        <f t="shared" si="64"/>
        <v>0</v>
      </c>
      <c r="D231" s="84" t="str">
        <f t="shared" si="63"/>
        <v/>
      </c>
      <c r="E231" s="18"/>
      <c r="F231" s="174"/>
      <c r="G231" s="175"/>
      <c r="H231" s="195"/>
      <c r="I231" s="196"/>
      <c r="J231" s="196"/>
      <c r="K231" s="196"/>
      <c r="L231" s="174"/>
      <c r="M231" s="178"/>
      <c r="N231" s="179"/>
      <c r="O231" s="179" t="s">
        <v>227</v>
      </c>
    </row>
    <row r="232" spans="1:15" x14ac:dyDescent="0.15">
      <c r="A232" s="18"/>
      <c r="B2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232)),ROW(),"")</f>
        <v>232</v>
      </c>
      <c r="C232" s="13">
        <f t="shared" si="64"/>
        <v>0</v>
      </c>
      <c r="D232" s="84" t="str">
        <f t="shared" si="63"/>
        <v/>
      </c>
      <c r="E232" s="18"/>
      <c r="F232" s="174"/>
      <c r="G232" s="175"/>
      <c r="H232" s="195"/>
      <c r="I232" s="196"/>
      <c r="J232" s="196"/>
      <c r="K232" s="196"/>
      <c r="L232" s="174"/>
      <c r="M232" s="178"/>
      <c r="N232" s="179"/>
      <c r="O232" s="179" t="s">
        <v>227</v>
      </c>
    </row>
    <row r="233" spans="1:15" x14ac:dyDescent="0.15">
      <c r="A233" s="18"/>
      <c r="B2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233)),ROW(),"")</f>
        <v>233</v>
      </c>
      <c r="C233" s="13">
        <f t="shared" si="64"/>
        <v>0</v>
      </c>
      <c r="D233" s="84" t="str">
        <f t="shared" si="63"/>
        <v/>
      </c>
      <c r="E233" s="18"/>
      <c r="F233" s="174"/>
      <c r="G233" s="175"/>
      <c r="H233" s="195"/>
      <c r="I233" s="196"/>
      <c r="J233" s="196"/>
      <c r="K233" s="196"/>
      <c r="L233" s="174"/>
      <c r="M233" s="178"/>
      <c r="N233" s="179"/>
      <c r="O233" s="179" t="s">
        <v>227</v>
      </c>
    </row>
    <row r="234" spans="1:15" x14ac:dyDescent="0.15">
      <c r="A234" s="18"/>
      <c r="B2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234)),ROW(),"")</f>
        <v>234</v>
      </c>
      <c r="C234" s="13">
        <f t="shared" si="64"/>
        <v>0</v>
      </c>
      <c r="D234" s="84" t="str">
        <f t="shared" si="63"/>
        <v/>
      </c>
      <c r="E234" s="18"/>
      <c r="F234" s="174"/>
      <c r="G234" s="175"/>
      <c r="H234" s="195"/>
      <c r="I234" s="196"/>
      <c r="J234" s="196"/>
      <c r="K234" s="196"/>
      <c r="L234" s="174"/>
      <c r="M234" s="178"/>
      <c r="N234" s="179"/>
      <c r="O234" s="179" t="s">
        <v>227</v>
      </c>
    </row>
    <row r="235" spans="1:15" x14ac:dyDescent="0.15">
      <c r="A235" s="18"/>
      <c r="B2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235)),ROW(),"")</f>
        <v>235</v>
      </c>
      <c r="C235" s="13">
        <f t="shared" si="64"/>
        <v>0</v>
      </c>
      <c r="D235" s="84" t="str">
        <f t="shared" si="63"/>
        <v/>
      </c>
      <c r="E235" s="18"/>
      <c r="F235" s="174"/>
      <c r="G235" s="175"/>
      <c r="H235" s="195"/>
      <c r="I235" s="196"/>
      <c r="J235" s="196"/>
      <c r="K235" s="196"/>
      <c r="L235" s="174"/>
      <c r="M235" s="178"/>
      <c r="N235" s="179"/>
      <c r="O235" s="179" t="s">
        <v>227</v>
      </c>
    </row>
    <row r="236" spans="1:15" x14ac:dyDescent="0.15">
      <c r="A236" s="18"/>
      <c r="B2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236)),ROW(),"")</f>
        <v>236</v>
      </c>
      <c r="C236" s="13">
        <f t="shared" si="64"/>
        <v>0</v>
      </c>
      <c r="D236" s="84" t="str">
        <f t="shared" si="63"/>
        <v/>
      </c>
      <c r="E236" s="18"/>
      <c r="F236" s="174"/>
      <c r="G236" s="175"/>
      <c r="H236" s="195"/>
      <c r="I236" s="196"/>
      <c r="J236" s="196"/>
      <c r="K236" s="196"/>
      <c r="L236" s="174"/>
      <c r="M236" s="178"/>
      <c r="N236" s="179"/>
      <c r="O236" s="179" t="s">
        <v>227</v>
      </c>
    </row>
    <row r="237" spans="1:15" x14ac:dyDescent="0.15">
      <c r="A237" s="19"/>
      <c r="B2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237)),ROW(),"")</f>
        <v>237</v>
      </c>
      <c r="C237" s="13">
        <f t="shared" si="64"/>
        <v>0</v>
      </c>
      <c r="D237" s="84" t="str">
        <f t="shared" si="63"/>
        <v/>
      </c>
      <c r="E237" s="18"/>
      <c r="F237" s="174"/>
      <c r="G237" s="175"/>
      <c r="H237" s="195"/>
      <c r="I237" s="196"/>
      <c r="J237" s="196"/>
      <c r="K237" s="196"/>
      <c r="L237" s="174"/>
      <c r="M237" s="178"/>
      <c r="N237" s="179"/>
      <c r="O237" s="179" t="s">
        <v>227</v>
      </c>
    </row>
    <row r="238" spans="1:15" x14ac:dyDescent="0.15">
      <c r="A238" s="18"/>
      <c r="B2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238)),ROW(),"")</f>
        <v>238</v>
      </c>
      <c r="C238" s="13">
        <f t="shared" si="64"/>
        <v>0</v>
      </c>
      <c r="D238" s="84" t="str">
        <f t="shared" si="63"/>
        <v/>
      </c>
      <c r="E238" s="18"/>
      <c r="F238" s="174"/>
      <c r="G238" s="175"/>
      <c r="H238" s="195"/>
      <c r="I238" s="196"/>
      <c r="J238" s="196"/>
      <c r="K238" s="196"/>
      <c r="L238" s="174"/>
      <c r="M238" s="178"/>
      <c r="N238" s="179"/>
      <c r="O238" s="179" t="s">
        <v>227</v>
      </c>
    </row>
    <row r="239" spans="1:15" x14ac:dyDescent="0.15">
      <c r="A239" s="18"/>
      <c r="B2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239)),ROW(),"")</f>
        <v>239</v>
      </c>
      <c r="C239" s="13">
        <f t="shared" ref="C239:C302" si="65">INDEX(A:A,SMALL($B$3:$B$1039,ROW(A237)))</f>
        <v>0</v>
      </c>
      <c r="D239" s="84" t="str">
        <f t="shared" ref="D239:D302" si="66">PHONETIC(A239)</f>
        <v/>
      </c>
      <c r="E239" s="18"/>
      <c r="F239" s="174"/>
      <c r="G239" s="175"/>
      <c r="H239" s="195"/>
      <c r="I239" s="196"/>
      <c r="J239" s="196"/>
      <c r="K239" s="196"/>
      <c r="L239" s="174"/>
      <c r="M239" s="178"/>
      <c r="N239" s="179"/>
      <c r="O239" s="179" t="s">
        <v>227</v>
      </c>
    </row>
    <row r="240" spans="1:15" x14ac:dyDescent="0.15">
      <c r="A240" s="18"/>
      <c r="B2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240)),ROW(),"")</f>
        <v>240</v>
      </c>
      <c r="C240" s="13">
        <f t="shared" si="65"/>
        <v>0</v>
      </c>
      <c r="D240" s="84" t="str">
        <f t="shared" si="66"/>
        <v/>
      </c>
      <c r="E240" s="18"/>
      <c r="F240" s="174"/>
      <c r="G240" s="175"/>
      <c r="H240" s="195"/>
      <c r="I240" s="196"/>
      <c r="J240" s="196"/>
      <c r="K240" s="196"/>
      <c r="L240" s="174"/>
      <c r="M240" s="178"/>
      <c r="N240" s="179"/>
      <c r="O240" s="179" t="s">
        <v>227</v>
      </c>
    </row>
    <row r="241" spans="1:15" x14ac:dyDescent="0.15">
      <c r="A241" s="18"/>
      <c r="B2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241)),ROW(),"")</f>
        <v>241</v>
      </c>
      <c r="C241" s="13">
        <f t="shared" si="65"/>
        <v>0</v>
      </c>
      <c r="D241" s="84" t="str">
        <f t="shared" si="66"/>
        <v/>
      </c>
      <c r="E241" s="18"/>
      <c r="F241" s="174"/>
      <c r="G241" s="175"/>
      <c r="H241" s="195"/>
      <c r="I241" s="196"/>
      <c r="J241" s="196"/>
      <c r="K241" s="196"/>
      <c r="L241" s="174"/>
      <c r="M241" s="178"/>
      <c r="N241" s="179"/>
      <c r="O241" s="179" t="s">
        <v>227</v>
      </c>
    </row>
    <row r="242" spans="1:15" x14ac:dyDescent="0.15">
      <c r="A242" s="18"/>
      <c r="B2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242)),ROW(),"")</f>
        <v>242</v>
      </c>
      <c r="C242" s="13">
        <f t="shared" si="65"/>
        <v>0</v>
      </c>
      <c r="D242" s="84" t="str">
        <f t="shared" si="66"/>
        <v/>
      </c>
      <c r="E242" s="18"/>
      <c r="F242" s="174"/>
      <c r="G242" s="175"/>
      <c r="H242" s="195"/>
      <c r="I242" s="196"/>
      <c r="J242" s="196"/>
      <c r="K242" s="196"/>
      <c r="L242" s="174"/>
      <c r="M242" s="178"/>
      <c r="N242" s="179"/>
      <c r="O242" s="179" t="s">
        <v>227</v>
      </c>
    </row>
    <row r="243" spans="1:15" x14ac:dyDescent="0.15">
      <c r="A243" s="18"/>
      <c r="B2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243)),ROW(),"")</f>
        <v>243</v>
      </c>
      <c r="C243" s="13">
        <f t="shared" si="65"/>
        <v>0</v>
      </c>
      <c r="D243" s="84" t="str">
        <f t="shared" si="66"/>
        <v/>
      </c>
      <c r="E243" s="18"/>
      <c r="F243" s="174"/>
      <c r="G243" s="175"/>
      <c r="H243" s="195"/>
      <c r="I243" s="196"/>
      <c r="J243" s="196"/>
      <c r="K243" s="196"/>
      <c r="L243" s="174"/>
      <c r="M243" s="178"/>
      <c r="N243" s="179"/>
      <c r="O243" s="179" t="s">
        <v>227</v>
      </c>
    </row>
    <row r="244" spans="1:15" x14ac:dyDescent="0.15">
      <c r="A244" s="18"/>
      <c r="B2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244)),ROW(),"")</f>
        <v>244</v>
      </c>
      <c r="C244" s="13">
        <f t="shared" si="65"/>
        <v>0</v>
      </c>
      <c r="D244" s="84" t="str">
        <f t="shared" si="66"/>
        <v/>
      </c>
      <c r="E244" s="18"/>
      <c r="F244" s="174"/>
      <c r="G244" s="175"/>
      <c r="H244" s="195"/>
      <c r="I244" s="196"/>
      <c r="J244" s="196"/>
      <c r="K244" s="196"/>
      <c r="L244" s="174"/>
      <c r="M244" s="178"/>
      <c r="N244" s="179"/>
      <c r="O244" s="179" t="s">
        <v>227</v>
      </c>
    </row>
    <row r="245" spans="1:15" x14ac:dyDescent="0.15">
      <c r="A245" s="18"/>
      <c r="B2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245)),ROW(),"")</f>
        <v>245</v>
      </c>
      <c r="C245" s="13">
        <f t="shared" si="65"/>
        <v>0</v>
      </c>
      <c r="D245" s="84" t="str">
        <f t="shared" si="66"/>
        <v/>
      </c>
      <c r="E245" s="18"/>
      <c r="F245" s="174"/>
      <c r="G245" s="175"/>
      <c r="H245" s="195"/>
      <c r="I245" s="196"/>
      <c r="J245" s="196"/>
      <c r="K245" s="196"/>
      <c r="L245" s="174"/>
      <c r="M245" s="178"/>
      <c r="N245" s="179"/>
      <c r="O245" s="179" t="s">
        <v>227</v>
      </c>
    </row>
    <row r="246" spans="1:15" x14ac:dyDescent="0.15">
      <c r="A246" s="18"/>
      <c r="B2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246)),ROW(),"")</f>
        <v>246</v>
      </c>
      <c r="C246" s="13">
        <f t="shared" si="65"/>
        <v>0</v>
      </c>
      <c r="D246" s="84" t="str">
        <f t="shared" si="66"/>
        <v/>
      </c>
      <c r="E246" s="18"/>
      <c r="F246" s="174"/>
      <c r="G246" s="175"/>
      <c r="H246" s="195"/>
      <c r="I246" s="196"/>
      <c r="J246" s="196"/>
      <c r="K246" s="196"/>
      <c r="L246" s="174"/>
      <c r="M246" s="178"/>
      <c r="N246" s="179"/>
      <c r="O246" s="179" t="s">
        <v>227</v>
      </c>
    </row>
    <row r="247" spans="1:15" x14ac:dyDescent="0.15">
      <c r="A247" s="18"/>
      <c r="B2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247)),ROW(),"")</f>
        <v>247</v>
      </c>
      <c r="C247" s="13">
        <f t="shared" si="65"/>
        <v>0</v>
      </c>
      <c r="D247" s="84" t="str">
        <f t="shared" si="66"/>
        <v/>
      </c>
      <c r="E247" s="18"/>
      <c r="F247" s="174"/>
      <c r="G247" s="175"/>
      <c r="H247" s="195"/>
      <c r="I247" s="196"/>
      <c r="J247" s="196"/>
      <c r="K247" s="196"/>
      <c r="L247" s="174"/>
      <c r="M247" s="178"/>
      <c r="N247" s="179"/>
      <c r="O247" s="179" t="s">
        <v>227</v>
      </c>
    </row>
    <row r="248" spans="1:15" x14ac:dyDescent="0.15">
      <c r="A248" s="18"/>
      <c r="B2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248)),ROW(),"")</f>
        <v>248</v>
      </c>
      <c r="C248" s="13">
        <f t="shared" si="65"/>
        <v>0</v>
      </c>
      <c r="D248" s="84" t="str">
        <f t="shared" si="66"/>
        <v/>
      </c>
      <c r="E248" s="18"/>
      <c r="F248" s="174"/>
      <c r="G248" s="175"/>
      <c r="H248" s="195"/>
      <c r="I248" s="196"/>
      <c r="J248" s="196"/>
      <c r="K248" s="196"/>
      <c r="L248" s="174"/>
      <c r="M248" s="178"/>
      <c r="N248" s="179"/>
      <c r="O248" s="179" t="s">
        <v>227</v>
      </c>
    </row>
    <row r="249" spans="1:15" x14ac:dyDescent="0.15">
      <c r="A249" s="18"/>
      <c r="B2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249)),ROW(),"")</f>
        <v>249</v>
      </c>
      <c r="C249" s="13">
        <f t="shared" si="65"/>
        <v>0</v>
      </c>
      <c r="D249" s="84" t="str">
        <f t="shared" si="66"/>
        <v/>
      </c>
      <c r="E249" s="18"/>
      <c r="F249" s="174"/>
      <c r="G249" s="175"/>
      <c r="H249" s="195"/>
      <c r="I249" s="196"/>
      <c r="J249" s="196"/>
      <c r="K249" s="196"/>
      <c r="L249" s="174"/>
      <c r="M249" s="178"/>
      <c r="N249" s="179"/>
      <c r="O249" s="179" t="s">
        <v>227</v>
      </c>
    </row>
    <row r="250" spans="1:15" x14ac:dyDescent="0.15">
      <c r="A250" s="18"/>
      <c r="B2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250)),ROW(),"")</f>
        <v>250</v>
      </c>
      <c r="C250" s="13">
        <f t="shared" si="65"/>
        <v>0</v>
      </c>
      <c r="D250" s="84" t="str">
        <f t="shared" si="66"/>
        <v/>
      </c>
      <c r="E250" s="18"/>
      <c r="F250" s="174"/>
      <c r="G250" s="175"/>
      <c r="H250" s="195"/>
      <c r="I250" s="196"/>
      <c r="J250" s="196"/>
      <c r="K250" s="196"/>
      <c r="L250" s="174"/>
      <c r="M250" s="178"/>
      <c r="N250" s="179"/>
      <c r="O250" s="179" t="s">
        <v>227</v>
      </c>
    </row>
    <row r="251" spans="1:15" x14ac:dyDescent="0.15">
      <c r="A251" s="18"/>
      <c r="B2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251)),ROW(),"")</f>
        <v>251</v>
      </c>
      <c r="C251" s="13">
        <f t="shared" si="65"/>
        <v>0</v>
      </c>
      <c r="D251" s="84" t="str">
        <f t="shared" si="66"/>
        <v/>
      </c>
      <c r="E251" s="18"/>
      <c r="F251" s="174"/>
      <c r="G251" s="175"/>
      <c r="H251" s="195"/>
      <c r="I251" s="196"/>
      <c r="J251" s="196"/>
      <c r="K251" s="196"/>
      <c r="L251" s="174"/>
      <c r="M251" s="178"/>
      <c r="N251" s="179"/>
      <c r="O251" s="179" t="s">
        <v>227</v>
      </c>
    </row>
    <row r="252" spans="1:15" x14ac:dyDescent="0.15">
      <c r="A252" s="18"/>
      <c r="B2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252)),ROW(),"")</f>
        <v>252</v>
      </c>
      <c r="C252" s="13">
        <f t="shared" si="65"/>
        <v>0</v>
      </c>
      <c r="D252" s="84" t="str">
        <f t="shared" si="66"/>
        <v/>
      </c>
      <c r="E252" s="18"/>
      <c r="F252" s="174"/>
      <c r="G252" s="175"/>
      <c r="H252" s="195"/>
      <c r="I252" s="196"/>
      <c r="J252" s="196"/>
      <c r="K252" s="196"/>
      <c r="L252" s="174"/>
      <c r="M252" s="178"/>
      <c r="N252" s="179"/>
      <c r="O252" s="179" t="s">
        <v>227</v>
      </c>
    </row>
    <row r="253" spans="1:15" x14ac:dyDescent="0.15">
      <c r="A253" s="18"/>
      <c r="B2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253)),ROW(),"")</f>
        <v>253</v>
      </c>
      <c r="C253" s="13">
        <f t="shared" si="65"/>
        <v>0</v>
      </c>
      <c r="D253" s="84" t="str">
        <f t="shared" si="66"/>
        <v/>
      </c>
      <c r="E253" s="18"/>
      <c r="F253" s="174"/>
      <c r="G253" s="175"/>
      <c r="H253" s="195"/>
      <c r="I253" s="196"/>
      <c r="J253" s="196"/>
      <c r="K253" s="196"/>
      <c r="L253" s="174"/>
      <c r="M253" s="178"/>
      <c r="N253" s="179"/>
      <c r="O253" s="179" t="s">
        <v>227</v>
      </c>
    </row>
    <row r="254" spans="1:15" x14ac:dyDescent="0.15">
      <c r="A254" s="18"/>
      <c r="B2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254)),ROW(),"")</f>
        <v>254</v>
      </c>
      <c r="C254" s="13">
        <f t="shared" si="65"/>
        <v>0</v>
      </c>
      <c r="D254" s="84" t="str">
        <f t="shared" si="66"/>
        <v/>
      </c>
      <c r="E254" s="18"/>
      <c r="F254" s="174"/>
      <c r="G254" s="175"/>
      <c r="H254" s="195"/>
      <c r="I254" s="196"/>
      <c r="J254" s="196"/>
      <c r="K254" s="196"/>
      <c r="L254" s="174"/>
      <c r="M254" s="178"/>
      <c r="N254" s="179"/>
      <c r="O254" s="179" t="s">
        <v>227</v>
      </c>
    </row>
    <row r="255" spans="1:15" x14ac:dyDescent="0.15">
      <c r="A255" s="18"/>
      <c r="B2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255)),ROW(),"")</f>
        <v>255</v>
      </c>
      <c r="C255" s="13">
        <f t="shared" si="65"/>
        <v>0</v>
      </c>
      <c r="D255" s="84" t="str">
        <f t="shared" si="66"/>
        <v/>
      </c>
      <c r="E255" s="18"/>
      <c r="F255" s="174"/>
      <c r="G255" s="175"/>
      <c r="H255" s="195"/>
      <c r="I255" s="196"/>
      <c r="J255" s="196"/>
      <c r="K255" s="196"/>
      <c r="L255" s="174"/>
      <c r="M255" s="178"/>
      <c r="N255" s="179"/>
      <c r="O255" s="179" t="s">
        <v>227</v>
      </c>
    </row>
    <row r="256" spans="1:15" x14ac:dyDescent="0.15">
      <c r="A256" s="18"/>
      <c r="B2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256)),ROW(),"")</f>
        <v>256</v>
      </c>
      <c r="C256" s="13">
        <f t="shared" si="65"/>
        <v>0</v>
      </c>
      <c r="D256" s="84" t="str">
        <f t="shared" si="66"/>
        <v/>
      </c>
      <c r="E256" s="18"/>
      <c r="F256" s="174"/>
      <c r="G256" s="175"/>
      <c r="H256" s="195"/>
      <c r="I256" s="196"/>
      <c r="J256" s="196"/>
      <c r="K256" s="196"/>
      <c r="L256" s="174"/>
      <c r="M256" s="178"/>
      <c r="N256" s="179"/>
      <c r="O256" s="179" t="s">
        <v>227</v>
      </c>
    </row>
    <row r="257" spans="1:15" x14ac:dyDescent="0.15">
      <c r="A257" s="18"/>
      <c r="B2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257)),ROW(),"")</f>
        <v>257</v>
      </c>
      <c r="C257" s="13">
        <f t="shared" si="65"/>
        <v>0</v>
      </c>
      <c r="D257" s="84" t="str">
        <f t="shared" si="66"/>
        <v/>
      </c>
      <c r="E257" s="18"/>
      <c r="F257" s="174"/>
      <c r="G257" s="175"/>
      <c r="H257" s="195"/>
      <c r="I257" s="196"/>
      <c r="J257" s="196"/>
      <c r="K257" s="196"/>
      <c r="L257" s="174"/>
      <c r="M257" s="178"/>
      <c r="N257" s="179"/>
      <c r="O257" s="179" t="s">
        <v>227</v>
      </c>
    </row>
    <row r="258" spans="1:15" x14ac:dyDescent="0.15">
      <c r="A258" s="18"/>
      <c r="B2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258)),ROW(),"")</f>
        <v>258</v>
      </c>
      <c r="C258" s="13">
        <f t="shared" si="65"/>
        <v>0</v>
      </c>
      <c r="D258" s="84" t="str">
        <f t="shared" si="66"/>
        <v/>
      </c>
      <c r="E258" s="18"/>
      <c r="F258" s="174"/>
      <c r="G258" s="175"/>
      <c r="H258" s="195"/>
      <c r="I258" s="196"/>
      <c r="J258" s="196"/>
      <c r="K258" s="196"/>
      <c r="L258" s="174"/>
      <c r="M258" s="178"/>
      <c r="N258" s="179"/>
      <c r="O258" s="179" t="s">
        <v>227</v>
      </c>
    </row>
    <row r="259" spans="1:15" x14ac:dyDescent="0.15">
      <c r="A259" s="18"/>
      <c r="B2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259)),ROW(),"")</f>
        <v>259</v>
      </c>
      <c r="C259" s="13">
        <f t="shared" si="65"/>
        <v>0</v>
      </c>
      <c r="D259" s="84" t="str">
        <f t="shared" si="66"/>
        <v/>
      </c>
      <c r="E259" s="18"/>
      <c r="F259" s="174"/>
      <c r="G259" s="175"/>
      <c r="H259" s="195"/>
      <c r="I259" s="196"/>
      <c r="J259" s="196"/>
      <c r="K259" s="196"/>
      <c r="L259" s="174"/>
      <c r="M259" s="178"/>
      <c r="N259" s="179"/>
      <c r="O259" s="179" t="s">
        <v>227</v>
      </c>
    </row>
    <row r="260" spans="1:15" x14ac:dyDescent="0.15">
      <c r="A260" s="18"/>
      <c r="B2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260)),ROW(),"")</f>
        <v>260</v>
      </c>
      <c r="C260" s="13">
        <f t="shared" si="65"/>
        <v>0</v>
      </c>
      <c r="D260" s="84" t="str">
        <f t="shared" si="66"/>
        <v/>
      </c>
      <c r="E260" s="18"/>
      <c r="F260" s="174"/>
      <c r="G260" s="175"/>
      <c r="H260" s="195"/>
      <c r="I260" s="196"/>
      <c r="J260" s="196"/>
      <c r="K260" s="196"/>
      <c r="L260" s="174"/>
      <c r="M260" s="178"/>
      <c r="N260" s="179"/>
      <c r="O260" s="179" t="s">
        <v>227</v>
      </c>
    </row>
    <row r="261" spans="1:15" x14ac:dyDescent="0.15">
      <c r="A261" s="18"/>
      <c r="B2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261)),ROW(),"")</f>
        <v>261</v>
      </c>
      <c r="C261" s="13">
        <f t="shared" si="65"/>
        <v>0</v>
      </c>
      <c r="D261" s="84" t="str">
        <f t="shared" si="66"/>
        <v/>
      </c>
      <c r="E261" s="18"/>
      <c r="F261" s="174"/>
      <c r="G261" s="175"/>
      <c r="H261" s="195"/>
      <c r="I261" s="196"/>
      <c r="J261" s="196"/>
      <c r="K261" s="196"/>
      <c r="L261" s="174"/>
      <c r="M261" s="178"/>
      <c r="N261" s="179"/>
      <c r="O261" s="179" t="s">
        <v>227</v>
      </c>
    </row>
    <row r="262" spans="1:15" x14ac:dyDescent="0.15">
      <c r="A262" s="18"/>
      <c r="B2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262)),ROW(),"")</f>
        <v>262</v>
      </c>
      <c r="C262" s="13">
        <f t="shared" si="65"/>
        <v>0</v>
      </c>
      <c r="D262" s="84" t="str">
        <f t="shared" si="66"/>
        <v/>
      </c>
      <c r="E262" s="18"/>
      <c r="F262" s="174"/>
      <c r="G262" s="175"/>
      <c r="H262" s="195"/>
      <c r="I262" s="196"/>
      <c r="J262" s="196"/>
      <c r="K262" s="196"/>
      <c r="L262" s="174"/>
      <c r="M262" s="178"/>
      <c r="N262" s="179"/>
      <c r="O262" s="179" t="s">
        <v>227</v>
      </c>
    </row>
    <row r="263" spans="1:15" x14ac:dyDescent="0.15">
      <c r="A263" s="18"/>
      <c r="B2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263)),ROW(),"")</f>
        <v>263</v>
      </c>
      <c r="C263" s="13">
        <f t="shared" si="65"/>
        <v>0</v>
      </c>
      <c r="D263" s="84" t="str">
        <f t="shared" si="66"/>
        <v/>
      </c>
      <c r="E263" s="18"/>
      <c r="F263" s="174"/>
      <c r="G263" s="175"/>
      <c r="H263" s="195"/>
      <c r="I263" s="196"/>
      <c r="J263" s="196"/>
      <c r="K263" s="196"/>
      <c r="L263" s="174"/>
      <c r="M263" s="178"/>
      <c r="N263" s="179"/>
      <c r="O263" s="179" t="s">
        <v>227</v>
      </c>
    </row>
    <row r="264" spans="1:15" x14ac:dyDescent="0.15">
      <c r="A264" s="18"/>
      <c r="B2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264)),ROW(),"")</f>
        <v>264</v>
      </c>
      <c r="C264" s="13">
        <f t="shared" si="65"/>
        <v>0</v>
      </c>
      <c r="D264" s="84" t="str">
        <f t="shared" si="66"/>
        <v/>
      </c>
      <c r="E264" s="18"/>
      <c r="F264" s="174"/>
      <c r="G264" s="175"/>
      <c r="H264" s="195"/>
      <c r="I264" s="196"/>
      <c r="J264" s="196"/>
      <c r="K264" s="196"/>
      <c r="L264" s="174"/>
      <c r="M264" s="178"/>
      <c r="N264" s="179"/>
      <c r="O264" s="179" t="s">
        <v>227</v>
      </c>
    </row>
    <row r="265" spans="1:15" x14ac:dyDescent="0.15">
      <c r="A265" s="18"/>
      <c r="B2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265)),ROW(),"")</f>
        <v>265</v>
      </c>
      <c r="C265" s="13">
        <f t="shared" si="65"/>
        <v>0</v>
      </c>
      <c r="D265" s="84" t="str">
        <f t="shared" si="66"/>
        <v/>
      </c>
      <c r="E265" s="18"/>
      <c r="F265" s="174"/>
      <c r="G265" s="175"/>
      <c r="H265" s="195"/>
      <c r="I265" s="196"/>
      <c r="J265" s="196"/>
      <c r="K265" s="196"/>
      <c r="L265" s="174"/>
      <c r="M265" s="178"/>
      <c r="N265" s="179"/>
      <c r="O265" s="179" t="s">
        <v>227</v>
      </c>
    </row>
    <row r="266" spans="1:15" x14ac:dyDescent="0.15">
      <c r="A266" s="18"/>
      <c r="B2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266)),ROW(),"")</f>
        <v>266</v>
      </c>
      <c r="C266" s="13">
        <f t="shared" si="65"/>
        <v>0</v>
      </c>
      <c r="D266" s="84" t="str">
        <f t="shared" si="66"/>
        <v/>
      </c>
      <c r="E266" s="18"/>
      <c r="F266" s="174"/>
      <c r="G266" s="175"/>
      <c r="H266" s="195"/>
      <c r="I266" s="196"/>
      <c r="J266" s="196"/>
      <c r="K266" s="196"/>
      <c r="L266" s="174"/>
      <c r="M266" s="178"/>
      <c r="N266" s="179"/>
      <c r="O266" s="179" t="s">
        <v>227</v>
      </c>
    </row>
    <row r="267" spans="1:15" x14ac:dyDescent="0.15">
      <c r="A267" s="18"/>
      <c r="B2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267)),ROW(),"")</f>
        <v>267</v>
      </c>
      <c r="C267" s="13">
        <f t="shared" si="65"/>
        <v>0</v>
      </c>
      <c r="D267" s="84" t="str">
        <f t="shared" si="66"/>
        <v/>
      </c>
      <c r="E267" s="18"/>
      <c r="F267" s="174"/>
      <c r="G267" s="175"/>
      <c r="H267" s="195"/>
      <c r="I267" s="196"/>
      <c r="J267" s="196"/>
      <c r="K267" s="196"/>
      <c r="L267" s="174"/>
      <c r="M267" s="178"/>
      <c r="N267" s="179"/>
      <c r="O267" s="179" t="s">
        <v>227</v>
      </c>
    </row>
    <row r="268" spans="1:15" x14ac:dyDescent="0.15">
      <c r="A268" s="18"/>
      <c r="B2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268)),ROW(),"")</f>
        <v>268</v>
      </c>
      <c r="C268" s="13">
        <f t="shared" si="65"/>
        <v>0</v>
      </c>
      <c r="D268" s="84" t="str">
        <f t="shared" si="66"/>
        <v/>
      </c>
      <c r="E268" s="18"/>
      <c r="F268" s="174"/>
      <c r="G268" s="175"/>
      <c r="H268" s="195"/>
      <c r="I268" s="196"/>
      <c r="J268" s="196"/>
      <c r="K268" s="196"/>
      <c r="L268" s="174"/>
      <c r="M268" s="178"/>
      <c r="N268" s="179"/>
      <c r="O268" s="179" t="s">
        <v>227</v>
      </c>
    </row>
    <row r="269" spans="1:15" x14ac:dyDescent="0.15">
      <c r="A269" s="18"/>
      <c r="B2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269)),ROW(),"")</f>
        <v>269</v>
      </c>
      <c r="C269" s="13">
        <f t="shared" si="65"/>
        <v>0</v>
      </c>
      <c r="D269" s="84" t="str">
        <f t="shared" si="66"/>
        <v/>
      </c>
      <c r="E269" s="18"/>
      <c r="F269" s="174"/>
      <c r="G269" s="175"/>
      <c r="H269" s="195"/>
      <c r="I269" s="196"/>
      <c r="J269" s="196"/>
      <c r="K269" s="196"/>
      <c r="L269" s="174"/>
      <c r="M269" s="178"/>
      <c r="N269" s="179"/>
      <c r="O269" s="179" t="s">
        <v>227</v>
      </c>
    </row>
    <row r="270" spans="1:15" x14ac:dyDescent="0.15">
      <c r="A270" s="18"/>
      <c r="B2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270)),ROW(),"")</f>
        <v>270</v>
      </c>
      <c r="C270" s="13">
        <f t="shared" si="65"/>
        <v>0</v>
      </c>
      <c r="D270" s="84" t="str">
        <f t="shared" si="66"/>
        <v/>
      </c>
      <c r="E270" s="18"/>
      <c r="F270" s="174"/>
      <c r="G270" s="175"/>
      <c r="H270" s="195"/>
      <c r="I270" s="196"/>
      <c r="J270" s="196"/>
      <c r="K270" s="196"/>
      <c r="L270" s="174"/>
      <c r="M270" s="178"/>
      <c r="N270" s="179"/>
      <c r="O270" s="179" t="s">
        <v>227</v>
      </c>
    </row>
    <row r="271" spans="1:15" x14ac:dyDescent="0.15">
      <c r="A271" s="18"/>
      <c r="B2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271)),ROW(),"")</f>
        <v>271</v>
      </c>
      <c r="C271" s="13">
        <f t="shared" si="65"/>
        <v>0</v>
      </c>
      <c r="D271" s="84" t="str">
        <f t="shared" si="66"/>
        <v/>
      </c>
      <c r="E271" s="18"/>
      <c r="F271" s="174"/>
      <c r="G271" s="175"/>
      <c r="H271" s="195"/>
      <c r="I271" s="196"/>
      <c r="J271" s="196"/>
      <c r="K271" s="196"/>
      <c r="L271" s="174"/>
      <c r="M271" s="178"/>
      <c r="N271" s="179"/>
      <c r="O271" s="179" t="s">
        <v>227</v>
      </c>
    </row>
    <row r="272" spans="1:15" x14ac:dyDescent="0.15">
      <c r="A272" s="18"/>
      <c r="B2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272)),ROW(),"")</f>
        <v>272</v>
      </c>
      <c r="C272" s="13">
        <f t="shared" si="65"/>
        <v>0</v>
      </c>
      <c r="D272" s="84" t="str">
        <f t="shared" si="66"/>
        <v/>
      </c>
      <c r="E272" s="18"/>
      <c r="F272" s="174"/>
      <c r="G272" s="175"/>
      <c r="H272" s="195"/>
      <c r="I272" s="196"/>
      <c r="J272" s="196"/>
      <c r="K272" s="196"/>
      <c r="L272" s="174"/>
      <c r="M272" s="178"/>
      <c r="N272" s="179"/>
      <c r="O272" s="179" t="s">
        <v>227</v>
      </c>
    </row>
    <row r="273" spans="1:15" x14ac:dyDescent="0.15">
      <c r="A273" s="18"/>
      <c r="B2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273)),ROW(),"")</f>
        <v>273</v>
      </c>
      <c r="C273" s="13">
        <f t="shared" si="65"/>
        <v>0</v>
      </c>
      <c r="D273" s="84" t="str">
        <f t="shared" si="66"/>
        <v/>
      </c>
      <c r="E273" s="18"/>
      <c r="F273" s="174"/>
      <c r="G273" s="175"/>
      <c r="H273" s="195"/>
      <c r="I273" s="196"/>
      <c r="J273" s="196"/>
      <c r="K273" s="196"/>
      <c r="L273" s="174"/>
      <c r="M273" s="178"/>
      <c r="N273" s="179"/>
      <c r="O273" s="179" t="s">
        <v>227</v>
      </c>
    </row>
    <row r="274" spans="1:15" x14ac:dyDescent="0.15">
      <c r="A274" s="18"/>
      <c r="B2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274)),ROW(),"")</f>
        <v>274</v>
      </c>
      <c r="C274" s="13">
        <f t="shared" si="65"/>
        <v>0</v>
      </c>
      <c r="D274" s="84" t="str">
        <f t="shared" si="66"/>
        <v/>
      </c>
      <c r="E274" s="18"/>
      <c r="F274" s="174"/>
      <c r="G274" s="175"/>
      <c r="H274" s="195"/>
      <c r="I274" s="196"/>
      <c r="J274" s="196"/>
      <c r="K274" s="196"/>
      <c r="L274" s="174"/>
      <c r="M274" s="178"/>
      <c r="N274" s="179"/>
      <c r="O274" s="179" t="s">
        <v>227</v>
      </c>
    </row>
    <row r="275" spans="1:15" x14ac:dyDescent="0.15">
      <c r="A275" s="18"/>
      <c r="B2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275)),ROW(),"")</f>
        <v>275</v>
      </c>
      <c r="C275" s="13">
        <f t="shared" si="65"/>
        <v>0</v>
      </c>
      <c r="D275" s="84" t="str">
        <f t="shared" si="66"/>
        <v/>
      </c>
      <c r="E275" s="18"/>
      <c r="F275" s="174"/>
      <c r="G275" s="175"/>
      <c r="H275" s="195"/>
      <c r="I275" s="196"/>
      <c r="J275" s="196"/>
      <c r="K275" s="196"/>
      <c r="L275" s="174"/>
      <c r="M275" s="178"/>
      <c r="N275" s="179"/>
      <c r="O275" s="179" t="s">
        <v>227</v>
      </c>
    </row>
    <row r="276" spans="1:15" x14ac:dyDescent="0.15">
      <c r="A276" s="18"/>
      <c r="B2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276)),ROW(),"")</f>
        <v>276</v>
      </c>
      <c r="C276" s="13">
        <f t="shared" si="65"/>
        <v>0</v>
      </c>
      <c r="D276" s="84" t="str">
        <f t="shared" si="66"/>
        <v/>
      </c>
      <c r="E276" s="18"/>
      <c r="F276" s="174"/>
      <c r="G276" s="175"/>
      <c r="H276" s="195"/>
      <c r="I276" s="196"/>
      <c r="J276" s="196"/>
      <c r="K276" s="196"/>
      <c r="L276" s="174"/>
      <c r="M276" s="178"/>
      <c r="N276" s="179"/>
      <c r="O276" s="179" t="s">
        <v>227</v>
      </c>
    </row>
    <row r="277" spans="1:15" x14ac:dyDescent="0.15">
      <c r="A277" s="18"/>
      <c r="B2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277)),ROW(),"")</f>
        <v>277</v>
      </c>
      <c r="C277" s="13">
        <f t="shared" si="65"/>
        <v>0</v>
      </c>
      <c r="D277" s="84" t="str">
        <f t="shared" si="66"/>
        <v/>
      </c>
      <c r="E277" s="18"/>
      <c r="F277" s="174"/>
      <c r="G277" s="175"/>
      <c r="H277" s="195"/>
      <c r="I277" s="196"/>
      <c r="J277" s="196"/>
      <c r="K277" s="196"/>
      <c r="L277" s="174"/>
      <c r="M277" s="178"/>
      <c r="N277" s="179"/>
      <c r="O277" s="179" t="s">
        <v>227</v>
      </c>
    </row>
    <row r="278" spans="1:15" x14ac:dyDescent="0.15">
      <c r="A278" s="18"/>
      <c r="B2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278)),ROW(),"")</f>
        <v>278</v>
      </c>
      <c r="C278" s="13">
        <f t="shared" si="65"/>
        <v>0</v>
      </c>
      <c r="D278" s="84" t="str">
        <f t="shared" si="66"/>
        <v/>
      </c>
      <c r="E278" s="18"/>
      <c r="F278" s="174"/>
      <c r="G278" s="175"/>
      <c r="H278" s="195"/>
      <c r="I278" s="196"/>
      <c r="J278" s="196"/>
      <c r="K278" s="196"/>
      <c r="L278" s="174"/>
      <c r="M278" s="178"/>
      <c r="N278" s="179"/>
      <c r="O278" s="179" t="s">
        <v>227</v>
      </c>
    </row>
    <row r="279" spans="1:15" x14ac:dyDescent="0.15">
      <c r="A279" s="18"/>
      <c r="B2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279)),ROW(),"")</f>
        <v>279</v>
      </c>
      <c r="C279" s="13">
        <f t="shared" si="65"/>
        <v>0</v>
      </c>
      <c r="D279" s="84" t="str">
        <f t="shared" si="66"/>
        <v/>
      </c>
      <c r="E279" s="18"/>
      <c r="F279" s="174"/>
      <c r="G279" s="175"/>
      <c r="H279" s="195"/>
      <c r="I279" s="196"/>
      <c r="J279" s="196"/>
      <c r="K279" s="196"/>
      <c r="L279" s="174"/>
      <c r="M279" s="178"/>
      <c r="N279" s="179"/>
      <c r="O279" s="179" t="s">
        <v>227</v>
      </c>
    </row>
    <row r="280" spans="1:15" x14ac:dyDescent="0.15">
      <c r="A280" s="18"/>
      <c r="B2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280)),ROW(),"")</f>
        <v>280</v>
      </c>
      <c r="C280" s="13">
        <f t="shared" si="65"/>
        <v>0</v>
      </c>
      <c r="D280" s="84" t="str">
        <f t="shared" si="66"/>
        <v/>
      </c>
      <c r="E280" s="18"/>
      <c r="F280" s="174"/>
      <c r="G280" s="175"/>
      <c r="H280" s="195"/>
      <c r="I280" s="196"/>
      <c r="J280" s="196"/>
      <c r="K280" s="196"/>
      <c r="L280" s="174"/>
      <c r="M280" s="178"/>
      <c r="N280" s="179"/>
      <c r="O280" s="179" t="s">
        <v>227</v>
      </c>
    </row>
    <row r="281" spans="1:15" x14ac:dyDescent="0.15">
      <c r="A281" s="18"/>
      <c r="B2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281)),ROW(),"")</f>
        <v>281</v>
      </c>
      <c r="C281" s="13">
        <f t="shared" si="65"/>
        <v>0</v>
      </c>
      <c r="D281" s="84" t="str">
        <f t="shared" si="66"/>
        <v/>
      </c>
      <c r="E281" s="18"/>
      <c r="F281" s="174"/>
      <c r="G281" s="175"/>
      <c r="H281" s="195"/>
      <c r="I281" s="196"/>
      <c r="J281" s="196"/>
      <c r="K281" s="196"/>
      <c r="L281" s="174"/>
      <c r="M281" s="178"/>
      <c r="N281" s="179"/>
      <c r="O281" s="179" t="s">
        <v>227</v>
      </c>
    </row>
    <row r="282" spans="1:15" x14ac:dyDescent="0.15">
      <c r="A282" s="18"/>
      <c r="B2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282)),ROW(),"")</f>
        <v>282</v>
      </c>
      <c r="C282" s="13">
        <f t="shared" si="65"/>
        <v>0</v>
      </c>
      <c r="D282" s="84" t="str">
        <f t="shared" si="66"/>
        <v/>
      </c>
      <c r="E282" s="18"/>
      <c r="F282" s="174"/>
      <c r="G282" s="175"/>
      <c r="H282" s="195"/>
      <c r="I282" s="196"/>
      <c r="J282" s="196"/>
      <c r="K282" s="196"/>
      <c r="L282" s="174"/>
      <c r="M282" s="178"/>
      <c r="N282" s="179"/>
      <c r="O282" s="179" t="s">
        <v>227</v>
      </c>
    </row>
    <row r="283" spans="1:15" x14ac:dyDescent="0.15">
      <c r="A283" s="18"/>
      <c r="B2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283)),ROW(),"")</f>
        <v>283</v>
      </c>
      <c r="C283" s="13">
        <f t="shared" si="65"/>
        <v>0</v>
      </c>
      <c r="D283" s="84" t="str">
        <f t="shared" si="66"/>
        <v/>
      </c>
      <c r="E283" s="18"/>
      <c r="F283" s="174"/>
      <c r="G283" s="175"/>
      <c r="H283" s="195"/>
      <c r="I283" s="196"/>
      <c r="J283" s="196"/>
      <c r="K283" s="196"/>
      <c r="L283" s="174"/>
      <c r="M283" s="178"/>
      <c r="N283" s="179"/>
      <c r="O283" s="179" t="s">
        <v>227</v>
      </c>
    </row>
    <row r="284" spans="1:15" x14ac:dyDescent="0.15">
      <c r="A284" s="18"/>
      <c r="B2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284)),ROW(),"")</f>
        <v>284</v>
      </c>
      <c r="C284" s="13">
        <f t="shared" si="65"/>
        <v>0</v>
      </c>
      <c r="D284" s="84" t="str">
        <f t="shared" si="66"/>
        <v/>
      </c>
      <c r="E284" s="18"/>
      <c r="F284" s="174"/>
      <c r="G284" s="175"/>
      <c r="H284" s="195"/>
      <c r="I284" s="196"/>
      <c r="J284" s="196"/>
      <c r="K284" s="196"/>
      <c r="L284" s="174"/>
      <c r="M284" s="178"/>
      <c r="N284" s="179"/>
      <c r="O284" s="179" t="s">
        <v>227</v>
      </c>
    </row>
    <row r="285" spans="1:15" x14ac:dyDescent="0.15">
      <c r="A285" s="18"/>
      <c r="B2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285)),ROW(),"")</f>
        <v>285</v>
      </c>
      <c r="C285" s="13">
        <f t="shared" si="65"/>
        <v>0</v>
      </c>
      <c r="D285" s="84" t="str">
        <f t="shared" si="66"/>
        <v/>
      </c>
      <c r="E285" s="18"/>
      <c r="F285" s="174"/>
      <c r="G285" s="175"/>
      <c r="H285" s="195"/>
      <c r="I285" s="196"/>
      <c r="J285" s="196"/>
      <c r="K285" s="196"/>
      <c r="L285" s="174"/>
      <c r="M285" s="178"/>
      <c r="N285" s="179"/>
      <c r="O285" s="179" t="s">
        <v>227</v>
      </c>
    </row>
    <row r="286" spans="1:15" x14ac:dyDescent="0.15">
      <c r="A286" s="18"/>
      <c r="B2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286)),ROW(),"")</f>
        <v>286</v>
      </c>
      <c r="C286" s="13">
        <f t="shared" si="65"/>
        <v>0</v>
      </c>
      <c r="D286" s="84" t="str">
        <f t="shared" si="66"/>
        <v/>
      </c>
      <c r="E286" s="18"/>
      <c r="F286" s="174"/>
      <c r="G286" s="175"/>
      <c r="H286" s="195"/>
      <c r="I286" s="196"/>
      <c r="J286" s="196"/>
      <c r="K286" s="196"/>
      <c r="L286" s="174"/>
      <c r="M286" s="178"/>
      <c r="N286" s="179"/>
      <c r="O286" s="179" t="s">
        <v>227</v>
      </c>
    </row>
    <row r="287" spans="1:15" x14ac:dyDescent="0.15">
      <c r="A287" s="18"/>
      <c r="B2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287)),ROW(),"")</f>
        <v>287</v>
      </c>
      <c r="C287" s="13">
        <f t="shared" si="65"/>
        <v>0</v>
      </c>
      <c r="D287" s="84" t="str">
        <f t="shared" si="66"/>
        <v/>
      </c>
      <c r="E287" s="18"/>
      <c r="F287" s="174"/>
      <c r="G287" s="175"/>
      <c r="H287" s="195"/>
      <c r="I287" s="196"/>
      <c r="J287" s="196"/>
      <c r="K287" s="196"/>
      <c r="L287" s="174"/>
      <c r="M287" s="178"/>
      <c r="N287" s="179"/>
      <c r="O287" s="179" t="s">
        <v>227</v>
      </c>
    </row>
    <row r="288" spans="1:15" x14ac:dyDescent="0.15">
      <c r="A288" s="18"/>
      <c r="B2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288)),ROW(),"")</f>
        <v>288</v>
      </c>
      <c r="C288" s="13">
        <f t="shared" si="65"/>
        <v>0</v>
      </c>
      <c r="D288" s="84" t="str">
        <f t="shared" si="66"/>
        <v/>
      </c>
      <c r="E288" s="18"/>
      <c r="F288" s="174"/>
      <c r="G288" s="175"/>
      <c r="H288" s="195"/>
      <c r="I288" s="196"/>
      <c r="J288" s="196"/>
      <c r="K288" s="196"/>
      <c r="L288" s="174"/>
      <c r="M288" s="178"/>
      <c r="N288" s="179"/>
      <c r="O288" s="179" t="s">
        <v>227</v>
      </c>
    </row>
    <row r="289" spans="1:15" x14ac:dyDescent="0.15">
      <c r="A289" s="18"/>
      <c r="B2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289)),ROW(),"")</f>
        <v>289</v>
      </c>
      <c r="C289" s="13">
        <f t="shared" si="65"/>
        <v>0</v>
      </c>
      <c r="D289" s="84" t="str">
        <f t="shared" si="66"/>
        <v/>
      </c>
      <c r="E289" s="18"/>
      <c r="F289" s="174"/>
      <c r="G289" s="175"/>
      <c r="H289" s="195"/>
      <c r="I289" s="196"/>
      <c r="J289" s="196"/>
      <c r="K289" s="196"/>
      <c r="L289" s="174"/>
      <c r="M289" s="178"/>
      <c r="N289" s="179"/>
      <c r="O289" s="179" t="s">
        <v>227</v>
      </c>
    </row>
    <row r="290" spans="1:15" x14ac:dyDescent="0.15">
      <c r="A290" s="18"/>
      <c r="B2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290)),ROW(),"")</f>
        <v>290</v>
      </c>
      <c r="C290" s="13">
        <f t="shared" si="65"/>
        <v>0</v>
      </c>
      <c r="D290" s="84" t="str">
        <f t="shared" si="66"/>
        <v/>
      </c>
      <c r="E290" s="18"/>
      <c r="F290" s="174"/>
      <c r="G290" s="175"/>
      <c r="H290" s="195"/>
      <c r="I290" s="196"/>
      <c r="J290" s="196"/>
      <c r="K290" s="196"/>
      <c r="L290" s="174"/>
      <c r="M290" s="178"/>
      <c r="N290" s="179"/>
      <c r="O290" s="179" t="s">
        <v>227</v>
      </c>
    </row>
    <row r="291" spans="1:15" x14ac:dyDescent="0.15">
      <c r="A291" s="18"/>
      <c r="B2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291)),ROW(),"")</f>
        <v>291</v>
      </c>
      <c r="C291" s="13">
        <f t="shared" si="65"/>
        <v>0</v>
      </c>
      <c r="D291" s="84" t="str">
        <f t="shared" si="66"/>
        <v/>
      </c>
      <c r="E291" s="18"/>
      <c r="F291" s="174"/>
      <c r="G291" s="175"/>
      <c r="H291" s="195"/>
      <c r="I291" s="196"/>
      <c r="J291" s="196"/>
      <c r="K291" s="196"/>
      <c r="L291" s="174"/>
      <c r="M291" s="178"/>
      <c r="N291" s="179"/>
      <c r="O291" s="179" t="s">
        <v>227</v>
      </c>
    </row>
    <row r="292" spans="1:15" x14ac:dyDescent="0.15">
      <c r="A292" s="18"/>
      <c r="B2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292)),ROW(),"")</f>
        <v>292</v>
      </c>
      <c r="C292" s="13">
        <f t="shared" si="65"/>
        <v>0</v>
      </c>
      <c r="D292" s="84" t="str">
        <f t="shared" si="66"/>
        <v/>
      </c>
      <c r="E292" s="18"/>
      <c r="F292" s="174"/>
      <c r="G292" s="175"/>
      <c r="H292" s="195"/>
      <c r="I292" s="196"/>
      <c r="J292" s="196"/>
      <c r="K292" s="196"/>
      <c r="L292" s="174"/>
      <c r="M292" s="178"/>
      <c r="N292" s="179"/>
      <c r="O292" s="179" t="s">
        <v>227</v>
      </c>
    </row>
    <row r="293" spans="1:15" x14ac:dyDescent="0.15">
      <c r="A293" s="18"/>
      <c r="B2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293)),ROW(),"")</f>
        <v>293</v>
      </c>
      <c r="C293" s="13">
        <f t="shared" si="65"/>
        <v>0</v>
      </c>
      <c r="D293" s="84" t="str">
        <f t="shared" si="66"/>
        <v/>
      </c>
      <c r="E293" s="18"/>
      <c r="F293" s="174"/>
      <c r="G293" s="175"/>
      <c r="H293" s="195"/>
      <c r="I293" s="196"/>
      <c r="J293" s="196"/>
      <c r="K293" s="196"/>
      <c r="L293" s="174"/>
      <c r="M293" s="178"/>
      <c r="N293" s="179"/>
      <c r="O293" s="179" t="s">
        <v>227</v>
      </c>
    </row>
    <row r="294" spans="1:15" x14ac:dyDescent="0.15">
      <c r="A294" s="18"/>
      <c r="B2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294)),ROW(),"")</f>
        <v>294</v>
      </c>
      <c r="C294" s="13">
        <f t="shared" si="65"/>
        <v>0</v>
      </c>
      <c r="D294" s="84" t="str">
        <f t="shared" si="66"/>
        <v/>
      </c>
      <c r="E294" s="18"/>
      <c r="F294" s="174"/>
      <c r="G294" s="175"/>
      <c r="H294" s="195"/>
      <c r="I294" s="196"/>
      <c r="J294" s="196"/>
      <c r="K294" s="196"/>
      <c r="L294" s="174"/>
      <c r="M294" s="178"/>
      <c r="N294" s="179"/>
      <c r="O294" s="179" t="s">
        <v>227</v>
      </c>
    </row>
    <row r="295" spans="1:15" x14ac:dyDescent="0.15">
      <c r="A295" s="18"/>
      <c r="B2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295)),ROW(),"")</f>
        <v>295</v>
      </c>
      <c r="C295" s="13">
        <f t="shared" si="65"/>
        <v>0</v>
      </c>
      <c r="D295" s="84" t="str">
        <f t="shared" si="66"/>
        <v/>
      </c>
      <c r="E295" s="18"/>
      <c r="F295" s="174"/>
      <c r="G295" s="175"/>
      <c r="H295" s="195"/>
      <c r="I295" s="196"/>
      <c r="J295" s="196"/>
      <c r="K295" s="196"/>
      <c r="L295" s="174"/>
      <c r="M295" s="178"/>
      <c r="N295" s="179"/>
      <c r="O295" s="179" t="s">
        <v>227</v>
      </c>
    </row>
    <row r="296" spans="1:15" x14ac:dyDescent="0.15">
      <c r="A296" s="18"/>
      <c r="B2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296)),ROW(),"")</f>
        <v>296</v>
      </c>
      <c r="C296" s="13">
        <f t="shared" si="65"/>
        <v>0</v>
      </c>
      <c r="D296" s="84" t="str">
        <f t="shared" si="66"/>
        <v/>
      </c>
      <c r="E296" s="18"/>
      <c r="F296" s="174"/>
      <c r="G296" s="175"/>
      <c r="H296" s="195"/>
      <c r="I296" s="196"/>
      <c r="J296" s="196"/>
      <c r="K296" s="196"/>
      <c r="L296" s="174"/>
      <c r="M296" s="178"/>
      <c r="N296" s="179"/>
      <c r="O296" s="179" t="s">
        <v>227</v>
      </c>
    </row>
    <row r="297" spans="1:15" x14ac:dyDescent="0.15">
      <c r="A297" s="18"/>
      <c r="B2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297)),ROW(),"")</f>
        <v>297</v>
      </c>
      <c r="C297" s="13">
        <f t="shared" si="65"/>
        <v>0</v>
      </c>
      <c r="D297" s="84" t="str">
        <f t="shared" si="66"/>
        <v/>
      </c>
      <c r="E297" s="18"/>
      <c r="F297" s="174"/>
      <c r="G297" s="175"/>
      <c r="H297" s="195"/>
      <c r="I297" s="196"/>
      <c r="J297" s="196"/>
      <c r="K297" s="196"/>
      <c r="L297" s="174"/>
      <c r="M297" s="178"/>
      <c r="N297" s="179"/>
      <c r="O297" s="179" t="s">
        <v>227</v>
      </c>
    </row>
    <row r="298" spans="1:15" x14ac:dyDescent="0.15">
      <c r="A298" s="18"/>
      <c r="B2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298)),ROW(),"")</f>
        <v>298</v>
      </c>
      <c r="C298" s="13">
        <f t="shared" si="65"/>
        <v>0</v>
      </c>
      <c r="D298" s="84" t="str">
        <f t="shared" si="66"/>
        <v/>
      </c>
      <c r="E298" s="18"/>
      <c r="F298" s="174"/>
      <c r="G298" s="175"/>
      <c r="H298" s="195"/>
      <c r="I298" s="196"/>
      <c r="J298" s="196"/>
      <c r="K298" s="196"/>
      <c r="L298" s="174"/>
      <c r="M298" s="178"/>
      <c r="N298" s="179"/>
      <c r="O298" s="179" t="s">
        <v>227</v>
      </c>
    </row>
    <row r="299" spans="1:15" x14ac:dyDescent="0.15">
      <c r="A299" s="18"/>
      <c r="B2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299)),ROW(),"")</f>
        <v>299</v>
      </c>
      <c r="C299" s="13">
        <f t="shared" si="65"/>
        <v>0</v>
      </c>
      <c r="D299" s="84" t="str">
        <f t="shared" si="66"/>
        <v/>
      </c>
      <c r="E299" s="18"/>
      <c r="F299" s="174"/>
      <c r="G299" s="175"/>
      <c r="H299" s="195"/>
      <c r="I299" s="196"/>
      <c r="J299" s="196"/>
      <c r="K299" s="196"/>
      <c r="L299" s="174"/>
      <c r="M299" s="178"/>
      <c r="N299" s="179"/>
      <c r="O299" s="179" t="s">
        <v>227</v>
      </c>
    </row>
    <row r="300" spans="1:15" x14ac:dyDescent="0.15">
      <c r="A300" s="18"/>
      <c r="B3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300)),ROW(),"")</f>
        <v>300</v>
      </c>
      <c r="C300" s="13">
        <f t="shared" si="65"/>
        <v>0</v>
      </c>
      <c r="D300" s="84" t="str">
        <f t="shared" si="66"/>
        <v/>
      </c>
      <c r="E300" s="18"/>
      <c r="F300" s="174"/>
      <c r="G300" s="175"/>
      <c r="H300" s="195"/>
      <c r="I300" s="196"/>
      <c r="J300" s="196"/>
      <c r="K300" s="196"/>
      <c r="L300" s="174"/>
      <c r="M300" s="178"/>
      <c r="N300" s="179"/>
      <c r="O300" s="179" t="s">
        <v>227</v>
      </c>
    </row>
    <row r="301" spans="1:15" x14ac:dyDescent="0.15">
      <c r="A301" s="18"/>
      <c r="B3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301)),ROW(),"")</f>
        <v>301</v>
      </c>
      <c r="C301" s="13">
        <f t="shared" si="65"/>
        <v>0</v>
      </c>
      <c r="D301" s="84" t="str">
        <f t="shared" si="66"/>
        <v/>
      </c>
      <c r="E301" s="18"/>
      <c r="F301" s="174"/>
      <c r="G301" s="175"/>
      <c r="H301" s="195"/>
      <c r="I301" s="196"/>
      <c r="J301" s="196"/>
      <c r="K301" s="196"/>
      <c r="L301" s="174"/>
      <c r="M301" s="178"/>
      <c r="N301" s="179"/>
      <c r="O301" s="179" t="s">
        <v>227</v>
      </c>
    </row>
    <row r="302" spans="1:15" x14ac:dyDescent="0.15">
      <c r="A302" s="18"/>
      <c r="B3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302)),ROW(),"")</f>
        <v>302</v>
      </c>
      <c r="C302" s="13">
        <f t="shared" si="65"/>
        <v>0</v>
      </c>
      <c r="D302" s="84" t="str">
        <f t="shared" si="66"/>
        <v/>
      </c>
      <c r="E302" s="18"/>
      <c r="F302" s="174"/>
      <c r="G302" s="175"/>
      <c r="H302" s="195"/>
      <c r="I302" s="196"/>
      <c r="J302" s="196"/>
      <c r="K302" s="196"/>
      <c r="L302" s="174"/>
      <c r="M302" s="178"/>
      <c r="N302" s="179"/>
      <c r="O302" s="179" t="s">
        <v>227</v>
      </c>
    </row>
    <row r="303" spans="1:15" x14ac:dyDescent="0.15">
      <c r="A303" s="18"/>
      <c r="B3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303)),ROW(),"")</f>
        <v>303</v>
      </c>
      <c r="C303" s="13">
        <f t="shared" ref="C303:C366" si="67">INDEX(A:A,SMALL($B$3:$B$1039,ROW(A301)))</f>
        <v>0</v>
      </c>
      <c r="D303" s="84" t="str">
        <f t="shared" ref="D303:D366" si="68">PHONETIC(A303)</f>
        <v/>
      </c>
      <c r="E303" s="18"/>
      <c r="F303" s="174"/>
      <c r="G303" s="175"/>
      <c r="H303" s="195"/>
      <c r="I303" s="196"/>
      <c r="J303" s="196"/>
      <c r="K303" s="196"/>
      <c r="L303" s="174"/>
      <c r="M303" s="178"/>
      <c r="N303" s="179"/>
      <c r="O303" s="179" t="s">
        <v>227</v>
      </c>
    </row>
    <row r="304" spans="1:15" x14ac:dyDescent="0.15">
      <c r="A304" s="18"/>
      <c r="B3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304)),ROW(),"")</f>
        <v>304</v>
      </c>
      <c r="C304" s="13">
        <f t="shared" si="67"/>
        <v>0</v>
      </c>
      <c r="D304" s="84" t="str">
        <f t="shared" si="68"/>
        <v/>
      </c>
      <c r="E304" s="18"/>
      <c r="F304" s="174"/>
      <c r="G304" s="175"/>
      <c r="H304" s="195"/>
      <c r="I304" s="196"/>
      <c r="J304" s="196"/>
      <c r="K304" s="196"/>
      <c r="L304" s="174"/>
      <c r="M304" s="178"/>
      <c r="N304" s="179"/>
      <c r="O304" s="179" t="s">
        <v>227</v>
      </c>
    </row>
    <row r="305" spans="1:15" x14ac:dyDescent="0.15">
      <c r="A305" s="18"/>
      <c r="B3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305)),ROW(),"")</f>
        <v>305</v>
      </c>
      <c r="C305" s="13">
        <f t="shared" si="67"/>
        <v>0</v>
      </c>
      <c r="D305" s="84" t="str">
        <f t="shared" si="68"/>
        <v/>
      </c>
      <c r="E305" s="18"/>
      <c r="F305" s="174"/>
      <c r="G305" s="175"/>
      <c r="H305" s="195"/>
      <c r="I305" s="196"/>
      <c r="J305" s="196"/>
      <c r="K305" s="196"/>
      <c r="L305" s="174"/>
      <c r="M305" s="178"/>
      <c r="N305" s="179"/>
      <c r="O305" s="179" t="s">
        <v>227</v>
      </c>
    </row>
    <row r="306" spans="1:15" x14ac:dyDescent="0.15">
      <c r="A306" s="18"/>
      <c r="B3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306)),ROW(),"")</f>
        <v>306</v>
      </c>
      <c r="C306" s="13">
        <f t="shared" si="67"/>
        <v>0</v>
      </c>
      <c r="D306" s="84" t="str">
        <f t="shared" si="68"/>
        <v/>
      </c>
      <c r="E306" s="18"/>
      <c r="F306" s="174"/>
      <c r="G306" s="175"/>
      <c r="H306" s="195"/>
      <c r="I306" s="196"/>
      <c r="J306" s="196"/>
      <c r="K306" s="196"/>
      <c r="L306" s="174"/>
      <c r="M306" s="178"/>
      <c r="N306" s="179"/>
      <c r="O306" s="179" t="s">
        <v>227</v>
      </c>
    </row>
    <row r="307" spans="1:15" x14ac:dyDescent="0.15">
      <c r="A307" s="18"/>
      <c r="B3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307)),ROW(),"")</f>
        <v>307</v>
      </c>
      <c r="C307" s="13">
        <f t="shared" si="67"/>
        <v>0</v>
      </c>
      <c r="D307" s="84" t="str">
        <f t="shared" si="68"/>
        <v/>
      </c>
      <c r="E307" s="18"/>
      <c r="F307" s="174"/>
      <c r="G307" s="175"/>
      <c r="H307" s="195"/>
      <c r="I307" s="196"/>
      <c r="J307" s="196"/>
      <c r="K307" s="196"/>
      <c r="L307" s="174"/>
      <c r="M307" s="178"/>
      <c r="N307" s="179"/>
      <c r="O307" s="179" t="s">
        <v>227</v>
      </c>
    </row>
    <row r="308" spans="1:15" x14ac:dyDescent="0.15">
      <c r="A308" s="18"/>
      <c r="B3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308)),ROW(),"")</f>
        <v>308</v>
      </c>
      <c r="C308" s="13">
        <f t="shared" si="67"/>
        <v>0</v>
      </c>
      <c r="D308" s="84" t="str">
        <f t="shared" si="68"/>
        <v/>
      </c>
      <c r="E308" s="18"/>
      <c r="F308" s="174"/>
      <c r="G308" s="175"/>
      <c r="H308" s="195"/>
      <c r="I308" s="196"/>
      <c r="J308" s="196"/>
      <c r="K308" s="196"/>
      <c r="L308" s="174"/>
      <c r="M308" s="178"/>
      <c r="N308" s="179"/>
      <c r="O308" s="179" t="s">
        <v>227</v>
      </c>
    </row>
    <row r="309" spans="1:15" x14ac:dyDescent="0.15">
      <c r="A309" s="18"/>
      <c r="B3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309)),ROW(),"")</f>
        <v>309</v>
      </c>
      <c r="C309" s="13">
        <f t="shared" si="67"/>
        <v>0</v>
      </c>
      <c r="D309" s="84" t="str">
        <f t="shared" si="68"/>
        <v/>
      </c>
      <c r="E309" s="18"/>
      <c r="F309" s="174"/>
      <c r="G309" s="175"/>
      <c r="H309" s="195"/>
      <c r="I309" s="196"/>
      <c r="J309" s="196"/>
      <c r="K309" s="196"/>
      <c r="L309" s="174"/>
      <c r="M309" s="178"/>
      <c r="N309" s="179"/>
      <c r="O309" s="179" t="s">
        <v>227</v>
      </c>
    </row>
    <row r="310" spans="1:15" x14ac:dyDescent="0.15">
      <c r="A310" s="18"/>
      <c r="B3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310)),ROW(),"")</f>
        <v>310</v>
      </c>
      <c r="C310" s="13">
        <f t="shared" si="67"/>
        <v>0</v>
      </c>
      <c r="D310" s="84" t="str">
        <f t="shared" si="68"/>
        <v/>
      </c>
      <c r="E310" s="18"/>
      <c r="F310" s="174"/>
      <c r="G310" s="175"/>
      <c r="H310" s="195"/>
      <c r="I310" s="196"/>
      <c r="J310" s="196"/>
      <c r="K310" s="196"/>
      <c r="L310" s="174"/>
      <c r="M310" s="178"/>
      <c r="N310" s="179"/>
      <c r="O310" s="179" t="s">
        <v>227</v>
      </c>
    </row>
    <row r="311" spans="1:15" x14ac:dyDescent="0.15">
      <c r="A311" s="18"/>
      <c r="B3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311)),ROW(),"")</f>
        <v>311</v>
      </c>
      <c r="C311" s="13">
        <f t="shared" si="67"/>
        <v>0</v>
      </c>
      <c r="D311" s="84" t="str">
        <f t="shared" si="68"/>
        <v/>
      </c>
      <c r="E311" s="18"/>
      <c r="F311" s="174"/>
      <c r="G311" s="175"/>
      <c r="H311" s="195"/>
      <c r="I311" s="196"/>
      <c r="J311" s="196"/>
      <c r="K311" s="196"/>
      <c r="L311" s="174"/>
      <c r="M311" s="178"/>
      <c r="N311" s="179"/>
      <c r="O311" s="179" t="s">
        <v>227</v>
      </c>
    </row>
    <row r="312" spans="1:15" x14ac:dyDescent="0.15">
      <c r="A312" s="18"/>
      <c r="B3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312)),ROW(),"")</f>
        <v>312</v>
      </c>
      <c r="C312" s="13">
        <f t="shared" si="67"/>
        <v>0</v>
      </c>
      <c r="D312" s="84" t="str">
        <f t="shared" si="68"/>
        <v/>
      </c>
      <c r="E312" s="18"/>
      <c r="F312" s="174"/>
      <c r="G312" s="175"/>
      <c r="H312" s="195"/>
      <c r="I312" s="196"/>
      <c r="J312" s="196"/>
      <c r="K312" s="196"/>
      <c r="L312" s="174"/>
      <c r="M312" s="178"/>
      <c r="N312" s="179"/>
      <c r="O312" s="179" t="s">
        <v>227</v>
      </c>
    </row>
    <row r="313" spans="1:15" x14ac:dyDescent="0.15">
      <c r="A313" s="18"/>
      <c r="B3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313)),ROW(),"")</f>
        <v>313</v>
      </c>
      <c r="C313" s="13">
        <f t="shared" si="67"/>
        <v>0</v>
      </c>
      <c r="D313" s="84" t="str">
        <f t="shared" si="68"/>
        <v/>
      </c>
      <c r="E313" s="18"/>
      <c r="F313" s="174"/>
      <c r="G313" s="175"/>
      <c r="H313" s="195"/>
      <c r="I313" s="196"/>
      <c r="J313" s="196"/>
      <c r="K313" s="196"/>
      <c r="L313" s="174"/>
      <c r="M313" s="178"/>
      <c r="N313" s="179"/>
      <c r="O313" s="179" t="s">
        <v>227</v>
      </c>
    </row>
    <row r="314" spans="1:15" x14ac:dyDescent="0.15">
      <c r="A314" s="18"/>
      <c r="B3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314)),ROW(),"")</f>
        <v>314</v>
      </c>
      <c r="C314" s="13">
        <f t="shared" si="67"/>
        <v>0</v>
      </c>
      <c r="D314" s="84" t="str">
        <f t="shared" si="68"/>
        <v/>
      </c>
      <c r="E314" s="18"/>
      <c r="F314" s="174"/>
      <c r="G314" s="175"/>
      <c r="H314" s="195"/>
      <c r="I314" s="196"/>
      <c r="J314" s="196"/>
      <c r="K314" s="196"/>
      <c r="L314" s="174"/>
      <c r="M314" s="178"/>
      <c r="N314" s="179"/>
      <c r="O314" s="179" t="s">
        <v>227</v>
      </c>
    </row>
    <row r="315" spans="1:15" x14ac:dyDescent="0.15">
      <c r="A315" s="18"/>
      <c r="B3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315)),ROW(),"")</f>
        <v>315</v>
      </c>
      <c r="C315" s="13">
        <f t="shared" si="67"/>
        <v>0</v>
      </c>
      <c r="D315" s="84" t="str">
        <f t="shared" si="68"/>
        <v/>
      </c>
      <c r="E315" s="18"/>
      <c r="F315" s="174"/>
      <c r="G315" s="175"/>
      <c r="H315" s="195"/>
      <c r="I315" s="196"/>
      <c r="J315" s="196"/>
      <c r="K315" s="196"/>
      <c r="L315" s="174"/>
      <c r="M315" s="178"/>
      <c r="N315" s="179"/>
      <c r="O315" s="179" t="s">
        <v>227</v>
      </c>
    </row>
    <row r="316" spans="1:15" x14ac:dyDescent="0.15">
      <c r="A316" s="18"/>
      <c r="B3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316)),ROW(),"")</f>
        <v>316</v>
      </c>
      <c r="C316" s="13">
        <f t="shared" si="67"/>
        <v>0</v>
      </c>
      <c r="D316" s="84" t="str">
        <f t="shared" si="68"/>
        <v/>
      </c>
      <c r="E316" s="18"/>
      <c r="F316" s="174"/>
      <c r="G316" s="175"/>
      <c r="H316" s="195"/>
      <c r="I316" s="196"/>
      <c r="J316" s="196"/>
      <c r="K316" s="196"/>
      <c r="L316" s="174"/>
      <c r="M316" s="178"/>
      <c r="N316" s="179"/>
      <c r="O316" s="179" t="s">
        <v>227</v>
      </c>
    </row>
    <row r="317" spans="1:15" x14ac:dyDescent="0.15">
      <c r="A317" s="18"/>
      <c r="B3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317)),ROW(),"")</f>
        <v>317</v>
      </c>
      <c r="C317" s="13">
        <f t="shared" si="67"/>
        <v>0</v>
      </c>
      <c r="D317" s="84" t="str">
        <f t="shared" si="68"/>
        <v/>
      </c>
      <c r="E317" s="18"/>
      <c r="F317" s="174"/>
      <c r="G317" s="175"/>
      <c r="H317" s="195"/>
      <c r="I317" s="196"/>
      <c r="J317" s="196"/>
      <c r="K317" s="196"/>
      <c r="L317" s="174"/>
      <c r="M317" s="178"/>
      <c r="N317" s="179"/>
      <c r="O317" s="179" t="s">
        <v>227</v>
      </c>
    </row>
    <row r="318" spans="1:15" x14ac:dyDescent="0.15">
      <c r="A318" s="18"/>
      <c r="B3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318)),ROW(),"")</f>
        <v>318</v>
      </c>
      <c r="C318" s="13">
        <f t="shared" si="67"/>
        <v>0</v>
      </c>
      <c r="D318" s="84" t="str">
        <f t="shared" si="68"/>
        <v/>
      </c>
      <c r="E318" s="18"/>
      <c r="F318" s="174"/>
      <c r="G318" s="175"/>
      <c r="H318" s="195"/>
      <c r="I318" s="196"/>
      <c r="J318" s="196"/>
      <c r="K318" s="196"/>
      <c r="L318" s="174"/>
      <c r="M318" s="178"/>
      <c r="N318" s="179"/>
      <c r="O318" s="179" t="s">
        <v>227</v>
      </c>
    </row>
    <row r="319" spans="1:15" x14ac:dyDescent="0.15">
      <c r="A319" s="18"/>
      <c r="B3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319)),ROW(),"")</f>
        <v>319</v>
      </c>
      <c r="C319" s="13">
        <f t="shared" si="67"/>
        <v>0</v>
      </c>
      <c r="D319" s="84" t="str">
        <f t="shared" si="68"/>
        <v/>
      </c>
      <c r="E319" s="18"/>
      <c r="F319" s="174"/>
      <c r="G319" s="175"/>
      <c r="H319" s="195"/>
      <c r="I319" s="196"/>
      <c r="J319" s="196"/>
      <c r="K319" s="196"/>
      <c r="L319" s="174"/>
      <c r="M319" s="178"/>
      <c r="N319" s="179"/>
      <c r="O319" s="179" t="s">
        <v>227</v>
      </c>
    </row>
    <row r="320" spans="1:15" x14ac:dyDescent="0.15">
      <c r="A320" s="18"/>
      <c r="B3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320)),ROW(),"")</f>
        <v>320</v>
      </c>
      <c r="C320" s="13">
        <f t="shared" si="67"/>
        <v>0</v>
      </c>
      <c r="D320" s="84" t="str">
        <f t="shared" si="68"/>
        <v/>
      </c>
      <c r="E320" s="18"/>
      <c r="F320" s="174"/>
      <c r="G320" s="175"/>
      <c r="H320" s="195"/>
      <c r="I320" s="196"/>
      <c r="J320" s="196"/>
      <c r="K320" s="196"/>
      <c r="L320" s="174"/>
      <c r="M320" s="178"/>
      <c r="N320" s="179"/>
      <c r="O320" s="179" t="s">
        <v>227</v>
      </c>
    </row>
    <row r="321" spans="1:15" x14ac:dyDescent="0.15">
      <c r="A321" s="18"/>
      <c r="B3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321)),ROW(),"")</f>
        <v>321</v>
      </c>
      <c r="C321" s="13">
        <f t="shared" si="67"/>
        <v>0</v>
      </c>
      <c r="D321" s="84" t="str">
        <f t="shared" si="68"/>
        <v/>
      </c>
      <c r="E321" s="18"/>
      <c r="F321" s="174"/>
      <c r="G321" s="175"/>
      <c r="H321" s="195"/>
      <c r="I321" s="196"/>
      <c r="J321" s="196"/>
      <c r="K321" s="196"/>
      <c r="L321" s="174"/>
      <c r="M321" s="178"/>
      <c r="N321" s="179"/>
      <c r="O321" s="179" t="s">
        <v>227</v>
      </c>
    </row>
    <row r="322" spans="1:15" x14ac:dyDescent="0.15">
      <c r="A322" s="18"/>
      <c r="B3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322)),ROW(),"")</f>
        <v>322</v>
      </c>
      <c r="C322" s="13">
        <f t="shared" si="67"/>
        <v>0</v>
      </c>
      <c r="D322" s="84" t="str">
        <f t="shared" si="68"/>
        <v/>
      </c>
      <c r="E322" s="18"/>
      <c r="F322" s="174"/>
      <c r="G322" s="175"/>
      <c r="H322" s="195"/>
      <c r="I322" s="196"/>
      <c r="J322" s="196"/>
      <c r="K322" s="196"/>
      <c r="L322" s="174"/>
      <c r="M322" s="178"/>
      <c r="N322" s="179"/>
      <c r="O322" s="179" t="s">
        <v>227</v>
      </c>
    </row>
    <row r="323" spans="1:15" x14ac:dyDescent="0.15">
      <c r="A323" s="18"/>
      <c r="B3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323)),ROW(),"")</f>
        <v>323</v>
      </c>
      <c r="C323" s="13">
        <f t="shared" si="67"/>
        <v>0</v>
      </c>
      <c r="D323" s="84" t="str">
        <f t="shared" si="68"/>
        <v/>
      </c>
      <c r="E323" s="18"/>
      <c r="F323" s="174"/>
      <c r="G323" s="175"/>
      <c r="H323" s="195"/>
      <c r="I323" s="196"/>
      <c r="J323" s="196"/>
      <c r="K323" s="196"/>
      <c r="L323" s="174"/>
      <c r="M323" s="178"/>
      <c r="N323" s="179"/>
      <c r="O323" s="179" t="s">
        <v>227</v>
      </c>
    </row>
    <row r="324" spans="1:15" x14ac:dyDescent="0.15">
      <c r="A324" s="18"/>
      <c r="B3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324)),ROW(),"")</f>
        <v>324</v>
      </c>
      <c r="C324" s="13">
        <f t="shared" si="67"/>
        <v>0</v>
      </c>
      <c r="D324" s="84" t="str">
        <f t="shared" si="68"/>
        <v/>
      </c>
      <c r="E324" s="18"/>
      <c r="F324" s="174"/>
      <c r="G324" s="175"/>
      <c r="H324" s="195"/>
      <c r="I324" s="196"/>
      <c r="J324" s="196"/>
      <c r="K324" s="196"/>
      <c r="L324" s="174"/>
      <c r="M324" s="178"/>
      <c r="N324" s="179"/>
      <c r="O324" s="179" t="s">
        <v>227</v>
      </c>
    </row>
    <row r="325" spans="1:15" x14ac:dyDescent="0.15">
      <c r="A325" s="18"/>
      <c r="B3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325)),ROW(),"")</f>
        <v>325</v>
      </c>
      <c r="C325" s="13">
        <f t="shared" si="67"/>
        <v>0</v>
      </c>
      <c r="D325" s="84" t="str">
        <f t="shared" si="68"/>
        <v/>
      </c>
      <c r="E325" s="18"/>
      <c r="F325" s="174"/>
      <c r="G325" s="175"/>
      <c r="H325" s="195"/>
      <c r="I325" s="196"/>
      <c r="J325" s="196"/>
      <c r="K325" s="196"/>
      <c r="L325" s="174"/>
      <c r="M325" s="178"/>
      <c r="N325" s="179"/>
      <c r="O325" s="179" t="s">
        <v>227</v>
      </c>
    </row>
    <row r="326" spans="1:15" x14ac:dyDescent="0.15">
      <c r="A326" s="18"/>
      <c r="B3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326)),ROW(),"")</f>
        <v>326</v>
      </c>
      <c r="C326" s="13">
        <f t="shared" si="67"/>
        <v>0</v>
      </c>
      <c r="D326" s="84" t="str">
        <f t="shared" si="68"/>
        <v/>
      </c>
      <c r="E326" s="18"/>
      <c r="F326" s="174"/>
      <c r="G326" s="175"/>
      <c r="H326" s="195"/>
      <c r="I326" s="196"/>
      <c r="J326" s="196"/>
      <c r="K326" s="196"/>
      <c r="L326" s="174"/>
      <c r="M326" s="178"/>
      <c r="N326" s="179"/>
      <c r="O326" s="179" t="s">
        <v>227</v>
      </c>
    </row>
    <row r="327" spans="1:15" x14ac:dyDescent="0.15">
      <c r="A327" s="18"/>
      <c r="B3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327)),ROW(),"")</f>
        <v>327</v>
      </c>
      <c r="C327" s="13">
        <f t="shared" si="67"/>
        <v>0</v>
      </c>
      <c r="D327" s="84" t="str">
        <f t="shared" si="68"/>
        <v/>
      </c>
      <c r="E327" s="18"/>
      <c r="F327" s="174"/>
      <c r="G327" s="175"/>
      <c r="H327" s="195"/>
      <c r="I327" s="196"/>
      <c r="J327" s="196"/>
      <c r="K327" s="196"/>
      <c r="L327" s="174"/>
      <c r="M327" s="178"/>
      <c r="N327" s="179"/>
      <c r="O327" s="179" t="s">
        <v>227</v>
      </c>
    </row>
    <row r="328" spans="1:15" x14ac:dyDescent="0.15">
      <c r="A328" s="18"/>
      <c r="B3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328)),ROW(),"")</f>
        <v>328</v>
      </c>
      <c r="C328" s="13">
        <f t="shared" si="67"/>
        <v>0</v>
      </c>
      <c r="D328" s="84" t="str">
        <f t="shared" si="68"/>
        <v/>
      </c>
      <c r="E328" s="18"/>
      <c r="F328" s="174"/>
      <c r="G328" s="175"/>
      <c r="H328" s="195"/>
      <c r="I328" s="196"/>
      <c r="J328" s="196"/>
      <c r="K328" s="196"/>
      <c r="L328" s="174"/>
      <c r="M328" s="178"/>
      <c r="N328" s="179"/>
      <c r="O328" s="179" t="s">
        <v>227</v>
      </c>
    </row>
    <row r="329" spans="1:15" x14ac:dyDescent="0.15">
      <c r="A329" s="18"/>
      <c r="B3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329)),ROW(),"")</f>
        <v>329</v>
      </c>
      <c r="C329" s="13">
        <f t="shared" si="67"/>
        <v>0</v>
      </c>
      <c r="D329" s="84" t="str">
        <f t="shared" si="68"/>
        <v/>
      </c>
      <c r="E329" s="18"/>
      <c r="F329" s="174"/>
      <c r="G329" s="175"/>
      <c r="H329" s="195"/>
      <c r="I329" s="196"/>
      <c r="J329" s="196"/>
      <c r="K329" s="196"/>
      <c r="L329" s="174"/>
      <c r="M329" s="178"/>
      <c r="N329" s="179"/>
      <c r="O329" s="179" t="s">
        <v>227</v>
      </c>
    </row>
    <row r="330" spans="1:15" x14ac:dyDescent="0.15">
      <c r="A330" s="18"/>
      <c r="B3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330)),ROW(),"")</f>
        <v>330</v>
      </c>
      <c r="C330" s="13">
        <f t="shared" si="67"/>
        <v>0</v>
      </c>
      <c r="D330" s="84" t="str">
        <f t="shared" si="68"/>
        <v/>
      </c>
      <c r="E330" s="18"/>
      <c r="F330" s="174"/>
      <c r="G330" s="175"/>
      <c r="H330" s="195"/>
      <c r="I330" s="196"/>
      <c r="J330" s="196"/>
      <c r="K330" s="196"/>
      <c r="L330" s="174"/>
      <c r="M330" s="178"/>
      <c r="N330" s="179"/>
      <c r="O330" s="179" t="s">
        <v>227</v>
      </c>
    </row>
    <row r="331" spans="1:15" x14ac:dyDescent="0.15">
      <c r="A331" s="18"/>
      <c r="B3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331)),ROW(),"")</f>
        <v>331</v>
      </c>
      <c r="C331" s="13">
        <f t="shared" si="67"/>
        <v>0</v>
      </c>
      <c r="D331" s="84" t="str">
        <f t="shared" si="68"/>
        <v/>
      </c>
      <c r="E331" s="18"/>
      <c r="F331" s="174"/>
      <c r="G331" s="175"/>
      <c r="H331" s="195"/>
      <c r="I331" s="196"/>
      <c r="J331" s="196"/>
      <c r="K331" s="196"/>
      <c r="L331" s="174"/>
      <c r="M331" s="178"/>
      <c r="N331" s="179"/>
      <c r="O331" s="179" t="s">
        <v>227</v>
      </c>
    </row>
    <row r="332" spans="1:15" x14ac:dyDescent="0.15">
      <c r="A332" s="18"/>
      <c r="B3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332)),ROW(),"")</f>
        <v>332</v>
      </c>
      <c r="C332" s="13">
        <f t="shared" si="67"/>
        <v>0</v>
      </c>
      <c r="D332" s="84" t="str">
        <f t="shared" si="68"/>
        <v/>
      </c>
      <c r="E332" s="18"/>
      <c r="F332" s="174"/>
      <c r="G332" s="175"/>
      <c r="H332" s="195"/>
      <c r="I332" s="196"/>
      <c r="J332" s="196"/>
      <c r="K332" s="196"/>
      <c r="L332" s="174"/>
      <c r="M332" s="178"/>
      <c r="N332" s="179"/>
      <c r="O332" s="179" t="s">
        <v>227</v>
      </c>
    </row>
    <row r="333" spans="1:15" x14ac:dyDescent="0.15">
      <c r="A333" s="18"/>
      <c r="B3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333)),ROW(),"")</f>
        <v>333</v>
      </c>
      <c r="C333" s="13">
        <f t="shared" si="67"/>
        <v>0</v>
      </c>
      <c r="D333" s="84" t="str">
        <f t="shared" si="68"/>
        <v/>
      </c>
      <c r="E333" s="18"/>
      <c r="F333" s="174"/>
      <c r="G333" s="175"/>
      <c r="H333" s="195"/>
      <c r="I333" s="196"/>
      <c r="J333" s="196"/>
      <c r="K333" s="196"/>
      <c r="L333" s="174"/>
      <c r="M333" s="178"/>
      <c r="N333" s="179"/>
      <c r="O333" s="179" t="s">
        <v>227</v>
      </c>
    </row>
    <row r="334" spans="1:15" x14ac:dyDescent="0.15">
      <c r="A334" s="18"/>
      <c r="B3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334)),ROW(),"")</f>
        <v>334</v>
      </c>
      <c r="C334" s="13">
        <f t="shared" si="67"/>
        <v>0</v>
      </c>
      <c r="D334" s="84" t="str">
        <f t="shared" si="68"/>
        <v/>
      </c>
      <c r="E334" s="18"/>
      <c r="F334" s="174"/>
      <c r="G334" s="175"/>
      <c r="H334" s="195"/>
      <c r="I334" s="196"/>
      <c r="J334" s="196"/>
      <c r="K334" s="196"/>
      <c r="L334" s="174"/>
      <c r="M334" s="178"/>
      <c r="N334" s="179"/>
      <c r="O334" s="179" t="s">
        <v>227</v>
      </c>
    </row>
    <row r="335" spans="1:15" x14ac:dyDescent="0.15">
      <c r="A335" s="18"/>
      <c r="B3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335)),ROW(),"")</f>
        <v>335</v>
      </c>
      <c r="C335" s="13">
        <f t="shared" si="67"/>
        <v>0</v>
      </c>
      <c r="D335" s="84" t="str">
        <f t="shared" si="68"/>
        <v/>
      </c>
      <c r="E335" s="18"/>
      <c r="F335" s="174"/>
      <c r="G335" s="175"/>
      <c r="H335" s="195"/>
      <c r="I335" s="196"/>
      <c r="J335" s="196"/>
      <c r="K335" s="196"/>
      <c r="L335" s="174"/>
      <c r="M335" s="178"/>
      <c r="N335" s="179"/>
      <c r="O335" s="179" t="s">
        <v>227</v>
      </c>
    </row>
    <row r="336" spans="1:15" x14ac:dyDescent="0.15">
      <c r="A336" s="18"/>
      <c r="B3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336)),ROW(),"")</f>
        <v>336</v>
      </c>
      <c r="C336" s="13">
        <f t="shared" si="67"/>
        <v>0</v>
      </c>
      <c r="D336" s="84" t="str">
        <f t="shared" si="68"/>
        <v/>
      </c>
      <c r="E336" s="18"/>
      <c r="F336" s="174"/>
      <c r="G336" s="175"/>
      <c r="H336" s="195"/>
      <c r="I336" s="196"/>
      <c r="J336" s="196"/>
      <c r="K336" s="196"/>
      <c r="L336" s="174"/>
      <c r="M336" s="178"/>
      <c r="N336" s="179"/>
      <c r="O336" s="179" t="s">
        <v>227</v>
      </c>
    </row>
    <row r="337" spans="1:15" x14ac:dyDescent="0.15">
      <c r="A337" s="18"/>
      <c r="B3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337)),ROW(),"")</f>
        <v>337</v>
      </c>
      <c r="C337" s="13">
        <f t="shared" si="67"/>
        <v>0</v>
      </c>
      <c r="D337" s="84" t="str">
        <f t="shared" si="68"/>
        <v/>
      </c>
      <c r="E337" s="18"/>
      <c r="F337" s="174"/>
      <c r="G337" s="175"/>
      <c r="H337" s="195"/>
      <c r="I337" s="196"/>
      <c r="J337" s="196"/>
      <c r="K337" s="196"/>
      <c r="L337" s="174"/>
      <c r="M337" s="178"/>
      <c r="N337" s="179"/>
      <c r="O337" s="179" t="s">
        <v>227</v>
      </c>
    </row>
    <row r="338" spans="1:15" x14ac:dyDescent="0.15">
      <c r="A338" s="18"/>
      <c r="B3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338)),ROW(),"")</f>
        <v>338</v>
      </c>
      <c r="C338" s="13">
        <f t="shared" si="67"/>
        <v>0</v>
      </c>
      <c r="D338" s="84" t="str">
        <f t="shared" si="68"/>
        <v/>
      </c>
      <c r="E338" s="18"/>
      <c r="F338" s="174"/>
      <c r="G338" s="175"/>
      <c r="H338" s="195"/>
      <c r="I338" s="196"/>
      <c r="J338" s="196"/>
      <c r="K338" s="196"/>
      <c r="L338" s="174"/>
      <c r="M338" s="178"/>
      <c r="N338" s="179"/>
      <c r="O338" s="179" t="s">
        <v>227</v>
      </c>
    </row>
    <row r="339" spans="1:15" x14ac:dyDescent="0.15">
      <c r="A339" s="18"/>
      <c r="B3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339)),ROW(),"")</f>
        <v>339</v>
      </c>
      <c r="C339" s="13">
        <f t="shared" si="67"/>
        <v>0</v>
      </c>
      <c r="D339" s="84" t="str">
        <f t="shared" si="68"/>
        <v/>
      </c>
      <c r="E339" s="18"/>
      <c r="F339" s="174"/>
      <c r="G339" s="175"/>
      <c r="H339" s="195"/>
      <c r="I339" s="196"/>
      <c r="J339" s="196"/>
      <c r="K339" s="196"/>
      <c r="L339" s="174"/>
      <c r="M339" s="178"/>
      <c r="N339" s="179"/>
      <c r="O339" s="179" t="s">
        <v>227</v>
      </c>
    </row>
    <row r="340" spans="1:15" x14ac:dyDescent="0.15">
      <c r="A340" s="18"/>
      <c r="B3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340)),ROW(),"")</f>
        <v>340</v>
      </c>
      <c r="C340" s="13">
        <f t="shared" si="67"/>
        <v>0</v>
      </c>
      <c r="D340" s="84" t="str">
        <f t="shared" si="68"/>
        <v/>
      </c>
      <c r="E340" s="18"/>
      <c r="F340" s="174"/>
      <c r="G340" s="175"/>
      <c r="H340" s="195"/>
      <c r="I340" s="196"/>
      <c r="J340" s="196"/>
      <c r="K340" s="196"/>
      <c r="L340" s="174"/>
      <c r="M340" s="178"/>
      <c r="N340" s="179"/>
      <c r="O340" s="179" t="s">
        <v>227</v>
      </c>
    </row>
    <row r="341" spans="1:15" x14ac:dyDescent="0.15">
      <c r="A341" s="18"/>
      <c r="B3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341)),ROW(),"")</f>
        <v>341</v>
      </c>
      <c r="C341" s="13">
        <f t="shared" si="67"/>
        <v>0</v>
      </c>
      <c r="D341" s="84" t="str">
        <f t="shared" si="68"/>
        <v/>
      </c>
      <c r="E341" s="18"/>
      <c r="F341" s="174"/>
      <c r="G341" s="175"/>
      <c r="H341" s="195"/>
      <c r="I341" s="196"/>
      <c r="J341" s="196"/>
      <c r="K341" s="196"/>
      <c r="L341" s="174"/>
      <c r="M341" s="178"/>
      <c r="N341" s="179"/>
      <c r="O341" s="179" t="s">
        <v>227</v>
      </c>
    </row>
    <row r="342" spans="1:15" x14ac:dyDescent="0.15">
      <c r="A342" s="18"/>
      <c r="B3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342)),ROW(),"")</f>
        <v>342</v>
      </c>
      <c r="C342" s="13">
        <f t="shared" si="67"/>
        <v>0</v>
      </c>
      <c r="D342" s="84" t="str">
        <f t="shared" si="68"/>
        <v/>
      </c>
      <c r="E342" s="18"/>
      <c r="F342" s="174"/>
      <c r="G342" s="175"/>
      <c r="H342" s="195"/>
      <c r="I342" s="196"/>
      <c r="J342" s="196"/>
      <c r="K342" s="196"/>
      <c r="L342" s="174"/>
      <c r="M342" s="178"/>
      <c r="N342" s="179"/>
      <c r="O342" s="179" t="s">
        <v>227</v>
      </c>
    </row>
    <row r="343" spans="1:15" x14ac:dyDescent="0.15">
      <c r="A343" s="18"/>
      <c r="B3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343)),ROW(),"")</f>
        <v>343</v>
      </c>
      <c r="C343" s="13">
        <f t="shared" si="67"/>
        <v>0</v>
      </c>
      <c r="D343" s="84" t="str">
        <f t="shared" si="68"/>
        <v/>
      </c>
      <c r="E343" s="18"/>
      <c r="F343" s="174"/>
      <c r="G343" s="175"/>
      <c r="H343" s="195"/>
      <c r="I343" s="196"/>
      <c r="J343" s="196"/>
      <c r="K343" s="196"/>
      <c r="L343" s="174"/>
      <c r="M343" s="178"/>
      <c r="N343" s="179"/>
      <c r="O343" s="179" t="s">
        <v>227</v>
      </c>
    </row>
    <row r="344" spans="1:15" x14ac:dyDescent="0.15">
      <c r="A344" s="18"/>
      <c r="B3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344)),ROW(),"")</f>
        <v>344</v>
      </c>
      <c r="C344" s="13">
        <f t="shared" si="67"/>
        <v>0</v>
      </c>
      <c r="D344" s="84" t="str">
        <f t="shared" si="68"/>
        <v/>
      </c>
      <c r="E344" s="18"/>
      <c r="F344" s="174"/>
      <c r="G344" s="175"/>
      <c r="H344" s="195"/>
      <c r="I344" s="196"/>
      <c r="J344" s="196"/>
      <c r="K344" s="196"/>
      <c r="L344" s="174"/>
      <c r="M344" s="178"/>
      <c r="N344" s="179"/>
      <c r="O344" s="179" t="s">
        <v>227</v>
      </c>
    </row>
    <row r="345" spans="1:15" x14ac:dyDescent="0.15">
      <c r="A345" s="18"/>
      <c r="B3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345)),ROW(),"")</f>
        <v>345</v>
      </c>
      <c r="C345" s="13">
        <f t="shared" si="67"/>
        <v>0</v>
      </c>
      <c r="D345" s="84" t="str">
        <f t="shared" si="68"/>
        <v/>
      </c>
      <c r="E345" s="18"/>
      <c r="F345" s="174"/>
      <c r="G345" s="175"/>
      <c r="H345" s="195"/>
      <c r="I345" s="196"/>
      <c r="J345" s="196"/>
      <c r="K345" s="196"/>
      <c r="L345" s="174"/>
      <c r="M345" s="178"/>
      <c r="N345" s="179"/>
      <c r="O345" s="179" t="s">
        <v>227</v>
      </c>
    </row>
    <row r="346" spans="1:15" x14ac:dyDescent="0.15">
      <c r="A346" s="18"/>
      <c r="B3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346)),ROW(),"")</f>
        <v>346</v>
      </c>
      <c r="C346" s="13">
        <f t="shared" si="67"/>
        <v>0</v>
      </c>
      <c r="D346" s="84" t="str">
        <f t="shared" si="68"/>
        <v/>
      </c>
      <c r="E346" s="18"/>
      <c r="F346" s="174"/>
      <c r="G346" s="175"/>
      <c r="H346" s="195"/>
      <c r="I346" s="196"/>
      <c r="J346" s="196"/>
      <c r="K346" s="196"/>
      <c r="L346" s="174"/>
      <c r="M346" s="178"/>
      <c r="N346" s="179"/>
      <c r="O346" s="179" t="s">
        <v>227</v>
      </c>
    </row>
    <row r="347" spans="1:15" x14ac:dyDescent="0.15">
      <c r="A347" s="18"/>
      <c r="B3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347)),ROW(),"")</f>
        <v>347</v>
      </c>
      <c r="C347" s="13">
        <f t="shared" si="67"/>
        <v>0</v>
      </c>
      <c r="D347" s="84" t="str">
        <f t="shared" si="68"/>
        <v/>
      </c>
      <c r="E347" s="18"/>
      <c r="F347" s="174"/>
      <c r="G347" s="175"/>
      <c r="H347" s="195"/>
      <c r="I347" s="196"/>
      <c r="J347" s="196"/>
      <c r="K347" s="196"/>
      <c r="L347" s="174"/>
      <c r="M347" s="178"/>
      <c r="N347" s="179"/>
      <c r="O347" s="179" t="s">
        <v>227</v>
      </c>
    </row>
    <row r="348" spans="1:15" x14ac:dyDescent="0.15">
      <c r="A348" s="18"/>
      <c r="B3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348)),ROW(),"")</f>
        <v>348</v>
      </c>
      <c r="C348" s="13">
        <f t="shared" si="67"/>
        <v>0</v>
      </c>
      <c r="D348" s="84" t="str">
        <f t="shared" si="68"/>
        <v/>
      </c>
      <c r="E348" s="18"/>
      <c r="F348" s="174"/>
      <c r="G348" s="175"/>
      <c r="H348" s="195"/>
      <c r="I348" s="196"/>
      <c r="J348" s="196"/>
      <c r="K348" s="196"/>
      <c r="L348" s="174"/>
      <c r="M348" s="178"/>
      <c r="N348" s="179"/>
      <c r="O348" s="179" t="s">
        <v>227</v>
      </c>
    </row>
    <row r="349" spans="1:15" x14ac:dyDescent="0.15">
      <c r="A349" s="18"/>
      <c r="B3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349)),ROW(),"")</f>
        <v>349</v>
      </c>
      <c r="C349" s="13">
        <f t="shared" si="67"/>
        <v>0</v>
      </c>
      <c r="D349" s="84" t="str">
        <f t="shared" si="68"/>
        <v/>
      </c>
      <c r="E349" s="18"/>
      <c r="F349" s="174"/>
      <c r="G349" s="175"/>
      <c r="H349" s="195"/>
      <c r="I349" s="196"/>
      <c r="J349" s="196"/>
      <c r="K349" s="196"/>
      <c r="L349" s="174"/>
      <c r="M349" s="178"/>
      <c r="N349" s="179"/>
      <c r="O349" s="179" t="s">
        <v>227</v>
      </c>
    </row>
    <row r="350" spans="1:15" x14ac:dyDescent="0.15">
      <c r="A350" s="18"/>
      <c r="B3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350)),ROW(),"")</f>
        <v>350</v>
      </c>
      <c r="C350" s="13">
        <f t="shared" si="67"/>
        <v>0</v>
      </c>
      <c r="D350" s="84" t="str">
        <f t="shared" si="68"/>
        <v/>
      </c>
      <c r="E350" s="18"/>
      <c r="F350" s="174"/>
      <c r="G350" s="175"/>
      <c r="H350" s="195"/>
      <c r="I350" s="196"/>
      <c r="J350" s="196"/>
      <c r="K350" s="196"/>
      <c r="L350" s="174"/>
      <c r="M350" s="178"/>
      <c r="N350" s="179"/>
      <c r="O350" s="179" t="s">
        <v>227</v>
      </c>
    </row>
    <row r="351" spans="1:15" x14ac:dyDescent="0.15">
      <c r="A351" s="18"/>
      <c r="B3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351)),ROW(),"")</f>
        <v>351</v>
      </c>
      <c r="C351" s="13">
        <f t="shared" si="67"/>
        <v>0</v>
      </c>
      <c r="D351" s="84" t="str">
        <f t="shared" si="68"/>
        <v/>
      </c>
      <c r="E351" s="18"/>
      <c r="F351" s="174"/>
      <c r="G351" s="175"/>
      <c r="H351" s="195"/>
      <c r="I351" s="196"/>
      <c r="J351" s="196"/>
      <c r="K351" s="196"/>
      <c r="L351" s="174"/>
      <c r="M351" s="178"/>
      <c r="N351" s="179"/>
      <c r="O351" s="179" t="s">
        <v>227</v>
      </c>
    </row>
    <row r="352" spans="1:15" x14ac:dyDescent="0.15">
      <c r="A352" s="18"/>
      <c r="B3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352)),ROW(),"")</f>
        <v>352</v>
      </c>
      <c r="C352" s="13">
        <f t="shared" si="67"/>
        <v>0</v>
      </c>
      <c r="D352" s="84" t="str">
        <f t="shared" si="68"/>
        <v/>
      </c>
      <c r="E352" s="18"/>
      <c r="F352" s="174"/>
      <c r="G352" s="175"/>
      <c r="H352" s="195"/>
      <c r="I352" s="196"/>
      <c r="J352" s="196"/>
      <c r="K352" s="196"/>
      <c r="L352" s="174"/>
      <c r="M352" s="178"/>
      <c r="N352" s="179"/>
      <c r="O352" s="179" t="s">
        <v>227</v>
      </c>
    </row>
    <row r="353" spans="1:15" x14ac:dyDescent="0.15">
      <c r="A353" s="18"/>
      <c r="B3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353)),ROW(),"")</f>
        <v>353</v>
      </c>
      <c r="C353" s="13">
        <f t="shared" si="67"/>
        <v>0</v>
      </c>
      <c r="D353" s="84" t="str">
        <f t="shared" si="68"/>
        <v/>
      </c>
      <c r="E353" s="18"/>
      <c r="F353" s="174"/>
      <c r="G353" s="175"/>
      <c r="H353" s="195"/>
      <c r="I353" s="196"/>
      <c r="J353" s="196"/>
      <c r="K353" s="196"/>
      <c r="L353" s="174"/>
      <c r="M353" s="178"/>
      <c r="N353" s="179"/>
      <c r="O353" s="179" t="s">
        <v>227</v>
      </c>
    </row>
    <row r="354" spans="1:15" x14ac:dyDescent="0.15">
      <c r="A354" s="18"/>
      <c r="B3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354)),ROW(),"")</f>
        <v>354</v>
      </c>
      <c r="C354" s="13">
        <f t="shared" si="67"/>
        <v>0</v>
      </c>
      <c r="D354" s="84" t="str">
        <f t="shared" si="68"/>
        <v/>
      </c>
      <c r="E354" s="18"/>
      <c r="F354" s="174"/>
      <c r="G354" s="175"/>
      <c r="H354" s="195"/>
      <c r="I354" s="196"/>
      <c r="J354" s="196"/>
      <c r="K354" s="196"/>
      <c r="L354" s="174"/>
      <c r="M354" s="178"/>
      <c r="N354" s="179"/>
      <c r="O354" s="179" t="s">
        <v>227</v>
      </c>
    </row>
    <row r="355" spans="1:15" x14ac:dyDescent="0.15">
      <c r="A355" s="18"/>
      <c r="B3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355)),ROW(),"")</f>
        <v>355</v>
      </c>
      <c r="C355" s="13">
        <f t="shared" si="67"/>
        <v>0</v>
      </c>
      <c r="D355" s="84" t="str">
        <f t="shared" si="68"/>
        <v/>
      </c>
      <c r="E355" s="18"/>
      <c r="F355" s="174"/>
      <c r="G355" s="175"/>
      <c r="H355" s="195"/>
      <c r="I355" s="196"/>
      <c r="J355" s="196"/>
      <c r="K355" s="196"/>
      <c r="L355" s="174"/>
      <c r="M355" s="178"/>
      <c r="N355" s="179"/>
      <c r="O355" s="179" t="s">
        <v>227</v>
      </c>
    </row>
    <row r="356" spans="1:15" x14ac:dyDescent="0.15">
      <c r="A356" s="18"/>
      <c r="B3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356)),ROW(),"")</f>
        <v>356</v>
      </c>
      <c r="C356" s="13">
        <f t="shared" si="67"/>
        <v>0</v>
      </c>
      <c r="D356" s="84" t="str">
        <f t="shared" si="68"/>
        <v/>
      </c>
      <c r="E356" s="18"/>
      <c r="F356" s="174"/>
      <c r="G356" s="175"/>
      <c r="H356" s="195"/>
      <c r="I356" s="196"/>
      <c r="J356" s="196"/>
      <c r="K356" s="196"/>
      <c r="L356" s="174"/>
      <c r="M356" s="178"/>
      <c r="N356" s="179"/>
      <c r="O356" s="179" t="s">
        <v>227</v>
      </c>
    </row>
    <row r="357" spans="1:15" x14ac:dyDescent="0.15">
      <c r="A357" s="18"/>
      <c r="B3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357)),ROW(),"")</f>
        <v>357</v>
      </c>
      <c r="C357" s="13">
        <f t="shared" si="67"/>
        <v>0</v>
      </c>
      <c r="D357" s="84" t="str">
        <f t="shared" si="68"/>
        <v/>
      </c>
      <c r="E357" s="18"/>
      <c r="F357" s="174"/>
      <c r="G357" s="175"/>
      <c r="H357" s="195"/>
      <c r="I357" s="196"/>
      <c r="J357" s="196"/>
      <c r="K357" s="196"/>
      <c r="L357" s="174"/>
      <c r="M357" s="178"/>
      <c r="N357" s="179"/>
      <c r="O357" s="179" t="s">
        <v>227</v>
      </c>
    </row>
    <row r="358" spans="1:15" x14ac:dyDescent="0.15">
      <c r="A358" s="18"/>
      <c r="B3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358)),ROW(),"")</f>
        <v>358</v>
      </c>
      <c r="C358" s="13">
        <f t="shared" si="67"/>
        <v>0</v>
      </c>
      <c r="D358" s="84" t="str">
        <f t="shared" si="68"/>
        <v/>
      </c>
      <c r="E358" s="18"/>
      <c r="F358" s="174"/>
      <c r="G358" s="175"/>
      <c r="H358" s="195"/>
      <c r="I358" s="196"/>
      <c r="J358" s="196"/>
      <c r="K358" s="196"/>
      <c r="L358" s="174"/>
      <c r="M358" s="178"/>
      <c r="N358" s="179"/>
      <c r="O358" s="179" t="s">
        <v>227</v>
      </c>
    </row>
    <row r="359" spans="1:15" x14ac:dyDescent="0.15">
      <c r="A359" s="18"/>
      <c r="B3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359)),ROW(),"")</f>
        <v>359</v>
      </c>
      <c r="C359" s="13">
        <f t="shared" si="67"/>
        <v>0</v>
      </c>
      <c r="D359" s="84" t="str">
        <f t="shared" si="68"/>
        <v/>
      </c>
      <c r="E359" s="18"/>
      <c r="F359" s="174"/>
      <c r="G359" s="175"/>
      <c r="H359" s="195"/>
      <c r="I359" s="196"/>
      <c r="J359" s="196"/>
      <c r="K359" s="196"/>
      <c r="L359" s="174"/>
      <c r="M359" s="178"/>
      <c r="N359" s="179"/>
      <c r="O359" s="179" t="s">
        <v>227</v>
      </c>
    </row>
    <row r="360" spans="1:15" x14ac:dyDescent="0.15">
      <c r="A360" s="18"/>
      <c r="B3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360)),ROW(),"")</f>
        <v>360</v>
      </c>
      <c r="C360" s="13">
        <f t="shared" si="67"/>
        <v>0</v>
      </c>
      <c r="D360" s="84" t="str">
        <f t="shared" si="68"/>
        <v/>
      </c>
      <c r="E360" s="18"/>
      <c r="F360" s="174"/>
      <c r="G360" s="175"/>
      <c r="H360" s="195"/>
      <c r="I360" s="196"/>
      <c r="J360" s="196"/>
      <c r="K360" s="196"/>
      <c r="L360" s="174"/>
      <c r="M360" s="178"/>
      <c r="N360" s="179"/>
      <c r="O360" s="179" t="s">
        <v>227</v>
      </c>
    </row>
    <row r="361" spans="1:15" x14ac:dyDescent="0.15">
      <c r="A361" s="18"/>
      <c r="B3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361)),ROW(),"")</f>
        <v>361</v>
      </c>
      <c r="C361" s="13">
        <f t="shared" si="67"/>
        <v>0</v>
      </c>
      <c r="D361" s="84" t="str">
        <f t="shared" si="68"/>
        <v/>
      </c>
      <c r="E361" s="18"/>
      <c r="F361" s="174"/>
      <c r="G361" s="175"/>
      <c r="H361" s="195"/>
      <c r="I361" s="196"/>
      <c r="J361" s="196"/>
      <c r="K361" s="196"/>
      <c r="L361" s="174"/>
      <c r="M361" s="178"/>
      <c r="N361" s="179"/>
      <c r="O361" s="179" t="s">
        <v>227</v>
      </c>
    </row>
    <row r="362" spans="1:15" x14ac:dyDescent="0.15">
      <c r="A362" s="18"/>
      <c r="B3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362)),ROW(),"")</f>
        <v>362</v>
      </c>
      <c r="C362" s="13">
        <f t="shared" si="67"/>
        <v>0</v>
      </c>
      <c r="D362" s="84" t="str">
        <f t="shared" si="68"/>
        <v/>
      </c>
      <c r="E362" s="18"/>
      <c r="F362" s="174"/>
      <c r="G362" s="175"/>
      <c r="H362" s="195"/>
      <c r="I362" s="196"/>
      <c r="J362" s="196"/>
      <c r="K362" s="196"/>
      <c r="L362" s="174"/>
      <c r="M362" s="178"/>
      <c r="N362" s="179"/>
      <c r="O362" s="179" t="s">
        <v>227</v>
      </c>
    </row>
    <row r="363" spans="1:15" x14ac:dyDescent="0.15">
      <c r="A363" s="18"/>
      <c r="B3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363)),ROW(),"")</f>
        <v>363</v>
      </c>
      <c r="C363" s="13">
        <f t="shared" si="67"/>
        <v>0</v>
      </c>
      <c r="D363" s="84" t="str">
        <f t="shared" si="68"/>
        <v/>
      </c>
      <c r="E363" s="18"/>
      <c r="F363" s="174"/>
      <c r="G363" s="175"/>
      <c r="H363" s="195"/>
      <c r="I363" s="196"/>
      <c r="J363" s="196"/>
      <c r="K363" s="196"/>
      <c r="L363" s="174"/>
      <c r="M363" s="178"/>
      <c r="N363" s="179"/>
      <c r="O363" s="179" t="s">
        <v>227</v>
      </c>
    </row>
    <row r="364" spans="1:15" x14ac:dyDescent="0.15">
      <c r="A364" s="18"/>
      <c r="B3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364)),ROW(),"")</f>
        <v>364</v>
      </c>
      <c r="C364" s="13">
        <f t="shared" si="67"/>
        <v>0</v>
      </c>
      <c r="D364" s="84" t="str">
        <f t="shared" si="68"/>
        <v/>
      </c>
      <c r="E364" s="18"/>
      <c r="F364" s="174"/>
      <c r="G364" s="175"/>
      <c r="H364" s="195"/>
      <c r="I364" s="196"/>
      <c r="J364" s="196"/>
      <c r="K364" s="196"/>
      <c r="L364" s="174"/>
      <c r="M364" s="178"/>
      <c r="N364" s="179"/>
      <c r="O364" s="179" t="s">
        <v>227</v>
      </c>
    </row>
    <row r="365" spans="1:15" x14ac:dyDescent="0.15">
      <c r="A365" s="18"/>
      <c r="B3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365)),ROW(),"")</f>
        <v>365</v>
      </c>
      <c r="C365" s="13">
        <f t="shared" si="67"/>
        <v>0</v>
      </c>
      <c r="D365" s="84" t="str">
        <f t="shared" si="68"/>
        <v/>
      </c>
      <c r="E365" s="18"/>
      <c r="F365" s="174"/>
      <c r="G365" s="175"/>
      <c r="H365" s="195"/>
      <c r="I365" s="196"/>
      <c r="J365" s="196"/>
      <c r="K365" s="196"/>
      <c r="L365" s="174"/>
      <c r="M365" s="178"/>
      <c r="N365" s="179"/>
      <c r="O365" s="179" t="s">
        <v>227</v>
      </c>
    </row>
    <row r="366" spans="1:15" x14ac:dyDescent="0.15">
      <c r="A366" s="18"/>
      <c r="B3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366)),ROW(),"")</f>
        <v>366</v>
      </c>
      <c r="C366" s="13">
        <f t="shared" si="67"/>
        <v>0</v>
      </c>
      <c r="D366" s="84" t="str">
        <f t="shared" si="68"/>
        <v/>
      </c>
      <c r="E366" s="18"/>
      <c r="F366" s="174"/>
      <c r="G366" s="175"/>
      <c r="H366" s="195"/>
      <c r="I366" s="196"/>
      <c r="J366" s="196"/>
      <c r="K366" s="196"/>
      <c r="L366" s="174"/>
      <c r="M366" s="178"/>
      <c r="N366" s="179"/>
      <c r="O366" s="179" t="s">
        <v>227</v>
      </c>
    </row>
    <row r="367" spans="1:15" x14ac:dyDescent="0.15">
      <c r="A367" s="18"/>
      <c r="B3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367)),ROW(),"")</f>
        <v>367</v>
      </c>
      <c r="C367" s="13">
        <f t="shared" ref="C367:C430" si="69">INDEX(A:A,SMALL($B$3:$B$1039,ROW(A365)))</f>
        <v>0</v>
      </c>
      <c r="D367" s="84" t="str">
        <f t="shared" ref="D367:D430" si="70">PHONETIC(A367)</f>
        <v/>
      </c>
      <c r="E367" s="18"/>
      <c r="F367" s="174"/>
      <c r="G367" s="175"/>
      <c r="H367" s="195"/>
      <c r="I367" s="196"/>
      <c r="J367" s="196"/>
      <c r="K367" s="196"/>
      <c r="L367" s="174"/>
      <c r="M367" s="178"/>
      <c r="N367" s="179"/>
      <c r="O367" s="179" t="s">
        <v>227</v>
      </c>
    </row>
    <row r="368" spans="1:15" x14ac:dyDescent="0.15">
      <c r="A368" s="18"/>
      <c r="B3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368)),ROW(),"")</f>
        <v>368</v>
      </c>
      <c r="C368" s="13">
        <f t="shared" si="69"/>
        <v>0</v>
      </c>
      <c r="D368" s="84" t="str">
        <f t="shared" si="70"/>
        <v/>
      </c>
      <c r="E368" s="18"/>
      <c r="F368" s="174"/>
      <c r="G368" s="175"/>
      <c r="H368" s="195"/>
      <c r="I368" s="196"/>
      <c r="J368" s="196"/>
      <c r="K368" s="196"/>
      <c r="L368" s="174"/>
      <c r="M368" s="178"/>
      <c r="N368" s="179"/>
      <c r="O368" s="179" t="s">
        <v>227</v>
      </c>
    </row>
    <row r="369" spans="1:15" x14ac:dyDescent="0.15">
      <c r="A369" s="18"/>
      <c r="B3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369)),ROW(),"")</f>
        <v>369</v>
      </c>
      <c r="C369" s="13">
        <f t="shared" si="69"/>
        <v>0</v>
      </c>
      <c r="D369" s="84" t="str">
        <f t="shared" si="70"/>
        <v/>
      </c>
      <c r="E369" s="18"/>
      <c r="F369" s="174"/>
      <c r="G369" s="175"/>
      <c r="H369" s="195"/>
      <c r="I369" s="196"/>
      <c r="J369" s="196"/>
      <c r="K369" s="196"/>
      <c r="L369" s="174"/>
      <c r="M369" s="178"/>
      <c r="N369" s="179"/>
      <c r="O369" s="179" t="s">
        <v>227</v>
      </c>
    </row>
    <row r="370" spans="1:15" x14ac:dyDescent="0.15">
      <c r="A370" s="18"/>
      <c r="B3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370)),ROW(),"")</f>
        <v>370</v>
      </c>
      <c r="C370" s="13">
        <f t="shared" si="69"/>
        <v>0</v>
      </c>
      <c r="D370" s="84" t="str">
        <f t="shared" si="70"/>
        <v/>
      </c>
      <c r="E370" s="18"/>
      <c r="F370" s="174"/>
      <c r="G370" s="175"/>
      <c r="H370" s="195"/>
      <c r="I370" s="196"/>
      <c r="J370" s="196"/>
      <c r="K370" s="196"/>
      <c r="L370" s="174"/>
      <c r="M370" s="178"/>
      <c r="N370" s="179"/>
      <c r="O370" s="179" t="s">
        <v>227</v>
      </c>
    </row>
    <row r="371" spans="1:15" x14ac:dyDescent="0.15">
      <c r="A371" s="18"/>
      <c r="B3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371)),ROW(),"")</f>
        <v>371</v>
      </c>
      <c r="C371" s="13">
        <f t="shared" si="69"/>
        <v>0</v>
      </c>
      <c r="D371" s="84" t="str">
        <f t="shared" si="70"/>
        <v/>
      </c>
      <c r="E371" s="18"/>
      <c r="F371" s="174"/>
      <c r="G371" s="175"/>
      <c r="H371" s="195"/>
      <c r="I371" s="196"/>
      <c r="J371" s="196"/>
      <c r="K371" s="196"/>
      <c r="L371" s="174"/>
      <c r="M371" s="178"/>
      <c r="N371" s="179"/>
      <c r="O371" s="179" t="s">
        <v>227</v>
      </c>
    </row>
    <row r="372" spans="1:15" x14ac:dyDescent="0.15">
      <c r="A372" s="18"/>
      <c r="B3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372)),ROW(),"")</f>
        <v>372</v>
      </c>
      <c r="C372" s="13">
        <f t="shared" si="69"/>
        <v>0</v>
      </c>
      <c r="D372" s="84" t="str">
        <f t="shared" si="70"/>
        <v/>
      </c>
      <c r="E372" s="18"/>
      <c r="F372" s="174"/>
      <c r="G372" s="175"/>
      <c r="H372" s="195"/>
      <c r="I372" s="196"/>
      <c r="J372" s="196"/>
      <c r="K372" s="196"/>
      <c r="L372" s="174"/>
      <c r="M372" s="178"/>
      <c r="N372" s="179"/>
      <c r="O372" s="179" t="s">
        <v>227</v>
      </c>
    </row>
    <row r="373" spans="1:15" x14ac:dyDescent="0.15">
      <c r="A373" s="18"/>
      <c r="B3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373)),ROW(),"")</f>
        <v>373</v>
      </c>
      <c r="C373" s="13">
        <f t="shared" si="69"/>
        <v>0</v>
      </c>
      <c r="D373" s="84" t="str">
        <f t="shared" si="70"/>
        <v/>
      </c>
      <c r="E373" s="18"/>
      <c r="F373" s="174"/>
      <c r="G373" s="175"/>
      <c r="H373" s="195"/>
      <c r="I373" s="196"/>
      <c r="J373" s="196"/>
      <c r="K373" s="196"/>
      <c r="L373" s="174"/>
      <c r="M373" s="178"/>
      <c r="N373" s="179"/>
      <c r="O373" s="179" t="s">
        <v>227</v>
      </c>
    </row>
    <row r="374" spans="1:15" x14ac:dyDescent="0.15">
      <c r="A374" s="18"/>
      <c r="B3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374)),ROW(),"")</f>
        <v>374</v>
      </c>
      <c r="C374" s="13">
        <f t="shared" si="69"/>
        <v>0</v>
      </c>
      <c r="D374" s="84" t="str">
        <f t="shared" si="70"/>
        <v/>
      </c>
      <c r="E374" s="18"/>
      <c r="F374" s="174"/>
      <c r="G374" s="175"/>
      <c r="H374" s="195"/>
      <c r="I374" s="196"/>
      <c r="J374" s="196"/>
      <c r="K374" s="196"/>
      <c r="L374" s="174"/>
      <c r="M374" s="178"/>
      <c r="N374" s="179"/>
      <c r="O374" s="179" t="s">
        <v>227</v>
      </c>
    </row>
    <row r="375" spans="1:15" x14ac:dyDescent="0.15">
      <c r="A375" s="18"/>
      <c r="B3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375)),ROW(),"")</f>
        <v>375</v>
      </c>
      <c r="C375" s="13">
        <f t="shared" si="69"/>
        <v>0</v>
      </c>
      <c r="D375" s="84" t="str">
        <f t="shared" si="70"/>
        <v/>
      </c>
      <c r="E375" s="18"/>
      <c r="F375" s="174"/>
      <c r="G375" s="175"/>
      <c r="H375" s="195"/>
      <c r="I375" s="196"/>
      <c r="J375" s="196"/>
      <c r="K375" s="196"/>
      <c r="L375" s="174"/>
      <c r="M375" s="178"/>
      <c r="N375" s="179"/>
      <c r="O375" s="179" t="s">
        <v>227</v>
      </c>
    </row>
    <row r="376" spans="1:15" x14ac:dyDescent="0.15">
      <c r="A376" s="18"/>
      <c r="B3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376)),ROW(),"")</f>
        <v>376</v>
      </c>
      <c r="C376" s="13">
        <f t="shared" si="69"/>
        <v>0</v>
      </c>
      <c r="D376" s="84" t="str">
        <f t="shared" si="70"/>
        <v/>
      </c>
      <c r="E376" s="18"/>
      <c r="F376" s="174"/>
      <c r="G376" s="175"/>
      <c r="H376" s="195"/>
      <c r="I376" s="196"/>
      <c r="J376" s="196"/>
      <c r="K376" s="196"/>
      <c r="L376" s="174"/>
      <c r="M376" s="178"/>
      <c r="N376" s="179"/>
      <c r="O376" s="179" t="s">
        <v>227</v>
      </c>
    </row>
    <row r="377" spans="1:15" x14ac:dyDescent="0.15">
      <c r="A377" s="18"/>
      <c r="B3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377)),ROW(),"")</f>
        <v>377</v>
      </c>
      <c r="C377" s="13">
        <f t="shared" si="69"/>
        <v>0</v>
      </c>
      <c r="D377" s="84" t="str">
        <f t="shared" si="70"/>
        <v/>
      </c>
      <c r="E377" s="18"/>
      <c r="F377" s="174"/>
      <c r="G377" s="175"/>
      <c r="H377" s="195"/>
      <c r="I377" s="196"/>
      <c r="J377" s="196"/>
      <c r="K377" s="196"/>
      <c r="L377" s="174"/>
      <c r="M377" s="178"/>
      <c r="N377" s="179"/>
      <c r="O377" s="179" t="s">
        <v>227</v>
      </c>
    </row>
    <row r="378" spans="1:15" x14ac:dyDescent="0.15">
      <c r="A378" s="18"/>
      <c r="B3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378)),ROW(),"")</f>
        <v>378</v>
      </c>
      <c r="C378" s="13">
        <f t="shared" si="69"/>
        <v>0</v>
      </c>
      <c r="D378" s="84" t="str">
        <f t="shared" si="70"/>
        <v/>
      </c>
      <c r="E378" s="18"/>
      <c r="F378" s="174"/>
      <c r="G378" s="175"/>
      <c r="H378" s="195"/>
      <c r="I378" s="196"/>
      <c r="J378" s="196"/>
      <c r="K378" s="196"/>
      <c r="L378" s="174"/>
      <c r="M378" s="178"/>
      <c r="N378" s="179"/>
      <c r="O378" s="179" t="s">
        <v>227</v>
      </c>
    </row>
    <row r="379" spans="1:15" x14ac:dyDescent="0.15">
      <c r="A379" s="18"/>
      <c r="B3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379)),ROW(),"")</f>
        <v>379</v>
      </c>
      <c r="C379" s="13">
        <f t="shared" si="69"/>
        <v>0</v>
      </c>
      <c r="D379" s="84" t="str">
        <f t="shared" si="70"/>
        <v/>
      </c>
      <c r="E379" s="18"/>
      <c r="F379" s="174"/>
      <c r="G379" s="175"/>
      <c r="H379" s="195"/>
      <c r="I379" s="196"/>
      <c r="J379" s="196"/>
      <c r="K379" s="196"/>
      <c r="L379" s="174"/>
      <c r="M379" s="178"/>
      <c r="N379" s="179"/>
      <c r="O379" s="179" t="s">
        <v>227</v>
      </c>
    </row>
    <row r="380" spans="1:15" x14ac:dyDescent="0.15">
      <c r="A380" s="18"/>
      <c r="B3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380)),ROW(),"")</f>
        <v>380</v>
      </c>
      <c r="C380" s="13">
        <f t="shared" si="69"/>
        <v>0</v>
      </c>
      <c r="D380" s="84" t="str">
        <f t="shared" si="70"/>
        <v/>
      </c>
      <c r="E380" s="18"/>
      <c r="F380" s="174"/>
      <c r="G380" s="175"/>
      <c r="H380" s="195"/>
      <c r="I380" s="196"/>
      <c r="J380" s="196"/>
      <c r="K380" s="196"/>
      <c r="L380" s="174"/>
      <c r="M380" s="178"/>
      <c r="N380" s="179"/>
      <c r="O380" s="179" t="s">
        <v>227</v>
      </c>
    </row>
    <row r="381" spans="1:15" x14ac:dyDescent="0.15">
      <c r="A381" s="18"/>
      <c r="B3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381)),ROW(),"")</f>
        <v>381</v>
      </c>
      <c r="C381" s="13">
        <f t="shared" si="69"/>
        <v>0</v>
      </c>
      <c r="D381" s="84" t="str">
        <f t="shared" si="70"/>
        <v/>
      </c>
      <c r="E381" s="18"/>
      <c r="F381" s="174"/>
      <c r="G381" s="175"/>
      <c r="H381" s="195"/>
      <c r="I381" s="196"/>
      <c r="J381" s="196"/>
      <c r="K381" s="196"/>
      <c r="L381" s="174"/>
      <c r="M381" s="178"/>
      <c r="N381" s="179"/>
      <c r="O381" s="179" t="s">
        <v>227</v>
      </c>
    </row>
    <row r="382" spans="1:15" x14ac:dyDescent="0.15">
      <c r="A382" s="18"/>
      <c r="B3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382)),ROW(),"")</f>
        <v>382</v>
      </c>
      <c r="C382" s="13">
        <f t="shared" si="69"/>
        <v>0</v>
      </c>
      <c r="D382" s="84" t="str">
        <f t="shared" si="70"/>
        <v/>
      </c>
      <c r="E382" s="18"/>
      <c r="F382" s="174"/>
      <c r="G382" s="175"/>
      <c r="H382" s="195"/>
      <c r="I382" s="196"/>
      <c r="J382" s="196"/>
      <c r="K382" s="196"/>
      <c r="L382" s="174"/>
      <c r="M382" s="178"/>
      <c r="N382" s="179"/>
      <c r="O382" s="179" t="s">
        <v>227</v>
      </c>
    </row>
    <row r="383" spans="1:15" x14ac:dyDescent="0.15">
      <c r="A383" s="18"/>
      <c r="B3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383)),ROW(),"")</f>
        <v>383</v>
      </c>
      <c r="C383" s="13">
        <f t="shared" si="69"/>
        <v>0</v>
      </c>
      <c r="D383" s="84" t="str">
        <f t="shared" si="70"/>
        <v/>
      </c>
      <c r="E383" s="18"/>
      <c r="F383" s="174"/>
      <c r="G383" s="175"/>
      <c r="H383" s="195"/>
      <c r="I383" s="196"/>
      <c r="J383" s="196"/>
      <c r="K383" s="196"/>
      <c r="L383" s="174"/>
      <c r="M383" s="178"/>
      <c r="N383" s="179"/>
      <c r="O383" s="179" t="s">
        <v>227</v>
      </c>
    </row>
    <row r="384" spans="1:15" x14ac:dyDescent="0.15">
      <c r="A384" s="18"/>
      <c r="B3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384)),ROW(),"")</f>
        <v>384</v>
      </c>
      <c r="C384" s="13">
        <f t="shared" si="69"/>
        <v>0</v>
      </c>
      <c r="D384" s="84" t="str">
        <f t="shared" si="70"/>
        <v/>
      </c>
      <c r="E384" s="18"/>
      <c r="F384" s="174"/>
      <c r="G384" s="175"/>
      <c r="H384" s="195"/>
      <c r="I384" s="196"/>
      <c r="J384" s="196"/>
      <c r="K384" s="196"/>
      <c r="L384" s="174"/>
      <c r="M384" s="178"/>
      <c r="N384" s="179"/>
      <c r="O384" s="179" t="s">
        <v>227</v>
      </c>
    </row>
    <row r="385" spans="1:15" x14ac:dyDescent="0.15">
      <c r="A385" s="18"/>
      <c r="B3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385)),ROW(),"")</f>
        <v>385</v>
      </c>
      <c r="C385" s="13">
        <f t="shared" si="69"/>
        <v>0</v>
      </c>
      <c r="D385" s="84" t="str">
        <f t="shared" si="70"/>
        <v/>
      </c>
      <c r="E385" s="18"/>
      <c r="F385" s="174"/>
      <c r="G385" s="175"/>
      <c r="H385" s="195"/>
      <c r="I385" s="196"/>
      <c r="J385" s="196"/>
      <c r="K385" s="196"/>
      <c r="L385" s="174"/>
      <c r="M385" s="178"/>
      <c r="N385" s="179"/>
      <c r="O385" s="179" t="s">
        <v>227</v>
      </c>
    </row>
    <row r="386" spans="1:15" x14ac:dyDescent="0.15">
      <c r="A386" s="18"/>
      <c r="B3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386)),ROW(),"")</f>
        <v>386</v>
      </c>
      <c r="C386" s="13">
        <f t="shared" si="69"/>
        <v>0</v>
      </c>
      <c r="D386" s="84" t="str">
        <f t="shared" si="70"/>
        <v/>
      </c>
      <c r="E386" s="18"/>
      <c r="F386" s="174"/>
      <c r="G386" s="175"/>
      <c r="H386" s="195"/>
      <c r="I386" s="196"/>
      <c r="J386" s="196"/>
      <c r="K386" s="196"/>
      <c r="L386" s="174"/>
      <c r="M386" s="178"/>
      <c r="N386" s="179"/>
      <c r="O386" s="179" t="s">
        <v>227</v>
      </c>
    </row>
    <row r="387" spans="1:15" x14ac:dyDescent="0.15">
      <c r="A387" s="18"/>
      <c r="B3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387)),ROW(),"")</f>
        <v>387</v>
      </c>
      <c r="C387" s="13">
        <f t="shared" si="69"/>
        <v>0</v>
      </c>
      <c r="D387" s="84" t="str">
        <f t="shared" si="70"/>
        <v/>
      </c>
      <c r="E387" s="18"/>
      <c r="F387" s="174"/>
      <c r="G387" s="175"/>
      <c r="H387" s="195"/>
      <c r="I387" s="196"/>
      <c r="J387" s="196"/>
      <c r="K387" s="196"/>
      <c r="L387" s="174"/>
      <c r="M387" s="178"/>
      <c r="N387" s="179"/>
      <c r="O387" s="179" t="s">
        <v>227</v>
      </c>
    </row>
    <row r="388" spans="1:15" x14ac:dyDescent="0.15">
      <c r="A388" s="18"/>
      <c r="B3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388)),ROW(),"")</f>
        <v>388</v>
      </c>
      <c r="C388" s="13">
        <f t="shared" si="69"/>
        <v>0</v>
      </c>
      <c r="D388" s="84" t="str">
        <f t="shared" si="70"/>
        <v/>
      </c>
      <c r="E388" s="18"/>
      <c r="F388" s="174"/>
      <c r="G388" s="175"/>
      <c r="H388" s="195"/>
      <c r="I388" s="196"/>
      <c r="J388" s="196"/>
      <c r="K388" s="196"/>
      <c r="L388" s="174"/>
      <c r="M388" s="178"/>
      <c r="N388" s="179"/>
      <c r="O388" s="179" t="s">
        <v>227</v>
      </c>
    </row>
    <row r="389" spans="1:15" x14ac:dyDescent="0.15">
      <c r="A389" s="18"/>
      <c r="B3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389)),ROW(),"")</f>
        <v>389</v>
      </c>
      <c r="C389" s="13">
        <f t="shared" si="69"/>
        <v>0</v>
      </c>
      <c r="D389" s="84" t="str">
        <f t="shared" si="70"/>
        <v/>
      </c>
      <c r="E389" s="18"/>
      <c r="F389" s="174"/>
      <c r="G389" s="175"/>
      <c r="H389" s="195"/>
      <c r="I389" s="196"/>
      <c r="J389" s="196"/>
      <c r="K389" s="196"/>
      <c r="L389" s="174"/>
      <c r="M389" s="178"/>
      <c r="N389" s="179"/>
      <c r="O389" s="179" t="s">
        <v>227</v>
      </c>
    </row>
    <row r="390" spans="1:15" x14ac:dyDescent="0.15">
      <c r="A390" s="18"/>
      <c r="B3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390)),ROW(),"")</f>
        <v>390</v>
      </c>
      <c r="C390" s="13">
        <f t="shared" si="69"/>
        <v>0</v>
      </c>
      <c r="D390" s="84" t="str">
        <f t="shared" si="70"/>
        <v/>
      </c>
      <c r="E390" s="18"/>
      <c r="F390" s="174"/>
      <c r="G390" s="175"/>
      <c r="H390" s="195"/>
      <c r="I390" s="196"/>
      <c r="J390" s="196"/>
      <c r="K390" s="196"/>
      <c r="L390" s="174"/>
      <c r="M390" s="178"/>
      <c r="N390" s="179"/>
      <c r="O390" s="179" t="s">
        <v>227</v>
      </c>
    </row>
    <row r="391" spans="1:15" x14ac:dyDescent="0.15">
      <c r="A391" s="18"/>
      <c r="B3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391)),ROW(),"")</f>
        <v>391</v>
      </c>
      <c r="C391" s="13">
        <f t="shared" si="69"/>
        <v>0</v>
      </c>
      <c r="D391" s="84" t="str">
        <f t="shared" si="70"/>
        <v/>
      </c>
      <c r="E391" s="18"/>
      <c r="F391" s="174"/>
      <c r="G391" s="175"/>
      <c r="H391" s="195"/>
      <c r="I391" s="196"/>
      <c r="J391" s="196"/>
      <c r="K391" s="196"/>
      <c r="L391" s="174"/>
      <c r="M391" s="178"/>
      <c r="N391" s="179"/>
      <c r="O391" s="179" t="s">
        <v>227</v>
      </c>
    </row>
    <row r="392" spans="1:15" x14ac:dyDescent="0.15">
      <c r="A392" s="18"/>
      <c r="B3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392)),ROW(),"")</f>
        <v>392</v>
      </c>
      <c r="C392" s="13">
        <f t="shared" si="69"/>
        <v>0</v>
      </c>
      <c r="D392" s="84" t="str">
        <f t="shared" si="70"/>
        <v/>
      </c>
      <c r="E392" s="18"/>
      <c r="F392" s="174"/>
      <c r="G392" s="175"/>
      <c r="H392" s="195"/>
      <c r="I392" s="196"/>
      <c r="J392" s="196"/>
      <c r="K392" s="196"/>
      <c r="L392" s="174"/>
      <c r="M392" s="178"/>
      <c r="N392" s="179"/>
      <c r="O392" s="179" t="s">
        <v>227</v>
      </c>
    </row>
    <row r="393" spans="1:15" x14ac:dyDescent="0.15">
      <c r="A393" s="18"/>
      <c r="B3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393)),ROW(),"")</f>
        <v>393</v>
      </c>
      <c r="C393" s="13">
        <f t="shared" si="69"/>
        <v>0</v>
      </c>
      <c r="D393" s="84" t="str">
        <f t="shared" si="70"/>
        <v/>
      </c>
      <c r="E393" s="18"/>
      <c r="F393" s="174"/>
      <c r="G393" s="175"/>
      <c r="H393" s="195"/>
      <c r="I393" s="196"/>
      <c r="J393" s="196"/>
      <c r="K393" s="196"/>
      <c r="L393" s="174"/>
      <c r="M393" s="178"/>
      <c r="N393" s="179"/>
      <c r="O393" s="179" t="s">
        <v>227</v>
      </c>
    </row>
    <row r="394" spans="1:15" x14ac:dyDescent="0.15">
      <c r="A394" s="18"/>
      <c r="B3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394)),ROW(),"")</f>
        <v>394</v>
      </c>
      <c r="C394" s="13">
        <f t="shared" si="69"/>
        <v>0</v>
      </c>
      <c r="D394" s="84" t="str">
        <f t="shared" si="70"/>
        <v/>
      </c>
      <c r="E394" s="18"/>
      <c r="F394" s="174"/>
      <c r="G394" s="175"/>
      <c r="H394" s="195"/>
      <c r="I394" s="196"/>
      <c r="J394" s="196"/>
      <c r="K394" s="196"/>
      <c r="L394" s="174"/>
      <c r="M394" s="178"/>
      <c r="N394" s="179"/>
      <c r="O394" s="179" t="s">
        <v>227</v>
      </c>
    </row>
    <row r="395" spans="1:15" x14ac:dyDescent="0.15">
      <c r="A395" s="18"/>
      <c r="B3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395)),ROW(),"")</f>
        <v>395</v>
      </c>
      <c r="C395" s="13">
        <f t="shared" si="69"/>
        <v>0</v>
      </c>
      <c r="D395" s="84" t="str">
        <f t="shared" si="70"/>
        <v/>
      </c>
      <c r="E395" s="18"/>
      <c r="F395" s="174"/>
      <c r="G395" s="175"/>
      <c r="H395" s="195"/>
      <c r="I395" s="196"/>
      <c r="J395" s="196"/>
      <c r="K395" s="196"/>
      <c r="L395" s="174"/>
      <c r="M395" s="178"/>
      <c r="N395" s="179"/>
      <c r="O395" s="179" t="s">
        <v>227</v>
      </c>
    </row>
    <row r="396" spans="1:15" x14ac:dyDescent="0.15">
      <c r="A396" s="18"/>
      <c r="B3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396)),ROW(),"")</f>
        <v>396</v>
      </c>
      <c r="C396" s="13">
        <f t="shared" si="69"/>
        <v>0</v>
      </c>
      <c r="D396" s="84" t="str">
        <f t="shared" si="70"/>
        <v/>
      </c>
      <c r="E396" s="18"/>
      <c r="F396" s="174"/>
      <c r="G396" s="175"/>
      <c r="H396" s="195"/>
      <c r="I396" s="196"/>
      <c r="J396" s="196"/>
      <c r="K396" s="196"/>
      <c r="L396" s="174"/>
      <c r="M396" s="178"/>
      <c r="N396" s="179"/>
      <c r="O396" s="179" t="s">
        <v>227</v>
      </c>
    </row>
    <row r="397" spans="1:15" x14ac:dyDescent="0.15">
      <c r="A397" s="18"/>
      <c r="B3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397)),ROW(),"")</f>
        <v>397</v>
      </c>
      <c r="C397" s="13">
        <f t="shared" si="69"/>
        <v>0</v>
      </c>
      <c r="D397" s="84" t="str">
        <f t="shared" si="70"/>
        <v/>
      </c>
      <c r="E397" s="18"/>
      <c r="F397" s="174"/>
      <c r="G397" s="175"/>
      <c r="H397" s="195"/>
      <c r="I397" s="196"/>
      <c r="J397" s="196"/>
      <c r="K397" s="196"/>
      <c r="L397" s="174"/>
      <c r="M397" s="178"/>
      <c r="N397" s="179"/>
      <c r="O397" s="179" t="s">
        <v>227</v>
      </c>
    </row>
    <row r="398" spans="1:15" x14ac:dyDescent="0.15">
      <c r="A398" s="18"/>
      <c r="B3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398)),ROW(),"")</f>
        <v>398</v>
      </c>
      <c r="C398" s="13">
        <f t="shared" si="69"/>
        <v>0</v>
      </c>
      <c r="D398" s="84" t="str">
        <f t="shared" si="70"/>
        <v/>
      </c>
      <c r="E398" s="18"/>
      <c r="F398" s="174"/>
      <c r="G398" s="175"/>
      <c r="H398" s="195"/>
      <c r="I398" s="196"/>
      <c r="J398" s="196"/>
      <c r="K398" s="196"/>
      <c r="L398" s="174"/>
      <c r="M398" s="178"/>
      <c r="N398" s="179"/>
      <c r="O398" s="179" t="s">
        <v>227</v>
      </c>
    </row>
    <row r="399" spans="1:15" x14ac:dyDescent="0.15">
      <c r="A399" s="18"/>
      <c r="B3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399)),ROW(),"")</f>
        <v>399</v>
      </c>
      <c r="C399" s="13">
        <f t="shared" si="69"/>
        <v>0</v>
      </c>
      <c r="D399" s="84" t="str">
        <f t="shared" si="70"/>
        <v/>
      </c>
      <c r="E399" s="18"/>
      <c r="F399" s="174"/>
      <c r="G399" s="175"/>
      <c r="H399" s="195"/>
      <c r="I399" s="196"/>
      <c r="J399" s="196"/>
      <c r="K399" s="196"/>
      <c r="L399" s="174"/>
      <c r="M399" s="178"/>
      <c r="N399" s="179"/>
      <c r="O399" s="179" t="s">
        <v>227</v>
      </c>
    </row>
    <row r="400" spans="1:15" x14ac:dyDescent="0.15">
      <c r="A400" s="18"/>
      <c r="B4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400)),ROW(),"")</f>
        <v>400</v>
      </c>
      <c r="C400" s="13">
        <f t="shared" si="69"/>
        <v>0</v>
      </c>
      <c r="D400" s="84" t="str">
        <f t="shared" si="70"/>
        <v/>
      </c>
      <c r="E400" s="18"/>
      <c r="F400" s="174"/>
      <c r="G400" s="175"/>
      <c r="H400" s="195"/>
      <c r="I400" s="196"/>
      <c r="J400" s="196"/>
      <c r="K400" s="196"/>
      <c r="L400" s="174"/>
      <c r="M400" s="178"/>
      <c r="N400" s="179"/>
      <c r="O400" s="179" t="s">
        <v>227</v>
      </c>
    </row>
    <row r="401" spans="1:15" x14ac:dyDescent="0.15">
      <c r="A401" s="18"/>
      <c r="B4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401)),ROW(),"")</f>
        <v>401</v>
      </c>
      <c r="C401" s="13">
        <f t="shared" si="69"/>
        <v>0</v>
      </c>
      <c r="D401" s="84" t="str">
        <f t="shared" si="70"/>
        <v/>
      </c>
      <c r="E401" s="18"/>
      <c r="F401" s="174"/>
      <c r="G401" s="175"/>
      <c r="H401" s="195"/>
      <c r="I401" s="196"/>
      <c r="J401" s="196"/>
      <c r="K401" s="196"/>
      <c r="L401" s="174"/>
      <c r="M401" s="178"/>
      <c r="N401" s="179"/>
      <c r="O401" s="179" t="s">
        <v>227</v>
      </c>
    </row>
    <row r="402" spans="1:15" x14ac:dyDescent="0.15">
      <c r="A402" s="18"/>
      <c r="B4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402)),ROW(),"")</f>
        <v>402</v>
      </c>
      <c r="C402" s="13">
        <f t="shared" si="69"/>
        <v>0</v>
      </c>
      <c r="D402" s="84" t="str">
        <f t="shared" si="70"/>
        <v/>
      </c>
      <c r="E402" s="18"/>
      <c r="F402" s="174"/>
      <c r="G402" s="175"/>
      <c r="H402" s="195"/>
      <c r="I402" s="196"/>
      <c r="J402" s="196"/>
      <c r="K402" s="196"/>
      <c r="L402" s="174"/>
      <c r="M402" s="178"/>
      <c r="N402" s="179"/>
      <c r="O402" s="179" t="s">
        <v>227</v>
      </c>
    </row>
    <row r="403" spans="1:15" x14ac:dyDescent="0.15">
      <c r="A403" s="18"/>
      <c r="B4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403)),ROW(),"")</f>
        <v>403</v>
      </c>
      <c r="C403" s="13">
        <f t="shared" si="69"/>
        <v>0</v>
      </c>
      <c r="D403" s="84" t="str">
        <f t="shared" si="70"/>
        <v/>
      </c>
      <c r="E403" s="18"/>
      <c r="F403" s="174"/>
      <c r="G403" s="175"/>
      <c r="H403" s="195"/>
      <c r="I403" s="196"/>
      <c r="J403" s="196"/>
      <c r="K403" s="196"/>
      <c r="L403" s="174"/>
      <c r="M403" s="178"/>
      <c r="N403" s="179"/>
      <c r="O403" s="179" t="s">
        <v>227</v>
      </c>
    </row>
    <row r="404" spans="1:15" x14ac:dyDescent="0.15">
      <c r="A404" s="18"/>
      <c r="B4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404)),ROW(),"")</f>
        <v>404</v>
      </c>
      <c r="C404" s="13">
        <f t="shared" si="69"/>
        <v>0</v>
      </c>
      <c r="D404" s="84" t="str">
        <f t="shared" si="70"/>
        <v/>
      </c>
      <c r="E404" s="18"/>
      <c r="F404" s="174"/>
      <c r="G404" s="175"/>
      <c r="H404" s="195"/>
      <c r="I404" s="196"/>
      <c r="J404" s="196"/>
      <c r="K404" s="196"/>
      <c r="L404" s="174"/>
      <c r="M404" s="178"/>
      <c r="N404" s="179"/>
      <c r="O404" s="179" t="s">
        <v>227</v>
      </c>
    </row>
    <row r="405" spans="1:15" x14ac:dyDescent="0.15">
      <c r="A405" s="18"/>
      <c r="B4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405)),ROW(),"")</f>
        <v>405</v>
      </c>
      <c r="C405" s="13">
        <f t="shared" si="69"/>
        <v>0</v>
      </c>
      <c r="D405" s="84" t="str">
        <f t="shared" si="70"/>
        <v/>
      </c>
      <c r="E405" s="18"/>
      <c r="F405" s="174"/>
      <c r="G405" s="175"/>
      <c r="H405" s="195"/>
      <c r="I405" s="196"/>
      <c r="J405" s="196"/>
      <c r="K405" s="196"/>
      <c r="L405" s="174"/>
      <c r="M405" s="178"/>
      <c r="N405" s="179"/>
      <c r="O405" s="179" t="s">
        <v>227</v>
      </c>
    </row>
    <row r="406" spans="1:15" x14ac:dyDescent="0.15">
      <c r="A406" s="18"/>
      <c r="B4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406)),ROW(),"")</f>
        <v>406</v>
      </c>
      <c r="C406" s="13">
        <f t="shared" si="69"/>
        <v>0</v>
      </c>
      <c r="D406" s="84" t="str">
        <f t="shared" si="70"/>
        <v/>
      </c>
      <c r="E406" s="18"/>
      <c r="F406" s="174"/>
      <c r="G406" s="175"/>
      <c r="H406" s="195"/>
      <c r="I406" s="196"/>
      <c r="J406" s="196"/>
      <c r="K406" s="196"/>
      <c r="L406" s="174"/>
      <c r="M406" s="178"/>
      <c r="N406" s="179"/>
      <c r="O406" s="179" t="s">
        <v>227</v>
      </c>
    </row>
    <row r="407" spans="1:15" x14ac:dyDescent="0.15">
      <c r="A407" s="18"/>
      <c r="B4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407)),ROW(),"")</f>
        <v>407</v>
      </c>
      <c r="C407" s="13">
        <f t="shared" si="69"/>
        <v>0</v>
      </c>
      <c r="D407" s="84" t="str">
        <f t="shared" si="70"/>
        <v/>
      </c>
      <c r="E407" s="18"/>
      <c r="F407" s="174"/>
      <c r="G407" s="175"/>
      <c r="H407" s="195"/>
      <c r="I407" s="196"/>
      <c r="J407" s="196"/>
      <c r="K407" s="196"/>
      <c r="L407" s="174"/>
      <c r="M407" s="178"/>
      <c r="N407" s="179"/>
      <c r="O407" s="179" t="s">
        <v>227</v>
      </c>
    </row>
    <row r="408" spans="1:15" x14ac:dyDescent="0.15">
      <c r="A408" s="18"/>
      <c r="B4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408)),ROW(),"")</f>
        <v>408</v>
      </c>
      <c r="C408" s="13">
        <f t="shared" si="69"/>
        <v>0</v>
      </c>
      <c r="D408" s="84" t="str">
        <f t="shared" si="70"/>
        <v/>
      </c>
      <c r="E408" s="18"/>
      <c r="F408" s="174"/>
      <c r="G408" s="175"/>
      <c r="H408" s="195"/>
      <c r="I408" s="196"/>
      <c r="J408" s="196"/>
      <c r="K408" s="196"/>
      <c r="L408" s="174"/>
      <c r="M408" s="178"/>
      <c r="N408" s="179"/>
      <c r="O408" s="179" t="s">
        <v>227</v>
      </c>
    </row>
    <row r="409" spans="1:15" x14ac:dyDescent="0.15">
      <c r="A409" s="18"/>
      <c r="B4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409)),ROW(),"")</f>
        <v>409</v>
      </c>
      <c r="C409" s="13">
        <f t="shared" si="69"/>
        <v>0</v>
      </c>
      <c r="D409" s="84" t="str">
        <f t="shared" si="70"/>
        <v/>
      </c>
      <c r="E409" s="18"/>
      <c r="F409" s="174"/>
      <c r="G409" s="175"/>
      <c r="H409" s="195"/>
      <c r="I409" s="196"/>
      <c r="J409" s="196"/>
      <c r="K409" s="196"/>
      <c r="L409" s="174"/>
      <c r="M409" s="178"/>
      <c r="N409" s="179"/>
      <c r="O409" s="179" t="s">
        <v>227</v>
      </c>
    </row>
    <row r="410" spans="1:15" x14ac:dyDescent="0.15">
      <c r="A410" s="18"/>
      <c r="B4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410)),ROW(),"")</f>
        <v>410</v>
      </c>
      <c r="C410" s="13">
        <f t="shared" si="69"/>
        <v>0</v>
      </c>
      <c r="D410" s="84" t="str">
        <f t="shared" si="70"/>
        <v/>
      </c>
      <c r="E410" s="18"/>
      <c r="F410" s="174"/>
      <c r="G410" s="175"/>
      <c r="H410" s="195"/>
      <c r="I410" s="196"/>
      <c r="J410" s="196"/>
      <c r="K410" s="196"/>
      <c r="L410" s="174"/>
      <c r="M410" s="178"/>
      <c r="N410" s="179"/>
      <c r="O410" s="179" t="s">
        <v>227</v>
      </c>
    </row>
    <row r="411" spans="1:15" x14ac:dyDescent="0.15">
      <c r="A411" s="18"/>
      <c r="B4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411)),ROW(),"")</f>
        <v>411</v>
      </c>
      <c r="C411" s="13">
        <f t="shared" si="69"/>
        <v>0</v>
      </c>
      <c r="D411" s="84" t="str">
        <f t="shared" si="70"/>
        <v/>
      </c>
      <c r="E411" s="18"/>
      <c r="F411" s="174"/>
      <c r="G411" s="175"/>
      <c r="H411" s="195"/>
      <c r="I411" s="196"/>
      <c r="J411" s="196"/>
      <c r="K411" s="196"/>
      <c r="L411" s="174"/>
      <c r="M411" s="178"/>
      <c r="N411" s="179"/>
      <c r="O411" s="179" t="s">
        <v>227</v>
      </c>
    </row>
    <row r="412" spans="1:15" x14ac:dyDescent="0.15">
      <c r="A412" s="18"/>
      <c r="B4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412)),ROW(),"")</f>
        <v>412</v>
      </c>
      <c r="C412" s="13">
        <f t="shared" si="69"/>
        <v>0</v>
      </c>
      <c r="D412" s="84" t="str">
        <f t="shared" si="70"/>
        <v/>
      </c>
      <c r="E412" s="18"/>
      <c r="F412" s="174"/>
      <c r="G412" s="175"/>
      <c r="H412" s="195"/>
      <c r="I412" s="196"/>
      <c r="J412" s="196"/>
      <c r="K412" s="196"/>
      <c r="L412" s="174"/>
      <c r="M412" s="178"/>
      <c r="N412" s="179"/>
      <c r="O412" s="179" t="s">
        <v>227</v>
      </c>
    </row>
    <row r="413" spans="1:15" x14ac:dyDescent="0.15">
      <c r="A413" s="18"/>
      <c r="B4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413)),ROW(),"")</f>
        <v>413</v>
      </c>
      <c r="C413" s="13">
        <f t="shared" si="69"/>
        <v>0</v>
      </c>
      <c r="D413" s="84" t="str">
        <f t="shared" si="70"/>
        <v/>
      </c>
      <c r="E413" s="18"/>
      <c r="F413" s="174"/>
      <c r="G413" s="175"/>
      <c r="H413" s="195"/>
      <c r="I413" s="196"/>
      <c r="J413" s="196"/>
      <c r="K413" s="196"/>
      <c r="L413" s="174"/>
      <c r="M413" s="178"/>
      <c r="N413" s="179"/>
      <c r="O413" s="179" t="s">
        <v>227</v>
      </c>
    </row>
    <row r="414" spans="1:15" x14ac:dyDescent="0.15">
      <c r="A414" s="18"/>
      <c r="B4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414)),ROW(),"")</f>
        <v>414</v>
      </c>
      <c r="C414" s="13">
        <f t="shared" si="69"/>
        <v>0</v>
      </c>
      <c r="D414" s="84" t="str">
        <f t="shared" si="70"/>
        <v/>
      </c>
      <c r="E414" s="18"/>
      <c r="F414" s="174"/>
      <c r="G414" s="175"/>
      <c r="H414" s="195"/>
      <c r="I414" s="196"/>
      <c r="J414" s="196"/>
      <c r="K414" s="196"/>
      <c r="L414" s="174"/>
      <c r="M414" s="178"/>
      <c r="N414" s="179"/>
      <c r="O414" s="179" t="s">
        <v>227</v>
      </c>
    </row>
    <row r="415" spans="1:15" x14ac:dyDescent="0.15">
      <c r="A415" s="18"/>
      <c r="B4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415)),ROW(),"")</f>
        <v>415</v>
      </c>
      <c r="C415" s="13">
        <f t="shared" si="69"/>
        <v>0</v>
      </c>
      <c r="D415" s="84" t="str">
        <f t="shared" si="70"/>
        <v/>
      </c>
      <c r="E415" s="18"/>
      <c r="F415" s="174"/>
      <c r="G415" s="175"/>
      <c r="H415" s="195"/>
      <c r="I415" s="196"/>
      <c r="J415" s="196"/>
      <c r="K415" s="196"/>
      <c r="L415" s="174"/>
      <c r="M415" s="178"/>
      <c r="N415" s="179"/>
      <c r="O415" s="179" t="s">
        <v>227</v>
      </c>
    </row>
    <row r="416" spans="1:15" x14ac:dyDescent="0.15">
      <c r="A416" s="18"/>
      <c r="B4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416)),ROW(),"")</f>
        <v>416</v>
      </c>
      <c r="C416" s="13">
        <f t="shared" si="69"/>
        <v>0</v>
      </c>
      <c r="D416" s="84" t="str">
        <f t="shared" si="70"/>
        <v/>
      </c>
      <c r="E416" s="18"/>
      <c r="F416" s="174"/>
      <c r="G416" s="175"/>
      <c r="H416" s="195"/>
      <c r="I416" s="196"/>
      <c r="J416" s="196"/>
      <c r="K416" s="196"/>
      <c r="L416" s="174"/>
      <c r="M416" s="178"/>
      <c r="N416" s="179"/>
      <c r="O416" s="179" t="s">
        <v>227</v>
      </c>
    </row>
    <row r="417" spans="1:15" x14ac:dyDescent="0.15">
      <c r="A417" s="18"/>
      <c r="B4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417)),ROW(),"")</f>
        <v>417</v>
      </c>
      <c r="C417" s="13">
        <f t="shared" si="69"/>
        <v>0</v>
      </c>
      <c r="D417" s="84" t="str">
        <f t="shared" si="70"/>
        <v/>
      </c>
      <c r="E417" s="18"/>
      <c r="F417" s="174"/>
      <c r="G417" s="175"/>
      <c r="H417" s="195"/>
      <c r="I417" s="196"/>
      <c r="J417" s="196"/>
      <c r="K417" s="196"/>
      <c r="L417" s="174"/>
      <c r="M417" s="178"/>
      <c r="N417" s="179"/>
      <c r="O417" s="179" t="s">
        <v>227</v>
      </c>
    </row>
    <row r="418" spans="1:15" x14ac:dyDescent="0.15">
      <c r="A418" s="18"/>
      <c r="B4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418)),ROW(),"")</f>
        <v>418</v>
      </c>
      <c r="C418" s="13">
        <f t="shared" si="69"/>
        <v>0</v>
      </c>
      <c r="D418" s="84" t="str">
        <f t="shared" si="70"/>
        <v/>
      </c>
      <c r="E418" s="18"/>
      <c r="F418" s="174"/>
      <c r="G418" s="175"/>
      <c r="H418" s="195"/>
      <c r="I418" s="196"/>
      <c r="J418" s="196"/>
      <c r="K418" s="196"/>
      <c r="L418" s="174"/>
      <c r="M418" s="178"/>
      <c r="N418" s="179"/>
      <c r="O418" s="179" t="s">
        <v>227</v>
      </c>
    </row>
    <row r="419" spans="1:15" x14ac:dyDescent="0.15">
      <c r="A419" s="18"/>
      <c r="B4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419)),ROW(),"")</f>
        <v>419</v>
      </c>
      <c r="C419" s="13">
        <f t="shared" si="69"/>
        <v>0</v>
      </c>
      <c r="D419" s="84" t="str">
        <f t="shared" si="70"/>
        <v/>
      </c>
      <c r="E419" s="18"/>
      <c r="F419" s="174"/>
      <c r="G419" s="175"/>
      <c r="H419" s="195"/>
      <c r="I419" s="196"/>
      <c r="J419" s="196"/>
      <c r="K419" s="196"/>
      <c r="L419" s="174"/>
      <c r="M419" s="178"/>
      <c r="N419" s="179"/>
      <c r="O419" s="179" t="s">
        <v>227</v>
      </c>
    </row>
    <row r="420" spans="1:15" x14ac:dyDescent="0.15">
      <c r="A420" s="18"/>
      <c r="B4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420)),ROW(),"")</f>
        <v>420</v>
      </c>
      <c r="C420" s="13">
        <f t="shared" si="69"/>
        <v>0</v>
      </c>
      <c r="D420" s="84" t="str">
        <f t="shared" si="70"/>
        <v/>
      </c>
      <c r="E420" s="18"/>
      <c r="F420" s="174"/>
      <c r="G420" s="175"/>
      <c r="H420" s="195"/>
      <c r="I420" s="196"/>
      <c r="J420" s="196"/>
      <c r="K420" s="196"/>
      <c r="L420" s="174"/>
      <c r="M420" s="178"/>
      <c r="N420" s="179"/>
      <c r="O420" s="179" t="s">
        <v>227</v>
      </c>
    </row>
    <row r="421" spans="1:15" x14ac:dyDescent="0.15">
      <c r="A421" s="18"/>
      <c r="B4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421)),ROW(),"")</f>
        <v>421</v>
      </c>
      <c r="C421" s="13">
        <f t="shared" si="69"/>
        <v>0</v>
      </c>
      <c r="D421" s="84" t="str">
        <f t="shared" si="70"/>
        <v/>
      </c>
      <c r="E421" s="18"/>
      <c r="F421" s="174"/>
      <c r="G421" s="175"/>
      <c r="H421" s="195"/>
      <c r="I421" s="196"/>
      <c r="J421" s="196"/>
      <c r="K421" s="196"/>
      <c r="L421" s="174"/>
      <c r="M421" s="178"/>
      <c r="N421" s="179"/>
      <c r="O421" s="179" t="s">
        <v>227</v>
      </c>
    </row>
    <row r="422" spans="1:15" x14ac:dyDescent="0.15">
      <c r="A422" s="18"/>
      <c r="B4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422)),ROW(),"")</f>
        <v>422</v>
      </c>
      <c r="C422" s="13">
        <f t="shared" si="69"/>
        <v>0</v>
      </c>
      <c r="D422" s="84" t="str">
        <f t="shared" si="70"/>
        <v/>
      </c>
      <c r="E422" s="18"/>
      <c r="F422" s="174"/>
      <c r="G422" s="175"/>
      <c r="H422" s="195"/>
      <c r="I422" s="196"/>
      <c r="J422" s="196"/>
      <c r="K422" s="196"/>
      <c r="L422" s="174"/>
      <c r="M422" s="178"/>
      <c r="N422" s="179"/>
      <c r="O422" s="179" t="s">
        <v>227</v>
      </c>
    </row>
    <row r="423" spans="1:15" x14ac:dyDescent="0.15">
      <c r="A423" s="18"/>
      <c r="B4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423)),ROW(),"")</f>
        <v>423</v>
      </c>
      <c r="C423" s="13">
        <f t="shared" si="69"/>
        <v>0</v>
      </c>
      <c r="D423" s="84" t="str">
        <f t="shared" si="70"/>
        <v/>
      </c>
      <c r="E423" s="18"/>
      <c r="F423" s="174"/>
      <c r="G423" s="175"/>
      <c r="H423" s="195"/>
      <c r="I423" s="196"/>
      <c r="J423" s="196"/>
      <c r="K423" s="196"/>
      <c r="L423" s="174"/>
      <c r="M423" s="178"/>
      <c r="N423" s="179"/>
      <c r="O423" s="179" t="s">
        <v>227</v>
      </c>
    </row>
    <row r="424" spans="1:15" x14ac:dyDescent="0.15">
      <c r="A424" s="18"/>
      <c r="B4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424)),ROW(),"")</f>
        <v>424</v>
      </c>
      <c r="C424" s="13">
        <f t="shared" si="69"/>
        <v>0</v>
      </c>
      <c r="D424" s="84" t="str">
        <f t="shared" si="70"/>
        <v/>
      </c>
      <c r="E424" s="18"/>
      <c r="F424" s="174"/>
      <c r="G424" s="175"/>
      <c r="H424" s="195"/>
      <c r="I424" s="196"/>
      <c r="J424" s="196"/>
      <c r="K424" s="196"/>
      <c r="L424" s="174"/>
      <c r="M424" s="178"/>
      <c r="N424" s="179"/>
      <c r="O424" s="179" t="s">
        <v>227</v>
      </c>
    </row>
    <row r="425" spans="1:15" x14ac:dyDescent="0.15">
      <c r="A425" s="18"/>
      <c r="B4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425)),ROW(),"")</f>
        <v>425</v>
      </c>
      <c r="C425" s="13">
        <f t="shared" si="69"/>
        <v>0</v>
      </c>
      <c r="D425" s="84" t="str">
        <f t="shared" si="70"/>
        <v/>
      </c>
      <c r="E425" s="18"/>
      <c r="F425" s="174"/>
      <c r="G425" s="175"/>
      <c r="H425" s="195"/>
      <c r="I425" s="196"/>
      <c r="J425" s="196"/>
      <c r="K425" s="196"/>
      <c r="L425" s="174"/>
      <c r="M425" s="178"/>
      <c r="N425" s="179"/>
      <c r="O425" s="179" t="s">
        <v>227</v>
      </c>
    </row>
    <row r="426" spans="1:15" x14ac:dyDescent="0.15">
      <c r="A426" s="18"/>
      <c r="B4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426)),ROW(),"")</f>
        <v>426</v>
      </c>
      <c r="C426" s="13">
        <f t="shared" si="69"/>
        <v>0</v>
      </c>
      <c r="D426" s="84" t="str">
        <f t="shared" si="70"/>
        <v/>
      </c>
      <c r="E426" s="18"/>
      <c r="F426" s="174"/>
      <c r="G426" s="175"/>
      <c r="H426" s="195"/>
      <c r="I426" s="196"/>
      <c r="J426" s="196"/>
      <c r="K426" s="196"/>
      <c r="L426" s="174"/>
      <c r="M426" s="178"/>
      <c r="N426" s="179"/>
      <c r="O426" s="179" t="s">
        <v>227</v>
      </c>
    </row>
    <row r="427" spans="1:15" x14ac:dyDescent="0.15">
      <c r="A427" s="18"/>
      <c r="B4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427)),ROW(),"")</f>
        <v>427</v>
      </c>
      <c r="C427" s="13">
        <f t="shared" si="69"/>
        <v>0</v>
      </c>
      <c r="D427" s="84" t="str">
        <f t="shared" si="70"/>
        <v/>
      </c>
      <c r="E427" s="18"/>
      <c r="F427" s="174"/>
      <c r="G427" s="175"/>
      <c r="H427" s="195"/>
      <c r="I427" s="196"/>
      <c r="J427" s="196"/>
      <c r="K427" s="196"/>
      <c r="L427" s="174"/>
      <c r="M427" s="178"/>
      <c r="N427" s="179"/>
      <c r="O427" s="179" t="s">
        <v>227</v>
      </c>
    </row>
    <row r="428" spans="1:15" x14ac:dyDescent="0.15">
      <c r="A428" s="18"/>
      <c r="B4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428)),ROW(),"")</f>
        <v>428</v>
      </c>
      <c r="C428" s="13">
        <f t="shared" si="69"/>
        <v>0</v>
      </c>
      <c r="D428" s="84" t="str">
        <f t="shared" si="70"/>
        <v/>
      </c>
      <c r="E428" s="18"/>
      <c r="F428" s="174"/>
      <c r="G428" s="175"/>
      <c r="H428" s="195"/>
      <c r="I428" s="196"/>
      <c r="J428" s="196"/>
      <c r="K428" s="196"/>
      <c r="L428" s="174"/>
      <c r="M428" s="178"/>
      <c r="N428" s="179"/>
      <c r="O428" s="179" t="s">
        <v>227</v>
      </c>
    </row>
    <row r="429" spans="1:15" x14ac:dyDescent="0.15">
      <c r="A429" s="18"/>
      <c r="B4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429)),ROW(),"")</f>
        <v>429</v>
      </c>
      <c r="C429" s="13">
        <f t="shared" si="69"/>
        <v>0</v>
      </c>
      <c r="D429" s="84" t="str">
        <f t="shared" si="70"/>
        <v/>
      </c>
      <c r="E429" s="18"/>
      <c r="F429" s="174"/>
      <c r="G429" s="175"/>
      <c r="H429" s="195"/>
      <c r="I429" s="196"/>
      <c r="J429" s="196"/>
      <c r="K429" s="196"/>
      <c r="L429" s="174"/>
      <c r="M429" s="178"/>
      <c r="N429" s="179"/>
      <c r="O429" s="179" t="s">
        <v>227</v>
      </c>
    </row>
    <row r="430" spans="1:15" x14ac:dyDescent="0.15">
      <c r="A430" s="18"/>
      <c r="B4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430)),ROW(),"")</f>
        <v>430</v>
      </c>
      <c r="C430" s="13">
        <f t="shared" si="69"/>
        <v>0</v>
      </c>
      <c r="D430" s="84" t="str">
        <f t="shared" si="70"/>
        <v/>
      </c>
      <c r="E430" s="18"/>
      <c r="F430" s="174"/>
      <c r="G430" s="175"/>
      <c r="H430" s="195"/>
      <c r="I430" s="196"/>
      <c r="J430" s="196"/>
      <c r="K430" s="196"/>
      <c r="L430" s="174"/>
      <c r="M430" s="178"/>
      <c r="N430" s="179"/>
      <c r="O430" s="179" t="s">
        <v>227</v>
      </c>
    </row>
    <row r="431" spans="1:15" x14ac:dyDescent="0.15">
      <c r="A431" s="18"/>
      <c r="B4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431)),ROW(),"")</f>
        <v>431</v>
      </c>
      <c r="C431" s="13">
        <f t="shared" ref="C431:C494" si="71">INDEX(A:A,SMALL($B$3:$B$1039,ROW(A429)))</f>
        <v>0</v>
      </c>
      <c r="D431" s="84" t="str">
        <f t="shared" ref="D431:D494" si="72">PHONETIC(A431)</f>
        <v/>
      </c>
      <c r="E431" s="18"/>
      <c r="F431" s="174"/>
      <c r="G431" s="175"/>
      <c r="H431" s="195"/>
      <c r="I431" s="196"/>
      <c r="J431" s="196"/>
      <c r="K431" s="196"/>
      <c r="L431" s="174"/>
      <c r="M431" s="178"/>
      <c r="N431" s="179"/>
      <c r="O431" s="179" t="s">
        <v>227</v>
      </c>
    </row>
    <row r="432" spans="1:15" x14ac:dyDescent="0.15">
      <c r="A432" s="18"/>
      <c r="B4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432)),ROW(),"")</f>
        <v>432</v>
      </c>
      <c r="C432" s="13">
        <f t="shared" si="71"/>
        <v>0</v>
      </c>
      <c r="D432" s="84" t="str">
        <f t="shared" si="72"/>
        <v/>
      </c>
      <c r="E432" s="18"/>
      <c r="F432" s="174"/>
      <c r="G432" s="175"/>
      <c r="H432" s="195"/>
      <c r="I432" s="196"/>
      <c r="J432" s="196"/>
      <c r="K432" s="196"/>
      <c r="L432" s="174"/>
      <c r="M432" s="178"/>
      <c r="N432" s="179"/>
      <c r="O432" s="179" t="s">
        <v>227</v>
      </c>
    </row>
    <row r="433" spans="1:15" x14ac:dyDescent="0.15">
      <c r="A433" s="18"/>
      <c r="B4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433)),ROW(),"")</f>
        <v>433</v>
      </c>
      <c r="C433" s="13">
        <f t="shared" si="71"/>
        <v>0</v>
      </c>
      <c r="D433" s="84" t="str">
        <f t="shared" si="72"/>
        <v/>
      </c>
      <c r="E433" s="18"/>
      <c r="F433" s="174"/>
      <c r="G433" s="175"/>
      <c r="H433" s="195"/>
      <c r="I433" s="196"/>
      <c r="J433" s="196"/>
      <c r="K433" s="196"/>
      <c r="L433" s="174"/>
      <c r="M433" s="178"/>
      <c r="N433" s="179"/>
      <c r="O433" s="179" t="s">
        <v>227</v>
      </c>
    </row>
    <row r="434" spans="1:15" x14ac:dyDescent="0.15">
      <c r="A434" s="18"/>
      <c r="B4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434)),ROW(),"")</f>
        <v>434</v>
      </c>
      <c r="C434" s="13">
        <f t="shared" si="71"/>
        <v>0</v>
      </c>
      <c r="D434" s="84" t="str">
        <f t="shared" si="72"/>
        <v/>
      </c>
      <c r="E434" s="18"/>
      <c r="F434" s="174"/>
      <c r="G434" s="175"/>
      <c r="H434" s="195"/>
      <c r="I434" s="196"/>
      <c r="J434" s="196"/>
      <c r="K434" s="196"/>
      <c r="L434" s="174"/>
      <c r="M434" s="178"/>
      <c r="N434" s="179"/>
      <c r="O434" s="179" t="s">
        <v>227</v>
      </c>
    </row>
    <row r="435" spans="1:15" x14ac:dyDescent="0.15">
      <c r="A435" s="18"/>
      <c r="B4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435)),ROW(),"")</f>
        <v>435</v>
      </c>
      <c r="C435" s="13">
        <f t="shared" si="71"/>
        <v>0</v>
      </c>
      <c r="D435" s="84" t="str">
        <f t="shared" si="72"/>
        <v/>
      </c>
      <c r="E435" s="18"/>
      <c r="F435" s="174"/>
      <c r="G435" s="175"/>
      <c r="H435" s="195"/>
      <c r="I435" s="196"/>
      <c r="J435" s="196"/>
      <c r="K435" s="196"/>
      <c r="L435" s="174"/>
      <c r="M435" s="178"/>
      <c r="N435" s="179"/>
      <c r="O435" s="179" t="s">
        <v>227</v>
      </c>
    </row>
    <row r="436" spans="1:15" x14ac:dyDescent="0.15">
      <c r="A436" s="18"/>
      <c r="B4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436)),ROW(),"")</f>
        <v>436</v>
      </c>
      <c r="C436" s="13">
        <f t="shared" si="71"/>
        <v>0</v>
      </c>
      <c r="D436" s="84" t="str">
        <f t="shared" si="72"/>
        <v/>
      </c>
      <c r="E436" s="18"/>
      <c r="F436" s="174"/>
      <c r="G436" s="175"/>
      <c r="H436" s="195"/>
      <c r="I436" s="196"/>
      <c r="J436" s="196"/>
      <c r="K436" s="196"/>
      <c r="L436" s="174"/>
      <c r="M436" s="178"/>
      <c r="N436" s="179"/>
      <c r="O436" s="179" t="s">
        <v>227</v>
      </c>
    </row>
    <row r="437" spans="1:15" x14ac:dyDescent="0.15">
      <c r="A437" s="18"/>
      <c r="B4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437)),ROW(),"")</f>
        <v>437</v>
      </c>
      <c r="C437" s="13">
        <f t="shared" si="71"/>
        <v>0</v>
      </c>
      <c r="D437" s="84" t="str">
        <f t="shared" si="72"/>
        <v/>
      </c>
      <c r="E437" s="18"/>
      <c r="F437" s="174"/>
      <c r="G437" s="175"/>
      <c r="H437" s="195"/>
      <c r="I437" s="196"/>
      <c r="J437" s="196"/>
      <c r="K437" s="196"/>
      <c r="L437" s="174"/>
      <c r="M437" s="178"/>
      <c r="N437" s="179"/>
      <c r="O437" s="179" t="s">
        <v>227</v>
      </c>
    </row>
    <row r="438" spans="1:15" x14ac:dyDescent="0.15">
      <c r="A438" s="18"/>
      <c r="B4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438)),ROW(),"")</f>
        <v>438</v>
      </c>
      <c r="C438" s="13">
        <f t="shared" si="71"/>
        <v>0</v>
      </c>
      <c r="D438" s="84" t="str">
        <f t="shared" si="72"/>
        <v/>
      </c>
      <c r="E438" s="18"/>
      <c r="F438" s="174"/>
      <c r="G438" s="175"/>
      <c r="H438" s="195"/>
      <c r="I438" s="196"/>
      <c r="J438" s="196"/>
      <c r="K438" s="196"/>
      <c r="L438" s="174"/>
      <c r="M438" s="178"/>
      <c r="N438" s="179"/>
      <c r="O438" s="179" t="s">
        <v>227</v>
      </c>
    </row>
    <row r="439" spans="1:15" x14ac:dyDescent="0.15">
      <c r="A439" s="18"/>
      <c r="B4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439)),ROW(),"")</f>
        <v>439</v>
      </c>
      <c r="C439" s="13">
        <f t="shared" si="71"/>
        <v>0</v>
      </c>
      <c r="D439" s="84" t="str">
        <f t="shared" si="72"/>
        <v/>
      </c>
      <c r="E439" s="18"/>
      <c r="F439" s="174"/>
      <c r="G439" s="175"/>
      <c r="H439" s="195"/>
      <c r="I439" s="196"/>
      <c r="J439" s="196"/>
      <c r="K439" s="196"/>
      <c r="L439" s="174"/>
      <c r="M439" s="178"/>
      <c r="N439" s="179"/>
      <c r="O439" s="179" t="s">
        <v>227</v>
      </c>
    </row>
    <row r="440" spans="1:15" x14ac:dyDescent="0.15">
      <c r="A440" s="18"/>
      <c r="B4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440)),ROW(),"")</f>
        <v>440</v>
      </c>
      <c r="C440" s="13">
        <f t="shared" si="71"/>
        <v>0</v>
      </c>
      <c r="D440" s="84" t="str">
        <f t="shared" si="72"/>
        <v/>
      </c>
      <c r="E440" s="18"/>
      <c r="F440" s="174"/>
      <c r="G440" s="175"/>
      <c r="H440" s="195"/>
      <c r="I440" s="196"/>
      <c r="J440" s="196"/>
      <c r="K440" s="196"/>
      <c r="L440" s="174"/>
      <c r="M440" s="178"/>
      <c r="N440" s="179"/>
      <c r="O440" s="179" t="s">
        <v>227</v>
      </c>
    </row>
    <row r="441" spans="1:15" x14ac:dyDescent="0.15">
      <c r="A441" s="18"/>
      <c r="B4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441)),ROW(),"")</f>
        <v>441</v>
      </c>
      <c r="C441" s="13">
        <f t="shared" si="71"/>
        <v>0</v>
      </c>
      <c r="D441" s="84" t="str">
        <f t="shared" si="72"/>
        <v/>
      </c>
      <c r="E441" s="18"/>
      <c r="F441" s="174"/>
      <c r="G441" s="175"/>
      <c r="H441" s="195"/>
      <c r="I441" s="196"/>
      <c r="J441" s="196"/>
      <c r="K441" s="196"/>
      <c r="L441" s="174"/>
      <c r="M441" s="178"/>
      <c r="N441" s="179"/>
      <c r="O441" s="179" t="s">
        <v>227</v>
      </c>
    </row>
    <row r="442" spans="1:15" x14ac:dyDescent="0.15">
      <c r="A442" s="18"/>
      <c r="B4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442)),ROW(),"")</f>
        <v>442</v>
      </c>
      <c r="C442" s="13">
        <f t="shared" si="71"/>
        <v>0</v>
      </c>
      <c r="D442" s="84" t="str">
        <f t="shared" si="72"/>
        <v/>
      </c>
      <c r="E442" s="18"/>
      <c r="F442" s="174"/>
      <c r="G442" s="175"/>
      <c r="H442" s="195"/>
      <c r="I442" s="196"/>
      <c r="J442" s="196"/>
      <c r="K442" s="196"/>
      <c r="L442" s="174"/>
      <c r="M442" s="178"/>
      <c r="N442" s="179"/>
      <c r="O442" s="179" t="s">
        <v>227</v>
      </c>
    </row>
    <row r="443" spans="1:15" x14ac:dyDescent="0.15">
      <c r="A443" s="18"/>
      <c r="B4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443)),ROW(),"")</f>
        <v>443</v>
      </c>
      <c r="C443" s="13">
        <f t="shared" si="71"/>
        <v>0</v>
      </c>
      <c r="D443" s="84" t="str">
        <f t="shared" si="72"/>
        <v/>
      </c>
      <c r="E443" s="18"/>
      <c r="F443" s="174"/>
      <c r="G443" s="175"/>
      <c r="H443" s="195"/>
      <c r="I443" s="196"/>
      <c r="J443" s="196"/>
      <c r="K443" s="196"/>
      <c r="L443" s="174"/>
      <c r="M443" s="178"/>
      <c r="N443" s="179"/>
      <c r="O443" s="179" t="s">
        <v>227</v>
      </c>
    </row>
    <row r="444" spans="1:15" x14ac:dyDescent="0.15">
      <c r="A444" s="18"/>
      <c r="B4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444)),ROW(),"")</f>
        <v>444</v>
      </c>
      <c r="C444" s="13">
        <f t="shared" si="71"/>
        <v>0</v>
      </c>
      <c r="D444" s="84" t="str">
        <f t="shared" si="72"/>
        <v/>
      </c>
      <c r="E444" s="18"/>
      <c r="F444" s="174"/>
      <c r="G444" s="175"/>
      <c r="H444" s="195"/>
      <c r="I444" s="196"/>
      <c r="J444" s="196"/>
      <c r="K444" s="196"/>
      <c r="L444" s="174"/>
      <c r="M444" s="178"/>
      <c r="N444" s="179"/>
      <c r="O444" s="179" t="s">
        <v>227</v>
      </c>
    </row>
    <row r="445" spans="1:15" x14ac:dyDescent="0.15">
      <c r="A445" s="18"/>
      <c r="B4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445)),ROW(),"")</f>
        <v>445</v>
      </c>
      <c r="C445" s="13">
        <f t="shared" si="71"/>
        <v>0</v>
      </c>
      <c r="D445" s="84" t="str">
        <f t="shared" si="72"/>
        <v/>
      </c>
      <c r="E445" s="18"/>
      <c r="F445" s="174"/>
      <c r="G445" s="175"/>
      <c r="H445" s="195"/>
      <c r="I445" s="196"/>
      <c r="J445" s="196"/>
      <c r="K445" s="196"/>
      <c r="L445" s="174"/>
      <c r="M445" s="178"/>
      <c r="N445" s="179"/>
      <c r="O445" s="179" t="s">
        <v>227</v>
      </c>
    </row>
    <row r="446" spans="1:15" x14ac:dyDescent="0.15">
      <c r="A446" s="18"/>
      <c r="B4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446)),ROW(),"")</f>
        <v>446</v>
      </c>
      <c r="C446" s="13">
        <f t="shared" si="71"/>
        <v>0</v>
      </c>
      <c r="D446" s="84" t="str">
        <f t="shared" si="72"/>
        <v/>
      </c>
      <c r="E446" s="18"/>
      <c r="F446" s="174"/>
      <c r="G446" s="175"/>
      <c r="H446" s="195"/>
      <c r="I446" s="196"/>
      <c r="J446" s="196"/>
      <c r="K446" s="196"/>
      <c r="L446" s="174"/>
      <c r="M446" s="178"/>
      <c r="N446" s="179"/>
      <c r="O446" s="179" t="s">
        <v>227</v>
      </c>
    </row>
    <row r="447" spans="1:15" x14ac:dyDescent="0.15">
      <c r="A447" s="18"/>
      <c r="B4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447)),ROW(),"")</f>
        <v>447</v>
      </c>
      <c r="C447" s="13">
        <f t="shared" si="71"/>
        <v>0</v>
      </c>
      <c r="D447" s="84" t="str">
        <f t="shared" si="72"/>
        <v/>
      </c>
      <c r="E447" s="18"/>
      <c r="F447" s="174"/>
      <c r="G447" s="175"/>
      <c r="H447" s="195"/>
      <c r="I447" s="196"/>
      <c r="J447" s="196"/>
      <c r="K447" s="196"/>
      <c r="L447" s="174"/>
      <c r="M447" s="178"/>
      <c r="N447" s="179"/>
      <c r="O447" s="179" t="s">
        <v>227</v>
      </c>
    </row>
    <row r="448" spans="1:15" x14ac:dyDescent="0.15">
      <c r="A448" s="18"/>
      <c r="B4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448)),ROW(),"")</f>
        <v>448</v>
      </c>
      <c r="C448" s="13">
        <f t="shared" si="71"/>
        <v>0</v>
      </c>
      <c r="D448" s="84" t="str">
        <f t="shared" si="72"/>
        <v/>
      </c>
      <c r="E448" s="18"/>
      <c r="F448" s="174"/>
      <c r="G448" s="175"/>
      <c r="H448" s="195"/>
      <c r="I448" s="196"/>
      <c r="J448" s="196"/>
      <c r="K448" s="196"/>
      <c r="L448" s="174"/>
      <c r="M448" s="178"/>
      <c r="N448" s="179"/>
      <c r="O448" s="179" t="s">
        <v>227</v>
      </c>
    </row>
    <row r="449" spans="1:15" x14ac:dyDescent="0.15">
      <c r="A449" s="18"/>
      <c r="B4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449)),ROW(),"")</f>
        <v>449</v>
      </c>
      <c r="C449" s="13">
        <f t="shared" si="71"/>
        <v>0</v>
      </c>
      <c r="D449" s="84" t="str">
        <f t="shared" si="72"/>
        <v/>
      </c>
      <c r="E449" s="18"/>
      <c r="F449" s="174"/>
      <c r="G449" s="175"/>
      <c r="H449" s="195"/>
      <c r="I449" s="196"/>
      <c r="J449" s="196"/>
      <c r="K449" s="196"/>
      <c r="L449" s="174"/>
      <c r="M449" s="178"/>
      <c r="N449" s="179"/>
      <c r="O449" s="179" t="s">
        <v>227</v>
      </c>
    </row>
    <row r="450" spans="1:15" x14ac:dyDescent="0.15">
      <c r="A450" s="18"/>
      <c r="B4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450)),ROW(),"")</f>
        <v>450</v>
      </c>
      <c r="C450" s="13">
        <f t="shared" si="71"/>
        <v>0</v>
      </c>
      <c r="D450" s="84" t="str">
        <f t="shared" si="72"/>
        <v/>
      </c>
      <c r="E450" s="18"/>
      <c r="F450" s="174"/>
      <c r="G450" s="175"/>
      <c r="H450" s="195"/>
      <c r="I450" s="196"/>
      <c r="J450" s="196"/>
      <c r="K450" s="196"/>
      <c r="L450" s="174"/>
      <c r="M450" s="178"/>
      <c r="N450" s="179"/>
      <c r="O450" s="179" t="s">
        <v>227</v>
      </c>
    </row>
    <row r="451" spans="1:15" x14ac:dyDescent="0.15">
      <c r="A451" s="18"/>
      <c r="B4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451)),ROW(),"")</f>
        <v>451</v>
      </c>
      <c r="C451" s="13">
        <f t="shared" si="71"/>
        <v>0</v>
      </c>
      <c r="D451" s="84" t="str">
        <f t="shared" si="72"/>
        <v/>
      </c>
      <c r="E451" s="18"/>
      <c r="F451" s="174"/>
      <c r="G451" s="175"/>
      <c r="H451" s="195"/>
      <c r="I451" s="196"/>
      <c r="J451" s="196"/>
      <c r="K451" s="196"/>
      <c r="L451" s="174"/>
      <c r="M451" s="178"/>
      <c r="N451" s="179"/>
      <c r="O451" s="179" t="s">
        <v>227</v>
      </c>
    </row>
    <row r="452" spans="1:15" x14ac:dyDescent="0.15">
      <c r="A452" s="18"/>
      <c r="B4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452)),ROW(),"")</f>
        <v>452</v>
      </c>
      <c r="C452" s="13">
        <f t="shared" si="71"/>
        <v>0</v>
      </c>
      <c r="D452" s="84" t="str">
        <f t="shared" si="72"/>
        <v/>
      </c>
      <c r="E452" s="18"/>
      <c r="F452" s="174"/>
      <c r="G452" s="175"/>
      <c r="H452" s="195"/>
      <c r="I452" s="196"/>
      <c r="J452" s="196"/>
      <c r="K452" s="196"/>
      <c r="L452" s="174"/>
      <c r="M452" s="178"/>
      <c r="N452" s="179"/>
      <c r="O452" s="179" t="s">
        <v>227</v>
      </c>
    </row>
    <row r="453" spans="1:15" x14ac:dyDescent="0.15">
      <c r="A453" s="18"/>
      <c r="B4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453)),ROW(),"")</f>
        <v>453</v>
      </c>
      <c r="C453" s="13">
        <f t="shared" si="71"/>
        <v>0</v>
      </c>
      <c r="D453" s="84" t="str">
        <f t="shared" si="72"/>
        <v/>
      </c>
      <c r="E453" s="18"/>
      <c r="F453" s="174"/>
      <c r="G453" s="175"/>
      <c r="H453" s="195"/>
      <c r="I453" s="196"/>
      <c r="J453" s="196"/>
      <c r="K453" s="196"/>
      <c r="L453" s="174"/>
      <c r="M453" s="178"/>
      <c r="N453" s="179"/>
      <c r="O453" s="179" t="s">
        <v>227</v>
      </c>
    </row>
    <row r="454" spans="1:15" x14ac:dyDescent="0.15">
      <c r="A454" s="18"/>
      <c r="B4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454)),ROW(),"")</f>
        <v>454</v>
      </c>
      <c r="C454" s="13">
        <f t="shared" si="71"/>
        <v>0</v>
      </c>
      <c r="D454" s="84" t="str">
        <f t="shared" si="72"/>
        <v/>
      </c>
      <c r="E454" s="18"/>
      <c r="F454" s="174"/>
      <c r="G454" s="175"/>
      <c r="H454" s="195"/>
      <c r="I454" s="196"/>
      <c r="J454" s="196"/>
      <c r="K454" s="196"/>
      <c r="L454" s="174"/>
      <c r="M454" s="178"/>
      <c r="N454" s="179"/>
      <c r="O454" s="179" t="s">
        <v>227</v>
      </c>
    </row>
    <row r="455" spans="1:15" x14ac:dyDescent="0.15">
      <c r="A455" s="18"/>
      <c r="B4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455)),ROW(),"")</f>
        <v>455</v>
      </c>
      <c r="C455" s="13">
        <f t="shared" si="71"/>
        <v>0</v>
      </c>
      <c r="D455" s="84" t="str">
        <f t="shared" si="72"/>
        <v/>
      </c>
      <c r="E455" s="18"/>
      <c r="F455" s="174"/>
      <c r="G455" s="175"/>
      <c r="H455" s="195"/>
      <c r="I455" s="196"/>
      <c r="J455" s="196"/>
      <c r="K455" s="196"/>
      <c r="L455" s="174"/>
      <c r="M455" s="178"/>
      <c r="N455" s="179"/>
      <c r="O455" s="179" t="s">
        <v>227</v>
      </c>
    </row>
    <row r="456" spans="1:15" x14ac:dyDescent="0.15">
      <c r="A456" s="18"/>
      <c r="B4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456)),ROW(),"")</f>
        <v>456</v>
      </c>
      <c r="C456" s="13">
        <f t="shared" si="71"/>
        <v>0</v>
      </c>
      <c r="D456" s="84" t="str">
        <f t="shared" si="72"/>
        <v/>
      </c>
      <c r="E456" s="18"/>
      <c r="F456" s="174"/>
      <c r="G456" s="175"/>
      <c r="H456" s="195"/>
      <c r="I456" s="196"/>
      <c r="J456" s="196"/>
      <c r="K456" s="196"/>
      <c r="L456" s="174"/>
      <c r="M456" s="178"/>
      <c r="N456" s="179"/>
      <c r="O456" s="179" t="s">
        <v>227</v>
      </c>
    </row>
    <row r="457" spans="1:15" x14ac:dyDescent="0.15">
      <c r="A457" s="18"/>
      <c r="B4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457)),ROW(),"")</f>
        <v>457</v>
      </c>
      <c r="C457" s="13">
        <f t="shared" si="71"/>
        <v>0</v>
      </c>
      <c r="D457" s="84" t="str">
        <f t="shared" si="72"/>
        <v/>
      </c>
      <c r="E457" s="18"/>
      <c r="F457" s="174"/>
      <c r="G457" s="175"/>
      <c r="H457" s="195"/>
      <c r="I457" s="196"/>
      <c r="J457" s="196"/>
      <c r="K457" s="196"/>
      <c r="L457" s="174"/>
      <c r="M457" s="178"/>
      <c r="N457" s="179"/>
      <c r="O457" s="179" t="s">
        <v>227</v>
      </c>
    </row>
    <row r="458" spans="1:15" x14ac:dyDescent="0.15">
      <c r="A458" s="18"/>
      <c r="B4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458)),ROW(),"")</f>
        <v>458</v>
      </c>
      <c r="C458" s="13">
        <f t="shared" si="71"/>
        <v>0</v>
      </c>
      <c r="D458" s="84" t="str">
        <f t="shared" si="72"/>
        <v/>
      </c>
      <c r="E458" s="18"/>
      <c r="F458" s="174"/>
      <c r="G458" s="175"/>
      <c r="H458" s="195"/>
      <c r="I458" s="196"/>
      <c r="J458" s="196"/>
      <c r="K458" s="196"/>
      <c r="L458" s="174"/>
      <c r="M458" s="178"/>
      <c r="N458" s="179"/>
      <c r="O458" s="179" t="s">
        <v>227</v>
      </c>
    </row>
    <row r="459" spans="1:15" x14ac:dyDescent="0.15">
      <c r="A459" s="18"/>
      <c r="B4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459)),ROW(),"")</f>
        <v>459</v>
      </c>
      <c r="C459" s="13">
        <f t="shared" si="71"/>
        <v>0</v>
      </c>
      <c r="D459" s="84" t="str">
        <f t="shared" si="72"/>
        <v/>
      </c>
      <c r="E459" s="18"/>
      <c r="F459" s="174"/>
      <c r="G459" s="175"/>
      <c r="H459" s="195"/>
      <c r="I459" s="196"/>
      <c r="J459" s="196"/>
      <c r="K459" s="196"/>
      <c r="L459" s="174"/>
      <c r="M459" s="178"/>
      <c r="N459" s="179"/>
      <c r="O459" s="179" t="s">
        <v>227</v>
      </c>
    </row>
    <row r="460" spans="1:15" x14ac:dyDescent="0.15">
      <c r="A460" s="18"/>
      <c r="B4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460)),ROW(),"")</f>
        <v>460</v>
      </c>
      <c r="C460" s="13">
        <f t="shared" si="71"/>
        <v>0</v>
      </c>
      <c r="D460" s="84" t="str">
        <f t="shared" si="72"/>
        <v/>
      </c>
      <c r="E460" s="18"/>
      <c r="F460" s="174"/>
      <c r="G460" s="175"/>
      <c r="H460" s="195"/>
      <c r="I460" s="196"/>
      <c r="J460" s="196"/>
      <c r="K460" s="196"/>
      <c r="L460" s="174"/>
      <c r="M460" s="178"/>
      <c r="N460" s="179"/>
      <c r="O460" s="179" t="s">
        <v>227</v>
      </c>
    </row>
    <row r="461" spans="1:15" x14ac:dyDescent="0.15">
      <c r="A461" s="18"/>
      <c r="B4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461)),ROW(),"")</f>
        <v>461</v>
      </c>
      <c r="C461" s="13">
        <f t="shared" si="71"/>
        <v>0</v>
      </c>
      <c r="D461" s="84" t="str">
        <f t="shared" si="72"/>
        <v/>
      </c>
      <c r="E461" s="18"/>
      <c r="F461" s="174"/>
      <c r="G461" s="175"/>
      <c r="H461" s="195"/>
      <c r="I461" s="196"/>
      <c r="J461" s="196"/>
      <c r="K461" s="196"/>
      <c r="L461" s="174"/>
      <c r="M461" s="178"/>
      <c r="N461" s="179"/>
      <c r="O461" s="179" t="s">
        <v>227</v>
      </c>
    </row>
    <row r="462" spans="1:15" x14ac:dyDescent="0.15">
      <c r="A462" s="18"/>
      <c r="B4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462)),ROW(),"")</f>
        <v>462</v>
      </c>
      <c r="C462" s="13">
        <f t="shared" si="71"/>
        <v>0</v>
      </c>
      <c r="D462" s="84" t="str">
        <f t="shared" si="72"/>
        <v/>
      </c>
      <c r="E462" s="18"/>
      <c r="F462" s="174"/>
      <c r="G462" s="175"/>
      <c r="H462" s="195"/>
      <c r="I462" s="196"/>
      <c r="J462" s="196"/>
      <c r="K462" s="196"/>
      <c r="L462" s="174"/>
      <c r="M462" s="178"/>
      <c r="N462" s="179"/>
      <c r="O462" s="179" t="s">
        <v>227</v>
      </c>
    </row>
    <row r="463" spans="1:15" x14ac:dyDescent="0.15">
      <c r="A463" s="18"/>
      <c r="B4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463)),ROW(),"")</f>
        <v>463</v>
      </c>
      <c r="C463" s="13">
        <f t="shared" si="71"/>
        <v>0</v>
      </c>
      <c r="D463" s="84" t="str">
        <f t="shared" si="72"/>
        <v/>
      </c>
      <c r="E463" s="18"/>
      <c r="F463" s="174"/>
      <c r="G463" s="175"/>
      <c r="H463" s="195"/>
      <c r="I463" s="196"/>
      <c r="J463" s="196"/>
      <c r="K463" s="196"/>
      <c r="L463" s="174"/>
      <c r="M463" s="178"/>
      <c r="N463" s="179"/>
      <c r="O463" s="179" t="s">
        <v>227</v>
      </c>
    </row>
    <row r="464" spans="1:15" x14ac:dyDescent="0.15">
      <c r="A464" s="18"/>
      <c r="B4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464)),ROW(),"")</f>
        <v>464</v>
      </c>
      <c r="C464" s="13">
        <f t="shared" si="71"/>
        <v>0</v>
      </c>
      <c r="D464" s="84" t="str">
        <f t="shared" si="72"/>
        <v/>
      </c>
      <c r="E464" s="18"/>
      <c r="F464" s="174"/>
      <c r="G464" s="175"/>
      <c r="H464" s="195"/>
      <c r="I464" s="196"/>
      <c r="J464" s="196"/>
      <c r="K464" s="196"/>
      <c r="L464" s="174"/>
      <c r="M464" s="178"/>
      <c r="N464" s="179"/>
      <c r="O464" s="179" t="s">
        <v>227</v>
      </c>
    </row>
    <row r="465" spans="1:15" x14ac:dyDescent="0.15">
      <c r="A465" s="18"/>
      <c r="B4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465)),ROW(),"")</f>
        <v>465</v>
      </c>
      <c r="C465" s="13">
        <f t="shared" si="71"/>
        <v>0</v>
      </c>
      <c r="D465" s="84" t="str">
        <f t="shared" si="72"/>
        <v/>
      </c>
      <c r="E465" s="18"/>
      <c r="F465" s="174"/>
      <c r="G465" s="175"/>
      <c r="H465" s="195"/>
      <c r="I465" s="196"/>
      <c r="J465" s="196"/>
      <c r="K465" s="196"/>
      <c r="L465" s="174"/>
      <c r="M465" s="178"/>
      <c r="N465" s="179"/>
      <c r="O465" s="179" t="s">
        <v>227</v>
      </c>
    </row>
    <row r="466" spans="1:15" x14ac:dyDescent="0.15">
      <c r="A466" s="18"/>
      <c r="B4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466)),ROW(),"")</f>
        <v>466</v>
      </c>
      <c r="C466" s="13">
        <f t="shared" si="71"/>
        <v>0</v>
      </c>
      <c r="D466" s="84" t="str">
        <f t="shared" si="72"/>
        <v/>
      </c>
      <c r="E466" s="18"/>
      <c r="F466" s="174"/>
      <c r="G466" s="175"/>
      <c r="H466" s="195"/>
      <c r="I466" s="196"/>
      <c r="J466" s="196"/>
      <c r="K466" s="196"/>
      <c r="L466" s="174"/>
      <c r="M466" s="178"/>
      <c r="N466" s="179"/>
      <c r="O466" s="179" t="s">
        <v>227</v>
      </c>
    </row>
    <row r="467" spans="1:15" x14ac:dyDescent="0.15">
      <c r="A467" s="18"/>
      <c r="B4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467)),ROW(),"")</f>
        <v>467</v>
      </c>
      <c r="C467" s="13">
        <f t="shared" si="71"/>
        <v>0</v>
      </c>
      <c r="D467" s="84" t="str">
        <f t="shared" si="72"/>
        <v/>
      </c>
      <c r="E467" s="18"/>
      <c r="F467" s="174"/>
      <c r="G467" s="175"/>
      <c r="H467" s="195"/>
      <c r="I467" s="196"/>
      <c r="J467" s="196"/>
      <c r="K467" s="196"/>
      <c r="L467" s="174"/>
      <c r="M467" s="178"/>
      <c r="N467" s="179"/>
      <c r="O467" s="179" t="s">
        <v>227</v>
      </c>
    </row>
    <row r="468" spans="1:15" x14ac:dyDescent="0.15">
      <c r="A468" s="18"/>
      <c r="B4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468)),ROW(),"")</f>
        <v>468</v>
      </c>
      <c r="C468" s="13">
        <f t="shared" si="71"/>
        <v>0</v>
      </c>
      <c r="D468" s="84" t="str">
        <f t="shared" si="72"/>
        <v/>
      </c>
      <c r="E468" s="18"/>
      <c r="F468" s="174"/>
      <c r="G468" s="175"/>
      <c r="H468" s="195"/>
      <c r="I468" s="196"/>
      <c r="J468" s="196"/>
      <c r="K468" s="196"/>
      <c r="L468" s="174"/>
      <c r="M468" s="178"/>
      <c r="N468" s="179"/>
      <c r="O468" s="179" t="s">
        <v>227</v>
      </c>
    </row>
    <row r="469" spans="1:15" x14ac:dyDescent="0.15">
      <c r="A469" s="18"/>
      <c r="B4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469)),ROW(),"")</f>
        <v>469</v>
      </c>
      <c r="C469" s="13">
        <f t="shared" si="71"/>
        <v>0</v>
      </c>
      <c r="D469" s="84" t="str">
        <f t="shared" si="72"/>
        <v/>
      </c>
      <c r="E469" s="18"/>
      <c r="F469" s="174"/>
      <c r="G469" s="175"/>
      <c r="H469" s="195"/>
      <c r="I469" s="196"/>
      <c r="J469" s="196"/>
      <c r="K469" s="196"/>
      <c r="L469" s="174"/>
      <c r="M469" s="178"/>
      <c r="N469" s="179"/>
      <c r="O469" s="179" t="s">
        <v>227</v>
      </c>
    </row>
    <row r="470" spans="1:15" x14ac:dyDescent="0.15">
      <c r="A470" s="18"/>
      <c r="B4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470)),ROW(),"")</f>
        <v>470</v>
      </c>
      <c r="C470" s="13">
        <f t="shared" si="71"/>
        <v>0</v>
      </c>
      <c r="D470" s="84" t="str">
        <f t="shared" si="72"/>
        <v/>
      </c>
      <c r="E470" s="18"/>
      <c r="F470" s="174"/>
      <c r="G470" s="175"/>
      <c r="H470" s="195"/>
      <c r="I470" s="196"/>
      <c r="J470" s="196"/>
      <c r="K470" s="196"/>
      <c r="L470" s="174"/>
      <c r="M470" s="178"/>
      <c r="N470" s="179"/>
      <c r="O470" s="179" t="s">
        <v>227</v>
      </c>
    </row>
    <row r="471" spans="1:15" x14ac:dyDescent="0.15">
      <c r="A471" s="18"/>
      <c r="B4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471)),ROW(),"")</f>
        <v>471</v>
      </c>
      <c r="C471" s="13">
        <f t="shared" si="71"/>
        <v>0</v>
      </c>
      <c r="D471" s="84" t="str">
        <f t="shared" si="72"/>
        <v/>
      </c>
      <c r="E471" s="18"/>
      <c r="F471" s="174"/>
      <c r="G471" s="175"/>
      <c r="H471" s="195"/>
      <c r="I471" s="196"/>
      <c r="J471" s="196"/>
      <c r="K471" s="196"/>
      <c r="L471" s="174"/>
      <c r="M471" s="178"/>
      <c r="N471" s="179"/>
      <c r="O471" s="179" t="s">
        <v>227</v>
      </c>
    </row>
    <row r="472" spans="1:15" x14ac:dyDescent="0.15">
      <c r="A472" s="18"/>
      <c r="B4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472)),ROW(),"")</f>
        <v>472</v>
      </c>
      <c r="C472" s="13">
        <f t="shared" si="71"/>
        <v>0</v>
      </c>
      <c r="D472" s="84" t="str">
        <f t="shared" si="72"/>
        <v/>
      </c>
      <c r="E472" s="18"/>
      <c r="F472" s="174"/>
      <c r="G472" s="175"/>
      <c r="H472" s="195"/>
      <c r="I472" s="196"/>
      <c r="J472" s="196"/>
      <c r="K472" s="196"/>
      <c r="L472" s="174"/>
      <c r="M472" s="178"/>
      <c r="N472" s="179"/>
      <c r="O472" s="179" t="s">
        <v>227</v>
      </c>
    </row>
    <row r="473" spans="1:15" x14ac:dyDescent="0.15">
      <c r="A473" s="18"/>
      <c r="B4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473)),ROW(),"")</f>
        <v>473</v>
      </c>
      <c r="C473" s="13">
        <f t="shared" si="71"/>
        <v>0</v>
      </c>
      <c r="D473" s="84" t="str">
        <f t="shared" si="72"/>
        <v/>
      </c>
      <c r="E473" s="18"/>
      <c r="F473" s="174"/>
      <c r="G473" s="175"/>
      <c r="H473" s="195"/>
      <c r="I473" s="196"/>
      <c r="J473" s="196"/>
      <c r="K473" s="196"/>
      <c r="L473" s="174"/>
      <c r="M473" s="178"/>
      <c r="N473" s="179"/>
      <c r="O473" s="179" t="s">
        <v>227</v>
      </c>
    </row>
    <row r="474" spans="1:15" x14ac:dyDescent="0.15">
      <c r="A474" s="18"/>
      <c r="B4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474)),ROW(),"")</f>
        <v>474</v>
      </c>
      <c r="C474" s="13">
        <f t="shared" si="71"/>
        <v>0</v>
      </c>
      <c r="D474" s="84" t="str">
        <f t="shared" si="72"/>
        <v/>
      </c>
      <c r="E474" s="18"/>
      <c r="F474" s="174"/>
      <c r="G474" s="175"/>
      <c r="H474" s="195"/>
      <c r="I474" s="196"/>
      <c r="J474" s="196"/>
      <c r="K474" s="196"/>
      <c r="L474" s="174"/>
      <c r="M474" s="178"/>
      <c r="N474" s="179"/>
      <c r="O474" s="179" t="s">
        <v>227</v>
      </c>
    </row>
    <row r="475" spans="1:15" x14ac:dyDescent="0.15">
      <c r="A475" s="18"/>
      <c r="B4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475)),ROW(),"")</f>
        <v>475</v>
      </c>
      <c r="C475" s="13">
        <f t="shared" si="71"/>
        <v>0</v>
      </c>
      <c r="D475" s="84" t="str">
        <f t="shared" si="72"/>
        <v/>
      </c>
      <c r="E475" s="18"/>
      <c r="F475" s="174"/>
      <c r="G475" s="175"/>
      <c r="H475" s="195"/>
      <c r="I475" s="196"/>
      <c r="J475" s="196"/>
      <c r="K475" s="196"/>
      <c r="L475" s="174"/>
      <c r="M475" s="178"/>
      <c r="N475" s="179"/>
      <c r="O475" s="179" t="s">
        <v>227</v>
      </c>
    </row>
    <row r="476" spans="1:15" x14ac:dyDescent="0.15">
      <c r="A476" s="18"/>
      <c r="B4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476)),ROW(),"")</f>
        <v>476</v>
      </c>
      <c r="C476" s="13">
        <f t="shared" si="71"/>
        <v>0</v>
      </c>
      <c r="D476" s="84" t="str">
        <f t="shared" si="72"/>
        <v/>
      </c>
      <c r="E476" s="18"/>
      <c r="F476" s="174"/>
      <c r="G476" s="175"/>
      <c r="H476" s="195"/>
      <c r="I476" s="196"/>
      <c r="J476" s="196"/>
      <c r="K476" s="196"/>
      <c r="L476" s="174"/>
      <c r="M476" s="178"/>
      <c r="N476" s="179"/>
      <c r="O476" s="179" t="s">
        <v>227</v>
      </c>
    </row>
    <row r="477" spans="1:15" x14ac:dyDescent="0.15">
      <c r="A477" s="18"/>
      <c r="B4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477)),ROW(),"")</f>
        <v>477</v>
      </c>
      <c r="C477" s="13">
        <f t="shared" si="71"/>
        <v>0</v>
      </c>
      <c r="D477" s="84" t="str">
        <f t="shared" si="72"/>
        <v/>
      </c>
      <c r="E477" s="18"/>
      <c r="F477" s="174"/>
      <c r="G477" s="175"/>
      <c r="H477" s="195"/>
      <c r="I477" s="196"/>
      <c r="J477" s="196"/>
      <c r="K477" s="196"/>
      <c r="L477" s="174"/>
      <c r="M477" s="178"/>
      <c r="N477" s="179"/>
      <c r="O477" s="179" t="s">
        <v>227</v>
      </c>
    </row>
    <row r="478" spans="1:15" x14ac:dyDescent="0.15">
      <c r="A478" s="18"/>
      <c r="B4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478)),ROW(),"")</f>
        <v>478</v>
      </c>
      <c r="C478" s="13">
        <f t="shared" si="71"/>
        <v>0</v>
      </c>
      <c r="D478" s="84" t="str">
        <f t="shared" si="72"/>
        <v/>
      </c>
      <c r="E478" s="18"/>
      <c r="F478" s="174"/>
      <c r="G478" s="175"/>
      <c r="H478" s="195"/>
      <c r="I478" s="196"/>
      <c r="J478" s="196"/>
      <c r="K478" s="196"/>
      <c r="L478" s="174"/>
      <c r="M478" s="178"/>
      <c r="N478" s="179"/>
      <c r="O478" s="179" t="s">
        <v>227</v>
      </c>
    </row>
    <row r="479" spans="1:15" x14ac:dyDescent="0.15">
      <c r="A479" s="18"/>
      <c r="B4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479)),ROW(),"")</f>
        <v>479</v>
      </c>
      <c r="C479" s="13">
        <f t="shared" si="71"/>
        <v>0</v>
      </c>
      <c r="D479" s="84" t="str">
        <f t="shared" si="72"/>
        <v/>
      </c>
      <c r="E479" s="18"/>
      <c r="F479" s="174"/>
      <c r="G479" s="175"/>
      <c r="H479" s="195"/>
      <c r="I479" s="196"/>
      <c r="J479" s="196"/>
      <c r="K479" s="196"/>
      <c r="L479" s="174"/>
      <c r="M479" s="178"/>
      <c r="N479" s="179"/>
      <c r="O479" s="179" t="s">
        <v>227</v>
      </c>
    </row>
    <row r="480" spans="1:15" x14ac:dyDescent="0.15">
      <c r="A480" s="18"/>
      <c r="B4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480)),ROW(),"")</f>
        <v>480</v>
      </c>
      <c r="C480" s="13">
        <f t="shared" si="71"/>
        <v>0</v>
      </c>
      <c r="D480" s="84" t="str">
        <f t="shared" si="72"/>
        <v/>
      </c>
      <c r="E480" s="18"/>
      <c r="F480" s="174"/>
      <c r="G480" s="175"/>
      <c r="H480" s="195"/>
      <c r="I480" s="196"/>
      <c r="J480" s="196"/>
      <c r="K480" s="196"/>
      <c r="L480" s="174"/>
      <c r="M480" s="178"/>
      <c r="N480" s="179"/>
      <c r="O480" s="179" t="s">
        <v>227</v>
      </c>
    </row>
    <row r="481" spans="1:15" x14ac:dyDescent="0.15">
      <c r="A481" s="18"/>
      <c r="B4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481)),ROW(),"")</f>
        <v>481</v>
      </c>
      <c r="C481" s="13">
        <f t="shared" si="71"/>
        <v>0</v>
      </c>
      <c r="D481" s="84" t="str">
        <f t="shared" si="72"/>
        <v/>
      </c>
      <c r="E481" s="18"/>
      <c r="F481" s="174"/>
      <c r="G481" s="175"/>
      <c r="H481" s="195"/>
      <c r="I481" s="196"/>
      <c r="J481" s="196"/>
      <c r="K481" s="196"/>
      <c r="L481" s="174"/>
      <c r="M481" s="178"/>
      <c r="N481" s="179"/>
      <c r="O481" s="179" t="s">
        <v>227</v>
      </c>
    </row>
    <row r="482" spans="1:15" x14ac:dyDescent="0.15">
      <c r="A482" s="18"/>
      <c r="B4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482)),ROW(),"")</f>
        <v>482</v>
      </c>
      <c r="C482" s="13">
        <f t="shared" si="71"/>
        <v>0</v>
      </c>
      <c r="D482" s="84" t="str">
        <f t="shared" si="72"/>
        <v/>
      </c>
      <c r="E482" s="18"/>
      <c r="F482" s="174"/>
      <c r="G482" s="175"/>
      <c r="H482" s="195"/>
      <c r="I482" s="196"/>
      <c r="J482" s="196"/>
      <c r="K482" s="196"/>
      <c r="L482" s="174"/>
      <c r="M482" s="178"/>
      <c r="N482" s="179"/>
      <c r="O482" s="179" t="s">
        <v>227</v>
      </c>
    </row>
    <row r="483" spans="1:15" x14ac:dyDescent="0.15">
      <c r="A483" s="18"/>
      <c r="B4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483)),ROW(),"")</f>
        <v>483</v>
      </c>
      <c r="C483" s="13">
        <f t="shared" si="71"/>
        <v>0</v>
      </c>
      <c r="D483" s="84" t="str">
        <f t="shared" si="72"/>
        <v/>
      </c>
      <c r="E483" s="18"/>
      <c r="F483" s="174"/>
      <c r="G483" s="175"/>
      <c r="H483" s="195"/>
      <c r="I483" s="196"/>
      <c r="J483" s="196"/>
      <c r="K483" s="196"/>
      <c r="L483" s="174"/>
      <c r="M483" s="178"/>
      <c r="N483" s="179"/>
      <c r="O483" s="179" t="s">
        <v>227</v>
      </c>
    </row>
    <row r="484" spans="1:15" x14ac:dyDescent="0.15">
      <c r="A484" s="18"/>
      <c r="B4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484)),ROW(),"")</f>
        <v>484</v>
      </c>
      <c r="C484" s="13">
        <f t="shared" si="71"/>
        <v>0</v>
      </c>
      <c r="D484" s="84" t="str">
        <f t="shared" si="72"/>
        <v/>
      </c>
      <c r="E484" s="18"/>
      <c r="F484" s="174"/>
      <c r="G484" s="175"/>
      <c r="H484" s="195"/>
      <c r="I484" s="196"/>
      <c r="J484" s="196"/>
      <c r="K484" s="196"/>
      <c r="L484" s="174"/>
      <c r="M484" s="178"/>
      <c r="N484" s="179"/>
      <c r="O484" s="179" t="s">
        <v>227</v>
      </c>
    </row>
    <row r="485" spans="1:15" x14ac:dyDescent="0.15">
      <c r="A485" s="18"/>
      <c r="B4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485)),ROW(),"")</f>
        <v>485</v>
      </c>
      <c r="C485" s="13">
        <f t="shared" si="71"/>
        <v>0</v>
      </c>
      <c r="D485" s="84" t="str">
        <f t="shared" si="72"/>
        <v/>
      </c>
      <c r="E485" s="18"/>
      <c r="F485" s="174"/>
      <c r="G485" s="175"/>
      <c r="H485" s="195"/>
      <c r="I485" s="196"/>
      <c r="J485" s="196"/>
      <c r="K485" s="196"/>
      <c r="L485" s="174"/>
      <c r="M485" s="178"/>
      <c r="N485" s="179"/>
      <c r="O485" s="179" t="s">
        <v>227</v>
      </c>
    </row>
    <row r="486" spans="1:15" x14ac:dyDescent="0.15">
      <c r="A486" s="18"/>
      <c r="B4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486)),ROW(),"")</f>
        <v>486</v>
      </c>
      <c r="C486" s="13">
        <f t="shared" si="71"/>
        <v>0</v>
      </c>
      <c r="D486" s="84" t="str">
        <f t="shared" si="72"/>
        <v/>
      </c>
      <c r="E486" s="18"/>
      <c r="F486" s="174"/>
      <c r="G486" s="175"/>
      <c r="H486" s="195"/>
      <c r="I486" s="196"/>
      <c r="J486" s="196"/>
      <c r="K486" s="196"/>
      <c r="L486" s="174"/>
      <c r="M486" s="178"/>
      <c r="N486" s="179"/>
      <c r="O486" s="179" t="s">
        <v>227</v>
      </c>
    </row>
    <row r="487" spans="1:15" x14ac:dyDescent="0.15">
      <c r="A487" s="18"/>
      <c r="B4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487)),ROW(),"")</f>
        <v>487</v>
      </c>
      <c r="C487" s="13">
        <f t="shared" si="71"/>
        <v>0</v>
      </c>
      <c r="D487" s="84" t="str">
        <f t="shared" si="72"/>
        <v/>
      </c>
      <c r="E487" s="18"/>
      <c r="F487" s="174"/>
      <c r="G487" s="175"/>
      <c r="H487" s="195"/>
      <c r="I487" s="196"/>
      <c r="J487" s="196"/>
      <c r="K487" s="196"/>
      <c r="L487" s="174"/>
      <c r="M487" s="178"/>
      <c r="N487" s="179"/>
      <c r="O487" s="179" t="s">
        <v>227</v>
      </c>
    </row>
    <row r="488" spans="1:15" x14ac:dyDescent="0.15">
      <c r="A488" s="18"/>
      <c r="B4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488)),ROW(),"")</f>
        <v>488</v>
      </c>
      <c r="C488" s="13">
        <f t="shared" si="71"/>
        <v>0</v>
      </c>
      <c r="D488" s="84" t="str">
        <f t="shared" si="72"/>
        <v/>
      </c>
      <c r="E488" s="18"/>
      <c r="F488" s="174"/>
      <c r="G488" s="175"/>
      <c r="H488" s="195"/>
      <c r="I488" s="196"/>
      <c r="J488" s="196"/>
      <c r="K488" s="196"/>
      <c r="L488" s="174"/>
      <c r="M488" s="178"/>
      <c r="N488" s="179"/>
      <c r="O488" s="179" t="s">
        <v>227</v>
      </c>
    </row>
    <row r="489" spans="1:15" x14ac:dyDescent="0.15">
      <c r="A489" s="18"/>
      <c r="B4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489)),ROW(),"")</f>
        <v>489</v>
      </c>
      <c r="C489" s="13">
        <f t="shared" si="71"/>
        <v>0</v>
      </c>
      <c r="D489" s="84" t="str">
        <f t="shared" si="72"/>
        <v/>
      </c>
      <c r="E489" s="18"/>
      <c r="F489" s="174"/>
      <c r="G489" s="175"/>
      <c r="H489" s="195"/>
      <c r="I489" s="196"/>
      <c r="J489" s="196"/>
      <c r="K489" s="196"/>
      <c r="L489" s="174"/>
      <c r="M489" s="178"/>
      <c r="N489" s="179"/>
      <c r="O489" s="179" t="s">
        <v>227</v>
      </c>
    </row>
    <row r="490" spans="1:15" x14ac:dyDescent="0.15">
      <c r="A490" s="18"/>
      <c r="B4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490)),ROW(),"")</f>
        <v>490</v>
      </c>
      <c r="C490" s="13">
        <f t="shared" si="71"/>
        <v>0</v>
      </c>
      <c r="D490" s="84" t="str">
        <f t="shared" si="72"/>
        <v/>
      </c>
      <c r="E490" s="18"/>
      <c r="F490" s="174"/>
      <c r="G490" s="175"/>
      <c r="H490" s="195"/>
      <c r="I490" s="196"/>
      <c r="J490" s="196"/>
      <c r="K490" s="196"/>
      <c r="L490" s="174"/>
      <c r="M490" s="178"/>
      <c r="N490" s="179"/>
      <c r="O490" s="179" t="s">
        <v>227</v>
      </c>
    </row>
    <row r="491" spans="1:15" x14ac:dyDescent="0.15">
      <c r="A491" s="18"/>
      <c r="B4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491)),ROW(),"")</f>
        <v>491</v>
      </c>
      <c r="C491" s="13">
        <f t="shared" si="71"/>
        <v>0</v>
      </c>
      <c r="D491" s="84" t="str">
        <f t="shared" si="72"/>
        <v/>
      </c>
      <c r="E491" s="18"/>
      <c r="F491" s="174"/>
      <c r="G491" s="175"/>
      <c r="H491" s="195"/>
      <c r="I491" s="196"/>
      <c r="J491" s="196"/>
      <c r="K491" s="196"/>
      <c r="L491" s="174"/>
      <c r="M491" s="178"/>
      <c r="N491" s="179"/>
      <c r="O491" s="179" t="s">
        <v>227</v>
      </c>
    </row>
    <row r="492" spans="1:15" x14ac:dyDescent="0.15">
      <c r="A492" s="18"/>
      <c r="B4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492)),ROW(),"")</f>
        <v>492</v>
      </c>
      <c r="C492" s="13">
        <f t="shared" si="71"/>
        <v>0</v>
      </c>
      <c r="D492" s="84" t="str">
        <f t="shared" si="72"/>
        <v/>
      </c>
      <c r="E492" s="18"/>
      <c r="F492" s="174"/>
      <c r="G492" s="175"/>
      <c r="H492" s="195"/>
      <c r="I492" s="196"/>
      <c r="J492" s="196"/>
      <c r="K492" s="196"/>
      <c r="L492" s="174"/>
      <c r="M492" s="178"/>
      <c r="N492" s="179"/>
      <c r="O492" s="179" t="s">
        <v>227</v>
      </c>
    </row>
    <row r="493" spans="1:15" x14ac:dyDescent="0.15">
      <c r="A493" s="18"/>
      <c r="B4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493)),ROW(),"")</f>
        <v>493</v>
      </c>
      <c r="C493" s="13">
        <f t="shared" si="71"/>
        <v>0</v>
      </c>
      <c r="D493" s="84" t="str">
        <f t="shared" si="72"/>
        <v/>
      </c>
      <c r="E493" s="18"/>
      <c r="F493" s="174"/>
      <c r="G493" s="175"/>
      <c r="H493" s="195"/>
      <c r="I493" s="196"/>
      <c r="J493" s="196"/>
      <c r="K493" s="196"/>
      <c r="L493" s="174"/>
      <c r="M493" s="178"/>
      <c r="N493" s="179"/>
      <c r="O493" s="179" t="s">
        <v>227</v>
      </c>
    </row>
    <row r="494" spans="1:15" x14ac:dyDescent="0.15">
      <c r="A494" s="18"/>
      <c r="B4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494)),ROW(),"")</f>
        <v>494</v>
      </c>
      <c r="C494" s="13">
        <f t="shared" si="71"/>
        <v>0</v>
      </c>
      <c r="D494" s="84" t="str">
        <f t="shared" si="72"/>
        <v/>
      </c>
      <c r="E494" s="18"/>
      <c r="F494" s="174"/>
      <c r="G494" s="175"/>
      <c r="H494" s="195"/>
      <c r="I494" s="196"/>
      <c r="J494" s="196"/>
      <c r="K494" s="196"/>
      <c r="L494" s="174"/>
      <c r="M494" s="178"/>
      <c r="N494" s="179"/>
      <c r="O494" s="179" t="s">
        <v>227</v>
      </c>
    </row>
    <row r="495" spans="1:15" x14ac:dyDescent="0.15">
      <c r="A495" s="18"/>
      <c r="B4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495)),ROW(),"")</f>
        <v>495</v>
      </c>
      <c r="C495" s="13">
        <f t="shared" ref="C495:C558" si="73">INDEX(A:A,SMALL($B$3:$B$1039,ROW(A493)))</f>
        <v>0</v>
      </c>
      <c r="D495" s="84" t="str">
        <f t="shared" ref="D495:D558" si="74">PHONETIC(A495)</f>
        <v/>
      </c>
      <c r="E495" s="18"/>
      <c r="F495" s="174"/>
      <c r="G495" s="175"/>
      <c r="H495" s="195"/>
      <c r="I495" s="196"/>
      <c r="J495" s="196"/>
      <c r="K495" s="196"/>
      <c r="L495" s="174"/>
      <c r="M495" s="178"/>
      <c r="N495" s="179"/>
      <c r="O495" s="179" t="s">
        <v>227</v>
      </c>
    </row>
    <row r="496" spans="1:15" x14ac:dyDescent="0.15">
      <c r="A496" s="18"/>
      <c r="B4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496)),ROW(),"")</f>
        <v>496</v>
      </c>
      <c r="C496" s="13">
        <f t="shared" si="73"/>
        <v>0</v>
      </c>
      <c r="D496" s="84" t="str">
        <f t="shared" si="74"/>
        <v/>
      </c>
      <c r="E496" s="18"/>
      <c r="F496" s="174"/>
      <c r="G496" s="175"/>
      <c r="H496" s="195"/>
      <c r="I496" s="196"/>
      <c r="J496" s="196"/>
      <c r="K496" s="196"/>
      <c r="L496" s="174"/>
      <c r="M496" s="178"/>
      <c r="N496" s="179"/>
      <c r="O496" s="179" t="s">
        <v>227</v>
      </c>
    </row>
    <row r="497" spans="1:15" x14ac:dyDescent="0.15">
      <c r="A497" s="18"/>
      <c r="B4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497)),ROW(),"")</f>
        <v>497</v>
      </c>
      <c r="C497" s="13">
        <f t="shared" si="73"/>
        <v>0</v>
      </c>
      <c r="D497" s="84" t="str">
        <f t="shared" si="74"/>
        <v/>
      </c>
      <c r="E497" s="18"/>
      <c r="F497" s="174"/>
      <c r="G497" s="175"/>
      <c r="H497" s="195"/>
      <c r="I497" s="196"/>
      <c r="J497" s="196"/>
      <c r="K497" s="196"/>
      <c r="L497" s="174"/>
      <c r="M497" s="178"/>
      <c r="N497" s="179"/>
      <c r="O497" s="179" t="s">
        <v>227</v>
      </c>
    </row>
    <row r="498" spans="1:15" x14ac:dyDescent="0.15">
      <c r="A498" s="18"/>
      <c r="B4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498)),ROW(),"")</f>
        <v>498</v>
      </c>
      <c r="C498" s="13">
        <f t="shared" si="73"/>
        <v>0</v>
      </c>
      <c r="D498" s="84" t="str">
        <f t="shared" si="74"/>
        <v/>
      </c>
      <c r="E498" s="18"/>
      <c r="F498" s="174"/>
      <c r="G498" s="175"/>
      <c r="H498" s="195"/>
      <c r="I498" s="196"/>
      <c r="J498" s="196"/>
      <c r="K498" s="196"/>
      <c r="L498" s="174"/>
      <c r="M498" s="178"/>
      <c r="N498" s="179"/>
      <c r="O498" s="179" t="s">
        <v>227</v>
      </c>
    </row>
    <row r="499" spans="1:15" x14ac:dyDescent="0.15">
      <c r="A499" s="18"/>
      <c r="B4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499)),ROW(),"")</f>
        <v>499</v>
      </c>
      <c r="C499" s="13">
        <f t="shared" si="73"/>
        <v>0</v>
      </c>
      <c r="D499" s="84" t="str">
        <f t="shared" si="74"/>
        <v/>
      </c>
      <c r="E499" s="18"/>
      <c r="F499" s="174"/>
      <c r="G499" s="175"/>
      <c r="H499" s="195"/>
      <c r="I499" s="196"/>
      <c r="J499" s="196"/>
      <c r="K499" s="196"/>
      <c r="L499" s="174"/>
      <c r="M499" s="178"/>
      <c r="N499" s="179"/>
      <c r="O499" s="179" t="s">
        <v>227</v>
      </c>
    </row>
    <row r="500" spans="1:15" x14ac:dyDescent="0.15">
      <c r="A500" s="18"/>
      <c r="B5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500)),ROW(),"")</f>
        <v>500</v>
      </c>
      <c r="C500" s="13">
        <f t="shared" si="73"/>
        <v>0</v>
      </c>
      <c r="D500" s="84" t="str">
        <f t="shared" si="74"/>
        <v/>
      </c>
      <c r="E500" s="18"/>
      <c r="F500" s="174"/>
      <c r="G500" s="175"/>
      <c r="H500" s="195"/>
      <c r="I500" s="196"/>
      <c r="J500" s="196"/>
      <c r="K500" s="196"/>
      <c r="L500" s="174"/>
      <c r="M500" s="178"/>
      <c r="N500" s="179"/>
      <c r="O500" s="179" t="s">
        <v>227</v>
      </c>
    </row>
    <row r="501" spans="1:15" x14ac:dyDescent="0.15">
      <c r="A501" s="18"/>
      <c r="B5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501)),ROW(),"")</f>
        <v>501</v>
      </c>
      <c r="C501" s="13">
        <f t="shared" si="73"/>
        <v>0</v>
      </c>
      <c r="D501" s="84" t="str">
        <f t="shared" si="74"/>
        <v/>
      </c>
      <c r="E501" s="18"/>
      <c r="F501" s="174"/>
      <c r="G501" s="175"/>
      <c r="H501" s="195"/>
      <c r="I501" s="196"/>
      <c r="J501" s="196"/>
      <c r="K501" s="196"/>
      <c r="L501" s="174"/>
      <c r="M501" s="178"/>
      <c r="N501" s="179"/>
      <c r="O501" s="179" t="s">
        <v>227</v>
      </c>
    </row>
    <row r="502" spans="1:15" x14ac:dyDescent="0.15">
      <c r="A502" s="18"/>
      <c r="B5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502)),ROW(),"")</f>
        <v>502</v>
      </c>
      <c r="C502" s="13">
        <f t="shared" si="73"/>
        <v>0</v>
      </c>
      <c r="D502" s="84" t="str">
        <f t="shared" si="74"/>
        <v/>
      </c>
      <c r="E502" s="18"/>
      <c r="F502" s="174"/>
      <c r="G502" s="175"/>
      <c r="H502" s="195"/>
      <c r="I502" s="196"/>
      <c r="J502" s="196"/>
      <c r="K502" s="196"/>
      <c r="L502" s="174"/>
      <c r="M502" s="178"/>
      <c r="N502" s="179"/>
      <c r="O502" s="179" t="s">
        <v>227</v>
      </c>
    </row>
    <row r="503" spans="1:15" x14ac:dyDescent="0.15">
      <c r="A503" s="18"/>
      <c r="B5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503)),ROW(),"")</f>
        <v>503</v>
      </c>
      <c r="C503" s="13">
        <f t="shared" si="73"/>
        <v>0</v>
      </c>
      <c r="D503" s="84" t="str">
        <f t="shared" si="74"/>
        <v/>
      </c>
      <c r="E503" s="18"/>
      <c r="F503" s="174"/>
      <c r="G503" s="175"/>
      <c r="H503" s="195"/>
      <c r="I503" s="196"/>
      <c r="J503" s="196"/>
      <c r="K503" s="196"/>
      <c r="L503" s="174"/>
      <c r="M503" s="178"/>
      <c r="N503" s="179"/>
      <c r="O503" s="179" t="s">
        <v>227</v>
      </c>
    </row>
    <row r="504" spans="1:15" x14ac:dyDescent="0.15">
      <c r="A504" s="18"/>
      <c r="B5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504)),ROW(),"")</f>
        <v>504</v>
      </c>
      <c r="C504" s="13">
        <f t="shared" si="73"/>
        <v>0</v>
      </c>
      <c r="D504" s="84" t="str">
        <f t="shared" si="74"/>
        <v/>
      </c>
      <c r="E504" s="18"/>
      <c r="F504" s="174"/>
      <c r="G504" s="175"/>
      <c r="H504" s="195"/>
      <c r="I504" s="196"/>
      <c r="J504" s="196"/>
      <c r="K504" s="196"/>
      <c r="L504" s="174"/>
      <c r="M504" s="178"/>
      <c r="N504" s="179"/>
      <c r="O504" s="179" t="s">
        <v>227</v>
      </c>
    </row>
    <row r="505" spans="1:15" x14ac:dyDescent="0.15">
      <c r="A505" s="18"/>
      <c r="B5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505)),ROW(),"")</f>
        <v>505</v>
      </c>
      <c r="C505" s="13">
        <f t="shared" si="73"/>
        <v>0</v>
      </c>
      <c r="D505" s="84" t="str">
        <f t="shared" si="74"/>
        <v/>
      </c>
      <c r="E505" s="18"/>
      <c r="F505" s="174"/>
      <c r="G505" s="175"/>
      <c r="H505" s="195"/>
      <c r="I505" s="196"/>
      <c r="J505" s="196"/>
      <c r="K505" s="196"/>
      <c r="L505" s="174"/>
      <c r="M505" s="178"/>
      <c r="N505" s="179"/>
      <c r="O505" s="179" t="s">
        <v>227</v>
      </c>
    </row>
    <row r="506" spans="1:15" x14ac:dyDescent="0.15">
      <c r="A506" s="18"/>
      <c r="B5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506)),ROW(),"")</f>
        <v>506</v>
      </c>
      <c r="C506" s="13">
        <f t="shared" si="73"/>
        <v>0</v>
      </c>
      <c r="D506" s="84" t="str">
        <f t="shared" si="74"/>
        <v/>
      </c>
      <c r="E506" s="18"/>
      <c r="F506" s="174"/>
      <c r="G506" s="175"/>
      <c r="H506" s="195"/>
      <c r="I506" s="196"/>
      <c r="J506" s="196"/>
      <c r="K506" s="196"/>
      <c r="L506" s="174"/>
      <c r="M506" s="178"/>
      <c r="N506" s="179"/>
      <c r="O506" s="179" t="s">
        <v>227</v>
      </c>
    </row>
    <row r="507" spans="1:15" x14ac:dyDescent="0.15">
      <c r="A507" s="18"/>
      <c r="B5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507)),ROW(),"")</f>
        <v>507</v>
      </c>
      <c r="C507" s="13">
        <f t="shared" si="73"/>
        <v>0</v>
      </c>
      <c r="D507" s="84" t="str">
        <f t="shared" si="74"/>
        <v/>
      </c>
      <c r="E507" s="18"/>
      <c r="F507" s="174"/>
      <c r="G507" s="175"/>
      <c r="H507" s="195"/>
      <c r="I507" s="196"/>
      <c r="J507" s="196"/>
      <c r="K507" s="196"/>
      <c r="L507" s="174"/>
      <c r="M507" s="178"/>
      <c r="N507" s="179"/>
      <c r="O507" s="179" t="s">
        <v>227</v>
      </c>
    </row>
    <row r="508" spans="1:15" x14ac:dyDescent="0.15">
      <c r="A508" s="18"/>
      <c r="B5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508)),ROW(),"")</f>
        <v>508</v>
      </c>
      <c r="C508" s="13">
        <f t="shared" si="73"/>
        <v>0</v>
      </c>
      <c r="D508" s="84" t="str">
        <f t="shared" si="74"/>
        <v/>
      </c>
      <c r="E508" s="18"/>
      <c r="F508" s="174"/>
      <c r="G508" s="175"/>
      <c r="H508" s="195"/>
      <c r="I508" s="196"/>
      <c r="J508" s="196"/>
      <c r="K508" s="196"/>
      <c r="L508" s="174"/>
      <c r="M508" s="178"/>
      <c r="N508" s="179"/>
      <c r="O508" s="179" t="s">
        <v>227</v>
      </c>
    </row>
    <row r="509" spans="1:15" x14ac:dyDescent="0.15">
      <c r="A509" s="18"/>
      <c r="B5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509)),ROW(),"")</f>
        <v>509</v>
      </c>
      <c r="C509" s="13">
        <f t="shared" si="73"/>
        <v>0</v>
      </c>
      <c r="D509" s="84" t="str">
        <f t="shared" si="74"/>
        <v/>
      </c>
      <c r="E509" s="18"/>
      <c r="F509" s="174"/>
      <c r="G509" s="175"/>
      <c r="H509" s="195"/>
      <c r="I509" s="196"/>
      <c r="J509" s="196"/>
      <c r="K509" s="196"/>
      <c r="L509" s="174"/>
      <c r="M509" s="178"/>
      <c r="N509" s="179"/>
      <c r="O509" s="179" t="s">
        <v>227</v>
      </c>
    </row>
    <row r="510" spans="1:15" x14ac:dyDescent="0.15">
      <c r="A510" s="18"/>
      <c r="B5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510)),ROW(),"")</f>
        <v>510</v>
      </c>
      <c r="C510" s="13">
        <f t="shared" si="73"/>
        <v>0</v>
      </c>
      <c r="D510" s="84" t="str">
        <f t="shared" si="74"/>
        <v/>
      </c>
      <c r="E510" s="18"/>
      <c r="F510" s="174"/>
      <c r="G510" s="175"/>
      <c r="H510" s="195"/>
      <c r="I510" s="196"/>
      <c r="J510" s="196"/>
      <c r="K510" s="196"/>
      <c r="L510" s="174"/>
      <c r="M510" s="178"/>
      <c r="N510" s="179"/>
      <c r="O510" s="179" t="s">
        <v>227</v>
      </c>
    </row>
    <row r="511" spans="1:15" x14ac:dyDescent="0.15">
      <c r="A511" s="18"/>
      <c r="B5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511)),ROW(),"")</f>
        <v>511</v>
      </c>
      <c r="C511" s="13">
        <f t="shared" si="73"/>
        <v>0</v>
      </c>
      <c r="D511" s="84" t="str">
        <f t="shared" si="74"/>
        <v/>
      </c>
      <c r="E511" s="18"/>
      <c r="F511" s="174"/>
      <c r="G511" s="175"/>
      <c r="H511" s="195"/>
      <c r="I511" s="196"/>
      <c r="J511" s="196"/>
      <c r="K511" s="196"/>
      <c r="L511" s="174"/>
      <c r="M511" s="178"/>
      <c r="N511" s="179"/>
      <c r="O511" s="179" t="s">
        <v>227</v>
      </c>
    </row>
    <row r="512" spans="1:15" x14ac:dyDescent="0.15">
      <c r="A512" s="18"/>
      <c r="B5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512)),ROW(),"")</f>
        <v>512</v>
      </c>
      <c r="C512" s="13">
        <f t="shared" si="73"/>
        <v>0</v>
      </c>
      <c r="D512" s="84" t="str">
        <f t="shared" si="74"/>
        <v/>
      </c>
      <c r="E512" s="18"/>
      <c r="F512" s="174"/>
      <c r="G512" s="175"/>
      <c r="H512" s="195"/>
      <c r="I512" s="196"/>
      <c r="J512" s="196"/>
      <c r="K512" s="196"/>
      <c r="L512" s="174"/>
      <c r="M512" s="178"/>
      <c r="N512" s="179"/>
      <c r="O512" s="179" t="s">
        <v>227</v>
      </c>
    </row>
    <row r="513" spans="1:15" x14ac:dyDescent="0.15">
      <c r="A513" s="18"/>
      <c r="B5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513)),ROW(),"")</f>
        <v>513</v>
      </c>
      <c r="C513" s="13">
        <f t="shared" si="73"/>
        <v>0</v>
      </c>
      <c r="D513" s="84" t="str">
        <f t="shared" si="74"/>
        <v/>
      </c>
      <c r="E513" s="18"/>
      <c r="F513" s="174"/>
      <c r="G513" s="175"/>
      <c r="H513" s="195"/>
      <c r="I513" s="196"/>
      <c r="J513" s="196"/>
      <c r="K513" s="196"/>
      <c r="L513" s="174"/>
      <c r="M513" s="178"/>
      <c r="N513" s="179"/>
      <c r="O513" s="179" t="s">
        <v>227</v>
      </c>
    </row>
    <row r="514" spans="1:15" x14ac:dyDescent="0.15">
      <c r="A514" s="18"/>
      <c r="B5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514)),ROW(),"")</f>
        <v>514</v>
      </c>
      <c r="C514" s="13">
        <f t="shared" si="73"/>
        <v>0</v>
      </c>
      <c r="D514" s="84" t="str">
        <f t="shared" si="74"/>
        <v/>
      </c>
      <c r="E514" s="18"/>
      <c r="F514" s="174"/>
      <c r="G514" s="175"/>
      <c r="H514" s="195"/>
      <c r="I514" s="196"/>
      <c r="J514" s="196"/>
      <c r="K514" s="196"/>
      <c r="L514" s="174"/>
      <c r="M514" s="178"/>
      <c r="N514" s="179"/>
      <c r="O514" s="179" t="s">
        <v>227</v>
      </c>
    </row>
    <row r="515" spans="1:15" x14ac:dyDescent="0.15">
      <c r="A515" s="18"/>
      <c r="B5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515)),ROW(),"")</f>
        <v>515</v>
      </c>
      <c r="C515" s="13">
        <f t="shared" si="73"/>
        <v>0</v>
      </c>
      <c r="D515" s="84" t="str">
        <f t="shared" si="74"/>
        <v/>
      </c>
      <c r="E515" s="18"/>
      <c r="F515" s="174"/>
      <c r="G515" s="175"/>
      <c r="H515" s="195"/>
      <c r="I515" s="196"/>
      <c r="J515" s="196"/>
      <c r="K515" s="196"/>
      <c r="L515" s="174"/>
      <c r="M515" s="178"/>
      <c r="N515" s="179"/>
      <c r="O515" s="179" t="s">
        <v>227</v>
      </c>
    </row>
    <row r="516" spans="1:15" x14ac:dyDescent="0.15">
      <c r="A516" s="18"/>
      <c r="B5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516)),ROW(),"")</f>
        <v>516</v>
      </c>
      <c r="C516" s="13">
        <f t="shared" si="73"/>
        <v>0</v>
      </c>
      <c r="D516" s="84" t="str">
        <f t="shared" si="74"/>
        <v/>
      </c>
      <c r="E516" s="18"/>
      <c r="F516" s="174"/>
      <c r="G516" s="175"/>
      <c r="H516" s="195"/>
      <c r="I516" s="196"/>
      <c r="J516" s="196"/>
      <c r="K516" s="196"/>
      <c r="L516" s="174"/>
      <c r="M516" s="178"/>
      <c r="N516" s="179"/>
      <c r="O516" s="179" t="s">
        <v>227</v>
      </c>
    </row>
    <row r="517" spans="1:15" x14ac:dyDescent="0.15">
      <c r="A517" s="18"/>
      <c r="B5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517)),ROW(),"")</f>
        <v>517</v>
      </c>
      <c r="C517" s="13">
        <f t="shared" si="73"/>
        <v>0</v>
      </c>
      <c r="D517" s="84" t="str">
        <f t="shared" si="74"/>
        <v/>
      </c>
      <c r="E517" s="18"/>
      <c r="F517" s="174"/>
      <c r="G517" s="175"/>
      <c r="H517" s="195"/>
      <c r="I517" s="196"/>
      <c r="J517" s="196"/>
      <c r="K517" s="196"/>
      <c r="L517" s="174"/>
      <c r="M517" s="178"/>
      <c r="N517" s="179"/>
      <c r="O517" s="179" t="s">
        <v>227</v>
      </c>
    </row>
    <row r="518" spans="1:15" x14ac:dyDescent="0.15">
      <c r="A518" s="18"/>
      <c r="B5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518)),ROW(),"")</f>
        <v>518</v>
      </c>
      <c r="C518" s="13">
        <f t="shared" si="73"/>
        <v>0</v>
      </c>
      <c r="D518" s="84" t="str">
        <f t="shared" si="74"/>
        <v/>
      </c>
      <c r="E518" s="18"/>
      <c r="F518" s="174"/>
      <c r="G518" s="175"/>
      <c r="H518" s="195"/>
      <c r="I518" s="196"/>
      <c r="J518" s="196"/>
      <c r="K518" s="196"/>
      <c r="L518" s="174"/>
      <c r="M518" s="178"/>
      <c r="N518" s="179"/>
      <c r="O518" s="179" t="s">
        <v>227</v>
      </c>
    </row>
    <row r="519" spans="1:15" x14ac:dyDescent="0.15">
      <c r="A519" s="18"/>
      <c r="B5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519)),ROW(),"")</f>
        <v>519</v>
      </c>
      <c r="C519" s="13">
        <f t="shared" si="73"/>
        <v>0</v>
      </c>
      <c r="D519" s="84" t="str">
        <f t="shared" si="74"/>
        <v/>
      </c>
      <c r="E519" s="18"/>
      <c r="F519" s="174"/>
      <c r="G519" s="175"/>
      <c r="H519" s="195"/>
      <c r="I519" s="196"/>
      <c r="J519" s="196"/>
      <c r="K519" s="196"/>
      <c r="L519" s="174"/>
      <c r="M519" s="178"/>
      <c r="N519" s="179"/>
      <c r="O519" s="179" t="s">
        <v>227</v>
      </c>
    </row>
    <row r="520" spans="1:15" x14ac:dyDescent="0.15">
      <c r="A520" s="18"/>
      <c r="B5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520)),ROW(),"")</f>
        <v>520</v>
      </c>
      <c r="C520" s="13">
        <f t="shared" si="73"/>
        <v>0</v>
      </c>
      <c r="D520" s="84" t="str">
        <f t="shared" si="74"/>
        <v/>
      </c>
      <c r="E520" s="18"/>
      <c r="F520" s="174"/>
      <c r="G520" s="175"/>
      <c r="H520" s="195"/>
      <c r="I520" s="196"/>
      <c r="J520" s="196"/>
      <c r="K520" s="196"/>
      <c r="L520" s="174"/>
      <c r="M520" s="178"/>
      <c r="N520" s="179"/>
      <c r="O520" s="179" t="s">
        <v>227</v>
      </c>
    </row>
    <row r="521" spans="1:15" x14ac:dyDescent="0.15">
      <c r="A521" s="18"/>
      <c r="B5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521)),ROW(),"")</f>
        <v>521</v>
      </c>
      <c r="C521" s="13">
        <f t="shared" si="73"/>
        <v>0</v>
      </c>
      <c r="D521" s="84" t="str">
        <f t="shared" si="74"/>
        <v/>
      </c>
      <c r="E521" s="18"/>
      <c r="F521" s="174"/>
      <c r="G521" s="175"/>
      <c r="H521" s="195"/>
      <c r="I521" s="196"/>
      <c r="J521" s="196"/>
      <c r="K521" s="196"/>
      <c r="L521" s="174"/>
      <c r="M521" s="178"/>
      <c r="N521" s="179"/>
      <c r="O521" s="179" t="s">
        <v>227</v>
      </c>
    </row>
    <row r="522" spans="1:15" x14ac:dyDescent="0.15">
      <c r="A522" s="18"/>
      <c r="B5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522)),ROW(),"")</f>
        <v>522</v>
      </c>
      <c r="C522" s="13">
        <f t="shared" si="73"/>
        <v>0</v>
      </c>
      <c r="D522" s="84" t="str">
        <f t="shared" si="74"/>
        <v/>
      </c>
      <c r="E522" s="18"/>
      <c r="F522" s="174"/>
      <c r="G522" s="175"/>
      <c r="H522" s="195"/>
      <c r="I522" s="196"/>
      <c r="J522" s="196"/>
      <c r="K522" s="196"/>
      <c r="L522" s="174"/>
      <c r="M522" s="178"/>
      <c r="N522" s="179"/>
      <c r="O522" s="179" t="s">
        <v>227</v>
      </c>
    </row>
    <row r="523" spans="1:15" x14ac:dyDescent="0.15">
      <c r="A523" s="18"/>
      <c r="B5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523)),ROW(),"")</f>
        <v>523</v>
      </c>
      <c r="C523" s="13">
        <f t="shared" si="73"/>
        <v>0</v>
      </c>
      <c r="D523" s="84" t="str">
        <f t="shared" si="74"/>
        <v/>
      </c>
      <c r="E523" s="18"/>
      <c r="F523" s="174"/>
      <c r="G523" s="175"/>
      <c r="H523" s="195"/>
      <c r="I523" s="196"/>
      <c r="J523" s="196"/>
      <c r="K523" s="196"/>
      <c r="L523" s="174"/>
      <c r="M523" s="178"/>
      <c r="N523" s="179"/>
      <c r="O523" s="179" t="s">
        <v>227</v>
      </c>
    </row>
    <row r="524" spans="1:15" x14ac:dyDescent="0.15">
      <c r="A524" s="18"/>
      <c r="B5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524)),ROW(),"")</f>
        <v>524</v>
      </c>
      <c r="C524" s="13">
        <f t="shared" si="73"/>
        <v>0</v>
      </c>
      <c r="D524" s="84" t="str">
        <f t="shared" si="74"/>
        <v/>
      </c>
      <c r="E524" s="18"/>
      <c r="F524" s="174"/>
      <c r="G524" s="175"/>
      <c r="H524" s="195"/>
      <c r="I524" s="196"/>
      <c r="J524" s="196"/>
      <c r="K524" s="196"/>
      <c r="L524" s="174"/>
      <c r="M524" s="178"/>
      <c r="N524" s="179"/>
      <c r="O524" s="179" t="s">
        <v>227</v>
      </c>
    </row>
    <row r="525" spans="1:15" x14ac:dyDescent="0.15">
      <c r="A525" s="18"/>
      <c r="B5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525)),ROW(),"")</f>
        <v>525</v>
      </c>
      <c r="C525" s="13">
        <f t="shared" si="73"/>
        <v>0</v>
      </c>
      <c r="D525" s="84" t="str">
        <f t="shared" si="74"/>
        <v/>
      </c>
      <c r="E525" s="18"/>
      <c r="F525" s="174"/>
      <c r="G525" s="175"/>
      <c r="H525" s="195"/>
      <c r="I525" s="196"/>
      <c r="J525" s="196"/>
      <c r="K525" s="196"/>
      <c r="L525" s="174"/>
      <c r="M525" s="178"/>
      <c r="N525" s="179"/>
      <c r="O525" s="179" t="s">
        <v>227</v>
      </c>
    </row>
    <row r="526" spans="1:15" x14ac:dyDescent="0.15">
      <c r="A526" s="18"/>
      <c r="B5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526)),ROW(),"")</f>
        <v>526</v>
      </c>
      <c r="C526" s="13">
        <f t="shared" si="73"/>
        <v>0</v>
      </c>
      <c r="D526" s="84" t="str">
        <f t="shared" si="74"/>
        <v/>
      </c>
      <c r="E526" s="18"/>
      <c r="F526" s="174"/>
      <c r="G526" s="175"/>
      <c r="H526" s="195"/>
      <c r="I526" s="196"/>
      <c r="J526" s="196"/>
      <c r="K526" s="196"/>
      <c r="L526" s="174"/>
      <c r="M526" s="178"/>
      <c r="N526" s="179"/>
      <c r="O526" s="179" t="s">
        <v>227</v>
      </c>
    </row>
    <row r="527" spans="1:15" x14ac:dyDescent="0.15">
      <c r="A527" s="18"/>
      <c r="B5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527)),ROW(),"")</f>
        <v>527</v>
      </c>
      <c r="C527" s="13">
        <f t="shared" si="73"/>
        <v>0</v>
      </c>
      <c r="D527" s="84" t="str">
        <f t="shared" si="74"/>
        <v/>
      </c>
      <c r="E527" s="18"/>
      <c r="F527" s="174"/>
      <c r="G527" s="175"/>
      <c r="H527" s="195"/>
      <c r="I527" s="196"/>
      <c r="J527" s="196"/>
      <c r="K527" s="196"/>
      <c r="L527" s="174"/>
      <c r="M527" s="178"/>
      <c r="N527" s="179"/>
      <c r="O527" s="179" t="s">
        <v>227</v>
      </c>
    </row>
    <row r="528" spans="1:15" x14ac:dyDescent="0.15">
      <c r="A528" s="18"/>
      <c r="B5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528)),ROW(),"")</f>
        <v>528</v>
      </c>
      <c r="C528" s="13">
        <f t="shared" si="73"/>
        <v>0</v>
      </c>
      <c r="D528" s="84" t="str">
        <f t="shared" si="74"/>
        <v/>
      </c>
      <c r="E528" s="18"/>
      <c r="F528" s="174"/>
      <c r="G528" s="175"/>
      <c r="H528" s="195"/>
      <c r="I528" s="196"/>
      <c r="J528" s="196"/>
      <c r="K528" s="196"/>
      <c r="L528" s="174"/>
      <c r="M528" s="178"/>
      <c r="N528" s="179"/>
      <c r="O528" s="179" t="s">
        <v>227</v>
      </c>
    </row>
    <row r="529" spans="1:15" x14ac:dyDescent="0.15">
      <c r="A529" s="18"/>
      <c r="B5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529)),ROW(),"")</f>
        <v>529</v>
      </c>
      <c r="C529" s="13">
        <f t="shared" si="73"/>
        <v>0</v>
      </c>
      <c r="D529" s="84" t="str">
        <f t="shared" si="74"/>
        <v/>
      </c>
      <c r="E529" s="18"/>
      <c r="F529" s="174"/>
      <c r="G529" s="175"/>
      <c r="H529" s="195"/>
      <c r="I529" s="196"/>
      <c r="J529" s="196"/>
      <c r="K529" s="196"/>
      <c r="L529" s="174"/>
      <c r="M529" s="178"/>
      <c r="N529" s="179"/>
      <c r="O529" s="179" t="s">
        <v>227</v>
      </c>
    </row>
    <row r="530" spans="1:15" x14ac:dyDescent="0.15">
      <c r="A530" s="18"/>
      <c r="B5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530)),ROW(),"")</f>
        <v>530</v>
      </c>
      <c r="C530" s="13">
        <f t="shared" si="73"/>
        <v>0</v>
      </c>
      <c r="D530" s="84" t="str">
        <f t="shared" si="74"/>
        <v/>
      </c>
      <c r="E530" s="18"/>
      <c r="F530" s="174"/>
      <c r="G530" s="175"/>
      <c r="H530" s="195"/>
      <c r="I530" s="196"/>
      <c r="J530" s="196"/>
      <c r="K530" s="196"/>
      <c r="L530" s="174"/>
      <c r="M530" s="178"/>
      <c r="N530" s="179"/>
      <c r="O530" s="179" t="s">
        <v>227</v>
      </c>
    </row>
    <row r="531" spans="1:15" x14ac:dyDescent="0.15">
      <c r="A531" s="18"/>
      <c r="B5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531)),ROW(),"")</f>
        <v>531</v>
      </c>
      <c r="C531" s="13">
        <f t="shared" si="73"/>
        <v>0</v>
      </c>
      <c r="D531" s="84" t="str">
        <f t="shared" si="74"/>
        <v/>
      </c>
      <c r="E531" s="18"/>
      <c r="F531" s="174"/>
      <c r="G531" s="175"/>
      <c r="H531" s="195"/>
      <c r="I531" s="196"/>
      <c r="J531" s="196"/>
      <c r="K531" s="196"/>
      <c r="L531" s="174"/>
      <c r="M531" s="178"/>
      <c r="N531" s="179"/>
      <c r="O531" s="179" t="s">
        <v>227</v>
      </c>
    </row>
    <row r="532" spans="1:15" x14ac:dyDescent="0.15">
      <c r="A532" s="18"/>
      <c r="B5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532)),ROW(),"")</f>
        <v>532</v>
      </c>
      <c r="C532" s="13">
        <f t="shared" si="73"/>
        <v>0</v>
      </c>
      <c r="D532" s="84" t="str">
        <f t="shared" si="74"/>
        <v/>
      </c>
      <c r="E532" s="18"/>
      <c r="F532" s="174"/>
      <c r="G532" s="175"/>
      <c r="H532" s="195"/>
      <c r="I532" s="196"/>
      <c r="J532" s="196"/>
      <c r="K532" s="196"/>
      <c r="L532" s="174"/>
      <c r="M532" s="178"/>
      <c r="N532" s="179"/>
      <c r="O532" s="179" t="s">
        <v>227</v>
      </c>
    </row>
    <row r="533" spans="1:15" x14ac:dyDescent="0.15">
      <c r="A533" s="18"/>
      <c r="B5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533)),ROW(),"")</f>
        <v>533</v>
      </c>
      <c r="C533" s="13">
        <f t="shared" si="73"/>
        <v>0</v>
      </c>
      <c r="D533" s="84" t="str">
        <f t="shared" si="74"/>
        <v/>
      </c>
      <c r="E533" s="18"/>
      <c r="F533" s="174"/>
      <c r="G533" s="175"/>
      <c r="H533" s="195"/>
      <c r="I533" s="196"/>
      <c r="J533" s="196"/>
      <c r="K533" s="196"/>
      <c r="L533" s="174"/>
      <c r="M533" s="178"/>
      <c r="N533" s="179"/>
      <c r="O533" s="179" t="s">
        <v>227</v>
      </c>
    </row>
    <row r="534" spans="1:15" x14ac:dyDescent="0.15">
      <c r="A534" s="18"/>
      <c r="B5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534)),ROW(),"")</f>
        <v>534</v>
      </c>
      <c r="C534" s="13">
        <f t="shared" si="73"/>
        <v>0</v>
      </c>
      <c r="D534" s="84" t="str">
        <f t="shared" si="74"/>
        <v/>
      </c>
      <c r="E534" s="18"/>
      <c r="F534" s="174"/>
      <c r="G534" s="175"/>
      <c r="H534" s="195"/>
      <c r="I534" s="196"/>
      <c r="J534" s="196"/>
      <c r="K534" s="196"/>
      <c r="L534" s="174"/>
      <c r="M534" s="178"/>
      <c r="N534" s="179"/>
      <c r="O534" s="179" t="s">
        <v>227</v>
      </c>
    </row>
    <row r="535" spans="1:15" x14ac:dyDescent="0.15">
      <c r="A535" s="18"/>
      <c r="B5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535)),ROW(),"")</f>
        <v>535</v>
      </c>
      <c r="C535" s="13">
        <f t="shared" si="73"/>
        <v>0</v>
      </c>
      <c r="D535" s="84" t="str">
        <f t="shared" si="74"/>
        <v/>
      </c>
      <c r="E535" s="18"/>
      <c r="F535" s="174"/>
      <c r="G535" s="175"/>
      <c r="H535" s="195"/>
      <c r="I535" s="196"/>
      <c r="J535" s="196"/>
      <c r="K535" s="196"/>
      <c r="L535" s="174"/>
      <c r="M535" s="178"/>
      <c r="N535" s="179"/>
      <c r="O535" s="179" t="s">
        <v>227</v>
      </c>
    </row>
    <row r="536" spans="1:15" x14ac:dyDescent="0.15">
      <c r="A536" s="18"/>
      <c r="B5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536)),ROW(),"")</f>
        <v>536</v>
      </c>
      <c r="C536" s="13">
        <f t="shared" si="73"/>
        <v>0</v>
      </c>
      <c r="D536" s="84" t="str">
        <f t="shared" si="74"/>
        <v/>
      </c>
      <c r="E536" s="18"/>
      <c r="F536" s="174"/>
      <c r="G536" s="175"/>
      <c r="H536" s="195"/>
      <c r="I536" s="196"/>
      <c r="J536" s="196"/>
      <c r="K536" s="196"/>
      <c r="L536" s="174"/>
      <c r="M536" s="178"/>
      <c r="N536" s="179"/>
      <c r="O536" s="179" t="s">
        <v>227</v>
      </c>
    </row>
    <row r="537" spans="1:15" x14ac:dyDescent="0.15">
      <c r="A537" s="18"/>
      <c r="B5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537)),ROW(),"")</f>
        <v>537</v>
      </c>
      <c r="C537" s="13">
        <f t="shared" si="73"/>
        <v>0</v>
      </c>
      <c r="D537" s="84" t="str">
        <f t="shared" si="74"/>
        <v/>
      </c>
      <c r="E537" s="18"/>
      <c r="F537" s="174"/>
      <c r="G537" s="175"/>
      <c r="H537" s="195"/>
      <c r="I537" s="196"/>
      <c r="J537" s="196"/>
      <c r="K537" s="196"/>
      <c r="L537" s="174"/>
      <c r="M537" s="178"/>
      <c r="N537" s="179"/>
      <c r="O537" s="179" t="s">
        <v>227</v>
      </c>
    </row>
    <row r="538" spans="1:15" x14ac:dyDescent="0.15">
      <c r="A538" s="18"/>
      <c r="B5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538)),ROW(),"")</f>
        <v>538</v>
      </c>
      <c r="C538" s="13">
        <f t="shared" si="73"/>
        <v>0</v>
      </c>
      <c r="D538" s="84" t="str">
        <f t="shared" si="74"/>
        <v/>
      </c>
      <c r="E538" s="18"/>
      <c r="F538" s="174"/>
      <c r="G538" s="175"/>
      <c r="H538" s="195"/>
      <c r="I538" s="196"/>
      <c r="J538" s="196"/>
      <c r="K538" s="196"/>
      <c r="L538" s="174"/>
      <c r="M538" s="178"/>
      <c r="N538" s="179"/>
      <c r="O538" s="179" t="s">
        <v>227</v>
      </c>
    </row>
    <row r="539" spans="1:15" x14ac:dyDescent="0.15">
      <c r="A539" s="18"/>
      <c r="B5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539)),ROW(),"")</f>
        <v>539</v>
      </c>
      <c r="C539" s="13">
        <f t="shared" si="73"/>
        <v>0</v>
      </c>
      <c r="D539" s="84" t="str">
        <f t="shared" si="74"/>
        <v/>
      </c>
      <c r="E539" s="18"/>
      <c r="F539" s="174"/>
      <c r="G539" s="175"/>
      <c r="H539" s="195"/>
      <c r="I539" s="196"/>
      <c r="J539" s="196"/>
      <c r="K539" s="196"/>
      <c r="L539" s="174"/>
      <c r="M539" s="178"/>
      <c r="N539" s="179"/>
      <c r="O539" s="179" t="s">
        <v>227</v>
      </c>
    </row>
    <row r="540" spans="1:15" x14ac:dyDescent="0.15">
      <c r="A540" s="18"/>
      <c r="B5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540)),ROW(),"")</f>
        <v>540</v>
      </c>
      <c r="C540" s="13">
        <f t="shared" si="73"/>
        <v>0</v>
      </c>
      <c r="D540" s="84" t="str">
        <f t="shared" si="74"/>
        <v/>
      </c>
      <c r="E540" s="18"/>
      <c r="F540" s="174"/>
      <c r="G540" s="175"/>
      <c r="H540" s="195"/>
      <c r="I540" s="196"/>
      <c r="J540" s="196"/>
      <c r="K540" s="196"/>
      <c r="L540" s="174"/>
      <c r="M540" s="178"/>
      <c r="N540" s="179"/>
      <c r="O540" s="179" t="s">
        <v>227</v>
      </c>
    </row>
    <row r="541" spans="1:15" x14ac:dyDescent="0.15">
      <c r="A541" s="18"/>
      <c r="B5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541)),ROW(),"")</f>
        <v>541</v>
      </c>
      <c r="C541" s="13">
        <f t="shared" si="73"/>
        <v>0</v>
      </c>
      <c r="D541" s="84" t="str">
        <f t="shared" si="74"/>
        <v/>
      </c>
      <c r="E541" s="18"/>
      <c r="F541" s="174"/>
      <c r="G541" s="175"/>
      <c r="H541" s="195"/>
      <c r="I541" s="196"/>
      <c r="J541" s="196"/>
      <c r="K541" s="196"/>
      <c r="L541" s="174"/>
      <c r="M541" s="178"/>
      <c r="N541" s="179"/>
      <c r="O541" s="179" t="s">
        <v>227</v>
      </c>
    </row>
    <row r="542" spans="1:15" x14ac:dyDescent="0.15">
      <c r="A542" s="18"/>
      <c r="B5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542)),ROW(),"")</f>
        <v>542</v>
      </c>
      <c r="C542" s="13">
        <f t="shared" si="73"/>
        <v>0</v>
      </c>
      <c r="D542" s="84" t="str">
        <f t="shared" si="74"/>
        <v/>
      </c>
      <c r="E542" s="18"/>
      <c r="F542" s="174"/>
      <c r="G542" s="175"/>
      <c r="H542" s="195"/>
      <c r="I542" s="196"/>
      <c r="J542" s="196"/>
      <c r="K542" s="196"/>
      <c r="L542" s="174"/>
      <c r="M542" s="178"/>
      <c r="N542" s="179"/>
      <c r="O542" s="179" t="s">
        <v>227</v>
      </c>
    </row>
    <row r="543" spans="1:15" x14ac:dyDescent="0.15">
      <c r="A543" s="18"/>
      <c r="B5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543)),ROW(),"")</f>
        <v>543</v>
      </c>
      <c r="C543" s="13">
        <f t="shared" si="73"/>
        <v>0</v>
      </c>
      <c r="D543" s="84" t="str">
        <f t="shared" si="74"/>
        <v/>
      </c>
      <c r="E543" s="18"/>
      <c r="F543" s="174"/>
      <c r="G543" s="175"/>
      <c r="H543" s="195"/>
      <c r="I543" s="196"/>
      <c r="J543" s="196"/>
      <c r="K543" s="196"/>
      <c r="L543" s="174"/>
      <c r="M543" s="178"/>
      <c r="N543" s="179"/>
      <c r="O543" s="179" t="s">
        <v>227</v>
      </c>
    </row>
    <row r="544" spans="1:15" x14ac:dyDescent="0.15">
      <c r="A544" s="18"/>
      <c r="B5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544)),ROW(),"")</f>
        <v>544</v>
      </c>
      <c r="C544" s="13">
        <f t="shared" si="73"/>
        <v>0</v>
      </c>
      <c r="D544" s="84" t="str">
        <f t="shared" si="74"/>
        <v/>
      </c>
      <c r="E544" s="18"/>
      <c r="F544" s="174"/>
      <c r="G544" s="175"/>
      <c r="H544" s="195"/>
      <c r="I544" s="196"/>
      <c r="J544" s="196"/>
      <c r="K544" s="196"/>
      <c r="L544" s="174"/>
      <c r="M544" s="178"/>
      <c r="N544" s="179"/>
      <c r="O544" s="179" t="s">
        <v>227</v>
      </c>
    </row>
    <row r="545" spans="1:15" x14ac:dyDescent="0.15">
      <c r="A545" s="18"/>
      <c r="B5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545)),ROW(),"")</f>
        <v>545</v>
      </c>
      <c r="C545" s="13">
        <f t="shared" si="73"/>
        <v>0</v>
      </c>
      <c r="D545" s="84" t="str">
        <f t="shared" si="74"/>
        <v/>
      </c>
      <c r="E545" s="18"/>
      <c r="F545" s="174"/>
      <c r="G545" s="175"/>
      <c r="H545" s="195"/>
      <c r="I545" s="196"/>
      <c r="J545" s="196"/>
      <c r="K545" s="196"/>
      <c r="L545" s="174"/>
      <c r="M545" s="178"/>
      <c r="N545" s="179"/>
      <c r="O545" s="179" t="s">
        <v>227</v>
      </c>
    </row>
    <row r="546" spans="1:15" x14ac:dyDescent="0.15">
      <c r="A546" s="18"/>
      <c r="B5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546)),ROW(),"")</f>
        <v>546</v>
      </c>
      <c r="C546" s="13">
        <f t="shared" si="73"/>
        <v>0</v>
      </c>
      <c r="D546" s="84" t="str">
        <f t="shared" si="74"/>
        <v/>
      </c>
      <c r="E546" s="18"/>
      <c r="F546" s="174"/>
      <c r="G546" s="175"/>
      <c r="H546" s="195"/>
      <c r="I546" s="196"/>
      <c r="J546" s="196"/>
      <c r="K546" s="196"/>
      <c r="L546" s="174"/>
      <c r="M546" s="178"/>
      <c r="N546" s="179"/>
      <c r="O546" s="179" t="s">
        <v>227</v>
      </c>
    </row>
    <row r="547" spans="1:15" x14ac:dyDescent="0.15">
      <c r="A547" s="18"/>
      <c r="B5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547)),ROW(),"")</f>
        <v>547</v>
      </c>
      <c r="C547" s="13">
        <f t="shared" si="73"/>
        <v>0</v>
      </c>
      <c r="D547" s="84" t="str">
        <f t="shared" si="74"/>
        <v/>
      </c>
      <c r="E547" s="18"/>
      <c r="F547" s="174"/>
      <c r="G547" s="175"/>
      <c r="H547" s="195"/>
      <c r="I547" s="196"/>
      <c r="J547" s="196"/>
      <c r="K547" s="196"/>
      <c r="L547" s="174"/>
      <c r="M547" s="178"/>
      <c r="N547" s="179"/>
      <c r="O547" s="179" t="s">
        <v>227</v>
      </c>
    </row>
    <row r="548" spans="1:15" x14ac:dyDescent="0.15">
      <c r="A548" s="18"/>
      <c r="B5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548)),ROW(),"")</f>
        <v>548</v>
      </c>
      <c r="C548" s="13">
        <f t="shared" si="73"/>
        <v>0</v>
      </c>
      <c r="D548" s="84" t="str">
        <f t="shared" si="74"/>
        <v/>
      </c>
      <c r="E548" s="18"/>
      <c r="F548" s="174"/>
      <c r="G548" s="175"/>
      <c r="H548" s="195"/>
      <c r="I548" s="196"/>
      <c r="J548" s="196"/>
      <c r="K548" s="196"/>
      <c r="L548" s="174"/>
      <c r="M548" s="178"/>
      <c r="N548" s="179"/>
      <c r="O548" s="179" t="s">
        <v>227</v>
      </c>
    </row>
    <row r="549" spans="1:15" x14ac:dyDescent="0.15">
      <c r="A549" s="18"/>
      <c r="B5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549)),ROW(),"")</f>
        <v>549</v>
      </c>
      <c r="C549" s="13">
        <f t="shared" si="73"/>
        <v>0</v>
      </c>
      <c r="D549" s="84" t="str">
        <f t="shared" si="74"/>
        <v/>
      </c>
      <c r="E549" s="18"/>
      <c r="F549" s="174"/>
      <c r="G549" s="175"/>
      <c r="H549" s="195"/>
      <c r="I549" s="196"/>
      <c r="J549" s="196"/>
      <c r="K549" s="196"/>
      <c r="L549" s="174"/>
      <c r="M549" s="178"/>
      <c r="N549" s="179"/>
      <c r="O549" s="179" t="s">
        <v>227</v>
      </c>
    </row>
    <row r="550" spans="1:15" x14ac:dyDescent="0.15">
      <c r="A550" s="18"/>
      <c r="B5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550)),ROW(),"")</f>
        <v>550</v>
      </c>
      <c r="C550" s="13">
        <f t="shared" si="73"/>
        <v>0</v>
      </c>
      <c r="D550" s="84" t="str">
        <f t="shared" si="74"/>
        <v/>
      </c>
      <c r="E550" s="18"/>
      <c r="F550" s="174"/>
      <c r="G550" s="175"/>
      <c r="H550" s="195"/>
      <c r="I550" s="196"/>
      <c r="J550" s="196"/>
      <c r="K550" s="196"/>
      <c r="L550" s="174"/>
      <c r="M550" s="178"/>
      <c r="N550" s="179"/>
      <c r="O550" s="179" t="s">
        <v>227</v>
      </c>
    </row>
    <row r="551" spans="1:15" x14ac:dyDescent="0.15">
      <c r="A551" s="18"/>
      <c r="B5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551)),ROW(),"")</f>
        <v>551</v>
      </c>
      <c r="C551" s="13">
        <f t="shared" si="73"/>
        <v>0</v>
      </c>
      <c r="D551" s="84" t="str">
        <f t="shared" si="74"/>
        <v/>
      </c>
      <c r="E551" s="18"/>
      <c r="F551" s="174"/>
      <c r="G551" s="175"/>
      <c r="H551" s="195"/>
      <c r="I551" s="196"/>
      <c r="J551" s="196"/>
      <c r="K551" s="196"/>
      <c r="L551" s="174"/>
      <c r="M551" s="178"/>
      <c r="N551" s="179"/>
      <c r="O551" s="179" t="s">
        <v>227</v>
      </c>
    </row>
    <row r="552" spans="1:15" x14ac:dyDescent="0.15">
      <c r="A552" s="18"/>
      <c r="B5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552)),ROW(),"")</f>
        <v>552</v>
      </c>
      <c r="C552" s="13">
        <f t="shared" si="73"/>
        <v>0</v>
      </c>
      <c r="D552" s="84" t="str">
        <f t="shared" si="74"/>
        <v/>
      </c>
      <c r="E552" s="18"/>
      <c r="F552" s="174"/>
      <c r="G552" s="175"/>
      <c r="H552" s="195"/>
      <c r="I552" s="196"/>
      <c r="J552" s="196"/>
      <c r="K552" s="196"/>
      <c r="L552" s="174"/>
      <c r="M552" s="178"/>
      <c r="N552" s="179"/>
      <c r="O552" s="179" t="s">
        <v>227</v>
      </c>
    </row>
    <row r="553" spans="1:15" x14ac:dyDescent="0.15">
      <c r="A553" s="18"/>
      <c r="B5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553)),ROW(),"")</f>
        <v>553</v>
      </c>
      <c r="C553" s="13">
        <f t="shared" si="73"/>
        <v>0</v>
      </c>
      <c r="D553" s="84" t="str">
        <f t="shared" si="74"/>
        <v/>
      </c>
      <c r="E553" s="18"/>
      <c r="F553" s="174"/>
      <c r="G553" s="175"/>
      <c r="H553" s="195"/>
      <c r="I553" s="196"/>
      <c r="J553" s="196"/>
      <c r="K553" s="196"/>
      <c r="L553" s="174"/>
      <c r="M553" s="178"/>
      <c r="N553" s="179"/>
      <c r="O553" s="179" t="s">
        <v>227</v>
      </c>
    </row>
    <row r="554" spans="1:15" x14ac:dyDescent="0.15">
      <c r="A554" s="18"/>
      <c r="B5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554)),ROW(),"")</f>
        <v>554</v>
      </c>
      <c r="C554" s="13">
        <f t="shared" si="73"/>
        <v>0</v>
      </c>
      <c r="D554" s="84" t="str">
        <f t="shared" si="74"/>
        <v/>
      </c>
      <c r="E554" s="18"/>
      <c r="F554" s="174"/>
      <c r="G554" s="175"/>
      <c r="H554" s="195"/>
      <c r="I554" s="196"/>
      <c r="J554" s="196"/>
      <c r="K554" s="196"/>
      <c r="L554" s="174"/>
      <c r="M554" s="178"/>
      <c r="N554" s="179"/>
      <c r="O554" s="179" t="s">
        <v>227</v>
      </c>
    </row>
    <row r="555" spans="1:15" x14ac:dyDescent="0.15">
      <c r="A555" s="18"/>
      <c r="B5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555)),ROW(),"")</f>
        <v>555</v>
      </c>
      <c r="C555" s="13">
        <f t="shared" si="73"/>
        <v>0</v>
      </c>
      <c r="D555" s="84" t="str">
        <f t="shared" si="74"/>
        <v/>
      </c>
      <c r="E555" s="18"/>
      <c r="F555" s="174"/>
      <c r="G555" s="175"/>
      <c r="H555" s="195"/>
      <c r="I555" s="196"/>
      <c r="J555" s="196"/>
      <c r="K555" s="196"/>
      <c r="L555" s="174"/>
      <c r="M555" s="178"/>
      <c r="N555" s="179"/>
      <c r="O555" s="179" t="s">
        <v>227</v>
      </c>
    </row>
    <row r="556" spans="1:15" x14ac:dyDescent="0.15">
      <c r="A556" s="18"/>
      <c r="B5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556)),ROW(),"")</f>
        <v>556</v>
      </c>
      <c r="C556" s="13">
        <f t="shared" si="73"/>
        <v>0</v>
      </c>
      <c r="D556" s="84" t="str">
        <f t="shared" si="74"/>
        <v/>
      </c>
      <c r="E556" s="18"/>
      <c r="F556" s="174"/>
      <c r="G556" s="175"/>
      <c r="H556" s="195"/>
      <c r="I556" s="196"/>
      <c r="J556" s="196"/>
      <c r="K556" s="196"/>
      <c r="L556" s="174"/>
      <c r="M556" s="178"/>
      <c r="N556" s="179"/>
      <c r="O556" s="179" t="s">
        <v>227</v>
      </c>
    </row>
    <row r="557" spans="1:15" x14ac:dyDescent="0.15">
      <c r="A557" s="18"/>
      <c r="B5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557)),ROW(),"")</f>
        <v>557</v>
      </c>
      <c r="C557" s="13">
        <f t="shared" si="73"/>
        <v>0</v>
      </c>
      <c r="D557" s="84" t="str">
        <f t="shared" si="74"/>
        <v/>
      </c>
      <c r="E557" s="18"/>
      <c r="F557" s="174"/>
      <c r="G557" s="175"/>
      <c r="H557" s="195"/>
      <c r="I557" s="196"/>
      <c r="J557" s="196"/>
      <c r="K557" s="196"/>
      <c r="L557" s="174"/>
      <c r="M557" s="178"/>
      <c r="N557" s="179"/>
      <c r="O557" s="179" t="s">
        <v>227</v>
      </c>
    </row>
    <row r="558" spans="1:15" x14ac:dyDescent="0.15">
      <c r="A558" s="18"/>
      <c r="B5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558)),ROW(),"")</f>
        <v>558</v>
      </c>
      <c r="C558" s="13">
        <f t="shared" si="73"/>
        <v>0</v>
      </c>
      <c r="D558" s="84" t="str">
        <f t="shared" si="74"/>
        <v/>
      </c>
      <c r="E558" s="18"/>
      <c r="F558" s="174"/>
      <c r="G558" s="175"/>
      <c r="H558" s="195"/>
      <c r="I558" s="196"/>
      <c r="J558" s="196"/>
      <c r="K558" s="196"/>
      <c r="L558" s="174"/>
      <c r="M558" s="178"/>
      <c r="N558" s="179"/>
      <c r="O558" s="179" t="s">
        <v>227</v>
      </c>
    </row>
    <row r="559" spans="1:15" x14ac:dyDescent="0.15">
      <c r="A559" s="18"/>
      <c r="B5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559)),ROW(),"")</f>
        <v>559</v>
      </c>
      <c r="C559" s="13">
        <f t="shared" ref="C559:C622" si="75">INDEX(A:A,SMALL($B$3:$B$1039,ROW(A557)))</f>
        <v>0</v>
      </c>
      <c r="D559" s="84" t="str">
        <f t="shared" ref="D559:D622" si="76">PHONETIC(A559)</f>
        <v/>
      </c>
      <c r="E559" s="18"/>
      <c r="F559" s="174"/>
      <c r="G559" s="175"/>
      <c r="H559" s="195"/>
      <c r="I559" s="196"/>
      <c r="J559" s="196"/>
      <c r="K559" s="196"/>
      <c r="L559" s="174"/>
      <c r="M559" s="178"/>
      <c r="N559" s="179"/>
      <c r="O559" s="179" t="s">
        <v>227</v>
      </c>
    </row>
    <row r="560" spans="1:15" x14ac:dyDescent="0.15">
      <c r="A560" s="18"/>
      <c r="B5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560)),ROW(),"")</f>
        <v>560</v>
      </c>
      <c r="C560" s="13">
        <f t="shared" si="75"/>
        <v>0</v>
      </c>
      <c r="D560" s="84" t="str">
        <f t="shared" si="76"/>
        <v/>
      </c>
      <c r="E560" s="18"/>
      <c r="F560" s="174"/>
      <c r="G560" s="175"/>
      <c r="H560" s="195"/>
      <c r="I560" s="196"/>
      <c r="J560" s="196"/>
      <c r="K560" s="196"/>
      <c r="L560" s="174"/>
      <c r="M560" s="178"/>
      <c r="N560" s="179"/>
      <c r="O560" s="179" t="s">
        <v>227</v>
      </c>
    </row>
    <row r="561" spans="1:15" x14ac:dyDescent="0.15">
      <c r="A561" s="18"/>
      <c r="B5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561)),ROW(),"")</f>
        <v>561</v>
      </c>
      <c r="C561" s="13">
        <f t="shared" si="75"/>
        <v>0</v>
      </c>
      <c r="D561" s="84" t="str">
        <f t="shared" si="76"/>
        <v/>
      </c>
      <c r="E561" s="18"/>
      <c r="F561" s="174"/>
      <c r="G561" s="175"/>
      <c r="H561" s="195"/>
      <c r="I561" s="196"/>
      <c r="J561" s="196"/>
      <c r="K561" s="196"/>
      <c r="L561" s="174"/>
      <c r="M561" s="178"/>
      <c r="N561" s="179"/>
      <c r="O561" s="179" t="s">
        <v>227</v>
      </c>
    </row>
    <row r="562" spans="1:15" x14ac:dyDescent="0.15">
      <c r="A562" s="18"/>
      <c r="B5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562)),ROW(),"")</f>
        <v>562</v>
      </c>
      <c r="C562" s="13">
        <f t="shared" si="75"/>
        <v>0</v>
      </c>
      <c r="D562" s="84" t="str">
        <f t="shared" si="76"/>
        <v/>
      </c>
      <c r="E562" s="18"/>
      <c r="F562" s="174"/>
      <c r="G562" s="175"/>
      <c r="H562" s="195"/>
      <c r="I562" s="196"/>
      <c r="J562" s="196"/>
      <c r="K562" s="196"/>
      <c r="L562" s="174"/>
      <c r="M562" s="178"/>
      <c r="N562" s="179"/>
      <c r="O562" s="179" t="s">
        <v>227</v>
      </c>
    </row>
    <row r="563" spans="1:15" x14ac:dyDescent="0.15">
      <c r="A563" s="18"/>
      <c r="B5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563)),ROW(),"")</f>
        <v>563</v>
      </c>
      <c r="C563" s="13">
        <f t="shared" si="75"/>
        <v>0</v>
      </c>
      <c r="D563" s="84" t="str">
        <f t="shared" si="76"/>
        <v/>
      </c>
      <c r="E563" s="18"/>
      <c r="F563" s="174"/>
      <c r="G563" s="175"/>
      <c r="H563" s="195"/>
      <c r="I563" s="196"/>
      <c r="J563" s="196"/>
      <c r="K563" s="196"/>
      <c r="L563" s="174"/>
      <c r="M563" s="178"/>
      <c r="N563" s="179"/>
      <c r="O563" s="179" t="s">
        <v>227</v>
      </c>
    </row>
    <row r="564" spans="1:15" x14ac:dyDescent="0.15">
      <c r="A564" s="18"/>
      <c r="B5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564)),ROW(),"")</f>
        <v>564</v>
      </c>
      <c r="C564" s="13">
        <f t="shared" si="75"/>
        <v>0</v>
      </c>
      <c r="D564" s="84" t="str">
        <f t="shared" si="76"/>
        <v/>
      </c>
      <c r="E564" s="18"/>
      <c r="F564" s="174"/>
      <c r="G564" s="175"/>
      <c r="H564" s="195"/>
      <c r="I564" s="196"/>
      <c r="J564" s="196"/>
      <c r="K564" s="196"/>
      <c r="L564" s="174"/>
      <c r="M564" s="178"/>
      <c r="N564" s="179"/>
      <c r="O564" s="179" t="s">
        <v>227</v>
      </c>
    </row>
    <row r="565" spans="1:15" x14ac:dyDescent="0.15">
      <c r="A565" s="18"/>
      <c r="B5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565)),ROW(),"")</f>
        <v>565</v>
      </c>
      <c r="C565" s="13">
        <f t="shared" si="75"/>
        <v>0</v>
      </c>
      <c r="D565" s="84" t="str">
        <f t="shared" si="76"/>
        <v/>
      </c>
      <c r="E565" s="18"/>
      <c r="F565" s="174"/>
      <c r="G565" s="175"/>
      <c r="H565" s="195"/>
      <c r="I565" s="196"/>
      <c r="J565" s="196"/>
      <c r="K565" s="196"/>
      <c r="L565" s="174"/>
      <c r="M565" s="178"/>
      <c r="N565" s="179"/>
      <c r="O565" s="179" t="s">
        <v>227</v>
      </c>
    </row>
    <row r="566" spans="1:15" x14ac:dyDescent="0.15">
      <c r="A566" s="18"/>
      <c r="B5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566)),ROW(),"")</f>
        <v>566</v>
      </c>
      <c r="C566" s="13">
        <f t="shared" si="75"/>
        <v>0</v>
      </c>
      <c r="D566" s="84" t="str">
        <f t="shared" si="76"/>
        <v/>
      </c>
      <c r="E566" s="18"/>
      <c r="F566" s="174"/>
      <c r="G566" s="175"/>
      <c r="H566" s="195"/>
      <c r="I566" s="196"/>
      <c r="J566" s="196"/>
      <c r="K566" s="196"/>
      <c r="L566" s="174"/>
      <c r="M566" s="178"/>
      <c r="N566" s="179"/>
      <c r="O566" s="179" t="s">
        <v>227</v>
      </c>
    </row>
    <row r="567" spans="1:15" x14ac:dyDescent="0.15">
      <c r="A567" s="18"/>
      <c r="B5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567)),ROW(),"")</f>
        <v>567</v>
      </c>
      <c r="C567" s="13">
        <f t="shared" si="75"/>
        <v>0</v>
      </c>
      <c r="D567" s="84" t="str">
        <f t="shared" si="76"/>
        <v/>
      </c>
      <c r="E567" s="18"/>
      <c r="F567" s="174"/>
      <c r="G567" s="175"/>
      <c r="H567" s="195"/>
      <c r="I567" s="196"/>
      <c r="J567" s="196"/>
      <c r="K567" s="196"/>
      <c r="L567" s="174"/>
      <c r="M567" s="178"/>
      <c r="N567" s="179"/>
      <c r="O567" s="179" t="s">
        <v>227</v>
      </c>
    </row>
    <row r="568" spans="1:15" x14ac:dyDescent="0.15">
      <c r="A568" s="18"/>
      <c r="B5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568)),ROW(),"")</f>
        <v>568</v>
      </c>
      <c r="C568" s="13">
        <f t="shared" si="75"/>
        <v>0</v>
      </c>
      <c r="D568" s="84" t="str">
        <f t="shared" si="76"/>
        <v/>
      </c>
      <c r="E568" s="18"/>
      <c r="F568" s="174"/>
      <c r="G568" s="175"/>
      <c r="H568" s="195"/>
      <c r="I568" s="196"/>
      <c r="J568" s="196"/>
      <c r="K568" s="196"/>
      <c r="L568" s="174"/>
      <c r="M568" s="178"/>
      <c r="N568" s="179"/>
      <c r="O568" s="179" t="s">
        <v>227</v>
      </c>
    </row>
    <row r="569" spans="1:15" x14ac:dyDescent="0.15">
      <c r="A569" s="18"/>
      <c r="B5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569)),ROW(),"")</f>
        <v>569</v>
      </c>
      <c r="C569" s="13">
        <f t="shared" si="75"/>
        <v>0</v>
      </c>
      <c r="D569" s="84" t="str">
        <f t="shared" si="76"/>
        <v/>
      </c>
      <c r="E569" s="18"/>
      <c r="F569" s="174"/>
      <c r="G569" s="175"/>
      <c r="H569" s="195"/>
      <c r="I569" s="196"/>
      <c r="J569" s="196"/>
      <c r="K569" s="196"/>
      <c r="L569" s="174"/>
      <c r="M569" s="178"/>
      <c r="N569" s="179"/>
      <c r="O569" s="179" t="s">
        <v>227</v>
      </c>
    </row>
    <row r="570" spans="1:15" x14ac:dyDescent="0.15">
      <c r="A570" s="18"/>
      <c r="B5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570)),ROW(),"")</f>
        <v>570</v>
      </c>
      <c r="C570" s="13">
        <f t="shared" si="75"/>
        <v>0</v>
      </c>
      <c r="D570" s="84" t="str">
        <f t="shared" si="76"/>
        <v/>
      </c>
      <c r="E570" s="18"/>
      <c r="F570" s="174"/>
      <c r="G570" s="175"/>
      <c r="H570" s="195"/>
      <c r="I570" s="196"/>
      <c r="J570" s="196"/>
      <c r="K570" s="196"/>
      <c r="L570" s="174"/>
      <c r="M570" s="178"/>
      <c r="N570" s="179"/>
      <c r="O570" s="179" t="s">
        <v>227</v>
      </c>
    </row>
    <row r="571" spans="1:15" x14ac:dyDescent="0.15">
      <c r="A571" s="18"/>
      <c r="B5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571)),ROW(),"")</f>
        <v>571</v>
      </c>
      <c r="C571" s="13">
        <f t="shared" si="75"/>
        <v>0</v>
      </c>
      <c r="D571" s="84" t="str">
        <f t="shared" si="76"/>
        <v/>
      </c>
      <c r="E571" s="18"/>
      <c r="F571" s="174"/>
      <c r="G571" s="175"/>
      <c r="H571" s="195"/>
      <c r="I571" s="196"/>
      <c r="J571" s="196"/>
      <c r="K571" s="196"/>
      <c r="L571" s="174"/>
      <c r="M571" s="178"/>
      <c r="N571" s="179"/>
      <c r="O571" s="179" t="s">
        <v>227</v>
      </c>
    </row>
    <row r="572" spans="1:15" x14ac:dyDescent="0.15">
      <c r="A572" s="18"/>
      <c r="B5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572)),ROW(),"")</f>
        <v>572</v>
      </c>
      <c r="C572" s="13">
        <f t="shared" si="75"/>
        <v>0</v>
      </c>
      <c r="D572" s="84" t="str">
        <f t="shared" si="76"/>
        <v/>
      </c>
      <c r="E572" s="18"/>
      <c r="F572" s="174"/>
      <c r="G572" s="175"/>
      <c r="H572" s="195"/>
      <c r="I572" s="196"/>
      <c r="J572" s="196"/>
      <c r="K572" s="196"/>
      <c r="L572" s="174"/>
      <c r="M572" s="178"/>
      <c r="N572" s="179"/>
      <c r="O572" s="179" t="s">
        <v>227</v>
      </c>
    </row>
    <row r="573" spans="1:15" x14ac:dyDescent="0.15">
      <c r="A573" s="18"/>
      <c r="B5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573)),ROW(),"")</f>
        <v>573</v>
      </c>
      <c r="C573" s="13">
        <f t="shared" si="75"/>
        <v>0</v>
      </c>
      <c r="D573" s="84" t="str">
        <f t="shared" si="76"/>
        <v/>
      </c>
      <c r="E573" s="18"/>
      <c r="F573" s="174"/>
      <c r="G573" s="175"/>
      <c r="H573" s="195"/>
      <c r="I573" s="196"/>
      <c r="J573" s="196"/>
      <c r="K573" s="196"/>
      <c r="L573" s="174"/>
      <c r="M573" s="178"/>
      <c r="N573" s="179"/>
      <c r="O573" s="179" t="s">
        <v>227</v>
      </c>
    </row>
    <row r="574" spans="1:15" x14ac:dyDescent="0.15">
      <c r="A574" s="18"/>
      <c r="B5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574)),ROW(),"")</f>
        <v>574</v>
      </c>
      <c r="C574" s="13">
        <f t="shared" si="75"/>
        <v>0</v>
      </c>
      <c r="D574" s="84" t="str">
        <f t="shared" si="76"/>
        <v/>
      </c>
      <c r="E574" s="18"/>
      <c r="F574" s="174"/>
      <c r="G574" s="175"/>
      <c r="H574" s="195"/>
      <c r="I574" s="196"/>
      <c r="J574" s="196"/>
      <c r="K574" s="196"/>
      <c r="L574" s="174"/>
      <c r="M574" s="178"/>
      <c r="N574" s="179"/>
      <c r="O574" s="179" t="s">
        <v>227</v>
      </c>
    </row>
    <row r="575" spans="1:15" x14ac:dyDescent="0.15">
      <c r="A575" s="18"/>
      <c r="B5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575)),ROW(),"")</f>
        <v>575</v>
      </c>
      <c r="C575" s="13">
        <f t="shared" si="75"/>
        <v>0</v>
      </c>
      <c r="D575" s="84" t="str">
        <f t="shared" si="76"/>
        <v/>
      </c>
      <c r="E575" s="18"/>
      <c r="F575" s="174"/>
      <c r="G575" s="175"/>
      <c r="H575" s="195"/>
      <c r="I575" s="196"/>
      <c r="J575" s="196"/>
      <c r="K575" s="196"/>
      <c r="L575" s="174"/>
      <c r="M575" s="178"/>
      <c r="N575" s="179"/>
      <c r="O575" s="179" t="s">
        <v>227</v>
      </c>
    </row>
    <row r="576" spans="1:15" x14ac:dyDescent="0.15">
      <c r="A576" s="18"/>
      <c r="B5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576)),ROW(),"")</f>
        <v>576</v>
      </c>
      <c r="C576" s="13">
        <f t="shared" si="75"/>
        <v>0</v>
      </c>
      <c r="D576" s="84" t="str">
        <f t="shared" si="76"/>
        <v/>
      </c>
      <c r="E576" s="18"/>
      <c r="F576" s="174"/>
      <c r="G576" s="175"/>
      <c r="H576" s="195"/>
      <c r="I576" s="196"/>
      <c r="J576" s="196"/>
      <c r="K576" s="196"/>
      <c r="L576" s="174"/>
      <c r="M576" s="178"/>
      <c r="N576" s="179"/>
      <c r="O576" s="179" t="s">
        <v>227</v>
      </c>
    </row>
    <row r="577" spans="1:15" x14ac:dyDescent="0.15">
      <c r="A577" s="18"/>
      <c r="B5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577)),ROW(),"")</f>
        <v>577</v>
      </c>
      <c r="C577" s="13">
        <f t="shared" si="75"/>
        <v>0</v>
      </c>
      <c r="D577" s="84" t="str">
        <f t="shared" si="76"/>
        <v/>
      </c>
      <c r="E577" s="18"/>
      <c r="F577" s="174"/>
      <c r="G577" s="175"/>
      <c r="H577" s="195"/>
      <c r="I577" s="196"/>
      <c r="J577" s="196"/>
      <c r="K577" s="196"/>
      <c r="L577" s="174"/>
      <c r="M577" s="178"/>
      <c r="N577" s="179"/>
      <c r="O577" s="179" t="s">
        <v>227</v>
      </c>
    </row>
    <row r="578" spans="1:15" x14ac:dyDescent="0.15">
      <c r="A578" s="18"/>
      <c r="B5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578)),ROW(),"")</f>
        <v>578</v>
      </c>
      <c r="C578" s="13">
        <f t="shared" si="75"/>
        <v>0</v>
      </c>
      <c r="D578" s="84" t="str">
        <f t="shared" si="76"/>
        <v/>
      </c>
      <c r="E578" s="18"/>
      <c r="F578" s="174"/>
      <c r="G578" s="175"/>
      <c r="H578" s="195"/>
      <c r="I578" s="196"/>
      <c r="J578" s="196"/>
      <c r="K578" s="196"/>
      <c r="L578" s="174"/>
      <c r="M578" s="178"/>
      <c r="N578" s="179"/>
      <c r="O578" s="179" t="s">
        <v>227</v>
      </c>
    </row>
    <row r="579" spans="1:15" x14ac:dyDescent="0.15">
      <c r="A579" s="18"/>
      <c r="B5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579)),ROW(),"")</f>
        <v>579</v>
      </c>
      <c r="C579" s="13">
        <f t="shared" si="75"/>
        <v>0</v>
      </c>
      <c r="D579" s="84" t="str">
        <f t="shared" si="76"/>
        <v/>
      </c>
      <c r="E579" s="18"/>
      <c r="F579" s="174"/>
      <c r="G579" s="175"/>
      <c r="H579" s="195"/>
      <c r="I579" s="196"/>
      <c r="J579" s="196"/>
      <c r="K579" s="196"/>
      <c r="L579" s="174"/>
      <c r="M579" s="178"/>
      <c r="N579" s="179"/>
      <c r="O579" s="179" t="s">
        <v>227</v>
      </c>
    </row>
    <row r="580" spans="1:15" x14ac:dyDescent="0.15">
      <c r="A580" s="18"/>
      <c r="B5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580)),ROW(),"")</f>
        <v>580</v>
      </c>
      <c r="C580" s="13">
        <f t="shared" si="75"/>
        <v>0</v>
      </c>
      <c r="D580" s="84" t="str">
        <f t="shared" si="76"/>
        <v/>
      </c>
      <c r="E580" s="18"/>
      <c r="F580" s="174"/>
      <c r="G580" s="175"/>
      <c r="H580" s="195"/>
      <c r="I580" s="196"/>
      <c r="J580" s="196"/>
      <c r="K580" s="196"/>
      <c r="L580" s="174"/>
      <c r="M580" s="178"/>
      <c r="N580" s="179"/>
      <c r="O580" s="179" t="s">
        <v>227</v>
      </c>
    </row>
    <row r="581" spans="1:15" x14ac:dyDescent="0.15">
      <c r="A581" s="18"/>
      <c r="B5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581)),ROW(),"")</f>
        <v>581</v>
      </c>
      <c r="C581" s="13">
        <f t="shared" si="75"/>
        <v>0</v>
      </c>
      <c r="D581" s="84" t="str">
        <f t="shared" si="76"/>
        <v/>
      </c>
      <c r="E581" s="18"/>
      <c r="F581" s="174"/>
      <c r="G581" s="175"/>
      <c r="H581" s="195"/>
      <c r="I581" s="196"/>
      <c r="J581" s="196"/>
      <c r="K581" s="196"/>
      <c r="L581" s="174"/>
      <c r="M581" s="178"/>
      <c r="N581" s="179"/>
      <c r="O581" s="179" t="s">
        <v>227</v>
      </c>
    </row>
    <row r="582" spans="1:15" x14ac:dyDescent="0.15">
      <c r="A582" s="18"/>
      <c r="B5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582)),ROW(),"")</f>
        <v>582</v>
      </c>
      <c r="C582" s="13">
        <f t="shared" si="75"/>
        <v>0</v>
      </c>
      <c r="D582" s="84" t="str">
        <f t="shared" si="76"/>
        <v/>
      </c>
      <c r="E582" s="18"/>
      <c r="F582" s="174"/>
      <c r="G582" s="175"/>
      <c r="H582" s="195"/>
      <c r="I582" s="196"/>
      <c r="J582" s="196"/>
      <c r="K582" s="196"/>
      <c r="L582" s="174"/>
      <c r="M582" s="178"/>
      <c r="N582" s="179"/>
      <c r="O582" s="179" t="s">
        <v>227</v>
      </c>
    </row>
    <row r="583" spans="1:15" x14ac:dyDescent="0.15">
      <c r="A583" s="18"/>
      <c r="B5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583)),ROW(),"")</f>
        <v>583</v>
      </c>
      <c r="C583" s="13">
        <f t="shared" si="75"/>
        <v>0</v>
      </c>
      <c r="D583" s="84" t="str">
        <f t="shared" si="76"/>
        <v/>
      </c>
      <c r="E583" s="18"/>
      <c r="F583" s="174"/>
      <c r="G583" s="175"/>
      <c r="H583" s="195"/>
      <c r="I583" s="196"/>
      <c r="J583" s="196"/>
      <c r="K583" s="196"/>
      <c r="L583" s="174"/>
      <c r="M583" s="178"/>
      <c r="N583" s="179"/>
      <c r="O583" s="179" t="s">
        <v>227</v>
      </c>
    </row>
    <row r="584" spans="1:15" x14ac:dyDescent="0.15">
      <c r="A584" s="18"/>
      <c r="B5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584)),ROW(),"")</f>
        <v>584</v>
      </c>
      <c r="C584" s="13">
        <f t="shared" si="75"/>
        <v>0</v>
      </c>
      <c r="D584" s="84" t="str">
        <f t="shared" si="76"/>
        <v/>
      </c>
      <c r="E584" s="18"/>
      <c r="F584" s="174"/>
      <c r="G584" s="175"/>
      <c r="H584" s="195"/>
      <c r="I584" s="196"/>
      <c r="J584" s="196"/>
      <c r="K584" s="196"/>
      <c r="L584" s="174"/>
      <c r="M584" s="178"/>
      <c r="N584" s="179"/>
      <c r="O584" s="179" t="s">
        <v>227</v>
      </c>
    </row>
    <row r="585" spans="1:15" x14ac:dyDescent="0.15">
      <c r="A585" s="18"/>
      <c r="B5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585)),ROW(),"")</f>
        <v>585</v>
      </c>
      <c r="C585" s="13">
        <f t="shared" si="75"/>
        <v>0</v>
      </c>
      <c r="D585" s="84" t="str">
        <f t="shared" si="76"/>
        <v/>
      </c>
      <c r="E585" s="18"/>
      <c r="F585" s="174"/>
      <c r="G585" s="175"/>
      <c r="H585" s="195"/>
      <c r="I585" s="196"/>
      <c r="J585" s="196"/>
      <c r="K585" s="196"/>
      <c r="L585" s="174"/>
      <c r="M585" s="178"/>
      <c r="N585" s="179"/>
      <c r="O585" s="179" t="s">
        <v>227</v>
      </c>
    </row>
    <row r="586" spans="1:15" x14ac:dyDescent="0.15">
      <c r="A586" s="18"/>
      <c r="B5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586)),ROW(),"")</f>
        <v>586</v>
      </c>
      <c r="C586" s="13">
        <f t="shared" si="75"/>
        <v>0</v>
      </c>
      <c r="D586" s="84" t="str">
        <f t="shared" si="76"/>
        <v/>
      </c>
      <c r="E586" s="18"/>
      <c r="F586" s="174"/>
      <c r="G586" s="175"/>
      <c r="H586" s="195"/>
      <c r="I586" s="196"/>
      <c r="J586" s="196"/>
      <c r="K586" s="196"/>
      <c r="L586" s="174"/>
      <c r="M586" s="178"/>
      <c r="N586" s="179"/>
      <c r="O586" s="179" t="s">
        <v>227</v>
      </c>
    </row>
    <row r="587" spans="1:15" x14ac:dyDescent="0.15">
      <c r="A587" s="18"/>
      <c r="B5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587)),ROW(),"")</f>
        <v>587</v>
      </c>
      <c r="C587" s="13">
        <f t="shared" si="75"/>
        <v>0</v>
      </c>
      <c r="D587" s="84" t="str">
        <f t="shared" si="76"/>
        <v/>
      </c>
      <c r="E587" s="18"/>
      <c r="F587" s="174"/>
      <c r="G587" s="175"/>
      <c r="H587" s="195"/>
      <c r="I587" s="196"/>
      <c r="J587" s="196"/>
      <c r="K587" s="196"/>
      <c r="L587" s="174"/>
      <c r="M587" s="178"/>
      <c r="N587" s="179"/>
      <c r="O587" s="179" t="s">
        <v>227</v>
      </c>
    </row>
    <row r="588" spans="1:15" x14ac:dyDescent="0.15">
      <c r="A588" s="18"/>
      <c r="B5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588)),ROW(),"")</f>
        <v>588</v>
      </c>
      <c r="C588" s="13">
        <f t="shared" si="75"/>
        <v>0</v>
      </c>
      <c r="D588" s="84" t="str">
        <f t="shared" si="76"/>
        <v/>
      </c>
      <c r="E588" s="18"/>
      <c r="F588" s="174"/>
      <c r="G588" s="175"/>
      <c r="H588" s="195"/>
      <c r="I588" s="196"/>
      <c r="J588" s="196"/>
      <c r="K588" s="196"/>
      <c r="L588" s="174"/>
      <c r="M588" s="178"/>
      <c r="N588" s="179"/>
      <c r="O588" s="179" t="s">
        <v>227</v>
      </c>
    </row>
    <row r="589" spans="1:15" x14ac:dyDescent="0.15">
      <c r="A589" s="18"/>
      <c r="B5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589)),ROW(),"")</f>
        <v>589</v>
      </c>
      <c r="C589" s="13">
        <f t="shared" si="75"/>
        <v>0</v>
      </c>
      <c r="D589" s="84" t="str">
        <f t="shared" si="76"/>
        <v/>
      </c>
      <c r="E589" s="18"/>
      <c r="F589" s="174"/>
      <c r="G589" s="175"/>
      <c r="H589" s="195"/>
      <c r="I589" s="196"/>
      <c r="J589" s="196"/>
      <c r="K589" s="196"/>
      <c r="L589" s="174"/>
      <c r="M589" s="178"/>
      <c r="N589" s="179"/>
      <c r="O589" s="179" t="s">
        <v>227</v>
      </c>
    </row>
    <row r="590" spans="1:15" x14ac:dyDescent="0.15">
      <c r="A590" s="18"/>
      <c r="B5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590)),ROW(),"")</f>
        <v>590</v>
      </c>
      <c r="C590" s="13">
        <f t="shared" si="75"/>
        <v>0</v>
      </c>
      <c r="D590" s="84" t="str">
        <f t="shared" si="76"/>
        <v/>
      </c>
      <c r="E590" s="18"/>
      <c r="F590" s="174"/>
      <c r="G590" s="175"/>
      <c r="H590" s="195"/>
      <c r="I590" s="196"/>
      <c r="J590" s="196"/>
      <c r="K590" s="196"/>
      <c r="L590" s="174"/>
      <c r="M590" s="178"/>
      <c r="N590" s="179"/>
      <c r="O590" s="179" t="s">
        <v>227</v>
      </c>
    </row>
    <row r="591" spans="1:15" x14ac:dyDescent="0.15">
      <c r="A591" s="18"/>
      <c r="B5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591)),ROW(),"")</f>
        <v>591</v>
      </c>
      <c r="C591" s="13">
        <f t="shared" si="75"/>
        <v>0</v>
      </c>
      <c r="D591" s="84" t="str">
        <f t="shared" si="76"/>
        <v/>
      </c>
      <c r="E591" s="18"/>
      <c r="F591" s="174"/>
      <c r="G591" s="175"/>
      <c r="H591" s="195"/>
      <c r="I591" s="196"/>
      <c r="J591" s="196"/>
      <c r="K591" s="196"/>
      <c r="L591" s="174"/>
      <c r="M591" s="178"/>
      <c r="N591" s="179"/>
      <c r="O591" s="179" t="s">
        <v>227</v>
      </c>
    </row>
    <row r="592" spans="1:15" x14ac:dyDescent="0.15">
      <c r="A592" s="18"/>
      <c r="B5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592)),ROW(),"")</f>
        <v>592</v>
      </c>
      <c r="C592" s="13">
        <f t="shared" si="75"/>
        <v>0</v>
      </c>
      <c r="D592" s="84" t="str">
        <f t="shared" si="76"/>
        <v/>
      </c>
      <c r="E592" s="18"/>
      <c r="F592" s="174"/>
      <c r="G592" s="175"/>
      <c r="H592" s="195"/>
      <c r="I592" s="196"/>
      <c r="J592" s="196"/>
      <c r="K592" s="196"/>
      <c r="L592" s="174"/>
      <c r="M592" s="178"/>
      <c r="N592" s="179"/>
      <c r="O592" s="179" t="s">
        <v>227</v>
      </c>
    </row>
    <row r="593" spans="1:15" x14ac:dyDescent="0.15">
      <c r="A593" s="18"/>
      <c r="B5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593)),ROW(),"")</f>
        <v>593</v>
      </c>
      <c r="C593" s="13">
        <f t="shared" si="75"/>
        <v>0</v>
      </c>
      <c r="D593" s="84" t="str">
        <f t="shared" si="76"/>
        <v/>
      </c>
      <c r="E593" s="18"/>
      <c r="F593" s="174"/>
      <c r="G593" s="175"/>
      <c r="H593" s="195"/>
      <c r="I593" s="196"/>
      <c r="J593" s="196"/>
      <c r="K593" s="196"/>
      <c r="L593" s="174"/>
      <c r="M593" s="178"/>
      <c r="N593" s="179"/>
      <c r="O593" s="179" t="s">
        <v>227</v>
      </c>
    </row>
    <row r="594" spans="1:15" x14ac:dyDescent="0.15">
      <c r="A594" s="18"/>
      <c r="B5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594)),ROW(),"")</f>
        <v>594</v>
      </c>
      <c r="C594" s="13">
        <f t="shared" si="75"/>
        <v>0</v>
      </c>
      <c r="D594" s="84" t="str">
        <f t="shared" si="76"/>
        <v/>
      </c>
      <c r="E594" s="18"/>
      <c r="F594" s="174"/>
      <c r="G594" s="175"/>
      <c r="H594" s="195"/>
      <c r="I594" s="196"/>
      <c r="J594" s="196"/>
      <c r="K594" s="196"/>
      <c r="L594" s="174"/>
      <c r="M594" s="178"/>
      <c r="N594" s="179"/>
      <c r="O594" s="179" t="s">
        <v>227</v>
      </c>
    </row>
    <row r="595" spans="1:15" x14ac:dyDescent="0.15">
      <c r="A595" s="18"/>
      <c r="B5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595)),ROW(),"")</f>
        <v>595</v>
      </c>
      <c r="C595" s="13">
        <f t="shared" si="75"/>
        <v>0</v>
      </c>
      <c r="D595" s="84" t="str">
        <f t="shared" si="76"/>
        <v/>
      </c>
      <c r="E595" s="18"/>
      <c r="F595" s="174"/>
      <c r="G595" s="175"/>
      <c r="H595" s="195"/>
      <c r="I595" s="196"/>
      <c r="J595" s="196"/>
      <c r="K595" s="196"/>
      <c r="L595" s="174"/>
      <c r="M595" s="178"/>
      <c r="N595" s="179"/>
      <c r="O595" s="179" t="s">
        <v>227</v>
      </c>
    </row>
    <row r="596" spans="1:15" x14ac:dyDescent="0.15">
      <c r="A596" s="18"/>
      <c r="B5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596)),ROW(),"")</f>
        <v>596</v>
      </c>
      <c r="C596" s="13">
        <f t="shared" si="75"/>
        <v>0</v>
      </c>
      <c r="D596" s="84" t="str">
        <f t="shared" si="76"/>
        <v/>
      </c>
      <c r="E596" s="18"/>
      <c r="F596" s="174"/>
      <c r="G596" s="175"/>
      <c r="H596" s="195"/>
      <c r="I596" s="196"/>
      <c r="J596" s="196"/>
      <c r="K596" s="196"/>
      <c r="L596" s="174"/>
      <c r="M596" s="178"/>
      <c r="N596" s="179"/>
      <c r="O596" s="179" t="s">
        <v>227</v>
      </c>
    </row>
    <row r="597" spans="1:15" x14ac:dyDescent="0.15">
      <c r="A597" s="18"/>
      <c r="B5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597)),ROW(),"")</f>
        <v>597</v>
      </c>
      <c r="C597" s="13">
        <f t="shared" si="75"/>
        <v>0</v>
      </c>
      <c r="D597" s="84" t="str">
        <f t="shared" si="76"/>
        <v/>
      </c>
      <c r="E597" s="18"/>
      <c r="F597" s="174"/>
      <c r="G597" s="175"/>
      <c r="H597" s="195"/>
      <c r="I597" s="196"/>
      <c r="J597" s="196"/>
      <c r="K597" s="196"/>
      <c r="L597" s="174"/>
      <c r="M597" s="178"/>
      <c r="N597" s="179"/>
      <c r="O597" s="179" t="s">
        <v>227</v>
      </c>
    </row>
    <row r="598" spans="1:15" x14ac:dyDescent="0.15">
      <c r="A598" s="18"/>
      <c r="B5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598)),ROW(),"")</f>
        <v>598</v>
      </c>
      <c r="C598" s="13">
        <f t="shared" si="75"/>
        <v>0</v>
      </c>
      <c r="D598" s="84" t="str">
        <f t="shared" si="76"/>
        <v/>
      </c>
      <c r="E598" s="18"/>
      <c r="F598" s="174"/>
      <c r="G598" s="175"/>
      <c r="H598" s="195"/>
      <c r="I598" s="196"/>
      <c r="J598" s="196"/>
      <c r="K598" s="196"/>
      <c r="L598" s="174"/>
      <c r="M598" s="178"/>
      <c r="N598" s="179"/>
      <c r="O598" s="179" t="s">
        <v>227</v>
      </c>
    </row>
    <row r="599" spans="1:15" x14ac:dyDescent="0.15">
      <c r="A599" s="18"/>
      <c r="B5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599)),ROW(),"")</f>
        <v>599</v>
      </c>
      <c r="C599" s="13">
        <f t="shared" si="75"/>
        <v>0</v>
      </c>
      <c r="D599" s="84" t="str">
        <f t="shared" si="76"/>
        <v/>
      </c>
      <c r="E599" s="18"/>
      <c r="F599" s="174"/>
      <c r="G599" s="175"/>
      <c r="H599" s="195"/>
      <c r="I599" s="196"/>
      <c r="J599" s="196"/>
      <c r="K599" s="196"/>
      <c r="L599" s="174"/>
      <c r="M599" s="178"/>
      <c r="N599" s="179"/>
      <c r="O599" s="179" t="s">
        <v>227</v>
      </c>
    </row>
    <row r="600" spans="1:15" x14ac:dyDescent="0.15">
      <c r="A600" s="18"/>
      <c r="B6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600)),ROW(),"")</f>
        <v>600</v>
      </c>
      <c r="C600" s="13">
        <f t="shared" si="75"/>
        <v>0</v>
      </c>
      <c r="D600" s="84" t="str">
        <f t="shared" si="76"/>
        <v/>
      </c>
      <c r="E600" s="18"/>
      <c r="F600" s="174"/>
      <c r="G600" s="175"/>
      <c r="H600" s="195"/>
      <c r="I600" s="196"/>
      <c r="J600" s="196"/>
      <c r="K600" s="196"/>
      <c r="L600" s="174"/>
      <c r="M600" s="178"/>
      <c r="N600" s="179"/>
      <c r="O600" s="179" t="s">
        <v>227</v>
      </c>
    </row>
    <row r="601" spans="1:15" x14ac:dyDescent="0.15">
      <c r="A601" s="18"/>
      <c r="B6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601)),ROW(),"")</f>
        <v>601</v>
      </c>
      <c r="C601" s="13">
        <f t="shared" si="75"/>
        <v>0</v>
      </c>
      <c r="D601" s="84" t="str">
        <f t="shared" si="76"/>
        <v/>
      </c>
      <c r="E601" s="18"/>
      <c r="F601" s="174"/>
      <c r="G601" s="175"/>
      <c r="H601" s="195"/>
      <c r="I601" s="196"/>
      <c r="J601" s="196"/>
      <c r="K601" s="196"/>
      <c r="L601" s="174"/>
      <c r="M601" s="178"/>
      <c r="N601" s="179"/>
      <c r="O601" s="179" t="s">
        <v>227</v>
      </c>
    </row>
    <row r="602" spans="1:15" x14ac:dyDescent="0.15">
      <c r="A602" s="18"/>
      <c r="B6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602)),ROW(),"")</f>
        <v>602</v>
      </c>
      <c r="C602" s="13">
        <f t="shared" si="75"/>
        <v>0</v>
      </c>
      <c r="D602" s="84" t="str">
        <f t="shared" si="76"/>
        <v/>
      </c>
      <c r="E602" s="18"/>
      <c r="F602" s="174"/>
      <c r="G602" s="175"/>
      <c r="H602" s="195"/>
      <c r="I602" s="196"/>
      <c r="J602" s="196"/>
      <c r="K602" s="196"/>
      <c r="L602" s="174"/>
      <c r="M602" s="178"/>
      <c r="N602" s="179"/>
      <c r="O602" s="179" t="s">
        <v>227</v>
      </c>
    </row>
    <row r="603" spans="1:15" x14ac:dyDescent="0.15">
      <c r="A603" s="18"/>
      <c r="B6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603)),ROW(),"")</f>
        <v>603</v>
      </c>
      <c r="C603" s="13">
        <f t="shared" si="75"/>
        <v>0</v>
      </c>
      <c r="D603" s="84" t="str">
        <f t="shared" si="76"/>
        <v/>
      </c>
      <c r="E603" s="18"/>
      <c r="F603" s="174"/>
      <c r="G603" s="175"/>
      <c r="H603" s="195"/>
      <c r="I603" s="196"/>
      <c r="J603" s="196"/>
      <c r="K603" s="196"/>
      <c r="L603" s="174"/>
      <c r="M603" s="178"/>
      <c r="N603" s="179"/>
      <c r="O603" s="179" t="s">
        <v>227</v>
      </c>
    </row>
    <row r="604" spans="1:15" x14ac:dyDescent="0.15">
      <c r="A604" s="18"/>
      <c r="B6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604)),ROW(),"")</f>
        <v>604</v>
      </c>
      <c r="C604" s="13">
        <f t="shared" si="75"/>
        <v>0</v>
      </c>
      <c r="D604" s="84" t="str">
        <f t="shared" si="76"/>
        <v/>
      </c>
      <c r="E604" s="18"/>
      <c r="F604" s="174"/>
      <c r="G604" s="175"/>
      <c r="H604" s="195"/>
      <c r="I604" s="196"/>
      <c r="J604" s="196"/>
      <c r="K604" s="196"/>
      <c r="L604" s="174"/>
      <c r="M604" s="178"/>
      <c r="N604" s="179"/>
      <c r="O604" s="179" t="s">
        <v>227</v>
      </c>
    </row>
    <row r="605" spans="1:15" x14ac:dyDescent="0.15">
      <c r="A605" s="18"/>
      <c r="B6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605)),ROW(),"")</f>
        <v>605</v>
      </c>
      <c r="C605" s="13">
        <f t="shared" si="75"/>
        <v>0</v>
      </c>
      <c r="D605" s="84" t="str">
        <f t="shared" si="76"/>
        <v/>
      </c>
      <c r="E605" s="18"/>
      <c r="F605" s="174"/>
      <c r="G605" s="175"/>
      <c r="H605" s="195"/>
      <c r="I605" s="196"/>
      <c r="J605" s="196"/>
      <c r="K605" s="196"/>
      <c r="L605" s="174"/>
      <c r="M605" s="178"/>
      <c r="N605" s="179"/>
      <c r="O605" s="179" t="s">
        <v>227</v>
      </c>
    </row>
    <row r="606" spans="1:15" x14ac:dyDescent="0.15">
      <c r="A606" s="18"/>
      <c r="B6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606)),ROW(),"")</f>
        <v>606</v>
      </c>
      <c r="C606" s="13">
        <f t="shared" si="75"/>
        <v>0</v>
      </c>
      <c r="D606" s="84" t="str">
        <f t="shared" si="76"/>
        <v/>
      </c>
      <c r="E606" s="18"/>
      <c r="F606" s="174"/>
      <c r="G606" s="175"/>
      <c r="H606" s="195"/>
      <c r="I606" s="196"/>
      <c r="J606" s="196"/>
      <c r="K606" s="196"/>
      <c r="L606" s="174"/>
      <c r="M606" s="178"/>
      <c r="N606" s="179"/>
      <c r="O606" s="179" t="s">
        <v>227</v>
      </c>
    </row>
    <row r="607" spans="1:15" x14ac:dyDescent="0.15">
      <c r="A607" s="18"/>
      <c r="B6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607)),ROW(),"")</f>
        <v>607</v>
      </c>
      <c r="C607" s="13">
        <f t="shared" si="75"/>
        <v>0</v>
      </c>
      <c r="D607" s="84" t="str">
        <f t="shared" si="76"/>
        <v/>
      </c>
      <c r="E607" s="18"/>
      <c r="F607" s="174"/>
      <c r="G607" s="175"/>
      <c r="H607" s="195"/>
      <c r="I607" s="196"/>
      <c r="J607" s="196"/>
      <c r="K607" s="196"/>
      <c r="L607" s="174"/>
      <c r="M607" s="178"/>
      <c r="N607" s="179"/>
      <c r="O607" s="179" t="s">
        <v>227</v>
      </c>
    </row>
    <row r="608" spans="1:15" x14ac:dyDescent="0.15">
      <c r="A608" s="18"/>
      <c r="B6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608)),ROW(),"")</f>
        <v>608</v>
      </c>
      <c r="C608" s="13">
        <f t="shared" si="75"/>
        <v>0</v>
      </c>
      <c r="D608" s="84" t="str">
        <f t="shared" si="76"/>
        <v/>
      </c>
      <c r="E608" s="18"/>
      <c r="F608" s="174"/>
      <c r="G608" s="175"/>
      <c r="H608" s="195"/>
      <c r="I608" s="196"/>
      <c r="J608" s="196"/>
      <c r="K608" s="196"/>
      <c r="L608" s="174"/>
      <c r="M608" s="178"/>
      <c r="N608" s="179"/>
      <c r="O608" s="179" t="s">
        <v>227</v>
      </c>
    </row>
    <row r="609" spans="1:15" x14ac:dyDescent="0.15">
      <c r="A609" s="18"/>
      <c r="B6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609)),ROW(),"")</f>
        <v>609</v>
      </c>
      <c r="C609" s="13">
        <f t="shared" si="75"/>
        <v>0</v>
      </c>
      <c r="D609" s="84" t="str">
        <f t="shared" si="76"/>
        <v/>
      </c>
      <c r="E609" s="18"/>
      <c r="F609" s="174"/>
      <c r="G609" s="175"/>
      <c r="H609" s="195"/>
      <c r="I609" s="196"/>
      <c r="J609" s="196"/>
      <c r="K609" s="196"/>
      <c r="L609" s="174"/>
      <c r="M609" s="178"/>
      <c r="N609" s="179"/>
      <c r="O609" s="179" t="s">
        <v>227</v>
      </c>
    </row>
    <row r="610" spans="1:15" x14ac:dyDescent="0.15">
      <c r="A610" s="18"/>
      <c r="B6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610)),ROW(),"")</f>
        <v>610</v>
      </c>
      <c r="C610" s="13">
        <f t="shared" si="75"/>
        <v>0</v>
      </c>
      <c r="D610" s="84" t="str">
        <f t="shared" si="76"/>
        <v/>
      </c>
      <c r="E610" s="18"/>
      <c r="F610" s="174"/>
      <c r="G610" s="175"/>
      <c r="H610" s="195"/>
      <c r="I610" s="196"/>
      <c r="J610" s="196"/>
      <c r="K610" s="196"/>
      <c r="L610" s="174"/>
      <c r="M610" s="178"/>
      <c r="N610" s="179"/>
      <c r="O610" s="179" t="s">
        <v>227</v>
      </c>
    </row>
    <row r="611" spans="1:15" x14ac:dyDescent="0.15">
      <c r="A611" s="18"/>
      <c r="B6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611)),ROW(),"")</f>
        <v>611</v>
      </c>
      <c r="C611" s="13">
        <f t="shared" si="75"/>
        <v>0</v>
      </c>
      <c r="D611" s="84" t="str">
        <f t="shared" si="76"/>
        <v/>
      </c>
      <c r="E611" s="18"/>
      <c r="F611" s="174"/>
      <c r="G611" s="175"/>
      <c r="H611" s="195"/>
      <c r="I611" s="196"/>
      <c r="J611" s="196"/>
      <c r="K611" s="196"/>
      <c r="L611" s="174"/>
      <c r="M611" s="178"/>
      <c r="N611" s="179"/>
      <c r="O611" s="179" t="s">
        <v>227</v>
      </c>
    </row>
    <row r="612" spans="1:15" x14ac:dyDescent="0.15">
      <c r="A612" s="18"/>
      <c r="B6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612)),ROW(),"")</f>
        <v>612</v>
      </c>
      <c r="C612" s="13">
        <f t="shared" si="75"/>
        <v>0</v>
      </c>
      <c r="D612" s="84" t="str">
        <f t="shared" si="76"/>
        <v/>
      </c>
      <c r="E612" s="18"/>
      <c r="F612" s="174"/>
      <c r="G612" s="175"/>
      <c r="H612" s="195"/>
      <c r="I612" s="196"/>
      <c r="J612" s="196"/>
      <c r="K612" s="196"/>
      <c r="L612" s="174"/>
      <c r="M612" s="178"/>
      <c r="N612" s="179"/>
      <c r="O612" s="179" t="s">
        <v>227</v>
      </c>
    </row>
    <row r="613" spans="1:15" x14ac:dyDescent="0.15">
      <c r="A613" s="18"/>
      <c r="B6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613)),ROW(),"")</f>
        <v>613</v>
      </c>
      <c r="C613" s="13">
        <f t="shared" si="75"/>
        <v>0</v>
      </c>
      <c r="D613" s="84" t="str">
        <f t="shared" si="76"/>
        <v/>
      </c>
      <c r="E613" s="18"/>
      <c r="F613" s="174"/>
      <c r="G613" s="175"/>
      <c r="H613" s="195"/>
      <c r="I613" s="196"/>
      <c r="J613" s="196"/>
      <c r="K613" s="196"/>
      <c r="L613" s="174"/>
      <c r="M613" s="178"/>
      <c r="N613" s="179"/>
      <c r="O613" s="179" t="s">
        <v>227</v>
      </c>
    </row>
    <row r="614" spans="1:15" x14ac:dyDescent="0.15">
      <c r="A614" s="18"/>
      <c r="B6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614)),ROW(),"")</f>
        <v>614</v>
      </c>
      <c r="C614" s="13">
        <f t="shared" si="75"/>
        <v>0</v>
      </c>
      <c r="D614" s="84" t="str">
        <f t="shared" si="76"/>
        <v/>
      </c>
      <c r="E614" s="18"/>
      <c r="F614" s="174"/>
      <c r="G614" s="175"/>
      <c r="H614" s="195"/>
      <c r="I614" s="196"/>
      <c r="J614" s="196"/>
      <c r="K614" s="196"/>
      <c r="L614" s="174"/>
      <c r="M614" s="178"/>
      <c r="N614" s="179"/>
      <c r="O614" s="179" t="s">
        <v>227</v>
      </c>
    </row>
    <row r="615" spans="1:15" x14ac:dyDescent="0.15">
      <c r="A615" s="18"/>
      <c r="B6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615)),ROW(),"")</f>
        <v>615</v>
      </c>
      <c r="C615" s="13">
        <f t="shared" si="75"/>
        <v>0</v>
      </c>
      <c r="D615" s="84" t="str">
        <f t="shared" si="76"/>
        <v/>
      </c>
      <c r="E615" s="18"/>
      <c r="F615" s="174"/>
      <c r="G615" s="175"/>
      <c r="H615" s="195"/>
      <c r="I615" s="196"/>
      <c r="J615" s="196"/>
      <c r="K615" s="196"/>
      <c r="L615" s="174"/>
      <c r="M615" s="178"/>
      <c r="N615" s="179"/>
      <c r="O615" s="179" t="s">
        <v>227</v>
      </c>
    </row>
    <row r="616" spans="1:15" x14ac:dyDescent="0.15">
      <c r="A616" s="18"/>
      <c r="B6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616)),ROW(),"")</f>
        <v>616</v>
      </c>
      <c r="C616" s="13">
        <f t="shared" si="75"/>
        <v>0</v>
      </c>
      <c r="D616" s="84" t="str">
        <f t="shared" si="76"/>
        <v/>
      </c>
      <c r="E616" s="18"/>
      <c r="F616" s="174"/>
      <c r="G616" s="175"/>
      <c r="H616" s="195"/>
      <c r="I616" s="196"/>
      <c r="J616" s="196"/>
      <c r="K616" s="196"/>
      <c r="L616" s="174"/>
      <c r="M616" s="178"/>
      <c r="N616" s="179"/>
      <c r="O616" s="179" t="s">
        <v>227</v>
      </c>
    </row>
    <row r="617" spans="1:15" x14ac:dyDescent="0.15">
      <c r="A617" s="18"/>
      <c r="B6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617)),ROW(),"")</f>
        <v>617</v>
      </c>
      <c r="C617" s="13">
        <f t="shared" si="75"/>
        <v>0</v>
      </c>
      <c r="D617" s="84" t="str">
        <f t="shared" si="76"/>
        <v/>
      </c>
      <c r="E617" s="18"/>
      <c r="F617" s="174"/>
      <c r="G617" s="175"/>
      <c r="H617" s="195"/>
      <c r="I617" s="196"/>
      <c r="J617" s="196"/>
      <c r="K617" s="196"/>
      <c r="L617" s="174"/>
      <c r="M617" s="178"/>
      <c r="N617" s="179"/>
      <c r="O617" s="179" t="s">
        <v>227</v>
      </c>
    </row>
    <row r="618" spans="1:15" x14ac:dyDescent="0.15">
      <c r="A618" s="18"/>
      <c r="B6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618)),ROW(),"")</f>
        <v>618</v>
      </c>
      <c r="C618" s="13">
        <f t="shared" si="75"/>
        <v>0</v>
      </c>
      <c r="D618" s="84" t="str">
        <f t="shared" si="76"/>
        <v/>
      </c>
      <c r="E618" s="18"/>
      <c r="F618" s="174"/>
      <c r="G618" s="175"/>
      <c r="H618" s="195"/>
      <c r="I618" s="196"/>
      <c r="J618" s="196"/>
      <c r="K618" s="196"/>
      <c r="L618" s="174"/>
      <c r="M618" s="178"/>
      <c r="N618" s="179"/>
      <c r="O618" s="179" t="s">
        <v>227</v>
      </c>
    </row>
    <row r="619" spans="1:15" x14ac:dyDescent="0.15">
      <c r="A619" s="18"/>
      <c r="B6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619)),ROW(),"")</f>
        <v>619</v>
      </c>
      <c r="C619" s="13">
        <f t="shared" si="75"/>
        <v>0</v>
      </c>
      <c r="D619" s="84" t="str">
        <f t="shared" si="76"/>
        <v/>
      </c>
      <c r="E619" s="18"/>
      <c r="F619" s="174"/>
      <c r="G619" s="175"/>
      <c r="H619" s="195"/>
      <c r="I619" s="196"/>
      <c r="J619" s="196"/>
      <c r="K619" s="196"/>
      <c r="L619" s="174"/>
      <c r="M619" s="178"/>
      <c r="N619" s="179"/>
      <c r="O619" s="179" t="s">
        <v>227</v>
      </c>
    </row>
    <row r="620" spans="1:15" x14ac:dyDescent="0.15">
      <c r="A620" s="18"/>
      <c r="B6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620)),ROW(),"")</f>
        <v>620</v>
      </c>
      <c r="C620" s="13">
        <f t="shared" si="75"/>
        <v>0</v>
      </c>
      <c r="D620" s="84" t="str">
        <f t="shared" si="76"/>
        <v/>
      </c>
      <c r="E620" s="18"/>
      <c r="F620" s="174"/>
      <c r="G620" s="175"/>
      <c r="H620" s="195"/>
      <c r="I620" s="196"/>
      <c r="J620" s="196"/>
      <c r="K620" s="196"/>
      <c r="L620" s="174"/>
      <c r="M620" s="178"/>
      <c r="N620" s="179"/>
      <c r="O620" s="179" t="s">
        <v>227</v>
      </c>
    </row>
    <row r="621" spans="1:15" x14ac:dyDescent="0.15">
      <c r="A621" s="18"/>
      <c r="B6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621)),ROW(),"")</f>
        <v>621</v>
      </c>
      <c r="C621" s="13">
        <f t="shared" si="75"/>
        <v>0</v>
      </c>
      <c r="D621" s="84" t="str">
        <f t="shared" si="76"/>
        <v/>
      </c>
      <c r="E621" s="18"/>
      <c r="F621" s="174"/>
      <c r="G621" s="175"/>
      <c r="H621" s="195"/>
      <c r="I621" s="196"/>
      <c r="J621" s="196"/>
      <c r="K621" s="196"/>
      <c r="L621" s="174"/>
      <c r="M621" s="178"/>
      <c r="N621" s="179"/>
      <c r="O621" s="179" t="s">
        <v>227</v>
      </c>
    </row>
    <row r="622" spans="1:15" x14ac:dyDescent="0.15">
      <c r="A622" s="18"/>
      <c r="B6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622)),ROW(),"")</f>
        <v>622</v>
      </c>
      <c r="C622" s="13">
        <f t="shared" si="75"/>
        <v>0</v>
      </c>
      <c r="D622" s="84" t="str">
        <f t="shared" si="76"/>
        <v/>
      </c>
      <c r="E622" s="18"/>
      <c r="F622" s="174"/>
      <c r="G622" s="175"/>
      <c r="H622" s="195"/>
      <c r="I622" s="196"/>
      <c r="J622" s="196"/>
      <c r="K622" s="196"/>
      <c r="L622" s="174"/>
      <c r="M622" s="178"/>
      <c r="N622" s="179"/>
      <c r="O622" s="179" t="s">
        <v>227</v>
      </c>
    </row>
    <row r="623" spans="1:15" x14ac:dyDescent="0.15">
      <c r="A623" s="18"/>
      <c r="B6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623)),ROW(),"")</f>
        <v>623</v>
      </c>
      <c r="C623" s="13">
        <f t="shared" ref="C623:C686" si="77">INDEX(A:A,SMALL($B$3:$B$1039,ROW(A621)))</f>
        <v>0</v>
      </c>
      <c r="D623" s="84" t="str">
        <f t="shared" ref="D623:D686" si="78">PHONETIC(A623)</f>
        <v/>
      </c>
      <c r="E623" s="18"/>
      <c r="F623" s="174"/>
      <c r="G623" s="175"/>
      <c r="H623" s="195"/>
      <c r="I623" s="196"/>
      <c r="J623" s="196"/>
      <c r="K623" s="196"/>
      <c r="L623" s="174"/>
      <c r="M623" s="178"/>
      <c r="N623" s="179"/>
      <c r="O623" s="179" t="s">
        <v>227</v>
      </c>
    </row>
    <row r="624" spans="1:15" x14ac:dyDescent="0.15">
      <c r="A624" s="18"/>
      <c r="B6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624)),ROW(),"")</f>
        <v>624</v>
      </c>
      <c r="C624" s="13">
        <f t="shared" si="77"/>
        <v>0</v>
      </c>
      <c r="D624" s="84" t="str">
        <f t="shared" si="78"/>
        <v/>
      </c>
      <c r="E624" s="18"/>
      <c r="F624" s="174"/>
      <c r="G624" s="175"/>
      <c r="H624" s="195"/>
      <c r="I624" s="196"/>
      <c r="J624" s="196"/>
      <c r="K624" s="196"/>
      <c r="L624" s="174"/>
      <c r="M624" s="178"/>
      <c r="N624" s="179"/>
      <c r="O624" s="179" t="s">
        <v>227</v>
      </c>
    </row>
    <row r="625" spans="1:15" x14ac:dyDescent="0.15">
      <c r="A625" s="18"/>
      <c r="B6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625)),ROW(),"")</f>
        <v>625</v>
      </c>
      <c r="C625" s="13">
        <f t="shared" si="77"/>
        <v>0</v>
      </c>
      <c r="D625" s="84" t="str">
        <f t="shared" si="78"/>
        <v/>
      </c>
      <c r="E625" s="18"/>
      <c r="F625" s="174"/>
      <c r="G625" s="175"/>
      <c r="H625" s="195"/>
      <c r="I625" s="196"/>
      <c r="J625" s="196"/>
      <c r="K625" s="196"/>
      <c r="L625" s="174"/>
      <c r="M625" s="178"/>
      <c r="N625" s="179"/>
      <c r="O625" s="179" t="s">
        <v>227</v>
      </c>
    </row>
    <row r="626" spans="1:15" x14ac:dyDescent="0.15">
      <c r="A626" s="18"/>
      <c r="B6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626)),ROW(),"")</f>
        <v>626</v>
      </c>
      <c r="C626" s="13">
        <f t="shared" si="77"/>
        <v>0</v>
      </c>
      <c r="D626" s="84" t="str">
        <f t="shared" si="78"/>
        <v/>
      </c>
      <c r="E626" s="18"/>
      <c r="F626" s="174"/>
      <c r="G626" s="175"/>
      <c r="H626" s="195"/>
      <c r="I626" s="196"/>
      <c r="J626" s="196"/>
      <c r="K626" s="196"/>
      <c r="L626" s="174"/>
      <c r="M626" s="178"/>
      <c r="N626" s="179"/>
      <c r="O626" s="179" t="s">
        <v>227</v>
      </c>
    </row>
    <row r="627" spans="1:15" x14ac:dyDescent="0.15">
      <c r="A627" s="18"/>
      <c r="B6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627)),ROW(),"")</f>
        <v>627</v>
      </c>
      <c r="C627" s="13">
        <f t="shared" si="77"/>
        <v>0</v>
      </c>
      <c r="D627" s="84" t="str">
        <f t="shared" si="78"/>
        <v/>
      </c>
      <c r="E627" s="18"/>
      <c r="F627" s="174"/>
      <c r="G627" s="175"/>
      <c r="H627" s="195"/>
      <c r="I627" s="196"/>
      <c r="J627" s="196"/>
      <c r="K627" s="196"/>
      <c r="L627" s="174"/>
      <c r="M627" s="178"/>
      <c r="N627" s="179"/>
      <c r="O627" s="179" t="s">
        <v>227</v>
      </c>
    </row>
    <row r="628" spans="1:15" x14ac:dyDescent="0.15">
      <c r="A628" s="18"/>
      <c r="B6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628)),ROW(),"")</f>
        <v>628</v>
      </c>
      <c r="C628" s="13">
        <f t="shared" si="77"/>
        <v>0</v>
      </c>
      <c r="D628" s="84" t="str">
        <f t="shared" si="78"/>
        <v/>
      </c>
      <c r="E628" s="18"/>
      <c r="F628" s="174"/>
      <c r="G628" s="175"/>
      <c r="H628" s="195"/>
      <c r="I628" s="196"/>
      <c r="J628" s="196"/>
      <c r="K628" s="196"/>
      <c r="L628" s="174"/>
      <c r="M628" s="178"/>
      <c r="N628" s="179"/>
      <c r="O628" s="179" t="s">
        <v>227</v>
      </c>
    </row>
    <row r="629" spans="1:15" x14ac:dyDescent="0.15">
      <c r="A629" s="18"/>
      <c r="B6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629)),ROW(),"")</f>
        <v>629</v>
      </c>
      <c r="C629" s="13">
        <f t="shared" si="77"/>
        <v>0</v>
      </c>
      <c r="D629" s="84" t="str">
        <f t="shared" si="78"/>
        <v/>
      </c>
      <c r="E629" s="18"/>
      <c r="F629" s="174"/>
      <c r="G629" s="175"/>
      <c r="H629" s="195"/>
      <c r="I629" s="196"/>
      <c r="J629" s="196"/>
      <c r="K629" s="196"/>
      <c r="L629" s="174"/>
      <c r="M629" s="178"/>
      <c r="N629" s="179"/>
      <c r="O629" s="179" t="s">
        <v>227</v>
      </c>
    </row>
    <row r="630" spans="1:15" x14ac:dyDescent="0.15">
      <c r="A630" s="18"/>
      <c r="B6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630)),ROW(),"")</f>
        <v>630</v>
      </c>
      <c r="C630" s="13">
        <f t="shared" si="77"/>
        <v>0</v>
      </c>
      <c r="D630" s="84" t="str">
        <f t="shared" si="78"/>
        <v/>
      </c>
      <c r="E630" s="18"/>
      <c r="F630" s="174"/>
      <c r="G630" s="175"/>
      <c r="H630" s="195"/>
      <c r="I630" s="196"/>
      <c r="J630" s="196"/>
      <c r="K630" s="196"/>
      <c r="L630" s="174"/>
      <c r="M630" s="178"/>
      <c r="N630" s="179"/>
      <c r="O630" s="179" t="s">
        <v>227</v>
      </c>
    </row>
    <row r="631" spans="1:15" x14ac:dyDescent="0.15">
      <c r="A631" s="18"/>
      <c r="B6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631)),ROW(),"")</f>
        <v>631</v>
      </c>
      <c r="C631" s="13">
        <f t="shared" si="77"/>
        <v>0</v>
      </c>
      <c r="D631" s="84" t="str">
        <f t="shared" si="78"/>
        <v/>
      </c>
      <c r="E631" s="18"/>
      <c r="F631" s="174"/>
      <c r="G631" s="175"/>
      <c r="H631" s="195"/>
      <c r="I631" s="196"/>
      <c r="J631" s="196"/>
      <c r="K631" s="196"/>
      <c r="L631" s="174"/>
      <c r="M631" s="178"/>
      <c r="N631" s="179"/>
      <c r="O631" s="179" t="s">
        <v>227</v>
      </c>
    </row>
    <row r="632" spans="1:15" x14ac:dyDescent="0.15">
      <c r="A632" s="18"/>
      <c r="B6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632)),ROW(),"")</f>
        <v>632</v>
      </c>
      <c r="C632" s="13">
        <f t="shared" si="77"/>
        <v>0</v>
      </c>
      <c r="D632" s="84" t="str">
        <f t="shared" si="78"/>
        <v/>
      </c>
      <c r="E632" s="18"/>
      <c r="F632" s="174"/>
      <c r="G632" s="175"/>
      <c r="H632" s="195"/>
      <c r="I632" s="196"/>
      <c r="J632" s="196"/>
      <c r="K632" s="196"/>
      <c r="L632" s="174"/>
      <c r="M632" s="178"/>
      <c r="N632" s="179"/>
      <c r="O632" s="179" t="s">
        <v>227</v>
      </c>
    </row>
    <row r="633" spans="1:15" x14ac:dyDescent="0.15">
      <c r="A633" s="18"/>
      <c r="B6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633)),ROW(),"")</f>
        <v>633</v>
      </c>
      <c r="C633" s="13">
        <f t="shared" si="77"/>
        <v>0</v>
      </c>
      <c r="D633" s="84" t="str">
        <f t="shared" si="78"/>
        <v/>
      </c>
      <c r="E633" s="18"/>
      <c r="F633" s="174"/>
      <c r="G633" s="175"/>
      <c r="H633" s="195"/>
      <c r="I633" s="196"/>
      <c r="J633" s="196"/>
      <c r="K633" s="196"/>
      <c r="L633" s="174"/>
      <c r="M633" s="178"/>
      <c r="N633" s="179"/>
      <c r="O633" s="179" t="s">
        <v>227</v>
      </c>
    </row>
    <row r="634" spans="1:15" x14ac:dyDescent="0.15">
      <c r="A634" s="18"/>
      <c r="B6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634)),ROW(),"")</f>
        <v>634</v>
      </c>
      <c r="C634" s="13">
        <f t="shared" si="77"/>
        <v>0</v>
      </c>
      <c r="D634" s="84" t="str">
        <f t="shared" si="78"/>
        <v/>
      </c>
      <c r="E634" s="18"/>
      <c r="F634" s="174"/>
      <c r="G634" s="175"/>
      <c r="H634" s="195"/>
      <c r="I634" s="196"/>
      <c r="J634" s="196"/>
      <c r="K634" s="196"/>
      <c r="L634" s="174"/>
      <c r="M634" s="178"/>
      <c r="N634" s="179"/>
      <c r="O634" s="179" t="s">
        <v>227</v>
      </c>
    </row>
    <row r="635" spans="1:15" x14ac:dyDescent="0.15">
      <c r="A635" s="18"/>
      <c r="B6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635)),ROW(),"")</f>
        <v>635</v>
      </c>
      <c r="C635" s="13">
        <f t="shared" si="77"/>
        <v>0</v>
      </c>
      <c r="D635" s="84" t="str">
        <f t="shared" si="78"/>
        <v/>
      </c>
      <c r="E635" s="18"/>
      <c r="F635" s="174"/>
      <c r="G635" s="175"/>
      <c r="H635" s="195"/>
      <c r="I635" s="196"/>
      <c r="J635" s="196"/>
      <c r="K635" s="196"/>
      <c r="L635" s="174"/>
      <c r="M635" s="178"/>
      <c r="N635" s="179"/>
      <c r="O635" s="179" t="s">
        <v>227</v>
      </c>
    </row>
    <row r="636" spans="1:15" x14ac:dyDescent="0.15">
      <c r="A636" s="18"/>
      <c r="B6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636)),ROW(),"")</f>
        <v>636</v>
      </c>
      <c r="C636" s="13">
        <f t="shared" si="77"/>
        <v>0</v>
      </c>
      <c r="D636" s="84" t="str">
        <f t="shared" si="78"/>
        <v/>
      </c>
      <c r="E636" s="18"/>
      <c r="F636" s="174"/>
      <c r="G636" s="175"/>
      <c r="H636" s="195"/>
      <c r="I636" s="196"/>
      <c r="J636" s="196"/>
      <c r="K636" s="196"/>
      <c r="L636" s="174"/>
      <c r="M636" s="178"/>
      <c r="N636" s="179"/>
      <c r="O636" s="179" t="s">
        <v>227</v>
      </c>
    </row>
    <row r="637" spans="1:15" x14ac:dyDescent="0.15">
      <c r="A637" s="18"/>
      <c r="B6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637)),ROW(),"")</f>
        <v>637</v>
      </c>
      <c r="C637" s="13">
        <f t="shared" si="77"/>
        <v>0</v>
      </c>
      <c r="D637" s="84" t="str">
        <f t="shared" si="78"/>
        <v/>
      </c>
      <c r="E637" s="18"/>
      <c r="F637" s="174"/>
      <c r="G637" s="175"/>
      <c r="H637" s="195"/>
      <c r="I637" s="196"/>
      <c r="J637" s="196"/>
      <c r="K637" s="196"/>
      <c r="L637" s="174"/>
      <c r="M637" s="178"/>
      <c r="N637" s="179"/>
      <c r="O637" s="179" t="s">
        <v>227</v>
      </c>
    </row>
    <row r="638" spans="1:15" x14ac:dyDescent="0.15">
      <c r="A638" s="18"/>
      <c r="B6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638)),ROW(),"")</f>
        <v>638</v>
      </c>
      <c r="C638" s="13">
        <f t="shared" si="77"/>
        <v>0</v>
      </c>
      <c r="D638" s="84" t="str">
        <f t="shared" si="78"/>
        <v/>
      </c>
      <c r="E638" s="18"/>
      <c r="F638" s="174"/>
      <c r="G638" s="175"/>
      <c r="H638" s="195"/>
      <c r="I638" s="196"/>
      <c r="J638" s="196"/>
      <c r="K638" s="196"/>
      <c r="L638" s="174"/>
      <c r="M638" s="178"/>
      <c r="N638" s="179"/>
      <c r="O638" s="179" t="s">
        <v>227</v>
      </c>
    </row>
    <row r="639" spans="1:15" x14ac:dyDescent="0.15">
      <c r="A639" s="18"/>
      <c r="B6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639)),ROW(),"")</f>
        <v>639</v>
      </c>
      <c r="C639" s="13">
        <f t="shared" si="77"/>
        <v>0</v>
      </c>
      <c r="D639" s="84" t="str">
        <f t="shared" si="78"/>
        <v/>
      </c>
      <c r="E639" s="18"/>
      <c r="F639" s="174"/>
      <c r="G639" s="175"/>
      <c r="H639" s="195"/>
      <c r="I639" s="196"/>
      <c r="J639" s="196"/>
      <c r="K639" s="196"/>
      <c r="L639" s="174"/>
      <c r="M639" s="178"/>
      <c r="N639" s="179"/>
      <c r="O639" s="179" t="s">
        <v>227</v>
      </c>
    </row>
    <row r="640" spans="1:15" x14ac:dyDescent="0.15">
      <c r="A640" s="18"/>
      <c r="B6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640)),ROW(),"")</f>
        <v>640</v>
      </c>
      <c r="C640" s="13">
        <f t="shared" si="77"/>
        <v>0</v>
      </c>
      <c r="D640" s="84" t="str">
        <f t="shared" si="78"/>
        <v/>
      </c>
      <c r="E640" s="18"/>
      <c r="F640" s="174"/>
      <c r="G640" s="175"/>
      <c r="H640" s="195"/>
      <c r="I640" s="196"/>
      <c r="J640" s="196"/>
      <c r="K640" s="196"/>
      <c r="L640" s="174"/>
      <c r="M640" s="178"/>
      <c r="N640" s="179"/>
      <c r="O640" s="179" t="s">
        <v>227</v>
      </c>
    </row>
    <row r="641" spans="1:15" x14ac:dyDescent="0.15">
      <c r="A641" s="18"/>
      <c r="B6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641)),ROW(),"")</f>
        <v>641</v>
      </c>
      <c r="C641" s="13">
        <f t="shared" si="77"/>
        <v>0</v>
      </c>
      <c r="D641" s="84" t="str">
        <f t="shared" si="78"/>
        <v/>
      </c>
      <c r="E641" s="18"/>
      <c r="F641" s="174"/>
      <c r="G641" s="175"/>
      <c r="H641" s="195"/>
      <c r="I641" s="196"/>
      <c r="J641" s="196"/>
      <c r="K641" s="196"/>
      <c r="L641" s="174"/>
      <c r="M641" s="178"/>
      <c r="N641" s="179"/>
      <c r="O641" s="179" t="s">
        <v>227</v>
      </c>
    </row>
    <row r="642" spans="1:15" x14ac:dyDescent="0.15">
      <c r="A642" s="18"/>
      <c r="B6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642)),ROW(),"")</f>
        <v>642</v>
      </c>
      <c r="C642" s="13">
        <f t="shared" si="77"/>
        <v>0</v>
      </c>
      <c r="D642" s="84" t="str">
        <f t="shared" si="78"/>
        <v/>
      </c>
      <c r="E642" s="18"/>
      <c r="F642" s="174"/>
      <c r="G642" s="175"/>
      <c r="H642" s="195"/>
      <c r="I642" s="196"/>
      <c r="J642" s="196"/>
      <c r="K642" s="196"/>
      <c r="L642" s="174"/>
      <c r="M642" s="178"/>
      <c r="N642" s="179"/>
      <c r="O642" s="179" t="s">
        <v>227</v>
      </c>
    </row>
    <row r="643" spans="1:15" x14ac:dyDescent="0.15">
      <c r="A643" s="18"/>
      <c r="B6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643)),ROW(),"")</f>
        <v>643</v>
      </c>
      <c r="C643" s="13">
        <f t="shared" si="77"/>
        <v>0</v>
      </c>
      <c r="D643" s="84" t="str">
        <f t="shared" si="78"/>
        <v/>
      </c>
      <c r="E643" s="18"/>
      <c r="F643" s="174"/>
      <c r="G643" s="175"/>
      <c r="H643" s="195"/>
      <c r="I643" s="196"/>
      <c r="J643" s="196"/>
      <c r="K643" s="196"/>
      <c r="L643" s="174"/>
      <c r="M643" s="178"/>
      <c r="N643" s="179"/>
      <c r="O643" s="179" t="s">
        <v>227</v>
      </c>
    </row>
    <row r="644" spans="1:15" x14ac:dyDescent="0.15">
      <c r="A644" s="18"/>
      <c r="B6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644)),ROW(),"")</f>
        <v>644</v>
      </c>
      <c r="C644" s="13">
        <f t="shared" si="77"/>
        <v>0</v>
      </c>
      <c r="D644" s="84" t="str">
        <f t="shared" si="78"/>
        <v/>
      </c>
      <c r="E644" s="18"/>
      <c r="F644" s="174"/>
      <c r="G644" s="175"/>
      <c r="H644" s="195"/>
      <c r="I644" s="196"/>
      <c r="J644" s="196"/>
      <c r="K644" s="196"/>
      <c r="L644" s="174"/>
      <c r="M644" s="178"/>
      <c r="N644" s="179"/>
      <c r="O644" s="179" t="s">
        <v>227</v>
      </c>
    </row>
    <row r="645" spans="1:15" x14ac:dyDescent="0.15">
      <c r="A645" s="18"/>
      <c r="B6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645)),ROW(),"")</f>
        <v>645</v>
      </c>
      <c r="C645" s="13">
        <f t="shared" si="77"/>
        <v>0</v>
      </c>
      <c r="D645" s="84" t="str">
        <f t="shared" si="78"/>
        <v/>
      </c>
      <c r="E645" s="18"/>
      <c r="F645" s="174"/>
      <c r="G645" s="175"/>
      <c r="H645" s="195"/>
      <c r="I645" s="196"/>
      <c r="J645" s="196"/>
      <c r="K645" s="196"/>
      <c r="L645" s="174"/>
      <c r="M645" s="178"/>
      <c r="N645" s="179"/>
      <c r="O645" s="179" t="s">
        <v>227</v>
      </c>
    </row>
    <row r="646" spans="1:15" x14ac:dyDescent="0.15">
      <c r="A646" s="18"/>
      <c r="B6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646)),ROW(),"")</f>
        <v>646</v>
      </c>
      <c r="C646" s="13">
        <f t="shared" si="77"/>
        <v>0</v>
      </c>
      <c r="D646" s="84" t="str">
        <f t="shared" si="78"/>
        <v/>
      </c>
      <c r="E646" s="18"/>
      <c r="F646" s="174"/>
      <c r="G646" s="175"/>
      <c r="H646" s="195"/>
      <c r="I646" s="196"/>
      <c r="J646" s="196"/>
      <c r="K646" s="196"/>
      <c r="L646" s="174"/>
      <c r="M646" s="178"/>
      <c r="N646" s="179"/>
      <c r="O646" s="179" t="s">
        <v>227</v>
      </c>
    </row>
    <row r="647" spans="1:15" x14ac:dyDescent="0.15">
      <c r="A647" s="18"/>
      <c r="B6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647)),ROW(),"")</f>
        <v>647</v>
      </c>
      <c r="C647" s="13">
        <f t="shared" si="77"/>
        <v>0</v>
      </c>
      <c r="D647" s="84" t="str">
        <f t="shared" si="78"/>
        <v/>
      </c>
      <c r="E647" s="18"/>
      <c r="F647" s="174"/>
      <c r="G647" s="175"/>
      <c r="H647" s="195"/>
      <c r="I647" s="196"/>
      <c r="J647" s="196"/>
      <c r="K647" s="196"/>
      <c r="L647" s="174"/>
      <c r="M647" s="178"/>
      <c r="N647" s="179"/>
      <c r="O647" s="179" t="s">
        <v>227</v>
      </c>
    </row>
    <row r="648" spans="1:15" x14ac:dyDescent="0.15">
      <c r="A648" s="18"/>
      <c r="B6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648)),ROW(),"")</f>
        <v>648</v>
      </c>
      <c r="C648" s="13">
        <f t="shared" si="77"/>
        <v>0</v>
      </c>
      <c r="D648" s="84" t="str">
        <f t="shared" si="78"/>
        <v/>
      </c>
      <c r="E648" s="18"/>
      <c r="F648" s="174"/>
      <c r="G648" s="175"/>
      <c r="H648" s="195"/>
      <c r="I648" s="196"/>
      <c r="J648" s="196"/>
      <c r="K648" s="196"/>
      <c r="L648" s="174"/>
      <c r="M648" s="178"/>
      <c r="N648" s="179"/>
      <c r="O648" s="179" t="s">
        <v>227</v>
      </c>
    </row>
    <row r="649" spans="1:15" x14ac:dyDescent="0.15">
      <c r="A649" s="18"/>
      <c r="B6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649)),ROW(),"")</f>
        <v>649</v>
      </c>
      <c r="C649" s="13">
        <f t="shared" si="77"/>
        <v>0</v>
      </c>
      <c r="D649" s="84" t="str">
        <f t="shared" si="78"/>
        <v/>
      </c>
      <c r="E649" s="18"/>
      <c r="F649" s="174"/>
      <c r="G649" s="175"/>
      <c r="H649" s="195"/>
      <c r="I649" s="196"/>
      <c r="J649" s="196"/>
      <c r="K649" s="196"/>
      <c r="L649" s="174"/>
      <c r="M649" s="178"/>
      <c r="N649" s="179"/>
      <c r="O649" s="179" t="s">
        <v>227</v>
      </c>
    </row>
    <row r="650" spans="1:15" x14ac:dyDescent="0.15">
      <c r="A650" s="18"/>
      <c r="B6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650)),ROW(),"")</f>
        <v>650</v>
      </c>
      <c r="C650" s="13">
        <f t="shared" si="77"/>
        <v>0</v>
      </c>
      <c r="D650" s="84" t="str">
        <f t="shared" si="78"/>
        <v/>
      </c>
      <c r="E650" s="18"/>
      <c r="F650" s="174"/>
      <c r="G650" s="175"/>
      <c r="H650" s="195"/>
      <c r="I650" s="196"/>
      <c r="J650" s="196"/>
      <c r="K650" s="196"/>
      <c r="L650" s="174"/>
      <c r="M650" s="178"/>
      <c r="N650" s="179"/>
      <c r="O650" s="179" t="s">
        <v>227</v>
      </c>
    </row>
    <row r="651" spans="1:15" x14ac:dyDescent="0.15">
      <c r="A651" s="18"/>
      <c r="B6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651)),ROW(),"")</f>
        <v>651</v>
      </c>
      <c r="C651" s="13">
        <f t="shared" si="77"/>
        <v>0</v>
      </c>
      <c r="D651" s="84" t="str">
        <f t="shared" si="78"/>
        <v/>
      </c>
      <c r="E651" s="18"/>
      <c r="F651" s="174"/>
      <c r="G651" s="175"/>
      <c r="H651" s="195"/>
      <c r="I651" s="196"/>
      <c r="J651" s="196"/>
      <c r="K651" s="196"/>
      <c r="L651" s="174"/>
      <c r="M651" s="178"/>
      <c r="N651" s="179"/>
      <c r="O651" s="179" t="s">
        <v>227</v>
      </c>
    </row>
    <row r="652" spans="1:15" x14ac:dyDescent="0.15">
      <c r="A652" s="18"/>
      <c r="B6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652)),ROW(),"")</f>
        <v>652</v>
      </c>
      <c r="C652" s="13">
        <f t="shared" si="77"/>
        <v>0</v>
      </c>
      <c r="D652" s="84" t="str">
        <f t="shared" si="78"/>
        <v/>
      </c>
      <c r="E652" s="18"/>
      <c r="F652" s="174"/>
      <c r="G652" s="175"/>
      <c r="H652" s="195"/>
      <c r="I652" s="196"/>
      <c r="J652" s="196"/>
      <c r="K652" s="196"/>
      <c r="L652" s="174"/>
      <c r="M652" s="178"/>
      <c r="N652" s="179"/>
      <c r="O652" s="179" t="s">
        <v>227</v>
      </c>
    </row>
    <row r="653" spans="1:15" x14ac:dyDescent="0.15">
      <c r="A653" s="18"/>
      <c r="B6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653)),ROW(),"")</f>
        <v>653</v>
      </c>
      <c r="C653" s="13">
        <f t="shared" si="77"/>
        <v>0</v>
      </c>
      <c r="D653" s="84" t="str">
        <f t="shared" si="78"/>
        <v/>
      </c>
      <c r="E653" s="18"/>
      <c r="F653" s="174"/>
      <c r="G653" s="175"/>
      <c r="H653" s="195"/>
      <c r="I653" s="196"/>
      <c r="J653" s="196"/>
      <c r="K653" s="196"/>
      <c r="L653" s="174"/>
      <c r="M653" s="178"/>
      <c r="N653" s="179"/>
      <c r="O653" s="179" t="s">
        <v>227</v>
      </c>
    </row>
    <row r="654" spans="1:15" x14ac:dyDescent="0.15">
      <c r="A654" s="18"/>
      <c r="B6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654)),ROW(),"")</f>
        <v>654</v>
      </c>
      <c r="C654" s="13">
        <f t="shared" si="77"/>
        <v>0</v>
      </c>
      <c r="D654" s="84" t="str">
        <f t="shared" si="78"/>
        <v/>
      </c>
      <c r="E654" s="18"/>
      <c r="F654" s="174"/>
      <c r="G654" s="175"/>
      <c r="H654" s="195"/>
      <c r="I654" s="196"/>
      <c r="J654" s="196"/>
      <c r="K654" s="196"/>
      <c r="L654" s="174"/>
      <c r="M654" s="178"/>
      <c r="N654" s="179"/>
      <c r="O654" s="179" t="s">
        <v>227</v>
      </c>
    </row>
    <row r="655" spans="1:15" x14ac:dyDescent="0.15">
      <c r="A655" s="18"/>
      <c r="B6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655)),ROW(),"")</f>
        <v>655</v>
      </c>
      <c r="C655" s="13">
        <f t="shared" si="77"/>
        <v>0</v>
      </c>
      <c r="D655" s="84" t="str">
        <f t="shared" si="78"/>
        <v/>
      </c>
      <c r="E655" s="18"/>
      <c r="F655" s="174"/>
      <c r="G655" s="175"/>
      <c r="H655" s="195"/>
      <c r="I655" s="196"/>
      <c r="J655" s="196"/>
      <c r="K655" s="196"/>
      <c r="L655" s="174"/>
      <c r="M655" s="178"/>
      <c r="N655" s="179"/>
      <c r="O655" s="179" t="s">
        <v>227</v>
      </c>
    </row>
    <row r="656" spans="1:15" x14ac:dyDescent="0.15">
      <c r="A656" s="18"/>
      <c r="B6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656)),ROW(),"")</f>
        <v>656</v>
      </c>
      <c r="C656" s="13">
        <f t="shared" si="77"/>
        <v>0</v>
      </c>
      <c r="D656" s="84" t="str">
        <f t="shared" si="78"/>
        <v/>
      </c>
      <c r="E656" s="18"/>
      <c r="F656" s="174"/>
      <c r="G656" s="175"/>
      <c r="H656" s="195"/>
      <c r="I656" s="196"/>
      <c r="J656" s="196"/>
      <c r="K656" s="196"/>
      <c r="L656" s="174"/>
      <c r="M656" s="178"/>
      <c r="N656" s="179"/>
      <c r="O656" s="179" t="s">
        <v>227</v>
      </c>
    </row>
    <row r="657" spans="1:15" x14ac:dyDescent="0.15">
      <c r="A657" s="18"/>
      <c r="B6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657)),ROW(),"")</f>
        <v>657</v>
      </c>
      <c r="C657" s="13">
        <f t="shared" si="77"/>
        <v>0</v>
      </c>
      <c r="D657" s="84" t="str">
        <f t="shared" si="78"/>
        <v/>
      </c>
      <c r="E657" s="18"/>
      <c r="F657" s="174"/>
      <c r="G657" s="175"/>
      <c r="H657" s="195"/>
      <c r="I657" s="196"/>
      <c r="J657" s="196"/>
      <c r="K657" s="196"/>
      <c r="L657" s="174"/>
      <c r="M657" s="178"/>
      <c r="N657" s="179"/>
      <c r="O657" s="179" t="s">
        <v>227</v>
      </c>
    </row>
    <row r="658" spans="1:15" x14ac:dyDescent="0.15">
      <c r="A658" s="18"/>
      <c r="B6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658)),ROW(),"")</f>
        <v>658</v>
      </c>
      <c r="C658" s="13">
        <f t="shared" si="77"/>
        <v>0</v>
      </c>
      <c r="D658" s="84" t="str">
        <f t="shared" si="78"/>
        <v/>
      </c>
      <c r="E658" s="18"/>
      <c r="F658" s="174"/>
      <c r="G658" s="175"/>
      <c r="H658" s="195"/>
      <c r="I658" s="196"/>
      <c r="J658" s="196"/>
      <c r="K658" s="196"/>
      <c r="L658" s="174"/>
      <c r="M658" s="178"/>
      <c r="N658" s="179"/>
      <c r="O658" s="179" t="s">
        <v>227</v>
      </c>
    </row>
    <row r="659" spans="1:15" x14ac:dyDescent="0.15">
      <c r="A659" s="18"/>
      <c r="B6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659)),ROW(),"")</f>
        <v>659</v>
      </c>
      <c r="C659" s="13">
        <f t="shared" si="77"/>
        <v>0</v>
      </c>
      <c r="D659" s="84" t="str">
        <f t="shared" si="78"/>
        <v/>
      </c>
      <c r="E659" s="18"/>
      <c r="F659" s="174"/>
      <c r="G659" s="175"/>
      <c r="H659" s="195"/>
      <c r="I659" s="196"/>
      <c r="J659" s="196"/>
      <c r="K659" s="196"/>
      <c r="L659" s="174"/>
      <c r="M659" s="178"/>
      <c r="N659" s="179"/>
      <c r="O659" s="179" t="s">
        <v>227</v>
      </c>
    </row>
    <row r="660" spans="1:15" x14ac:dyDescent="0.15">
      <c r="A660" s="18"/>
      <c r="B6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660)),ROW(),"")</f>
        <v>660</v>
      </c>
      <c r="C660" s="13">
        <f t="shared" si="77"/>
        <v>0</v>
      </c>
      <c r="D660" s="84" t="str">
        <f t="shared" si="78"/>
        <v/>
      </c>
      <c r="E660" s="18"/>
      <c r="F660" s="174"/>
      <c r="G660" s="175"/>
      <c r="H660" s="195"/>
      <c r="I660" s="196"/>
      <c r="J660" s="196"/>
      <c r="K660" s="196"/>
      <c r="L660" s="174"/>
      <c r="M660" s="178"/>
      <c r="N660" s="179"/>
      <c r="O660" s="179" t="s">
        <v>227</v>
      </c>
    </row>
    <row r="661" spans="1:15" x14ac:dyDescent="0.15">
      <c r="A661" s="18"/>
      <c r="B6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661)),ROW(),"")</f>
        <v>661</v>
      </c>
      <c r="C661" s="13">
        <f t="shared" si="77"/>
        <v>0</v>
      </c>
      <c r="D661" s="84" t="str">
        <f t="shared" si="78"/>
        <v/>
      </c>
      <c r="E661" s="18"/>
      <c r="F661" s="174"/>
      <c r="G661" s="175"/>
      <c r="H661" s="195"/>
      <c r="I661" s="196"/>
      <c r="J661" s="196"/>
      <c r="K661" s="196"/>
      <c r="L661" s="174"/>
      <c r="M661" s="178"/>
      <c r="N661" s="179"/>
      <c r="O661" s="179" t="s">
        <v>227</v>
      </c>
    </row>
    <row r="662" spans="1:15" x14ac:dyDescent="0.15">
      <c r="A662" s="18"/>
      <c r="B6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662)),ROW(),"")</f>
        <v>662</v>
      </c>
      <c r="C662" s="13">
        <f t="shared" si="77"/>
        <v>0</v>
      </c>
      <c r="D662" s="84" t="str">
        <f t="shared" si="78"/>
        <v/>
      </c>
      <c r="E662" s="18"/>
      <c r="F662" s="174"/>
      <c r="G662" s="175"/>
      <c r="H662" s="195"/>
      <c r="I662" s="196"/>
      <c r="J662" s="196"/>
      <c r="K662" s="196"/>
      <c r="L662" s="174"/>
      <c r="M662" s="178"/>
      <c r="N662" s="179"/>
      <c r="O662" s="179" t="s">
        <v>227</v>
      </c>
    </row>
    <row r="663" spans="1:15" x14ac:dyDescent="0.15">
      <c r="A663" s="18"/>
      <c r="B6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663)),ROW(),"")</f>
        <v>663</v>
      </c>
      <c r="C663" s="13">
        <f t="shared" si="77"/>
        <v>0</v>
      </c>
      <c r="D663" s="84" t="str">
        <f t="shared" si="78"/>
        <v/>
      </c>
      <c r="E663" s="18"/>
      <c r="F663" s="174"/>
      <c r="G663" s="175"/>
      <c r="H663" s="195"/>
      <c r="I663" s="196"/>
      <c r="J663" s="196"/>
      <c r="K663" s="196"/>
      <c r="L663" s="174"/>
      <c r="M663" s="178"/>
      <c r="N663" s="179"/>
      <c r="O663" s="179" t="s">
        <v>227</v>
      </c>
    </row>
    <row r="664" spans="1:15" x14ac:dyDescent="0.15">
      <c r="A664" s="18"/>
      <c r="B6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664)),ROW(),"")</f>
        <v>664</v>
      </c>
      <c r="C664" s="13">
        <f t="shared" si="77"/>
        <v>0</v>
      </c>
      <c r="D664" s="84" t="str">
        <f t="shared" si="78"/>
        <v/>
      </c>
      <c r="E664" s="18"/>
      <c r="F664" s="174"/>
      <c r="G664" s="175"/>
      <c r="H664" s="195"/>
      <c r="I664" s="196"/>
      <c r="J664" s="196"/>
      <c r="K664" s="196"/>
      <c r="L664" s="174"/>
      <c r="M664" s="178"/>
      <c r="N664" s="179"/>
      <c r="O664" s="179" t="s">
        <v>227</v>
      </c>
    </row>
    <row r="665" spans="1:15" x14ac:dyDescent="0.15">
      <c r="A665" s="18"/>
      <c r="B6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665)),ROW(),"")</f>
        <v>665</v>
      </c>
      <c r="C665" s="13">
        <f t="shared" si="77"/>
        <v>0</v>
      </c>
      <c r="D665" s="84" t="str">
        <f t="shared" si="78"/>
        <v/>
      </c>
      <c r="E665" s="18"/>
      <c r="F665" s="174"/>
      <c r="G665" s="175"/>
      <c r="H665" s="195"/>
      <c r="I665" s="196"/>
      <c r="J665" s="196"/>
      <c r="K665" s="196"/>
      <c r="L665" s="174"/>
      <c r="M665" s="178"/>
      <c r="N665" s="179"/>
      <c r="O665" s="179" t="s">
        <v>227</v>
      </c>
    </row>
    <row r="666" spans="1:15" x14ac:dyDescent="0.15">
      <c r="A666" s="18"/>
      <c r="B6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666)),ROW(),"")</f>
        <v>666</v>
      </c>
      <c r="C666" s="13">
        <f t="shared" si="77"/>
        <v>0</v>
      </c>
      <c r="D666" s="84" t="str">
        <f t="shared" si="78"/>
        <v/>
      </c>
      <c r="E666" s="18"/>
      <c r="F666" s="174"/>
      <c r="G666" s="175"/>
      <c r="H666" s="195"/>
      <c r="I666" s="196"/>
      <c r="J666" s="196"/>
      <c r="K666" s="196"/>
      <c r="L666" s="174"/>
      <c r="M666" s="178"/>
      <c r="N666" s="179"/>
      <c r="O666" s="179" t="s">
        <v>227</v>
      </c>
    </row>
    <row r="667" spans="1:15" x14ac:dyDescent="0.15">
      <c r="A667" s="18"/>
      <c r="B6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667)),ROW(),"")</f>
        <v>667</v>
      </c>
      <c r="C667" s="13">
        <f t="shared" si="77"/>
        <v>0</v>
      </c>
      <c r="D667" s="84" t="str">
        <f t="shared" si="78"/>
        <v/>
      </c>
      <c r="E667" s="18"/>
      <c r="F667" s="174"/>
      <c r="G667" s="175"/>
      <c r="H667" s="195"/>
      <c r="I667" s="196"/>
      <c r="J667" s="196"/>
      <c r="K667" s="196"/>
      <c r="L667" s="174"/>
      <c r="M667" s="178"/>
      <c r="N667" s="179"/>
      <c r="O667" s="179" t="s">
        <v>227</v>
      </c>
    </row>
    <row r="668" spans="1:15" x14ac:dyDescent="0.15">
      <c r="A668" s="18"/>
      <c r="B6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668)),ROW(),"")</f>
        <v>668</v>
      </c>
      <c r="C668" s="13">
        <f t="shared" si="77"/>
        <v>0</v>
      </c>
      <c r="D668" s="84" t="str">
        <f t="shared" si="78"/>
        <v/>
      </c>
      <c r="E668" s="18"/>
      <c r="F668" s="174"/>
      <c r="G668" s="175"/>
      <c r="H668" s="195"/>
      <c r="I668" s="196"/>
      <c r="J668" s="196"/>
      <c r="K668" s="196"/>
      <c r="L668" s="174"/>
      <c r="M668" s="178"/>
      <c r="N668" s="179"/>
      <c r="O668" s="179" t="s">
        <v>227</v>
      </c>
    </row>
    <row r="669" spans="1:15" x14ac:dyDescent="0.15">
      <c r="A669" s="18"/>
      <c r="B6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669)),ROW(),"")</f>
        <v>669</v>
      </c>
      <c r="C669" s="13">
        <f t="shared" si="77"/>
        <v>0</v>
      </c>
      <c r="D669" s="84" t="str">
        <f t="shared" si="78"/>
        <v/>
      </c>
      <c r="E669" s="18"/>
      <c r="F669" s="174"/>
      <c r="G669" s="175"/>
      <c r="H669" s="195"/>
      <c r="I669" s="196"/>
      <c r="J669" s="196"/>
      <c r="K669" s="196"/>
      <c r="L669" s="174"/>
      <c r="M669" s="178"/>
      <c r="N669" s="179"/>
      <c r="O669" s="179" t="s">
        <v>227</v>
      </c>
    </row>
    <row r="670" spans="1:15" x14ac:dyDescent="0.15">
      <c r="A670" s="18"/>
      <c r="B6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670)),ROW(),"")</f>
        <v>670</v>
      </c>
      <c r="C670" s="13">
        <f t="shared" si="77"/>
        <v>0</v>
      </c>
      <c r="D670" s="84" t="str">
        <f t="shared" si="78"/>
        <v/>
      </c>
      <c r="E670" s="18"/>
      <c r="F670" s="174"/>
      <c r="G670" s="175"/>
      <c r="H670" s="195"/>
      <c r="I670" s="196"/>
      <c r="J670" s="196"/>
      <c r="K670" s="196"/>
      <c r="L670" s="174"/>
      <c r="M670" s="178"/>
      <c r="N670" s="179"/>
      <c r="O670" s="179" t="s">
        <v>227</v>
      </c>
    </row>
    <row r="671" spans="1:15" x14ac:dyDescent="0.15">
      <c r="A671" s="18"/>
      <c r="B6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671)),ROW(),"")</f>
        <v>671</v>
      </c>
      <c r="C671" s="13">
        <f t="shared" si="77"/>
        <v>0</v>
      </c>
      <c r="D671" s="84" t="str">
        <f t="shared" si="78"/>
        <v/>
      </c>
      <c r="E671" s="18"/>
      <c r="F671" s="174"/>
      <c r="G671" s="175"/>
      <c r="H671" s="195"/>
      <c r="I671" s="196"/>
      <c r="J671" s="196"/>
      <c r="K671" s="196"/>
      <c r="L671" s="174"/>
      <c r="M671" s="178"/>
      <c r="N671" s="179"/>
      <c r="O671" s="179" t="s">
        <v>227</v>
      </c>
    </row>
    <row r="672" spans="1:15" x14ac:dyDescent="0.15">
      <c r="A672" s="18"/>
      <c r="B6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672)),ROW(),"")</f>
        <v>672</v>
      </c>
      <c r="C672" s="13">
        <f t="shared" si="77"/>
        <v>0</v>
      </c>
      <c r="D672" s="84" t="str">
        <f t="shared" si="78"/>
        <v/>
      </c>
      <c r="E672" s="18"/>
      <c r="F672" s="174"/>
      <c r="G672" s="175"/>
      <c r="H672" s="195"/>
      <c r="I672" s="196"/>
      <c r="J672" s="196"/>
      <c r="K672" s="196"/>
      <c r="L672" s="174"/>
      <c r="M672" s="178"/>
      <c r="N672" s="179"/>
      <c r="O672" s="179" t="s">
        <v>227</v>
      </c>
    </row>
    <row r="673" spans="1:15" x14ac:dyDescent="0.15">
      <c r="A673" s="18"/>
      <c r="B6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673)),ROW(),"")</f>
        <v>673</v>
      </c>
      <c r="C673" s="13">
        <f t="shared" si="77"/>
        <v>0</v>
      </c>
      <c r="D673" s="84" t="str">
        <f t="shared" si="78"/>
        <v/>
      </c>
      <c r="E673" s="18"/>
      <c r="F673" s="174"/>
      <c r="G673" s="175"/>
      <c r="H673" s="195"/>
      <c r="I673" s="196"/>
      <c r="J673" s="196"/>
      <c r="K673" s="196"/>
      <c r="L673" s="174"/>
      <c r="M673" s="178"/>
      <c r="N673" s="179"/>
      <c r="O673" s="179" t="s">
        <v>227</v>
      </c>
    </row>
    <row r="674" spans="1:15" x14ac:dyDescent="0.15">
      <c r="A674" s="18"/>
      <c r="B6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674)),ROW(),"")</f>
        <v>674</v>
      </c>
      <c r="C674" s="13">
        <f t="shared" si="77"/>
        <v>0</v>
      </c>
      <c r="D674" s="84" t="str">
        <f t="shared" si="78"/>
        <v/>
      </c>
      <c r="E674" s="18"/>
      <c r="F674" s="174"/>
      <c r="G674" s="175"/>
      <c r="H674" s="195"/>
      <c r="I674" s="196"/>
      <c r="J674" s="196"/>
      <c r="K674" s="196"/>
      <c r="L674" s="174"/>
      <c r="M674" s="178"/>
      <c r="N674" s="179"/>
      <c r="O674" s="179" t="s">
        <v>227</v>
      </c>
    </row>
    <row r="675" spans="1:15" x14ac:dyDescent="0.15">
      <c r="A675" s="18"/>
      <c r="B6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675)),ROW(),"")</f>
        <v>675</v>
      </c>
      <c r="C675" s="13">
        <f t="shared" si="77"/>
        <v>0</v>
      </c>
      <c r="D675" s="84" t="str">
        <f t="shared" si="78"/>
        <v/>
      </c>
      <c r="E675" s="18"/>
      <c r="F675" s="174"/>
      <c r="G675" s="175"/>
      <c r="H675" s="195"/>
      <c r="I675" s="196"/>
      <c r="J675" s="196"/>
      <c r="K675" s="196"/>
      <c r="L675" s="174"/>
      <c r="M675" s="178"/>
      <c r="N675" s="179"/>
      <c r="O675" s="179" t="s">
        <v>227</v>
      </c>
    </row>
    <row r="676" spans="1:15" x14ac:dyDescent="0.15">
      <c r="A676" s="18"/>
      <c r="B6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676)),ROW(),"")</f>
        <v>676</v>
      </c>
      <c r="C676" s="13">
        <f t="shared" si="77"/>
        <v>0</v>
      </c>
      <c r="D676" s="84" t="str">
        <f t="shared" si="78"/>
        <v/>
      </c>
      <c r="E676" s="18"/>
      <c r="F676" s="174"/>
      <c r="G676" s="175"/>
      <c r="H676" s="195"/>
      <c r="I676" s="196"/>
      <c r="J676" s="196"/>
      <c r="K676" s="196"/>
      <c r="L676" s="174"/>
      <c r="M676" s="178"/>
      <c r="N676" s="179"/>
      <c r="O676" s="179" t="s">
        <v>227</v>
      </c>
    </row>
    <row r="677" spans="1:15" x14ac:dyDescent="0.15">
      <c r="A677" s="18"/>
      <c r="B6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677)),ROW(),"")</f>
        <v>677</v>
      </c>
      <c r="C677" s="13">
        <f t="shared" si="77"/>
        <v>0</v>
      </c>
      <c r="D677" s="84" t="str">
        <f t="shared" si="78"/>
        <v/>
      </c>
      <c r="E677" s="18"/>
      <c r="F677" s="174"/>
      <c r="G677" s="175"/>
      <c r="H677" s="195"/>
      <c r="I677" s="196"/>
      <c r="J677" s="196"/>
      <c r="K677" s="196"/>
      <c r="L677" s="174"/>
      <c r="M677" s="178"/>
      <c r="N677" s="179"/>
      <c r="O677" s="179" t="s">
        <v>227</v>
      </c>
    </row>
    <row r="678" spans="1:15" x14ac:dyDescent="0.15">
      <c r="A678" s="18"/>
      <c r="B6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678)),ROW(),"")</f>
        <v>678</v>
      </c>
      <c r="C678" s="13">
        <f t="shared" si="77"/>
        <v>0</v>
      </c>
      <c r="D678" s="84" t="str">
        <f t="shared" si="78"/>
        <v/>
      </c>
      <c r="E678" s="18"/>
      <c r="F678" s="174"/>
      <c r="G678" s="175"/>
      <c r="H678" s="195"/>
      <c r="I678" s="196"/>
      <c r="J678" s="196"/>
      <c r="K678" s="196"/>
      <c r="L678" s="174"/>
      <c r="M678" s="178"/>
      <c r="N678" s="179"/>
      <c r="O678" s="179" t="s">
        <v>227</v>
      </c>
    </row>
    <row r="679" spans="1:15" x14ac:dyDescent="0.15">
      <c r="A679" s="18"/>
      <c r="B6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679)),ROW(),"")</f>
        <v>679</v>
      </c>
      <c r="C679" s="13">
        <f t="shared" si="77"/>
        <v>0</v>
      </c>
      <c r="D679" s="84" t="str">
        <f t="shared" si="78"/>
        <v/>
      </c>
      <c r="E679" s="18"/>
      <c r="F679" s="174"/>
      <c r="G679" s="175"/>
      <c r="H679" s="195"/>
      <c r="I679" s="196"/>
      <c r="J679" s="196"/>
      <c r="K679" s="196"/>
      <c r="L679" s="174"/>
      <c r="M679" s="178"/>
      <c r="N679" s="179"/>
      <c r="O679" s="179" t="s">
        <v>227</v>
      </c>
    </row>
    <row r="680" spans="1:15" x14ac:dyDescent="0.15">
      <c r="A680" s="18"/>
      <c r="B6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680)),ROW(),"")</f>
        <v>680</v>
      </c>
      <c r="C680" s="13">
        <f t="shared" si="77"/>
        <v>0</v>
      </c>
      <c r="D680" s="84" t="str">
        <f t="shared" si="78"/>
        <v/>
      </c>
      <c r="E680" s="18"/>
      <c r="F680" s="174"/>
      <c r="G680" s="175"/>
      <c r="H680" s="195"/>
      <c r="I680" s="196"/>
      <c r="J680" s="196"/>
      <c r="K680" s="196"/>
      <c r="L680" s="174"/>
      <c r="M680" s="178"/>
      <c r="N680" s="179"/>
      <c r="O680" s="179" t="s">
        <v>227</v>
      </c>
    </row>
    <row r="681" spans="1:15" x14ac:dyDescent="0.15">
      <c r="A681" s="18"/>
      <c r="B6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681)),ROW(),"")</f>
        <v>681</v>
      </c>
      <c r="C681" s="13">
        <f t="shared" si="77"/>
        <v>0</v>
      </c>
      <c r="D681" s="84" t="str">
        <f t="shared" si="78"/>
        <v/>
      </c>
      <c r="E681" s="18"/>
      <c r="F681" s="174"/>
      <c r="G681" s="175"/>
      <c r="H681" s="195"/>
      <c r="I681" s="196"/>
      <c r="J681" s="196"/>
      <c r="K681" s="196"/>
      <c r="L681" s="174"/>
      <c r="M681" s="178"/>
      <c r="N681" s="179"/>
      <c r="O681" s="179" t="s">
        <v>227</v>
      </c>
    </row>
    <row r="682" spans="1:15" x14ac:dyDescent="0.15">
      <c r="A682" s="18"/>
      <c r="B6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682)),ROW(),"")</f>
        <v>682</v>
      </c>
      <c r="C682" s="13">
        <f t="shared" si="77"/>
        <v>0</v>
      </c>
      <c r="D682" s="84" t="str">
        <f t="shared" si="78"/>
        <v/>
      </c>
      <c r="E682" s="18"/>
      <c r="F682" s="174"/>
      <c r="G682" s="175"/>
      <c r="H682" s="195"/>
      <c r="I682" s="196"/>
      <c r="J682" s="196"/>
      <c r="K682" s="196"/>
      <c r="L682" s="174"/>
      <c r="M682" s="178"/>
      <c r="N682" s="179"/>
      <c r="O682" s="179" t="s">
        <v>227</v>
      </c>
    </row>
    <row r="683" spans="1:15" x14ac:dyDescent="0.15">
      <c r="A683" s="18"/>
      <c r="B6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683)),ROW(),"")</f>
        <v>683</v>
      </c>
      <c r="C683" s="13">
        <f t="shared" si="77"/>
        <v>0</v>
      </c>
      <c r="D683" s="84" t="str">
        <f t="shared" si="78"/>
        <v/>
      </c>
      <c r="E683" s="18"/>
      <c r="F683" s="174"/>
      <c r="G683" s="175"/>
      <c r="H683" s="195"/>
      <c r="I683" s="196"/>
      <c r="J683" s="196"/>
      <c r="K683" s="196"/>
      <c r="L683" s="174"/>
      <c r="M683" s="178"/>
      <c r="N683" s="179"/>
      <c r="O683" s="179" t="s">
        <v>227</v>
      </c>
    </row>
    <row r="684" spans="1:15" x14ac:dyDescent="0.15">
      <c r="A684" s="18"/>
      <c r="B6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684)),ROW(),"")</f>
        <v>684</v>
      </c>
      <c r="C684" s="13">
        <f t="shared" si="77"/>
        <v>0</v>
      </c>
      <c r="D684" s="84" t="str">
        <f t="shared" si="78"/>
        <v/>
      </c>
      <c r="E684" s="18"/>
      <c r="F684" s="174"/>
      <c r="G684" s="175"/>
      <c r="H684" s="195"/>
      <c r="I684" s="196"/>
      <c r="J684" s="196"/>
      <c r="K684" s="196"/>
      <c r="L684" s="174"/>
      <c r="M684" s="178"/>
      <c r="N684" s="179"/>
      <c r="O684" s="179" t="s">
        <v>227</v>
      </c>
    </row>
    <row r="685" spans="1:15" x14ac:dyDescent="0.15">
      <c r="A685" s="18"/>
      <c r="B6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685)),ROW(),"")</f>
        <v>685</v>
      </c>
      <c r="C685" s="13">
        <f t="shared" si="77"/>
        <v>0</v>
      </c>
      <c r="D685" s="84" t="str">
        <f t="shared" si="78"/>
        <v/>
      </c>
      <c r="E685" s="18"/>
      <c r="F685" s="174"/>
      <c r="G685" s="175"/>
      <c r="H685" s="195"/>
      <c r="I685" s="196"/>
      <c r="J685" s="196"/>
      <c r="K685" s="196"/>
      <c r="L685" s="174"/>
      <c r="M685" s="178"/>
      <c r="N685" s="179"/>
      <c r="O685" s="179" t="s">
        <v>227</v>
      </c>
    </row>
    <row r="686" spans="1:15" x14ac:dyDescent="0.15">
      <c r="A686" s="18"/>
      <c r="B6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686)),ROW(),"")</f>
        <v>686</v>
      </c>
      <c r="C686" s="13">
        <f t="shared" si="77"/>
        <v>0</v>
      </c>
      <c r="D686" s="84" t="str">
        <f t="shared" si="78"/>
        <v/>
      </c>
      <c r="E686" s="18"/>
      <c r="F686" s="174"/>
      <c r="G686" s="175"/>
      <c r="H686" s="195"/>
      <c r="I686" s="196"/>
      <c r="J686" s="196"/>
      <c r="K686" s="196"/>
      <c r="L686" s="174"/>
      <c r="M686" s="178"/>
      <c r="N686" s="179"/>
      <c r="O686" s="179" t="s">
        <v>227</v>
      </c>
    </row>
    <row r="687" spans="1:15" x14ac:dyDescent="0.15">
      <c r="A687" s="18"/>
      <c r="B6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687)),ROW(),"")</f>
        <v>687</v>
      </c>
      <c r="C687" s="13">
        <f t="shared" ref="C687:C750" si="79">INDEX(A:A,SMALL($B$3:$B$1039,ROW(A685)))</f>
        <v>0</v>
      </c>
      <c r="D687" s="84" t="str">
        <f t="shared" ref="D687:D750" si="80">PHONETIC(A687)</f>
        <v/>
      </c>
      <c r="E687" s="18"/>
      <c r="F687" s="174"/>
      <c r="G687" s="175"/>
      <c r="H687" s="195"/>
      <c r="I687" s="196"/>
      <c r="J687" s="196"/>
      <c r="K687" s="196"/>
      <c r="L687" s="174"/>
      <c r="M687" s="178"/>
      <c r="N687" s="179"/>
      <c r="O687" s="179" t="s">
        <v>227</v>
      </c>
    </row>
    <row r="688" spans="1:15" x14ac:dyDescent="0.15">
      <c r="A688" s="18"/>
      <c r="B6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688)),ROW(),"")</f>
        <v>688</v>
      </c>
      <c r="C688" s="13">
        <f t="shared" si="79"/>
        <v>0</v>
      </c>
      <c r="D688" s="84" t="str">
        <f t="shared" si="80"/>
        <v/>
      </c>
      <c r="E688" s="18"/>
      <c r="F688" s="174"/>
      <c r="G688" s="175"/>
      <c r="H688" s="195"/>
      <c r="I688" s="196"/>
      <c r="J688" s="196"/>
      <c r="K688" s="196"/>
      <c r="L688" s="174"/>
      <c r="M688" s="178"/>
      <c r="N688" s="179"/>
      <c r="O688" s="179" t="s">
        <v>227</v>
      </c>
    </row>
    <row r="689" spans="1:15" x14ac:dyDescent="0.15">
      <c r="A689" s="18"/>
      <c r="B6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689)),ROW(),"")</f>
        <v>689</v>
      </c>
      <c r="C689" s="13">
        <f t="shared" si="79"/>
        <v>0</v>
      </c>
      <c r="D689" s="84" t="str">
        <f t="shared" si="80"/>
        <v/>
      </c>
      <c r="E689" s="18"/>
      <c r="F689" s="174"/>
      <c r="G689" s="175"/>
      <c r="H689" s="195"/>
      <c r="I689" s="196"/>
      <c r="J689" s="196"/>
      <c r="K689" s="196"/>
      <c r="L689" s="174"/>
      <c r="M689" s="178"/>
      <c r="N689" s="179"/>
      <c r="O689" s="179" t="s">
        <v>227</v>
      </c>
    </row>
    <row r="690" spans="1:15" x14ac:dyDescent="0.15">
      <c r="A690" s="18"/>
      <c r="B6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690)),ROW(),"")</f>
        <v>690</v>
      </c>
      <c r="C690" s="13">
        <f t="shared" si="79"/>
        <v>0</v>
      </c>
      <c r="D690" s="84" t="str">
        <f t="shared" si="80"/>
        <v/>
      </c>
      <c r="E690" s="18"/>
      <c r="F690" s="174"/>
      <c r="G690" s="175"/>
      <c r="H690" s="195"/>
      <c r="I690" s="196"/>
      <c r="J690" s="196"/>
      <c r="K690" s="196"/>
      <c r="L690" s="174"/>
      <c r="M690" s="178"/>
      <c r="N690" s="179"/>
      <c r="O690" s="179" t="s">
        <v>227</v>
      </c>
    </row>
    <row r="691" spans="1:15" x14ac:dyDescent="0.15">
      <c r="A691" s="18"/>
      <c r="B6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691)),ROW(),"")</f>
        <v>691</v>
      </c>
      <c r="C691" s="13">
        <f t="shared" si="79"/>
        <v>0</v>
      </c>
      <c r="D691" s="84" t="str">
        <f t="shared" si="80"/>
        <v/>
      </c>
      <c r="E691" s="18"/>
      <c r="F691" s="174"/>
      <c r="G691" s="175"/>
      <c r="H691" s="195"/>
      <c r="I691" s="196"/>
      <c r="J691" s="196"/>
      <c r="K691" s="196"/>
      <c r="L691" s="174"/>
      <c r="M691" s="178"/>
      <c r="N691" s="179"/>
      <c r="O691" s="179" t="s">
        <v>227</v>
      </c>
    </row>
    <row r="692" spans="1:15" x14ac:dyDescent="0.15">
      <c r="A692" s="18"/>
      <c r="B6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692)),ROW(),"")</f>
        <v>692</v>
      </c>
      <c r="C692" s="13">
        <f t="shared" si="79"/>
        <v>0</v>
      </c>
      <c r="D692" s="84" t="str">
        <f t="shared" si="80"/>
        <v/>
      </c>
      <c r="E692" s="18"/>
      <c r="F692" s="174"/>
      <c r="G692" s="175"/>
      <c r="H692" s="195"/>
      <c r="I692" s="196"/>
      <c r="J692" s="196"/>
      <c r="K692" s="196"/>
      <c r="L692" s="174"/>
      <c r="M692" s="178"/>
      <c r="N692" s="179"/>
      <c r="O692" s="179" t="s">
        <v>227</v>
      </c>
    </row>
    <row r="693" spans="1:15" x14ac:dyDescent="0.15">
      <c r="A693" s="18"/>
      <c r="B6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693)),ROW(),"")</f>
        <v>693</v>
      </c>
      <c r="C693" s="13">
        <f t="shared" si="79"/>
        <v>0</v>
      </c>
      <c r="D693" s="84" t="str">
        <f t="shared" si="80"/>
        <v/>
      </c>
      <c r="E693" s="18"/>
      <c r="F693" s="174"/>
      <c r="G693" s="175"/>
      <c r="H693" s="195"/>
      <c r="I693" s="196"/>
      <c r="J693" s="196"/>
      <c r="K693" s="196"/>
      <c r="L693" s="174"/>
      <c r="M693" s="178"/>
      <c r="N693" s="179"/>
      <c r="O693" s="179" t="s">
        <v>227</v>
      </c>
    </row>
    <row r="694" spans="1:15" x14ac:dyDescent="0.15">
      <c r="A694" s="18"/>
      <c r="B6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694)),ROW(),"")</f>
        <v>694</v>
      </c>
      <c r="C694" s="13">
        <f t="shared" si="79"/>
        <v>0</v>
      </c>
      <c r="D694" s="84" t="str">
        <f t="shared" si="80"/>
        <v/>
      </c>
      <c r="E694" s="18"/>
      <c r="F694" s="174"/>
      <c r="G694" s="175"/>
      <c r="H694" s="195"/>
      <c r="I694" s="196"/>
      <c r="J694" s="196"/>
      <c r="K694" s="196"/>
      <c r="L694" s="174"/>
      <c r="M694" s="178"/>
      <c r="N694" s="179"/>
      <c r="O694" s="179" t="s">
        <v>227</v>
      </c>
    </row>
    <row r="695" spans="1:15" x14ac:dyDescent="0.15">
      <c r="A695" s="18"/>
      <c r="B6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695)),ROW(),"")</f>
        <v>695</v>
      </c>
      <c r="C695" s="13">
        <f t="shared" si="79"/>
        <v>0</v>
      </c>
      <c r="D695" s="84" t="str">
        <f t="shared" si="80"/>
        <v/>
      </c>
      <c r="E695" s="18"/>
      <c r="F695" s="174"/>
      <c r="G695" s="175"/>
      <c r="H695" s="195"/>
      <c r="I695" s="196"/>
      <c r="J695" s="196"/>
      <c r="K695" s="196"/>
      <c r="L695" s="174"/>
      <c r="M695" s="178"/>
      <c r="N695" s="179"/>
      <c r="O695" s="179" t="s">
        <v>227</v>
      </c>
    </row>
    <row r="696" spans="1:15" x14ac:dyDescent="0.15">
      <c r="A696" s="18"/>
      <c r="B6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696)),ROW(),"")</f>
        <v>696</v>
      </c>
      <c r="C696" s="13">
        <f t="shared" si="79"/>
        <v>0</v>
      </c>
      <c r="D696" s="84" t="str">
        <f t="shared" si="80"/>
        <v/>
      </c>
      <c r="E696" s="18"/>
      <c r="F696" s="174"/>
      <c r="G696" s="175"/>
      <c r="H696" s="195"/>
      <c r="I696" s="196"/>
      <c r="J696" s="196"/>
      <c r="K696" s="196"/>
      <c r="L696" s="174"/>
      <c r="M696" s="178"/>
      <c r="N696" s="179"/>
      <c r="O696" s="179" t="s">
        <v>227</v>
      </c>
    </row>
    <row r="697" spans="1:15" x14ac:dyDescent="0.15">
      <c r="A697" s="18"/>
      <c r="B6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697)),ROW(),"")</f>
        <v>697</v>
      </c>
      <c r="C697" s="13">
        <f t="shared" si="79"/>
        <v>0</v>
      </c>
      <c r="D697" s="84" t="str">
        <f t="shared" si="80"/>
        <v/>
      </c>
      <c r="E697" s="18"/>
      <c r="F697" s="174"/>
      <c r="G697" s="175"/>
      <c r="H697" s="195"/>
      <c r="I697" s="196"/>
      <c r="J697" s="196"/>
      <c r="K697" s="196"/>
      <c r="L697" s="174"/>
      <c r="M697" s="178"/>
      <c r="N697" s="179"/>
      <c r="O697" s="179" t="s">
        <v>227</v>
      </c>
    </row>
    <row r="698" spans="1:15" x14ac:dyDescent="0.15">
      <c r="A698" s="18"/>
      <c r="B6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698)),ROW(),"")</f>
        <v>698</v>
      </c>
      <c r="C698" s="13">
        <f t="shared" si="79"/>
        <v>0</v>
      </c>
      <c r="D698" s="84" t="str">
        <f t="shared" si="80"/>
        <v/>
      </c>
      <c r="E698" s="18"/>
      <c r="F698" s="174"/>
      <c r="G698" s="175"/>
      <c r="H698" s="195"/>
      <c r="I698" s="196"/>
      <c r="J698" s="196"/>
      <c r="K698" s="196"/>
      <c r="L698" s="174"/>
      <c r="M698" s="178"/>
      <c r="N698" s="179"/>
      <c r="O698" s="179" t="s">
        <v>227</v>
      </c>
    </row>
    <row r="699" spans="1:15" x14ac:dyDescent="0.15">
      <c r="A699" s="18"/>
      <c r="B6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699)),ROW(),"")</f>
        <v>699</v>
      </c>
      <c r="C699" s="13">
        <f t="shared" si="79"/>
        <v>0</v>
      </c>
      <c r="D699" s="84" t="str">
        <f t="shared" si="80"/>
        <v/>
      </c>
      <c r="E699" s="18"/>
      <c r="F699" s="174"/>
      <c r="G699" s="175"/>
      <c r="H699" s="195"/>
      <c r="I699" s="196"/>
      <c r="J699" s="196"/>
      <c r="K699" s="196"/>
      <c r="L699" s="174"/>
      <c r="M699" s="178"/>
      <c r="N699" s="179"/>
      <c r="O699" s="179" t="s">
        <v>227</v>
      </c>
    </row>
    <row r="700" spans="1:15" x14ac:dyDescent="0.15">
      <c r="A700" s="18"/>
      <c r="B7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700)),ROW(),"")</f>
        <v>700</v>
      </c>
      <c r="C700" s="13">
        <f t="shared" si="79"/>
        <v>0</v>
      </c>
      <c r="D700" s="84" t="str">
        <f t="shared" si="80"/>
        <v/>
      </c>
      <c r="E700" s="18"/>
      <c r="F700" s="174"/>
      <c r="G700" s="175"/>
      <c r="H700" s="195"/>
      <c r="I700" s="196"/>
      <c r="J700" s="196"/>
      <c r="K700" s="196"/>
      <c r="L700" s="174"/>
      <c r="M700" s="178"/>
      <c r="N700" s="179"/>
      <c r="O700" s="179" t="s">
        <v>227</v>
      </c>
    </row>
    <row r="701" spans="1:15" x14ac:dyDescent="0.15">
      <c r="A701" s="18"/>
      <c r="B7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701)),ROW(),"")</f>
        <v>701</v>
      </c>
      <c r="C701" s="13">
        <f t="shared" si="79"/>
        <v>0</v>
      </c>
      <c r="D701" s="84" t="str">
        <f t="shared" si="80"/>
        <v/>
      </c>
      <c r="E701" s="18"/>
      <c r="F701" s="174"/>
      <c r="G701" s="175"/>
      <c r="H701" s="195"/>
      <c r="I701" s="196"/>
      <c r="J701" s="196"/>
      <c r="K701" s="196"/>
      <c r="L701" s="174"/>
      <c r="M701" s="178"/>
      <c r="N701" s="179"/>
      <c r="O701" s="179" t="s">
        <v>227</v>
      </c>
    </row>
    <row r="702" spans="1:15" x14ac:dyDescent="0.15">
      <c r="A702" s="18"/>
      <c r="B7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702)),ROW(),"")</f>
        <v>702</v>
      </c>
      <c r="C702" s="13">
        <f t="shared" si="79"/>
        <v>0</v>
      </c>
      <c r="D702" s="84" t="str">
        <f t="shared" si="80"/>
        <v/>
      </c>
      <c r="E702" s="18"/>
      <c r="F702" s="174"/>
      <c r="G702" s="175"/>
      <c r="H702" s="195"/>
      <c r="I702" s="196"/>
      <c r="J702" s="196"/>
      <c r="K702" s="196"/>
      <c r="L702" s="174"/>
      <c r="M702" s="178"/>
      <c r="N702" s="179"/>
      <c r="O702" s="179" t="s">
        <v>227</v>
      </c>
    </row>
    <row r="703" spans="1:15" x14ac:dyDescent="0.15">
      <c r="A703" s="18"/>
      <c r="B7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703)),ROW(),"")</f>
        <v>703</v>
      </c>
      <c r="C703" s="13">
        <f t="shared" si="79"/>
        <v>0</v>
      </c>
      <c r="D703" s="84" t="str">
        <f t="shared" si="80"/>
        <v/>
      </c>
      <c r="E703" s="18"/>
      <c r="F703" s="174"/>
      <c r="G703" s="175"/>
      <c r="H703" s="195"/>
      <c r="I703" s="196"/>
      <c r="J703" s="196"/>
      <c r="K703" s="196"/>
      <c r="L703" s="174"/>
      <c r="M703" s="178"/>
      <c r="N703" s="179"/>
      <c r="O703" s="179" t="s">
        <v>227</v>
      </c>
    </row>
    <row r="704" spans="1:15" x14ac:dyDescent="0.15">
      <c r="A704" s="18"/>
      <c r="B7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704)),ROW(),"")</f>
        <v>704</v>
      </c>
      <c r="C704" s="13">
        <f t="shared" si="79"/>
        <v>0</v>
      </c>
      <c r="D704" s="84" t="str">
        <f t="shared" si="80"/>
        <v/>
      </c>
      <c r="E704" s="18"/>
      <c r="F704" s="174"/>
      <c r="G704" s="175"/>
      <c r="H704" s="195"/>
      <c r="I704" s="196"/>
      <c r="J704" s="196"/>
      <c r="K704" s="196"/>
      <c r="L704" s="174"/>
      <c r="M704" s="178"/>
      <c r="N704" s="179"/>
      <c r="O704" s="179" t="s">
        <v>227</v>
      </c>
    </row>
    <row r="705" spans="1:15" x14ac:dyDescent="0.15">
      <c r="A705" s="18"/>
      <c r="B7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705)),ROW(),"")</f>
        <v>705</v>
      </c>
      <c r="C705" s="13">
        <f t="shared" si="79"/>
        <v>0</v>
      </c>
      <c r="D705" s="84" t="str">
        <f t="shared" si="80"/>
        <v/>
      </c>
      <c r="E705" s="18"/>
      <c r="F705" s="174"/>
      <c r="G705" s="175"/>
      <c r="H705" s="195"/>
      <c r="I705" s="196"/>
      <c r="J705" s="196"/>
      <c r="K705" s="196"/>
      <c r="L705" s="174"/>
      <c r="M705" s="178"/>
      <c r="N705" s="179"/>
      <c r="O705" s="179" t="s">
        <v>227</v>
      </c>
    </row>
    <row r="706" spans="1:15" x14ac:dyDescent="0.15">
      <c r="A706" s="18"/>
      <c r="B7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706)),ROW(),"")</f>
        <v>706</v>
      </c>
      <c r="C706" s="13">
        <f t="shared" si="79"/>
        <v>0</v>
      </c>
      <c r="D706" s="84" t="str">
        <f t="shared" si="80"/>
        <v/>
      </c>
      <c r="E706" s="18"/>
      <c r="F706" s="174"/>
      <c r="G706" s="175"/>
      <c r="H706" s="195"/>
      <c r="I706" s="196"/>
      <c r="J706" s="196"/>
      <c r="K706" s="196"/>
      <c r="L706" s="174"/>
      <c r="M706" s="178"/>
      <c r="N706" s="179"/>
      <c r="O706" s="179" t="s">
        <v>227</v>
      </c>
    </row>
    <row r="707" spans="1:15" x14ac:dyDescent="0.15">
      <c r="A707" s="18"/>
      <c r="B7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707)),ROW(),"")</f>
        <v>707</v>
      </c>
      <c r="C707" s="13">
        <f t="shared" si="79"/>
        <v>0</v>
      </c>
      <c r="D707" s="84" t="str">
        <f t="shared" si="80"/>
        <v/>
      </c>
      <c r="E707" s="18"/>
      <c r="F707" s="174"/>
      <c r="G707" s="175"/>
      <c r="H707" s="195"/>
      <c r="I707" s="196"/>
      <c r="J707" s="196"/>
      <c r="K707" s="196"/>
      <c r="L707" s="174"/>
      <c r="M707" s="178"/>
      <c r="N707" s="179"/>
      <c r="O707" s="179" t="s">
        <v>227</v>
      </c>
    </row>
    <row r="708" spans="1:15" x14ac:dyDescent="0.15">
      <c r="A708" s="18"/>
      <c r="B7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708)),ROW(),"")</f>
        <v>708</v>
      </c>
      <c r="C708" s="13">
        <f t="shared" si="79"/>
        <v>0</v>
      </c>
      <c r="D708" s="84" t="str">
        <f t="shared" si="80"/>
        <v/>
      </c>
      <c r="E708" s="18"/>
      <c r="F708" s="174"/>
      <c r="G708" s="175"/>
      <c r="H708" s="195"/>
      <c r="I708" s="196"/>
      <c r="J708" s="196"/>
      <c r="K708" s="196"/>
      <c r="L708" s="174"/>
      <c r="M708" s="178"/>
      <c r="N708" s="179"/>
      <c r="O708" s="179" t="s">
        <v>227</v>
      </c>
    </row>
    <row r="709" spans="1:15" x14ac:dyDescent="0.15">
      <c r="A709" s="18"/>
      <c r="B7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709)),ROW(),"")</f>
        <v>709</v>
      </c>
      <c r="C709" s="13">
        <f t="shared" si="79"/>
        <v>0</v>
      </c>
      <c r="D709" s="84" t="str">
        <f t="shared" si="80"/>
        <v/>
      </c>
      <c r="E709" s="18"/>
      <c r="F709" s="174"/>
      <c r="G709" s="175"/>
      <c r="H709" s="195"/>
      <c r="I709" s="196"/>
      <c r="J709" s="196"/>
      <c r="K709" s="196"/>
      <c r="L709" s="174"/>
      <c r="M709" s="178"/>
      <c r="N709" s="179"/>
      <c r="O709" s="179" t="s">
        <v>227</v>
      </c>
    </row>
    <row r="710" spans="1:15" x14ac:dyDescent="0.15">
      <c r="A710" s="18"/>
      <c r="B7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710)),ROW(),"")</f>
        <v>710</v>
      </c>
      <c r="C710" s="13">
        <f t="shared" si="79"/>
        <v>0</v>
      </c>
      <c r="D710" s="84" t="str">
        <f t="shared" si="80"/>
        <v/>
      </c>
      <c r="E710" s="18"/>
      <c r="F710" s="174"/>
      <c r="G710" s="175"/>
      <c r="H710" s="195"/>
      <c r="I710" s="196"/>
      <c r="J710" s="196"/>
      <c r="K710" s="196"/>
      <c r="L710" s="174"/>
      <c r="M710" s="178"/>
      <c r="N710" s="179"/>
      <c r="O710" s="179" t="s">
        <v>227</v>
      </c>
    </row>
    <row r="711" spans="1:15" x14ac:dyDescent="0.15">
      <c r="A711" s="18"/>
      <c r="B7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711)),ROW(),"")</f>
        <v>711</v>
      </c>
      <c r="C711" s="13">
        <f t="shared" si="79"/>
        <v>0</v>
      </c>
      <c r="D711" s="84" t="str">
        <f t="shared" si="80"/>
        <v/>
      </c>
      <c r="E711" s="18"/>
      <c r="F711" s="174"/>
      <c r="G711" s="175"/>
      <c r="H711" s="195"/>
      <c r="I711" s="196"/>
      <c r="J711" s="196"/>
      <c r="K711" s="196"/>
      <c r="L711" s="174"/>
      <c r="M711" s="178"/>
      <c r="N711" s="179"/>
      <c r="O711" s="179" t="s">
        <v>227</v>
      </c>
    </row>
    <row r="712" spans="1:15" x14ac:dyDescent="0.15">
      <c r="A712" s="18"/>
      <c r="B7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712)),ROW(),"")</f>
        <v>712</v>
      </c>
      <c r="C712" s="13">
        <f t="shared" si="79"/>
        <v>0</v>
      </c>
      <c r="D712" s="84" t="str">
        <f t="shared" si="80"/>
        <v/>
      </c>
      <c r="E712" s="18"/>
      <c r="F712" s="174"/>
      <c r="G712" s="175"/>
      <c r="H712" s="195"/>
      <c r="I712" s="196"/>
      <c r="J712" s="196"/>
      <c r="K712" s="196"/>
      <c r="L712" s="174"/>
      <c r="M712" s="178"/>
      <c r="N712" s="179"/>
      <c r="O712" s="179" t="s">
        <v>227</v>
      </c>
    </row>
    <row r="713" spans="1:15" x14ac:dyDescent="0.15">
      <c r="A713" s="18"/>
      <c r="B7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713)),ROW(),"")</f>
        <v>713</v>
      </c>
      <c r="C713" s="13">
        <f t="shared" si="79"/>
        <v>0</v>
      </c>
      <c r="D713" s="84" t="str">
        <f t="shared" si="80"/>
        <v/>
      </c>
      <c r="E713" s="18"/>
      <c r="F713" s="174"/>
      <c r="G713" s="175"/>
      <c r="H713" s="195"/>
      <c r="I713" s="196"/>
      <c r="J713" s="196"/>
      <c r="K713" s="196"/>
      <c r="L713" s="174"/>
      <c r="M713" s="178"/>
      <c r="N713" s="179"/>
      <c r="O713" s="179" t="s">
        <v>227</v>
      </c>
    </row>
    <row r="714" spans="1:15" x14ac:dyDescent="0.15">
      <c r="A714" s="18"/>
      <c r="B7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714)),ROW(),"")</f>
        <v>714</v>
      </c>
      <c r="C714" s="13">
        <f t="shared" si="79"/>
        <v>0</v>
      </c>
      <c r="D714" s="84" t="str">
        <f t="shared" si="80"/>
        <v/>
      </c>
      <c r="E714" s="18"/>
      <c r="F714" s="174"/>
      <c r="G714" s="175"/>
      <c r="H714" s="195"/>
      <c r="I714" s="196"/>
      <c r="J714" s="196"/>
      <c r="K714" s="196"/>
      <c r="L714" s="174"/>
      <c r="M714" s="178"/>
      <c r="N714" s="179"/>
      <c r="O714" s="179" t="s">
        <v>227</v>
      </c>
    </row>
    <row r="715" spans="1:15" x14ac:dyDescent="0.15">
      <c r="A715" s="18"/>
      <c r="B7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715)),ROW(),"")</f>
        <v>715</v>
      </c>
      <c r="C715" s="13">
        <f t="shared" si="79"/>
        <v>0</v>
      </c>
      <c r="D715" s="84" t="str">
        <f t="shared" si="80"/>
        <v/>
      </c>
      <c r="E715" s="18"/>
      <c r="F715" s="174"/>
      <c r="G715" s="175"/>
      <c r="H715" s="195"/>
      <c r="I715" s="196"/>
      <c r="J715" s="196"/>
      <c r="K715" s="196"/>
      <c r="L715" s="174"/>
      <c r="M715" s="178"/>
      <c r="N715" s="179"/>
      <c r="O715" s="179" t="s">
        <v>227</v>
      </c>
    </row>
    <row r="716" spans="1:15" x14ac:dyDescent="0.15">
      <c r="A716" s="18"/>
      <c r="B7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716)),ROW(),"")</f>
        <v>716</v>
      </c>
      <c r="C716" s="13">
        <f t="shared" si="79"/>
        <v>0</v>
      </c>
      <c r="D716" s="84" t="str">
        <f t="shared" si="80"/>
        <v/>
      </c>
      <c r="E716" s="18"/>
      <c r="F716" s="174"/>
      <c r="G716" s="175"/>
      <c r="H716" s="195"/>
      <c r="I716" s="196"/>
      <c r="J716" s="196"/>
      <c r="K716" s="196"/>
      <c r="L716" s="174"/>
      <c r="M716" s="178"/>
      <c r="N716" s="179"/>
      <c r="O716" s="179" t="s">
        <v>227</v>
      </c>
    </row>
    <row r="717" spans="1:15" x14ac:dyDescent="0.15">
      <c r="A717" s="18"/>
      <c r="B7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717)),ROW(),"")</f>
        <v>717</v>
      </c>
      <c r="C717" s="13">
        <f t="shared" si="79"/>
        <v>0</v>
      </c>
      <c r="D717" s="84" t="str">
        <f t="shared" si="80"/>
        <v/>
      </c>
      <c r="E717" s="18"/>
      <c r="F717" s="174"/>
      <c r="G717" s="175"/>
      <c r="H717" s="195"/>
      <c r="I717" s="196"/>
      <c r="J717" s="196"/>
      <c r="K717" s="196"/>
      <c r="L717" s="174"/>
      <c r="M717" s="178"/>
      <c r="N717" s="179"/>
      <c r="O717" s="179" t="s">
        <v>227</v>
      </c>
    </row>
    <row r="718" spans="1:15" x14ac:dyDescent="0.15">
      <c r="A718" s="18"/>
      <c r="B7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718)),ROW(),"")</f>
        <v>718</v>
      </c>
      <c r="C718" s="13">
        <f t="shared" si="79"/>
        <v>0</v>
      </c>
      <c r="D718" s="84" t="str">
        <f t="shared" si="80"/>
        <v/>
      </c>
      <c r="E718" s="18"/>
      <c r="F718" s="174"/>
      <c r="G718" s="175"/>
      <c r="H718" s="195"/>
      <c r="I718" s="196"/>
      <c r="J718" s="196"/>
      <c r="K718" s="196"/>
      <c r="L718" s="174"/>
      <c r="M718" s="178"/>
      <c r="N718" s="179"/>
      <c r="O718" s="179" t="s">
        <v>227</v>
      </c>
    </row>
    <row r="719" spans="1:15" x14ac:dyDescent="0.15">
      <c r="A719" s="18"/>
      <c r="B7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719)),ROW(),"")</f>
        <v>719</v>
      </c>
      <c r="C719" s="13">
        <f t="shared" si="79"/>
        <v>0</v>
      </c>
      <c r="D719" s="84" t="str">
        <f t="shared" si="80"/>
        <v/>
      </c>
      <c r="E719" s="18"/>
      <c r="F719" s="174"/>
      <c r="G719" s="175"/>
      <c r="H719" s="195"/>
      <c r="I719" s="196"/>
      <c r="J719" s="196"/>
      <c r="K719" s="196"/>
      <c r="L719" s="174"/>
      <c r="M719" s="178"/>
      <c r="N719" s="179"/>
      <c r="O719" s="179" t="s">
        <v>227</v>
      </c>
    </row>
    <row r="720" spans="1:15" x14ac:dyDescent="0.15">
      <c r="A720" s="18"/>
      <c r="B7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720)),ROW(),"")</f>
        <v>720</v>
      </c>
      <c r="C720" s="13">
        <f t="shared" si="79"/>
        <v>0</v>
      </c>
      <c r="D720" s="84" t="str">
        <f t="shared" si="80"/>
        <v/>
      </c>
      <c r="E720" s="18"/>
      <c r="F720" s="174"/>
      <c r="G720" s="175"/>
      <c r="H720" s="195"/>
      <c r="I720" s="196"/>
      <c r="J720" s="196"/>
      <c r="K720" s="196"/>
      <c r="L720" s="174"/>
      <c r="M720" s="178"/>
      <c r="N720" s="179"/>
      <c r="O720" s="179" t="s">
        <v>227</v>
      </c>
    </row>
    <row r="721" spans="1:15" x14ac:dyDescent="0.15">
      <c r="A721" s="18"/>
      <c r="B7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721)),ROW(),"")</f>
        <v>721</v>
      </c>
      <c r="C721" s="13">
        <f t="shared" si="79"/>
        <v>0</v>
      </c>
      <c r="D721" s="84" t="str">
        <f t="shared" si="80"/>
        <v/>
      </c>
      <c r="E721" s="18"/>
      <c r="F721" s="174"/>
      <c r="G721" s="175"/>
      <c r="H721" s="195"/>
      <c r="I721" s="196"/>
      <c r="J721" s="196"/>
      <c r="K721" s="196"/>
      <c r="L721" s="174"/>
      <c r="M721" s="178"/>
      <c r="N721" s="179"/>
      <c r="O721" s="179" t="s">
        <v>227</v>
      </c>
    </row>
    <row r="722" spans="1:15" x14ac:dyDescent="0.15">
      <c r="A722" s="18"/>
      <c r="B7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722)),ROW(),"")</f>
        <v>722</v>
      </c>
      <c r="C722" s="13">
        <f t="shared" si="79"/>
        <v>0</v>
      </c>
      <c r="D722" s="84" t="str">
        <f t="shared" si="80"/>
        <v/>
      </c>
      <c r="E722" s="18"/>
      <c r="F722" s="174"/>
      <c r="G722" s="175"/>
      <c r="H722" s="195"/>
      <c r="I722" s="196"/>
      <c r="J722" s="196"/>
      <c r="K722" s="196"/>
      <c r="L722" s="174"/>
      <c r="M722" s="178"/>
      <c r="N722" s="179"/>
      <c r="O722" s="179" t="s">
        <v>227</v>
      </c>
    </row>
    <row r="723" spans="1:15" x14ac:dyDescent="0.15">
      <c r="A723" s="18"/>
      <c r="B7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723)),ROW(),"")</f>
        <v>723</v>
      </c>
      <c r="C723" s="13">
        <f t="shared" si="79"/>
        <v>0</v>
      </c>
      <c r="D723" s="84" t="str">
        <f t="shared" si="80"/>
        <v/>
      </c>
      <c r="E723" s="18"/>
      <c r="F723" s="174"/>
      <c r="G723" s="175"/>
      <c r="H723" s="195"/>
      <c r="I723" s="196"/>
      <c r="J723" s="196"/>
      <c r="K723" s="196"/>
      <c r="L723" s="174"/>
      <c r="M723" s="178"/>
      <c r="N723" s="179"/>
      <c r="O723" s="179" t="s">
        <v>227</v>
      </c>
    </row>
    <row r="724" spans="1:15" x14ac:dyDescent="0.15">
      <c r="A724" s="18"/>
      <c r="B7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724)),ROW(),"")</f>
        <v>724</v>
      </c>
      <c r="C724" s="13">
        <f t="shared" si="79"/>
        <v>0</v>
      </c>
      <c r="D724" s="84" t="str">
        <f t="shared" si="80"/>
        <v/>
      </c>
      <c r="E724" s="18"/>
      <c r="F724" s="174"/>
      <c r="G724" s="175"/>
      <c r="H724" s="195"/>
      <c r="I724" s="196"/>
      <c r="J724" s="196"/>
      <c r="K724" s="196"/>
      <c r="L724" s="174"/>
      <c r="M724" s="178"/>
      <c r="N724" s="179"/>
      <c r="O724" s="179" t="s">
        <v>227</v>
      </c>
    </row>
    <row r="725" spans="1:15" x14ac:dyDescent="0.15">
      <c r="A725" s="18"/>
      <c r="B7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725)),ROW(),"")</f>
        <v>725</v>
      </c>
      <c r="C725" s="13">
        <f t="shared" si="79"/>
        <v>0</v>
      </c>
      <c r="D725" s="84" t="str">
        <f t="shared" si="80"/>
        <v/>
      </c>
      <c r="E725" s="18"/>
      <c r="F725" s="174"/>
      <c r="G725" s="175"/>
      <c r="H725" s="195"/>
      <c r="I725" s="196"/>
      <c r="J725" s="196"/>
      <c r="K725" s="196"/>
      <c r="L725" s="174"/>
      <c r="M725" s="178"/>
      <c r="N725" s="179"/>
      <c r="O725" s="179" t="s">
        <v>227</v>
      </c>
    </row>
    <row r="726" spans="1:15" x14ac:dyDescent="0.15">
      <c r="A726" s="18"/>
      <c r="B7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726)),ROW(),"")</f>
        <v>726</v>
      </c>
      <c r="C726" s="13">
        <f t="shared" si="79"/>
        <v>0</v>
      </c>
      <c r="D726" s="84" t="str">
        <f t="shared" si="80"/>
        <v/>
      </c>
      <c r="E726" s="18"/>
      <c r="F726" s="174"/>
      <c r="G726" s="175"/>
      <c r="H726" s="195"/>
      <c r="I726" s="196"/>
      <c r="J726" s="196"/>
      <c r="K726" s="196"/>
      <c r="L726" s="174"/>
      <c r="M726" s="178"/>
      <c r="N726" s="179"/>
      <c r="O726" s="179" t="s">
        <v>227</v>
      </c>
    </row>
    <row r="727" spans="1:15" x14ac:dyDescent="0.15">
      <c r="A727" s="18"/>
      <c r="B7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727)),ROW(),"")</f>
        <v>727</v>
      </c>
      <c r="C727" s="13">
        <f t="shared" si="79"/>
        <v>0</v>
      </c>
      <c r="D727" s="84" t="str">
        <f t="shared" si="80"/>
        <v/>
      </c>
      <c r="E727" s="18"/>
      <c r="F727" s="174"/>
      <c r="G727" s="175"/>
      <c r="H727" s="195"/>
      <c r="I727" s="196"/>
      <c r="J727" s="196"/>
      <c r="K727" s="196"/>
      <c r="L727" s="174"/>
      <c r="M727" s="178"/>
      <c r="N727" s="179"/>
      <c r="O727" s="179" t="s">
        <v>227</v>
      </c>
    </row>
    <row r="728" spans="1:15" x14ac:dyDescent="0.15">
      <c r="A728" s="18"/>
      <c r="B7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728)),ROW(),"")</f>
        <v>728</v>
      </c>
      <c r="C728" s="13">
        <f t="shared" si="79"/>
        <v>0</v>
      </c>
      <c r="D728" s="84" t="str">
        <f t="shared" si="80"/>
        <v/>
      </c>
      <c r="E728" s="18"/>
      <c r="F728" s="174"/>
      <c r="G728" s="175"/>
      <c r="H728" s="195"/>
      <c r="I728" s="196"/>
      <c r="J728" s="196"/>
      <c r="K728" s="196"/>
      <c r="L728" s="174"/>
      <c r="M728" s="178"/>
      <c r="N728" s="179"/>
      <c r="O728" s="179" t="s">
        <v>227</v>
      </c>
    </row>
    <row r="729" spans="1:15" x14ac:dyDescent="0.15">
      <c r="A729" s="18"/>
      <c r="B7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729)),ROW(),"")</f>
        <v>729</v>
      </c>
      <c r="C729" s="13">
        <f t="shared" si="79"/>
        <v>0</v>
      </c>
      <c r="D729" s="84" t="str">
        <f t="shared" si="80"/>
        <v/>
      </c>
      <c r="E729" s="18"/>
      <c r="F729" s="174"/>
      <c r="G729" s="175"/>
      <c r="H729" s="195"/>
      <c r="I729" s="196"/>
      <c r="J729" s="196"/>
      <c r="K729" s="196"/>
      <c r="L729" s="174"/>
      <c r="M729" s="178"/>
      <c r="N729" s="179"/>
      <c r="O729" s="179" t="s">
        <v>227</v>
      </c>
    </row>
    <row r="730" spans="1:15" x14ac:dyDescent="0.15">
      <c r="A730" s="18"/>
      <c r="B7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730)),ROW(),"")</f>
        <v>730</v>
      </c>
      <c r="C730" s="13">
        <f t="shared" si="79"/>
        <v>0</v>
      </c>
      <c r="D730" s="84" t="str">
        <f t="shared" si="80"/>
        <v/>
      </c>
      <c r="E730" s="18"/>
      <c r="F730" s="174"/>
      <c r="G730" s="175"/>
      <c r="H730" s="195"/>
      <c r="I730" s="196"/>
      <c r="J730" s="196"/>
      <c r="K730" s="196"/>
      <c r="L730" s="174"/>
      <c r="M730" s="178"/>
      <c r="N730" s="179"/>
      <c r="O730" s="179" t="s">
        <v>227</v>
      </c>
    </row>
    <row r="731" spans="1:15" x14ac:dyDescent="0.15">
      <c r="A731" s="18"/>
      <c r="B7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731)),ROW(),"")</f>
        <v>731</v>
      </c>
      <c r="C731" s="13">
        <f t="shared" si="79"/>
        <v>0</v>
      </c>
      <c r="D731" s="84" t="str">
        <f t="shared" si="80"/>
        <v/>
      </c>
      <c r="E731" s="18"/>
      <c r="F731" s="174"/>
      <c r="G731" s="175"/>
      <c r="H731" s="195"/>
      <c r="I731" s="196"/>
      <c r="J731" s="196"/>
      <c r="K731" s="196"/>
      <c r="L731" s="174"/>
      <c r="M731" s="178"/>
      <c r="N731" s="179"/>
      <c r="O731" s="179" t="s">
        <v>227</v>
      </c>
    </row>
    <row r="732" spans="1:15" x14ac:dyDescent="0.15">
      <c r="A732" s="18"/>
      <c r="B7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732)),ROW(),"")</f>
        <v>732</v>
      </c>
      <c r="C732" s="13">
        <f t="shared" si="79"/>
        <v>0</v>
      </c>
      <c r="D732" s="84" t="str">
        <f t="shared" si="80"/>
        <v/>
      </c>
      <c r="E732" s="18"/>
      <c r="F732" s="174"/>
      <c r="G732" s="175"/>
      <c r="H732" s="195"/>
      <c r="I732" s="196"/>
      <c r="J732" s="196"/>
      <c r="K732" s="196"/>
      <c r="L732" s="174"/>
      <c r="M732" s="178"/>
      <c r="N732" s="179"/>
      <c r="O732" s="179" t="s">
        <v>227</v>
      </c>
    </row>
    <row r="733" spans="1:15" x14ac:dyDescent="0.15">
      <c r="A733" s="18"/>
      <c r="B7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733)),ROW(),"")</f>
        <v>733</v>
      </c>
      <c r="C733" s="13">
        <f t="shared" si="79"/>
        <v>0</v>
      </c>
      <c r="D733" s="84" t="str">
        <f t="shared" si="80"/>
        <v/>
      </c>
      <c r="E733" s="18"/>
      <c r="F733" s="174"/>
      <c r="G733" s="175"/>
      <c r="H733" s="195"/>
      <c r="I733" s="196"/>
      <c r="J733" s="196"/>
      <c r="K733" s="196"/>
      <c r="L733" s="174"/>
      <c r="M733" s="178"/>
      <c r="N733" s="179"/>
      <c r="O733" s="179" t="s">
        <v>227</v>
      </c>
    </row>
    <row r="734" spans="1:15" x14ac:dyDescent="0.15">
      <c r="A734" s="18"/>
      <c r="B7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734)),ROW(),"")</f>
        <v>734</v>
      </c>
      <c r="C734" s="13">
        <f t="shared" si="79"/>
        <v>0</v>
      </c>
      <c r="D734" s="84" t="str">
        <f t="shared" si="80"/>
        <v/>
      </c>
      <c r="E734" s="18"/>
      <c r="F734" s="174"/>
      <c r="G734" s="175"/>
      <c r="H734" s="195"/>
      <c r="I734" s="196"/>
      <c r="J734" s="196"/>
      <c r="K734" s="196"/>
      <c r="L734" s="174"/>
      <c r="M734" s="178"/>
      <c r="N734" s="179"/>
      <c r="O734" s="179" t="s">
        <v>227</v>
      </c>
    </row>
    <row r="735" spans="1:15" x14ac:dyDescent="0.15">
      <c r="A735" s="18"/>
      <c r="B7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735)),ROW(),"")</f>
        <v>735</v>
      </c>
      <c r="C735" s="13">
        <f t="shared" si="79"/>
        <v>0</v>
      </c>
      <c r="D735" s="84" t="str">
        <f t="shared" si="80"/>
        <v/>
      </c>
      <c r="E735" s="18"/>
      <c r="F735" s="174"/>
      <c r="G735" s="175"/>
      <c r="H735" s="195"/>
      <c r="I735" s="196"/>
      <c r="J735" s="196"/>
      <c r="K735" s="196"/>
      <c r="L735" s="174"/>
      <c r="M735" s="178"/>
      <c r="N735" s="179"/>
      <c r="O735" s="179" t="s">
        <v>227</v>
      </c>
    </row>
    <row r="736" spans="1:15" x14ac:dyDescent="0.15">
      <c r="A736" s="18"/>
      <c r="B7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736)),ROW(),"")</f>
        <v>736</v>
      </c>
      <c r="C736" s="13">
        <f t="shared" si="79"/>
        <v>0</v>
      </c>
      <c r="D736" s="84" t="str">
        <f t="shared" si="80"/>
        <v/>
      </c>
      <c r="E736" s="18"/>
      <c r="F736" s="174"/>
      <c r="G736" s="175"/>
      <c r="H736" s="195"/>
      <c r="I736" s="196"/>
      <c r="J736" s="196"/>
      <c r="K736" s="196"/>
      <c r="L736" s="174"/>
      <c r="M736" s="178"/>
      <c r="N736" s="179"/>
      <c r="O736" s="179" t="s">
        <v>227</v>
      </c>
    </row>
    <row r="737" spans="1:15" x14ac:dyDescent="0.15">
      <c r="A737" s="18"/>
      <c r="B7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737)),ROW(),"")</f>
        <v>737</v>
      </c>
      <c r="C737" s="13">
        <f t="shared" si="79"/>
        <v>0</v>
      </c>
      <c r="D737" s="84" t="str">
        <f t="shared" si="80"/>
        <v/>
      </c>
      <c r="E737" s="18"/>
      <c r="F737" s="174"/>
      <c r="G737" s="175"/>
      <c r="H737" s="195"/>
      <c r="I737" s="196"/>
      <c r="J737" s="196"/>
      <c r="K737" s="196"/>
      <c r="L737" s="174"/>
      <c r="M737" s="178"/>
      <c r="N737" s="179"/>
      <c r="O737" s="179" t="s">
        <v>227</v>
      </c>
    </row>
    <row r="738" spans="1:15" x14ac:dyDescent="0.15">
      <c r="A738" s="18"/>
      <c r="B7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738)),ROW(),"")</f>
        <v>738</v>
      </c>
      <c r="C738" s="13">
        <f t="shared" si="79"/>
        <v>0</v>
      </c>
      <c r="D738" s="84" t="str">
        <f t="shared" si="80"/>
        <v/>
      </c>
      <c r="E738" s="18"/>
      <c r="F738" s="174"/>
      <c r="G738" s="175"/>
      <c r="H738" s="195"/>
      <c r="I738" s="196"/>
      <c r="J738" s="196"/>
      <c r="K738" s="196"/>
      <c r="L738" s="174"/>
      <c r="M738" s="178"/>
      <c r="N738" s="179"/>
      <c r="O738" s="179" t="s">
        <v>227</v>
      </c>
    </row>
    <row r="739" spans="1:15" x14ac:dyDescent="0.15">
      <c r="A739" s="18"/>
      <c r="B7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739)),ROW(),"")</f>
        <v>739</v>
      </c>
      <c r="C739" s="13">
        <f t="shared" si="79"/>
        <v>0</v>
      </c>
      <c r="D739" s="84" t="str">
        <f t="shared" si="80"/>
        <v/>
      </c>
      <c r="E739" s="18"/>
      <c r="F739" s="174"/>
      <c r="G739" s="175"/>
      <c r="H739" s="195"/>
      <c r="I739" s="196"/>
      <c r="J739" s="196"/>
      <c r="K739" s="196"/>
      <c r="L739" s="174"/>
      <c r="M739" s="178"/>
      <c r="N739" s="179"/>
      <c r="O739" s="179" t="s">
        <v>227</v>
      </c>
    </row>
    <row r="740" spans="1:15" x14ac:dyDescent="0.15">
      <c r="A740" s="18"/>
      <c r="B7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740)),ROW(),"")</f>
        <v>740</v>
      </c>
      <c r="C740" s="13">
        <f t="shared" si="79"/>
        <v>0</v>
      </c>
      <c r="D740" s="84" t="str">
        <f t="shared" si="80"/>
        <v/>
      </c>
      <c r="E740" s="18"/>
      <c r="F740" s="174"/>
      <c r="G740" s="175"/>
      <c r="H740" s="195"/>
      <c r="I740" s="196"/>
      <c r="J740" s="196"/>
      <c r="K740" s="196"/>
      <c r="L740" s="174"/>
      <c r="M740" s="178"/>
      <c r="N740" s="179"/>
      <c r="O740" s="179" t="s">
        <v>227</v>
      </c>
    </row>
    <row r="741" spans="1:15" x14ac:dyDescent="0.15">
      <c r="A741" s="18"/>
      <c r="B7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741)),ROW(),"")</f>
        <v>741</v>
      </c>
      <c r="C741" s="13">
        <f t="shared" si="79"/>
        <v>0</v>
      </c>
      <c r="D741" s="84" t="str">
        <f t="shared" si="80"/>
        <v/>
      </c>
      <c r="E741" s="18"/>
      <c r="F741" s="174"/>
      <c r="G741" s="175"/>
      <c r="H741" s="195"/>
      <c r="I741" s="196"/>
      <c r="J741" s="196"/>
      <c r="K741" s="196"/>
      <c r="L741" s="174"/>
      <c r="M741" s="178"/>
      <c r="N741" s="179"/>
      <c r="O741" s="179" t="s">
        <v>227</v>
      </c>
    </row>
    <row r="742" spans="1:15" x14ac:dyDescent="0.15">
      <c r="A742" s="18"/>
      <c r="B7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742)),ROW(),"")</f>
        <v>742</v>
      </c>
      <c r="C742" s="13">
        <f t="shared" si="79"/>
        <v>0</v>
      </c>
      <c r="D742" s="84" t="str">
        <f t="shared" si="80"/>
        <v/>
      </c>
      <c r="E742" s="18"/>
      <c r="F742" s="174"/>
      <c r="G742" s="175"/>
      <c r="H742" s="195"/>
      <c r="I742" s="196"/>
      <c r="J742" s="196"/>
      <c r="K742" s="196"/>
      <c r="L742" s="174"/>
      <c r="M742" s="178"/>
      <c r="N742" s="179"/>
      <c r="O742" s="179" t="s">
        <v>227</v>
      </c>
    </row>
    <row r="743" spans="1:15" x14ac:dyDescent="0.15">
      <c r="A743" s="18"/>
      <c r="B7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743)),ROW(),"")</f>
        <v>743</v>
      </c>
      <c r="C743" s="13">
        <f t="shared" si="79"/>
        <v>0</v>
      </c>
      <c r="D743" s="84" t="str">
        <f t="shared" si="80"/>
        <v/>
      </c>
      <c r="E743" s="18"/>
      <c r="F743" s="174"/>
      <c r="G743" s="175"/>
      <c r="H743" s="195"/>
      <c r="I743" s="196"/>
      <c r="J743" s="196"/>
      <c r="K743" s="196"/>
      <c r="L743" s="174"/>
      <c r="M743" s="178"/>
      <c r="N743" s="179"/>
      <c r="O743" s="179" t="s">
        <v>227</v>
      </c>
    </row>
    <row r="744" spans="1:15" x14ac:dyDescent="0.15">
      <c r="A744" s="18"/>
      <c r="B7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744)),ROW(),"")</f>
        <v>744</v>
      </c>
      <c r="C744" s="13">
        <f t="shared" si="79"/>
        <v>0</v>
      </c>
      <c r="D744" s="84" t="str">
        <f t="shared" si="80"/>
        <v/>
      </c>
      <c r="E744" s="18"/>
      <c r="F744" s="174"/>
      <c r="G744" s="175"/>
      <c r="H744" s="195"/>
      <c r="I744" s="196"/>
      <c r="J744" s="196"/>
      <c r="K744" s="196"/>
      <c r="L744" s="174"/>
      <c r="M744" s="178"/>
      <c r="N744" s="179"/>
      <c r="O744" s="179" t="s">
        <v>227</v>
      </c>
    </row>
    <row r="745" spans="1:15" x14ac:dyDescent="0.15">
      <c r="A745" s="18"/>
      <c r="B7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745)),ROW(),"")</f>
        <v>745</v>
      </c>
      <c r="C745" s="13">
        <f t="shared" si="79"/>
        <v>0</v>
      </c>
      <c r="D745" s="84" t="str">
        <f t="shared" si="80"/>
        <v/>
      </c>
      <c r="E745" s="18"/>
      <c r="F745" s="174"/>
      <c r="G745" s="175"/>
      <c r="H745" s="195"/>
      <c r="I745" s="196"/>
      <c r="J745" s="196"/>
      <c r="K745" s="196"/>
      <c r="L745" s="174"/>
      <c r="M745" s="178"/>
      <c r="N745" s="179"/>
      <c r="O745" s="179" t="s">
        <v>227</v>
      </c>
    </row>
    <row r="746" spans="1:15" x14ac:dyDescent="0.15">
      <c r="A746" s="18"/>
      <c r="B7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746)),ROW(),"")</f>
        <v>746</v>
      </c>
      <c r="C746" s="13">
        <f t="shared" si="79"/>
        <v>0</v>
      </c>
      <c r="D746" s="84" t="str">
        <f t="shared" si="80"/>
        <v/>
      </c>
      <c r="E746" s="18"/>
      <c r="F746" s="174"/>
      <c r="G746" s="175"/>
      <c r="H746" s="195"/>
      <c r="I746" s="196"/>
      <c r="J746" s="196"/>
      <c r="K746" s="196"/>
      <c r="L746" s="174"/>
      <c r="M746" s="178"/>
      <c r="N746" s="179"/>
      <c r="O746" s="179" t="s">
        <v>227</v>
      </c>
    </row>
    <row r="747" spans="1:15" x14ac:dyDescent="0.15">
      <c r="A747" s="18"/>
      <c r="B7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747)),ROW(),"")</f>
        <v>747</v>
      </c>
      <c r="C747" s="13">
        <f t="shared" si="79"/>
        <v>0</v>
      </c>
      <c r="D747" s="84" t="str">
        <f t="shared" si="80"/>
        <v/>
      </c>
      <c r="E747" s="18"/>
      <c r="F747" s="174"/>
      <c r="G747" s="175"/>
      <c r="H747" s="195"/>
      <c r="I747" s="196"/>
      <c r="J747" s="196"/>
      <c r="K747" s="196"/>
      <c r="L747" s="174"/>
      <c r="M747" s="178"/>
      <c r="N747" s="179"/>
      <c r="O747" s="179" t="s">
        <v>227</v>
      </c>
    </row>
    <row r="748" spans="1:15" x14ac:dyDescent="0.15">
      <c r="A748" s="18"/>
      <c r="B7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748)),ROW(),"")</f>
        <v>748</v>
      </c>
      <c r="C748" s="13">
        <f t="shared" si="79"/>
        <v>0</v>
      </c>
      <c r="D748" s="84" t="str">
        <f t="shared" si="80"/>
        <v/>
      </c>
      <c r="E748" s="18"/>
      <c r="F748" s="174"/>
      <c r="G748" s="175"/>
      <c r="H748" s="195"/>
      <c r="I748" s="196"/>
      <c r="J748" s="196"/>
      <c r="K748" s="196"/>
      <c r="L748" s="174"/>
      <c r="M748" s="178"/>
      <c r="N748" s="179"/>
      <c r="O748" s="179" t="s">
        <v>227</v>
      </c>
    </row>
    <row r="749" spans="1:15" x14ac:dyDescent="0.15">
      <c r="A749" s="18"/>
      <c r="B7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749)),ROW(),"")</f>
        <v>749</v>
      </c>
      <c r="C749" s="13">
        <f t="shared" si="79"/>
        <v>0</v>
      </c>
      <c r="D749" s="84" t="str">
        <f t="shared" si="80"/>
        <v/>
      </c>
      <c r="E749" s="18"/>
      <c r="F749" s="174"/>
      <c r="G749" s="175"/>
      <c r="H749" s="195"/>
      <c r="I749" s="196"/>
      <c r="J749" s="196"/>
      <c r="K749" s="196"/>
      <c r="L749" s="174"/>
      <c r="M749" s="178"/>
      <c r="N749" s="179"/>
      <c r="O749" s="179" t="s">
        <v>227</v>
      </c>
    </row>
    <row r="750" spans="1:15" x14ac:dyDescent="0.15">
      <c r="A750" s="18"/>
      <c r="B7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750)),ROW(),"")</f>
        <v>750</v>
      </c>
      <c r="C750" s="13">
        <f t="shared" si="79"/>
        <v>0</v>
      </c>
      <c r="D750" s="84" t="str">
        <f t="shared" si="80"/>
        <v/>
      </c>
      <c r="E750" s="18"/>
      <c r="F750" s="174"/>
      <c r="G750" s="175"/>
      <c r="H750" s="195"/>
      <c r="I750" s="196"/>
      <c r="J750" s="196"/>
      <c r="K750" s="196"/>
      <c r="L750" s="174"/>
      <c r="M750" s="178"/>
      <c r="N750" s="179"/>
      <c r="O750" s="179" t="s">
        <v>227</v>
      </c>
    </row>
    <row r="751" spans="1:15" x14ac:dyDescent="0.15">
      <c r="A751" s="18"/>
      <c r="B7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751)),ROW(),"")</f>
        <v>751</v>
      </c>
      <c r="C751" s="13">
        <f t="shared" ref="C751:C814" si="81">INDEX(A:A,SMALL($B$3:$B$1039,ROW(A749)))</f>
        <v>0</v>
      </c>
      <c r="D751" s="84" t="str">
        <f t="shared" ref="D751:D814" si="82">PHONETIC(A751)</f>
        <v/>
      </c>
      <c r="E751" s="18"/>
      <c r="F751" s="174"/>
      <c r="G751" s="175"/>
      <c r="H751" s="195"/>
      <c r="I751" s="196"/>
      <c r="J751" s="196"/>
      <c r="K751" s="196"/>
      <c r="L751" s="174"/>
      <c r="M751" s="178"/>
      <c r="N751" s="179"/>
      <c r="O751" s="179" t="s">
        <v>227</v>
      </c>
    </row>
    <row r="752" spans="1:15" x14ac:dyDescent="0.15">
      <c r="A752" s="18"/>
      <c r="B7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752)),ROW(),"")</f>
        <v>752</v>
      </c>
      <c r="C752" s="13">
        <f t="shared" si="81"/>
        <v>0</v>
      </c>
      <c r="D752" s="84" t="str">
        <f t="shared" si="82"/>
        <v/>
      </c>
      <c r="E752" s="18"/>
      <c r="F752" s="174"/>
      <c r="G752" s="175"/>
      <c r="H752" s="195"/>
      <c r="I752" s="196"/>
      <c r="J752" s="196"/>
      <c r="K752" s="196"/>
      <c r="L752" s="174"/>
      <c r="M752" s="178"/>
      <c r="N752" s="179"/>
      <c r="O752" s="179" t="s">
        <v>227</v>
      </c>
    </row>
    <row r="753" spans="1:15" x14ac:dyDescent="0.15">
      <c r="A753" s="18"/>
      <c r="B7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753)),ROW(),"")</f>
        <v>753</v>
      </c>
      <c r="C753" s="13">
        <f t="shared" si="81"/>
        <v>0</v>
      </c>
      <c r="D753" s="84" t="str">
        <f t="shared" si="82"/>
        <v/>
      </c>
      <c r="E753" s="18"/>
      <c r="F753" s="174"/>
      <c r="G753" s="175"/>
      <c r="H753" s="195"/>
      <c r="I753" s="196"/>
      <c r="J753" s="196"/>
      <c r="K753" s="196"/>
      <c r="L753" s="174"/>
      <c r="M753" s="178"/>
      <c r="N753" s="179"/>
      <c r="O753" s="179" t="s">
        <v>227</v>
      </c>
    </row>
    <row r="754" spans="1:15" x14ac:dyDescent="0.15">
      <c r="A754" s="18"/>
      <c r="B7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754)),ROW(),"")</f>
        <v>754</v>
      </c>
      <c r="C754" s="13">
        <f t="shared" si="81"/>
        <v>0</v>
      </c>
      <c r="D754" s="84" t="str">
        <f t="shared" si="82"/>
        <v/>
      </c>
      <c r="E754" s="18"/>
      <c r="F754" s="174"/>
      <c r="G754" s="175"/>
      <c r="H754" s="195"/>
      <c r="I754" s="196"/>
      <c r="J754" s="196"/>
      <c r="K754" s="196"/>
      <c r="L754" s="174"/>
      <c r="M754" s="178"/>
      <c r="N754" s="179"/>
      <c r="O754" s="179" t="s">
        <v>227</v>
      </c>
    </row>
    <row r="755" spans="1:15" x14ac:dyDescent="0.15">
      <c r="A755" s="18"/>
      <c r="B7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755)),ROW(),"")</f>
        <v>755</v>
      </c>
      <c r="C755" s="13">
        <f t="shared" si="81"/>
        <v>0</v>
      </c>
      <c r="D755" s="84" t="str">
        <f t="shared" si="82"/>
        <v/>
      </c>
      <c r="E755" s="18"/>
      <c r="F755" s="174"/>
      <c r="G755" s="175"/>
      <c r="H755" s="195"/>
      <c r="I755" s="196"/>
      <c r="J755" s="196"/>
      <c r="K755" s="196"/>
      <c r="L755" s="174"/>
      <c r="M755" s="178"/>
      <c r="N755" s="179"/>
      <c r="O755" s="179" t="s">
        <v>227</v>
      </c>
    </row>
    <row r="756" spans="1:15" x14ac:dyDescent="0.15">
      <c r="A756" s="18"/>
      <c r="B7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756)),ROW(),"")</f>
        <v>756</v>
      </c>
      <c r="C756" s="13">
        <f t="shared" si="81"/>
        <v>0</v>
      </c>
      <c r="D756" s="84" t="str">
        <f t="shared" si="82"/>
        <v/>
      </c>
      <c r="E756" s="18"/>
      <c r="F756" s="174"/>
      <c r="G756" s="175"/>
      <c r="H756" s="195"/>
      <c r="I756" s="196"/>
      <c r="J756" s="196"/>
      <c r="K756" s="196"/>
      <c r="L756" s="174"/>
      <c r="M756" s="178"/>
      <c r="N756" s="179"/>
      <c r="O756" s="179" t="s">
        <v>227</v>
      </c>
    </row>
    <row r="757" spans="1:15" x14ac:dyDescent="0.15">
      <c r="A757" s="18"/>
      <c r="B7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757)),ROW(),"")</f>
        <v>757</v>
      </c>
      <c r="C757" s="13">
        <f t="shared" si="81"/>
        <v>0</v>
      </c>
      <c r="D757" s="84" t="str">
        <f t="shared" si="82"/>
        <v/>
      </c>
      <c r="E757" s="18"/>
      <c r="F757" s="174"/>
      <c r="G757" s="175"/>
      <c r="H757" s="195"/>
      <c r="I757" s="196"/>
      <c r="J757" s="196"/>
      <c r="K757" s="196"/>
      <c r="L757" s="174"/>
      <c r="M757" s="178"/>
      <c r="N757" s="179"/>
      <c r="O757" s="179" t="s">
        <v>227</v>
      </c>
    </row>
    <row r="758" spans="1:15" x14ac:dyDescent="0.15">
      <c r="A758" s="18"/>
      <c r="B7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758)),ROW(),"")</f>
        <v>758</v>
      </c>
      <c r="C758" s="13">
        <f t="shared" si="81"/>
        <v>0</v>
      </c>
      <c r="D758" s="84" t="str">
        <f t="shared" si="82"/>
        <v/>
      </c>
      <c r="E758" s="18"/>
      <c r="F758" s="174"/>
      <c r="G758" s="175"/>
      <c r="H758" s="195"/>
      <c r="I758" s="196"/>
      <c r="J758" s="196"/>
      <c r="K758" s="196"/>
      <c r="L758" s="174"/>
      <c r="M758" s="178"/>
      <c r="N758" s="179"/>
      <c r="O758" s="179" t="s">
        <v>227</v>
      </c>
    </row>
    <row r="759" spans="1:15" x14ac:dyDescent="0.15">
      <c r="A759" s="18"/>
      <c r="B7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759)),ROW(),"")</f>
        <v>759</v>
      </c>
      <c r="C759" s="13">
        <f t="shared" si="81"/>
        <v>0</v>
      </c>
      <c r="D759" s="84" t="str">
        <f t="shared" si="82"/>
        <v/>
      </c>
      <c r="E759" s="18"/>
      <c r="F759" s="174"/>
      <c r="G759" s="175"/>
      <c r="H759" s="195"/>
      <c r="I759" s="196"/>
      <c r="J759" s="196"/>
      <c r="K759" s="196"/>
      <c r="L759" s="174"/>
      <c r="M759" s="178"/>
      <c r="N759" s="179"/>
      <c r="O759" s="179" t="s">
        <v>227</v>
      </c>
    </row>
    <row r="760" spans="1:15" x14ac:dyDescent="0.15">
      <c r="A760" s="18"/>
      <c r="B7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760)),ROW(),"")</f>
        <v>760</v>
      </c>
      <c r="C760" s="13">
        <f t="shared" si="81"/>
        <v>0</v>
      </c>
      <c r="D760" s="84" t="str">
        <f t="shared" si="82"/>
        <v/>
      </c>
      <c r="E760" s="18"/>
      <c r="F760" s="174"/>
      <c r="G760" s="175"/>
      <c r="H760" s="195"/>
      <c r="I760" s="196"/>
      <c r="J760" s="196"/>
      <c r="K760" s="196"/>
      <c r="L760" s="174"/>
      <c r="M760" s="178"/>
      <c r="N760" s="179"/>
      <c r="O760" s="179" t="s">
        <v>227</v>
      </c>
    </row>
    <row r="761" spans="1:15" x14ac:dyDescent="0.15">
      <c r="A761" s="18"/>
      <c r="B7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761)),ROW(),"")</f>
        <v>761</v>
      </c>
      <c r="C761" s="13">
        <f t="shared" si="81"/>
        <v>0</v>
      </c>
      <c r="D761" s="84" t="str">
        <f t="shared" si="82"/>
        <v/>
      </c>
      <c r="E761" s="18"/>
      <c r="F761" s="174"/>
      <c r="G761" s="175"/>
      <c r="H761" s="195"/>
      <c r="I761" s="196"/>
      <c r="J761" s="196"/>
      <c r="K761" s="196"/>
      <c r="L761" s="174"/>
      <c r="M761" s="178"/>
      <c r="N761" s="179"/>
      <c r="O761" s="179" t="s">
        <v>227</v>
      </c>
    </row>
    <row r="762" spans="1:15" x14ac:dyDescent="0.15">
      <c r="A762" s="18"/>
      <c r="B7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762)),ROW(),"")</f>
        <v>762</v>
      </c>
      <c r="C762" s="13">
        <f t="shared" si="81"/>
        <v>0</v>
      </c>
      <c r="D762" s="84" t="str">
        <f t="shared" si="82"/>
        <v/>
      </c>
      <c r="E762" s="18"/>
      <c r="F762" s="174"/>
      <c r="G762" s="175"/>
      <c r="H762" s="195"/>
      <c r="I762" s="196"/>
      <c r="J762" s="196"/>
      <c r="K762" s="196"/>
      <c r="L762" s="174"/>
      <c r="M762" s="178"/>
      <c r="N762" s="179"/>
      <c r="O762" s="179" t="s">
        <v>227</v>
      </c>
    </row>
    <row r="763" spans="1:15" x14ac:dyDescent="0.15">
      <c r="A763" s="18"/>
      <c r="B7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763)),ROW(),"")</f>
        <v>763</v>
      </c>
      <c r="C763" s="13">
        <f t="shared" si="81"/>
        <v>0</v>
      </c>
      <c r="D763" s="84" t="str">
        <f t="shared" si="82"/>
        <v/>
      </c>
      <c r="E763" s="18"/>
      <c r="F763" s="174"/>
      <c r="G763" s="175"/>
      <c r="H763" s="195"/>
      <c r="I763" s="196"/>
      <c r="J763" s="196"/>
      <c r="K763" s="196"/>
      <c r="L763" s="174"/>
      <c r="M763" s="178"/>
      <c r="N763" s="179"/>
      <c r="O763" s="179" t="s">
        <v>227</v>
      </c>
    </row>
    <row r="764" spans="1:15" x14ac:dyDescent="0.15">
      <c r="A764" s="18"/>
      <c r="B7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764)),ROW(),"")</f>
        <v>764</v>
      </c>
      <c r="C764" s="13">
        <f t="shared" si="81"/>
        <v>0</v>
      </c>
      <c r="D764" s="84" t="str">
        <f t="shared" si="82"/>
        <v/>
      </c>
      <c r="E764" s="18"/>
      <c r="F764" s="174"/>
      <c r="G764" s="175"/>
      <c r="H764" s="195"/>
      <c r="I764" s="196"/>
      <c r="J764" s="196"/>
      <c r="K764" s="196"/>
      <c r="L764" s="174"/>
      <c r="M764" s="178"/>
      <c r="N764" s="179"/>
      <c r="O764" s="179" t="s">
        <v>227</v>
      </c>
    </row>
    <row r="765" spans="1:15" x14ac:dyDescent="0.15">
      <c r="A765" s="18"/>
      <c r="B7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765)),ROW(),"")</f>
        <v>765</v>
      </c>
      <c r="C765" s="13">
        <f t="shared" si="81"/>
        <v>0</v>
      </c>
      <c r="D765" s="84" t="str">
        <f t="shared" si="82"/>
        <v/>
      </c>
      <c r="E765" s="18"/>
      <c r="F765" s="174"/>
      <c r="G765" s="175"/>
      <c r="H765" s="195"/>
      <c r="I765" s="196"/>
      <c r="J765" s="196"/>
      <c r="K765" s="196"/>
      <c r="L765" s="174"/>
      <c r="M765" s="178"/>
      <c r="N765" s="179"/>
      <c r="O765" s="179" t="s">
        <v>227</v>
      </c>
    </row>
    <row r="766" spans="1:15" x14ac:dyDescent="0.15">
      <c r="A766" s="18"/>
      <c r="B7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766)),ROW(),"")</f>
        <v>766</v>
      </c>
      <c r="C766" s="13">
        <f t="shared" si="81"/>
        <v>0</v>
      </c>
      <c r="D766" s="84" t="str">
        <f t="shared" si="82"/>
        <v/>
      </c>
      <c r="E766" s="18"/>
      <c r="F766" s="174"/>
      <c r="G766" s="175"/>
      <c r="H766" s="195"/>
      <c r="I766" s="196"/>
      <c r="J766" s="196"/>
      <c r="K766" s="196"/>
      <c r="L766" s="174"/>
      <c r="M766" s="178"/>
      <c r="N766" s="179"/>
      <c r="O766" s="179" t="s">
        <v>227</v>
      </c>
    </row>
    <row r="767" spans="1:15" x14ac:dyDescent="0.15">
      <c r="A767" s="18"/>
      <c r="B7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767)),ROW(),"")</f>
        <v>767</v>
      </c>
      <c r="C767" s="13">
        <f t="shared" si="81"/>
        <v>0</v>
      </c>
      <c r="D767" s="84" t="str">
        <f t="shared" si="82"/>
        <v/>
      </c>
      <c r="E767" s="18"/>
      <c r="F767" s="174"/>
      <c r="G767" s="175"/>
      <c r="H767" s="195"/>
      <c r="I767" s="196"/>
      <c r="J767" s="196"/>
      <c r="K767" s="196"/>
      <c r="L767" s="174"/>
      <c r="M767" s="178"/>
      <c r="N767" s="179"/>
      <c r="O767" s="179" t="s">
        <v>227</v>
      </c>
    </row>
    <row r="768" spans="1:15" x14ac:dyDescent="0.15">
      <c r="A768" s="18"/>
      <c r="B7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768)),ROW(),"")</f>
        <v>768</v>
      </c>
      <c r="C768" s="13">
        <f t="shared" si="81"/>
        <v>0</v>
      </c>
      <c r="D768" s="84" t="str">
        <f t="shared" si="82"/>
        <v/>
      </c>
      <c r="E768" s="18"/>
      <c r="F768" s="174"/>
      <c r="G768" s="175"/>
      <c r="H768" s="195"/>
      <c r="I768" s="196"/>
      <c r="J768" s="196"/>
      <c r="K768" s="196"/>
      <c r="L768" s="174"/>
      <c r="M768" s="178"/>
      <c r="N768" s="179"/>
      <c r="O768" s="179" t="s">
        <v>227</v>
      </c>
    </row>
    <row r="769" spans="1:15" x14ac:dyDescent="0.15">
      <c r="A769" s="18"/>
      <c r="B7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769)),ROW(),"")</f>
        <v>769</v>
      </c>
      <c r="C769" s="13">
        <f t="shared" si="81"/>
        <v>0</v>
      </c>
      <c r="D769" s="84" t="str">
        <f t="shared" si="82"/>
        <v/>
      </c>
      <c r="E769" s="18"/>
      <c r="F769" s="174"/>
      <c r="G769" s="175"/>
      <c r="H769" s="195"/>
      <c r="I769" s="196"/>
      <c r="J769" s="196"/>
      <c r="K769" s="196"/>
      <c r="L769" s="174"/>
      <c r="M769" s="178"/>
      <c r="N769" s="179"/>
      <c r="O769" s="179" t="s">
        <v>227</v>
      </c>
    </row>
    <row r="770" spans="1:15" x14ac:dyDescent="0.15">
      <c r="A770" s="18"/>
      <c r="B7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770)),ROW(),"")</f>
        <v>770</v>
      </c>
      <c r="C770" s="13">
        <f t="shared" si="81"/>
        <v>0</v>
      </c>
      <c r="D770" s="84" t="str">
        <f t="shared" si="82"/>
        <v/>
      </c>
      <c r="E770" s="18"/>
      <c r="F770" s="174"/>
      <c r="G770" s="175"/>
      <c r="H770" s="195"/>
      <c r="I770" s="196"/>
      <c r="J770" s="196"/>
      <c r="K770" s="196"/>
      <c r="L770" s="174"/>
      <c r="M770" s="178"/>
      <c r="N770" s="179"/>
      <c r="O770" s="179" t="s">
        <v>227</v>
      </c>
    </row>
    <row r="771" spans="1:15" x14ac:dyDescent="0.15">
      <c r="A771" s="18"/>
      <c r="B7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771)),ROW(),"")</f>
        <v>771</v>
      </c>
      <c r="C771" s="13">
        <f t="shared" si="81"/>
        <v>0</v>
      </c>
      <c r="D771" s="84" t="str">
        <f t="shared" si="82"/>
        <v/>
      </c>
      <c r="E771" s="18"/>
      <c r="F771" s="174"/>
      <c r="G771" s="175"/>
      <c r="H771" s="195"/>
      <c r="I771" s="196"/>
      <c r="J771" s="196"/>
      <c r="K771" s="196"/>
      <c r="L771" s="174"/>
      <c r="M771" s="178"/>
      <c r="N771" s="179"/>
      <c r="O771" s="179" t="s">
        <v>227</v>
      </c>
    </row>
    <row r="772" spans="1:15" x14ac:dyDescent="0.15">
      <c r="A772" s="18"/>
      <c r="B7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772)),ROW(),"")</f>
        <v>772</v>
      </c>
      <c r="C772" s="13">
        <f t="shared" si="81"/>
        <v>0</v>
      </c>
      <c r="D772" s="84" t="str">
        <f t="shared" si="82"/>
        <v/>
      </c>
      <c r="E772" s="18"/>
      <c r="F772" s="174"/>
      <c r="G772" s="175"/>
      <c r="H772" s="195"/>
      <c r="I772" s="196"/>
      <c r="J772" s="196"/>
      <c r="K772" s="196"/>
      <c r="L772" s="174"/>
      <c r="M772" s="178"/>
      <c r="N772" s="179"/>
      <c r="O772" s="179" t="s">
        <v>227</v>
      </c>
    </row>
    <row r="773" spans="1:15" x14ac:dyDescent="0.15">
      <c r="A773" s="18"/>
      <c r="B7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773)),ROW(),"")</f>
        <v>773</v>
      </c>
      <c r="C773" s="13">
        <f t="shared" si="81"/>
        <v>0</v>
      </c>
      <c r="D773" s="84" t="str">
        <f t="shared" si="82"/>
        <v/>
      </c>
      <c r="E773" s="18"/>
      <c r="F773" s="174"/>
      <c r="G773" s="175"/>
      <c r="H773" s="195"/>
      <c r="I773" s="196"/>
      <c r="J773" s="196"/>
      <c r="K773" s="196"/>
      <c r="L773" s="174"/>
      <c r="M773" s="178"/>
      <c r="N773" s="179"/>
      <c r="O773" s="179" t="s">
        <v>227</v>
      </c>
    </row>
    <row r="774" spans="1:15" x14ac:dyDescent="0.15">
      <c r="A774" s="18"/>
      <c r="B7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774)),ROW(),"")</f>
        <v>774</v>
      </c>
      <c r="C774" s="13">
        <f t="shared" si="81"/>
        <v>0</v>
      </c>
      <c r="D774" s="84" t="str">
        <f t="shared" si="82"/>
        <v/>
      </c>
      <c r="E774" s="18"/>
      <c r="F774" s="174"/>
      <c r="G774" s="175"/>
      <c r="H774" s="195"/>
      <c r="I774" s="196"/>
      <c r="J774" s="196"/>
      <c r="K774" s="196"/>
      <c r="L774" s="174"/>
      <c r="M774" s="178"/>
      <c r="N774" s="179"/>
      <c r="O774" s="179" t="s">
        <v>227</v>
      </c>
    </row>
    <row r="775" spans="1:15" x14ac:dyDescent="0.15">
      <c r="A775" s="18"/>
      <c r="B7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775)),ROW(),"")</f>
        <v>775</v>
      </c>
      <c r="C775" s="13">
        <f t="shared" si="81"/>
        <v>0</v>
      </c>
      <c r="D775" s="84" t="str">
        <f t="shared" si="82"/>
        <v/>
      </c>
      <c r="E775" s="18"/>
      <c r="F775" s="174"/>
      <c r="G775" s="175"/>
      <c r="H775" s="195"/>
      <c r="I775" s="196"/>
      <c r="J775" s="196"/>
      <c r="K775" s="196"/>
      <c r="L775" s="174"/>
      <c r="M775" s="178"/>
      <c r="N775" s="179"/>
      <c r="O775" s="179" t="s">
        <v>227</v>
      </c>
    </row>
    <row r="776" spans="1:15" x14ac:dyDescent="0.15">
      <c r="A776" s="18"/>
      <c r="B7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776)),ROW(),"")</f>
        <v>776</v>
      </c>
      <c r="C776" s="13">
        <f t="shared" si="81"/>
        <v>0</v>
      </c>
      <c r="D776" s="84" t="str">
        <f t="shared" si="82"/>
        <v/>
      </c>
      <c r="E776" s="18"/>
      <c r="F776" s="174"/>
      <c r="G776" s="175"/>
      <c r="H776" s="195"/>
      <c r="I776" s="196"/>
      <c r="J776" s="196"/>
      <c r="K776" s="196"/>
      <c r="L776" s="174"/>
      <c r="M776" s="178"/>
      <c r="N776" s="179"/>
      <c r="O776" s="179" t="s">
        <v>227</v>
      </c>
    </row>
    <row r="777" spans="1:15" x14ac:dyDescent="0.15">
      <c r="A777" s="18"/>
      <c r="B7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777)),ROW(),"")</f>
        <v>777</v>
      </c>
      <c r="C777" s="13">
        <f t="shared" si="81"/>
        <v>0</v>
      </c>
      <c r="D777" s="84" t="str">
        <f t="shared" si="82"/>
        <v/>
      </c>
      <c r="E777" s="18"/>
      <c r="F777" s="174"/>
      <c r="G777" s="175"/>
      <c r="H777" s="195"/>
      <c r="I777" s="196"/>
      <c r="J777" s="196"/>
      <c r="K777" s="196"/>
      <c r="L777" s="174"/>
      <c r="M777" s="178"/>
      <c r="N777" s="179"/>
      <c r="O777" s="179" t="s">
        <v>227</v>
      </c>
    </row>
    <row r="778" spans="1:15" x14ac:dyDescent="0.15">
      <c r="A778" s="18"/>
      <c r="B7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778)),ROW(),"")</f>
        <v>778</v>
      </c>
      <c r="C778" s="13">
        <f t="shared" si="81"/>
        <v>0</v>
      </c>
      <c r="D778" s="84" t="str">
        <f t="shared" si="82"/>
        <v/>
      </c>
      <c r="E778" s="18"/>
      <c r="F778" s="174"/>
      <c r="G778" s="175"/>
      <c r="H778" s="195"/>
      <c r="I778" s="196"/>
      <c r="J778" s="196"/>
      <c r="K778" s="196"/>
      <c r="L778" s="174"/>
      <c r="M778" s="178"/>
      <c r="N778" s="179"/>
      <c r="O778" s="179" t="s">
        <v>227</v>
      </c>
    </row>
    <row r="779" spans="1:15" x14ac:dyDescent="0.15">
      <c r="A779" s="18"/>
      <c r="B7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779)),ROW(),"")</f>
        <v>779</v>
      </c>
      <c r="C779" s="13">
        <f t="shared" si="81"/>
        <v>0</v>
      </c>
      <c r="D779" s="84" t="str">
        <f t="shared" si="82"/>
        <v/>
      </c>
      <c r="E779" s="18"/>
      <c r="F779" s="174"/>
      <c r="G779" s="175"/>
      <c r="H779" s="195"/>
      <c r="I779" s="196"/>
      <c r="J779" s="196"/>
      <c r="K779" s="196"/>
      <c r="L779" s="174"/>
      <c r="M779" s="178"/>
      <c r="N779" s="179"/>
      <c r="O779" s="179" t="s">
        <v>227</v>
      </c>
    </row>
    <row r="780" spans="1:15" x14ac:dyDescent="0.15">
      <c r="A780" s="18"/>
      <c r="B7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780)),ROW(),"")</f>
        <v>780</v>
      </c>
      <c r="C780" s="13">
        <f t="shared" si="81"/>
        <v>0</v>
      </c>
      <c r="D780" s="84" t="str">
        <f t="shared" si="82"/>
        <v/>
      </c>
      <c r="E780" s="18"/>
      <c r="F780" s="174"/>
      <c r="G780" s="175"/>
      <c r="H780" s="195"/>
      <c r="I780" s="196"/>
      <c r="J780" s="196"/>
      <c r="K780" s="196"/>
      <c r="L780" s="174"/>
      <c r="M780" s="178"/>
      <c r="N780" s="179"/>
      <c r="O780" s="179" t="s">
        <v>227</v>
      </c>
    </row>
    <row r="781" spans="1:15" x14ac:dyDescent="0.15">
      <c r="A781" s="18"/>
      <c r="B7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781)),ROW(),"")</f>
        <v>781</v>
      </c>
      <c r="C781" s="13">
        <f t="shared" si="81"/>
        <v>0</v>
      </c>
      <c r="D781" s="84" t="str">
        <f t="shared" si="82"/>
        <v/>
      </c>
      <c r="E781" s="18"/>
      <c r="F781" s="174"/>
      <c r="G781" s="175"/>
      <c r="H781" s="195"/>
      <c r="I781" s="196"/>
      <c r="J781" s="196"/>
      <c r="K781" s="196"/>
      <c r="L781" s="174"/>
      <c r="M781" s="178"/>
      <c r="N781" s="179"/>
      <c r="O781" s="179" t="s">
        <v>227</v>
      </c>
    </row>
    <row r="782" spans="1:15" x14ac:dyDescent="0.15">
      <c r="A782" s="18"/>
      <c r="B7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782)),ROW(),"")</f>
        <v>782</v>
      </c>
      <c r="C782" s="13">
        <f t="shared" si="81"/>
        <v>0</v>
      </c>
      <c r="D782" s="84" t="str">
        <f t="shared" si="82"/>
        <v/>
      </c>
      <c r="E782" s="18"/>
      <c r="F782" s="174"/>
      <c r="G782" s="175"/>
      <c r="H782" s="195"/>
      <c r="I782" s="196"/>
      <c r="J782" s="196"/>
      <c r="K782" s="196"/>
      <c r="L782" s="174"/>
      <c r="M782" s="178"/>
      <c r="N782" s="179"/>
      <c r="O782" s="179" t="s">
        <v>227</v>
      </c>
    </row>
    <row r="783" spans="1:15" x14ac:dyDescent="0.15">
      <c r="A783" s="18"/>
      <c r="B7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783)),ROW(),"")</f>
        <v>783</v>
      </c>
      <c r="C783" s="13">
        <f t="shared" si="81"/>
        <v>0</v>
      </c>
      <c r="D783" s="84" t="str">
        <f t="shared" si="82"/>
        <v/>
      </c>
      <c r="E783" s="18"/>
      <c r="F783" s="174"/>
      <c r="G783" s="175"/>
      <c r="H783" s="195"/>
      <c r="I783" s="196"/>
      <c r="J783" s="196"/>
      <c r="K783" s="196"/>
      <c r="L783" s="174"/>
      <c r="M783" s="178"/>
      <c r="N783" s="179"/>
      <c r="O783" s="179" t="s">
        <v>227</v>
      </c>
    </row>
    <row r="784" spans="1:15" x14ac:dyDescent="0.15">
      <c r="A784" s="18"/>
      <c r="B7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784)),ROW(),"")</f>
        <v>784</v>
      </c>
      <c r="C784" s="13">
        <f t="shared" si="81"/>
        <v>0</v>
      </c>
      <c r="D784" s="84" t="str">
        <f t="shared" si="82"/>
        <v/>
      </c>
      <c r="E784" s="18"/>
      <c r="F784" s="174"/>
      <c r="G784" s="175"/>
      <c r="H784" s="195"/>
      <c r="I784" s="196"/>
      <c r="J784" s="196"/>
      <c r="K784" s="196"/>
      <c r="L784" s="174"/>
      <c r="M784" s="178"/>
      <c r="N784" s="179"/>
      <c r="O784" s="179" t="s">
        <v>227</v>
      </c>
    </row>
    <row r="785" spans="1:15" x14ac:dyDescent="0.15">
      <c r="A785" s="18"/>
      <c r="B7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785)),ROW(),"")</f>
        <v>785</v>
      </c>
      <c r="C785" s="13">
        <f t="shared" si="81"/>
        <v>0</v>
      </c>
      <c r="D785" s="84" t="str">
        <f t="shared" si="82"/>
        <v/>
      </c>
      <c r="E785" s="18"/>
      <c r="F785" s="174"/>
      <c r="G785" s="175"/>
      <c r="H785" s="195"/>
      <c r="I785" s="196"/>
      <c r="J785" s="196"/>
      <c r="K785" s="196"/>
      <c r="L785" s="174"/>
      <c r="M785" s="178"/>
      <c r="N785" s="179"/>
      <c r="O785" s="179" t="s">
        <v>227</v>
      </c>
    </row>
    <row r="786" spans="1:15" x14ac:dyDescent="0.15">
      <c r="A786" s="18"/>
      <c r="B7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786)),ROW(),"")</f>
        <v>786</v>
      </c>
      <c r="C786" s="13">
        <f t="shared" si="81"/>
        <v>0</v>
      </c>
      <c r="D786" s="84" t="str">
        <f t="shared" si="82"/>
        <v/>
      </c>
      <c r="E786" s="18"/>
      <c r="F786" s="174"/>
      <c r="G786" s="175"/>
      <c r="H786" s="195"/>
      <c r="I786" s="196"/>
      <c r="J786" s="196"/>
      <c r="K786" s="196"/>
      <c r="L786" s="174"/>
      <c r="M786" s="178"/>
      <c r="N786" s="179"/>
      <c r="O786" s="179" t="s">
        <v>227</v>
      </c>
    </row>
    <row r="787" spans="1:15" x14ac:dyDescent="0.15">
      <c r="A787" s="18"/>
      <c r="B7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787)),ROW(),"")</f>
        <v>787</v>
      </c>
      <c r="C787" s="13">
        <f t="shared" si="81"/>
        <v>0</v>
      </c>
      <c r="D787" s="84" t="str">
        <f t="shared" si="82"/>
        <v/>
      </c>
      <c r="E787" s="18"/>
      <c r="F787" s="174"/>
      <c r="G787" s="175"/>
      <c r="H787" s="195"/>
      <c r="I787" s="196"/>
      <c r="J787" s="196"/>
      <c r="K787" s="196"/>
      <c r="L787" s="174"/>
      <c r="M787" s="178"/>
      <c r="N787" s="179"/>
      <c r="O787" s="179" t="s">
        <v>227</v>
      </c>
    </row>
    <row r="788" spans="1:15" x14ac:dyDescent="0.15">
      <c r="A788" s="18"/>
      <c r="B7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788)),ROW(),"")</f>
        <v>788</v>
      </c>
      <c r="C788" s="13">
        <f t="shared" si="81"/>
        <v>0</v>
      </c>
      <c r="D788" s="84" t="str">
        <f t="shared" si="82"/>
        <v/>
      </c>
      <c r="E788" s="18"/>
      <c r="F788" s="174"/>
      <c r="G788" s="175"/>
      <c r="H788" s="195"/>
      <c r="I788" s="196"/>
      <c r="J788" s="196"/>
      <c r="K788" s="196"/>
      <c r="L788" s="174"/>
      <c r="M788" s="178"/>
      <c r="N788" s="179"/>
      <c r="O788" s="179" t="s">
        <v>227</v>
      </c>
    </row>
    <row r="789" spans="1:15" x14ac:dyDescent="0.15">
      <c r="A789" s="18"/>
      <c r="B7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789)),ROW(),"")</f>
        <v>789</v>
      </c>
      <c r="C789" s="13">
        <f t="shared" si="81"/>
        <v>0</v>
      </c>
      <c r="D789" s="84" t="str">
        <f t="shared" si="82"/>
        <v/>
      </c>
      <c r="E789" s="18"/>
      <c r="F789" s="174"/>
      <c r="G789" s="175"/>
      <c r="H789" s="195"/>
      <c r="I789" s="196"/>
      <c r="J789" s="196"/>
      <c r="K789" s="196"/>
      <c r="L789" s="174"/>
      <c r="M789" s="178"/>
      <c r="N789" s="179"/>
      <c r="O789" s="179" t="s">
        <v>227</v>
      </c>
    </row>
    <row r="790" spans="1:15" x14ac:dyDescent="0.15">
      <c r="A790" s="18"/>
      <c r="B7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790)),ROW(),"")</f>
        <v>790</v>
      </c>
      <c r="C790" s="13">
        <f t="shared" si="81"/>
        <v>0</v>
      </c>
      <c r="D790" s="84" t="str">
        <f t="shared" si="82"/>
        <v/>
      </c>
      <c r="E790" s="18"/>
      <c r="F790" s="174"/>
      <c r="G790" s="175"/>
      <c r="H790" s="195"/>
      <c r="I790" s="196"/>
      <c r="J790" s="196"/>
      <c r="K790" s="196"/>
      <c r="L790" s="174"/>
      <c r="M790" s="178"/>
      <c r="N790" s="179"/>
      <c r="O790" s="179" t="s">
        <v>227</v>
      </c>
    </row>
    <row r="791" spans="1:15" x14ac:dyDescent="0.15">
      <c r="A791" s="18"/>
      <c r="B7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791)),ROW(),"")</f>
        <v>791</v>
      </c>
      <c r="C791" s="13">
        <f t="shared" si="81"/>
        <v>0</v>
      </c>
      <c r="D791" s="84" t="str">
        <f t="shared" si="82"/>
        <v/>
      </c>
      <c r="E791" s="18"/>
      <c r="F791" s="174"/>
      <c r="G791" s="175"/>
      <c r="H791" s="195"/>
      <c r="I791" s="196"/>
      <c r="J791" s="196"/>
      <c r="K791" s="196"/>
      <c r="L791" s="174"/>
      <c r="M791" s="178"/>
      <c r="N791" s="179"/>
      <c r="O791" s="179" t="s">
        <v>227</v>
      </c>
    </row>
    <row r="792" spans="1:15" x14ac:dyDescent="0.15">
      <c r="A792" s="18"/>
      <c r="B7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792)),ROW(),"")</f>
        <v>792</v>
      </c>
      <c r="C792" s="13">
        <f t="shared" si="81"/>
        <v>0</v>
      </c>
      <c r="D792" s="84" t="str">
        <f t="shared" si="82"/>
        <v/>
      </c>
      <c r="E792" s="18"/>
      <c r="F792" s="174"/>
      <c r="G792" s="175"/>
      <c r="H792" s="195"/>
      <c r="I792" s="196"/>
      <c r="J792" s="196"/>
      <c r="K792" s="196"/>
      <c r="L792" s="174"/>
      <c r="M792" s="178"/>
      <c r="N792" s="179"/>
      <c r="O792" s="179" t="s">
        <v>227</v>
      </c>
    </row>
    <row r="793" spans="1:15" x14ac:dyDescent="0.15">
      <c r="A793" s="18"/>
      <c r="B7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793)),ROW(),"")</f>
        <v>793</v>
      </c>
      <c r="C793" s="13">
        <f t="shared" si="81"/>
        <v>0</v>
      </c>
      <c r="D793" s="84" t="str">
        <f t="shared" si="82"/>
        <v/>
      </c>
      <c r="E793" s="18"/>
      <c r="F793" s="174"/>
      <c r="G793" s="175"/>
      <c r="H793" s="195"/>
      <c r="I793" s="196"/>
      <c r="J793" s="196"/>
      <c r="K793" s="196"/>
      <c r="L793" s="174"/>
      <c r="M793" s="178"/>
      <c r="N793" s="179"/>
      <c r="O793" s="179" t="s">
        <v>227</v>
      </c>
    </row>
    <row r="794" spans="1:15" x14ac:dyDescent="0.15">
      <c r="A794" s="18"/>
      <c r="B7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794)),ROW(),"")</f>
        <v>794</v>
      </c>
      <c r="C794" s="13">
        <f t="shared" si="81"/>
        <v>0</v>
      </c>
      <c r="D794" s="84" t="str">
        <f t="shared" si="82"/>
        <v/>
      </c>
      <c r="E794" s="18"/>
      <c r="F794" s="174"/>
      <c r="G794" s="175"/>
      <c r="H794" s="195"/>
      <c r="I794" s="196"/>
      <c r="J794" s="196"/>
      <c r="K794" s="196"/>
      <c r="L794" s="174"/>
      <c r="M794" s="178"/>
      <c r="N794" s="179"/>
      <c r="O794" s="179" t="s">
        <v>227</v>
      </c>
    </row>
    <row r="795" spans="1:15" x14ac:dyDescent="0.15">
      <c r="A795" s="18"/>
      <c r="B7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795)),ROW(),"")</f>
        <v>795</v>
      </c>
      <c r="C795" s="13">
        <f t="shared" si="81"/>
        <v>0</v>
      </c>
      <c r="D795" s="84" t="str">
        <f t="shared" si="82"/>
        <v/>
      </c>
      <c r="E795" s="18"/>
      <c r="F795" s="174"/>
      <c r="G795" s="175"/>
      <c r="H795" s="195"/>
      <c r="I795" s="196"/>
      <c r="J795" s="196"/>
      <c r="K795" s="196"/>
      <c r="L795" s="174"/>
      <c r="M795" s="178"/>
      <c r="N795" s="179"/>
      <c r="O795" s="179" t="s">
        <v>227</v>
      </c>
    </row>
    <row r="796" spans="1:15" x14ac:dyDescent="0.15">
      <c r="A796" s="18"/>
      <c r="B7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796)),ROW(),"")</f>
        <v>796</v>
      </c>
      <c r="C796" s="13">
        <f t="shared" si="81"/>
        <v>0</v>
      </c>
      <c r="D796" s="84" t="str">
        <f t="shared" si="82"/>
        <v/>
      </c>
      <c r="E796" s="18"/>
      <c r="F796" s="174"/>
      <c r="G796" s="175"/>
      <c r="H796" s="195"/>
      <c r="I796" s="196"/>
      <c r="J796" s="196"/>
      <c r="K796" s="196"/>
      <c r="L796" s="174"/>
      <c r="M796" s="178"/>
      <c r="N796" s="179"/>
      <c r="O796" s="179" t="s">
        <v>227</v>
      </c>
    </row>
    <row r="797" spans="1:15" x14ac:dyDescent="0.15">
      <c r="A797" s="18"/>
      <c r="B7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797)),ROW(),"")</f>
        <v>797</v>
      </c>
      <c r="C797" s="13">
        <f t="shared" si="81"/>
        <v>0</v>
      </c>
      <c r="D797" s="84" t="str">
        <f t="shared" si="82"/>
        <v/>
      </c>
      <c r="E797" s="18"/>
      <c r="F797" s="174"/>
      <c r="G797" s="175"/>
      <c r="H797" s="195"/>
      <c r="I797" s="196"/>
      <c r="J797" s="196"/>
      <c r="K797" s="196"/>
      <c r="L797" s="174"/>
      <c r="M797" s="178"/>
      <c r="N797" s="179"/>
      <c r="O797" s="179" t="s">
        <v>227</v>
      </c>
    </row>
    <row r="798" spans="1:15" x14ac:dyDescent="0.15">
      <c r="A798" s="18"/>
      <c r="B7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798)),ROW(),"")</f>
        <v>798</v>
      </c>
      <c r="C798" s="13">
        <f t="shared" si="81"/>
        <v>0</v>
      </c>
      <c r="D798" s="84" t="str">
        <f t="shared" si="82"/>
        <v/>
      </c>
      <c r="E798" s="18"/>
      <c r="F798" s="174"/>
      <c r="G798" s="175"/>
      <c r="H798" s="195"/>
      <c r="I798" s="196"/>
      <c r="J798" s="196"/>
      <c r="K798" s="196"/>
      <c r="L798" s="174"/>
      <c r="M798" s="178"/>
      <c r="N798" s="179"/>
      <c r="O798" s="179" t="s">
        <v>227</v>
      </c>
    </row>
    <row r="799" spans="1:15" x14ac:dyDescent="0.15">
      <c r="A799" s="18"/>
      <c r="B7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799)),ROW(),"")</f>
        <v>799</v>
      </c>
      <c r="C799" s="13">
        <f t="shared" si="81"/>
        <v>0</v>
      </c>
      <c r="D799" s="84" t="str">
        <f t="shared" si="82"/>
        <v/>
      </c>
      <c r="E799" s="18"/>
      <c r="F799" s="174"/>
      <c r="G799" s="175"/>
      <c r="H799" s="195"/>
      <c r="I799" s="196"/>
      <c r="J799" s="196"/>
      <c r="K799" s="196"/>
      <c r="L799" s="174"/>
      <c r="M799" s="178"/>
      <c r="N799" s="179"/>
      <c r="O799" s="179" t="s">
        <v>227</v>
      </c>
    </row>
    <row r="800" spans="1:15" x14ac:dyDescent="0.15">
      <c r="A800" s="18"/>
      <c r="B8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800)),ROW(),"")</f>
        <v>800</v>
      </c>
      <c r="C800" s="13">
        <f t="shared" si="81"/>
        <v>0</v>
      </c>
      <c r="D800" s="84" t="str">
        <f t="shared" si="82"/>
        <v/>
      </c>
      <c r="E800" s="18"/>
      <c r="F800" s="174"/>
      <c r="G800" s="175"/>
      <c r="H800" s="195"/>
      <c r="I800" s="196"/>
      <c r="J800" s="196"/>
      <c r="K800" s="196"/>
      <c r="L800" s="174"/>
      <c r="M800" s="178"/>
      <c r="N800" s="179"/>
      <c r="O800" s="179" t="s">
        <v>227</v>
      </c>
    </row>
    <row r="801" spans="1:15" x14ac:dyDescent="0.15">
      <c r="A801" s="18"/>
      <c r="B8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801)),ROW(),"")</f>
        <v>801</v>
      </c>
      <c r="C801" s="13">
        <f t="shared" si="81"/>
        <v>0</v>
      </c>
      <c r="D801" s="84" t="str">
        <f t="shared" si="82"/>
        <v/>
      </c>
      <c r="E801" s="18"/>
      <c r="F801" s="174"/>
      <c r="G801" s="175"/>
      <c r="H801" s="195"/>
      <c r="I801" s="196"/>
      <c r="J801" s="196"/>
      <c r="K801" s="196"/>
      <c r="L801" s="174"/>
      <c r="M801" s="178"/>
      <c r="N801" s="179"/>
      <c r="O801" s="179" t="s">
        <v>227</v>
      </c>
    </row>
    <row r="802" spans="1:15" x14ac:dyDescent="0.15">
      <c r="A802" s="18"/>
      <c r="B8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802)),ROW(),"")</f>
        <v>802</v>
      </c>
      <c r="C802" s="13">
        <f t="shared" si="81"/>
        <v>0</v>
      </c>
      <c r="D802" s="84" t="str">
        <f t="shared" si="82"/>
        <v/>
      </c>
      <c r="E802" s="18"/>
      <c r="F802" s="174"/>
      <c r="G802" s="175"/>
      <c r="H802" s="195"/>
      <c r="I802" s="196"/>
      <c r="J802" s="196"/>
      <c r="K802" s="196"/>
      <c r="L802" s="174"/>
      <c r="M802" s="178"/>
      <c r="N802" s="179"/>
      <c r="O802" s="179" t="s">
        <v>227</v>
      </c>
    </row>
    <row r="803" spans="1:15" x14ac:dyDescent="0.15">
      <c r="A803" s="18"/>
      <c r="B8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803)),ROW(),"")</f>
        <v>803</v>
      </c>
      <c r="C803" s="13">
        <f t="shared" si="81"/>
        <v>0</v>
      </c>
      <c r="D803" s="84" t="str">
        <f t="shared" si="82"/>
        <v/>
      </c>
      <c r="E803" s="18"/>
      <c r="F803" s="174"/>
      <c r="G803" s="175"/>
      <c r="H803" s="195"/>
      <c r="I803" s="196"/>
      <c r="J803" s="196"/>
      <c r="K803" s="196"/>
      <c r="L803" s="174"/>
      <c r="M803" s="178"/>
      <c r="N803" s="179"/>
      <c r="O803" s="179" t="s">
        <v>227</v>
      </c>
    </row>
    <row r="804" spans="1:15" x14ac:dyDescent="0.15">
      <c r="A804" s="18"/>
      <c r="B8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804)),ROW(),"")</f>
        <v>804</v>
      </c>
      <c r="C804" s="13">
        <f t="shared" si="81"/>
        <v>0</v>
      </c>
      <c r="D804" s="84" t="str">
        <f t="shared" si="82"/>
        <v/>
      </c>
      <c r="E804" s="18"/>
      <c r="F804" s="174"/>
      <c r="G804" s="175"/>
      <c r="H804" s="195"/>
      <c r="I804" s="196"/>
      <c r="J804" s="196"/>
      <c r="K804" s="196"/>
      <c r="L804" s="174"/>
      <c r="M804" s="178"/>
      <c r="N804" s="179"/>
      <c r="O804" s="179" t="s">
        <v>227</v>
      </c>
    </row>
    <row r="805" spans="1:15" x14ac:dyDescent="0.15">
      <c r="A805" s="18"/>
      <c r="B8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805)),ROW(),"")</f>
        <v>805</v>
      </c>
      <c r="C805" s="13">
        <f t="shared" si="81"/>
        <v>0</v>
      </c>
      <c r="D805" s="84" t="str">
        <f t="shared" si="82"/>
        <v/>
      </c>
      <c r="E805" s="18"/>
      <c r="F805" s="174"/>
      <c r="G805" s="175"/>
      <c r="H805" s="195"/>
      <c r="I805" s="196"/>
      <c r="J805" s="196"/>
      <c r="K805" s="196"/>
      <c r="L805" s="174"/>
      <c r="M805" s="178"/>
      <c r="N805" s="179"/>
      <c r="O805" s="179" t="s">
        <v>227</v>
      </c>
    </row>
    <row r="806" spans="1:15" x14ac:dyDescent="0.15">
      <c r="A806" s="18"/>
      <c r="B8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806)),ROW(),"")</f>
        <v>806</v>
      </c>
      <c r="C806" s="13">
        <f t="shared" si="81"/>
        <v>0</v>
      </c>
      <c r="D806" s="84" t="str">
        <f t="shared" si="82"/>
        <v/>
      </c>
      <c r="E806" s="18"/>
      <c r="F806" s="174"/>
      <c r="G806" s="175"/>
      <c r="H806" s="195"/>
      <c r="I806" s="196"/>
      <c r="J806" s="196"/>
      <c r="K806" s="196"/>
      <c r="L806" s="174"/>
      <c r="M806" s="178"/>
      <c r="N806" s="179"/>
      <c r="O806" s="179" t="s">
        <v>227</v>
      </c>
    </row>
    <row r="807" spans="1:15" x14ac:dyDescent="0.15">
      <c r="A807" s="18"/>
      <c r="B8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807)),ROW(),"")</f>
        <v>807</v>
      </c>
      <c r="C807" s="13">
        <f t="shared" si="81"/>
        <v>0</v>
      </c>
      <c r="D807" s="84" t="str">
        <f t="shared" si="82"/>
        <v/>
      </c>
      <c r="E807" s="18"/>
      <c r="F807" s="174"/>
      <c r="G807" s="175"/>
      <c r="H807" s="195"/>
      <c r="I807" s="196"/>
      <c r="J807" s="196"/>
      <c r="K807" s="196"/>
      <c r="L807" s="174"/>
      <c r="M807" s="178"/>
      <c r="N807" s="179"/>
      <c r="O807" s="179" t="s">
        <v>227</v>
      </c>
    </row>
    <row r="808" spans="1:15" x14ac:dyDescent="0.15">
      <c r="A808" s="18"/>
      <c r="B8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808)),ROW(),"")</f>
        <v>808</v>
      </c>
      <c r="C808" s="13">
        <f t="shared" si="81"/>
        <v>0</v>
      </c>
      <c r="D808" s="84" t="str">
        <f t="shared" si="82"/>
        <v/>
      </c>
      <c r="E808" s="18"/>
      <c r="F808" s="174"/>
      <c r="G808" s="175"/>
      <c r="H808" s="195"/>
      <c r="I808" s="196"/>
      <c r="J808" s="196"/>
      <c r="K808" s="196"/>
      <c r="L808" s="174"/>
      <c r="M808" s="178"/>
      <c r="N808" s="179"/>
      <c r="O808" s="179" t="s">
        <v>227</v>
      </c>
    </row>
    <row r="809" spans="1:15" x14ac:dyDescent="0.15">
      <c r="A809" s="18"/>
      <c r="B8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809)),ROW(),"")</f>
        <v>809</v>
      </c>
      <c r="C809" s="13">
        <f t="shared" si="81"/>
        <v>0</v>
      </c>
      <c r="D809" s="84" t="str">
        <f t="shared" si="82"/>
        <v/>
      </c>
      <c r="E809" s="18"/>
      <c r="F809" s="174"/>
      <c r="G809" s="175"/>
      <c r="H809" s="195"/>
      <c r="I809" s="196"/>
      <c r="J809" s="196"/>
      <c r="K809" s="196"/>
      <c r="L809" s="174"/>
      <c r="M809" s="178"/>
      <c r="N809" s="179"/>
      <c r="O809" s="179" t="s">
        <v>227</v>
      </c>
    </row>
    <row r="810" spans="1:15" x14ac:dyDescent="0.15">
      <c r="A810" s="18"/>
      <c r="B8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810)),ROW(),"")</f>
        <v>810</v>
      </c>
      <c r="C810" s="13">
        <f t="shared" si="81"/>
        <v>0</v>
      </c>
      <c r="D810" s="84" t="str">
        <f t="shared" si="82"/>
        <v/>
      </c>
      <c r="E810" s="18"/>
      <c r="F810" s="174"/>
      <c r="G810" s="175"/>
      <c r="H810" s="195"/>
      <c r="I810" s="196"/>
      <c r="J810" s="196"/>
      <c r="K810" s="196"/>
      <c r="L810" s="174"/>
      <c r="M810" s="178"/>
      <c r="N810" s="179"/>
      <c r="O810" s="179" t="s">
        <v>227</v>
      </c>
    </row>
    <row r="811" spans="1:15" x14ac:dyDescent="0.15">
      <c r="A811" s="18"/>
      <c r="B8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811)),ROW(),"")</f>
        <v>811</v>
      </c>
      <c r="C811" s="13">
        <f t="shared" si="81"/>
        <v>0</v>
      </c>
      <c r="D811" s="84" t="str">
        <f t="shared" si="82"/>
        <v/>
      </c>
      <c r="E811" s="18"/>
      <c r="F811" s="174"/>
      <c r="G811" s="175"/>
      <c r="H811" s="195"/>
      <c r="I811" s="196"/>
      <c r="J811" s="196"/>
      <c r="K811" s="196"/>
      <c r="L811" s="174"/>
      <c r="M811" s="178"/>
      <c r="N811" s="179"/>
      <c r="O811" s="179" t="s">
        <v>227</v>
      </c>
    </row>
    <row r="812" spans="1:15" x14ac:dyDescent="0.15">
      <c r="A812" s="18"/>
      <c r="B8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812)),ROW(),"")</f>
        <v>812</v>
      </c>
      <c r="C812" s="13">
        <f t="shared" si="81"/>
        <v>0</v>
      </c>
      <c r="D812" s="84" t="str">
        <f t="shared" si="82"/>
        <v/>
      </c>
      <c r="E812" s="18"/>
      <c r="F812" s="174"/>
      <c r="G812" s="175"/>
      <c r="H812" s="195"/>
      <c r="I812" s="196"/>
      <c r="J812" s="196"/>
      <c r="K812" s="196"/>
      <c r="L812" s="174"/>
      <c r="M812" s="178"/>
      <c r="N812" s="179"/>
      <c r="O812" s="179" t="s">
        <v>227</v>
      </c>
    </row>
    <row r="813" spans="1:15" x14ac:dyDescent="0.15">
      <c r="A813" s="18"/>
      <c r="B8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813)),ROW(),"")</f>
        <v>813</v>
      </c>
      <c r="C813" s="13">
        <f t="shared" si="81"/>
        <v>0</v>
      </c>
      <c r="D813" s="84" t="str">
        <f t="shared" si="82"/>
        <v/>
      </c>
      <c r="E813" s="18"/>
      <c r="F813" s="174"/>
      <c r="G813" s="175"/>
      <c r="H813" s="195"/>
      <c r="I813" s="196"/>
      <c r="J813" s="196"/>
      <c r="K813" s="196"/>
      <c r="L813" s="174"/>
      <c r="M813" s="178"/>
      <c r="N813" s="179"/>
      <c r="O813" s="179" t="s">
        <v>227</v>
      </c>
    </row>
    <row r="814" spans="1:15" x14ac:dyDescent="0.15">
      <c r="A814" s="18"/>
      <c r="B8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814)),ROW(),"")</f>
        <v>814</v>
      </c>
      <c r="C814" s="13">
        <f t="shared" si="81"/>
        <v>0</v>
      </c>
      <c r="D814" s="84" t="str">
        <f t="shared" si="82"/>
        <v/>
      </c>
      <c r="E814" s="18"/>
      <c r="F814" s="174"/>
      <c r="G814" s="175"/>
      <c r="H814" s="195"/>
      <c r="I814" s="196"/>
      <c r="J814" s="196"/>
      <c r="K814" s="196"/>
      <c r="L814" s="174"/>
      <c r="M814" s="178"/>
      <c r="N814" s="179"/>
      <c r="O814" s="179" t="s">
        <v>227</v>
      </c>
    </row>
    <row r="815" spans="1:15" x14ac:dyDescent="0.15">
      <c r="A815" s="18"/>
      <c r="B8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815)),ROW(),"")</f>
        <v>815</v>
      </c>
      <c r="C815" s="13">
        <f t="shared" ref="C815:C878" si="83">INDEX(A:A,SMALL($B$3:$B$1039,ROW(A813)))</f>
        <v>0</v>
      </c>
      <c r="D815" s="84" t="str">
        <f t="shared" ref="D815:D878" si="84">PHONETIC(A815)</f>
        <v/>
      </c>
      <c r="E815" s="18"/>
      <c r="F815" s="174"/>
      <c r="G815" s="175"/>
      <c r="H815" s="195"/>
      <c r="I815" s="196"/>
      <c r="J815" s="196"/>
      <c r="K815" s="196"/>
      <c r="L815" s="174"/>
      <c r="M815" s="178"/>
      <c r="N815" s="179"/>
      <c r="O815" s="179" t="s">
        <v>227</v>
      </c>
    </row>
    <row r="816" spans="1:15" x14ac:dyDescent="0.15">
      <c r="A816" s="18"/>
      <c r="B8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816)),ROW(),"")</f>
        <v>816</v>
      </c>
      <c r="C816" s="13">
        <f t="shared" si="83"/>
        <v>0</v>
      </c>
      <c r="D816" s="84" t="str">
        <f t="shared" si="84"/>
        <v/>
      </c>
      <c r="E816" s="18"/>
      <c r="F816" s="174"/>
      <c r="G816" s="175"/>
      <c r="H816" s="195"/>
      <c r="I816" s="196"/>
      <c r="J816" s="196"/>
      <c r="K816" s="196"/>
      <c r="L816" s="174"/>
      <c r="M816" s="178"/>
      <c r="N816" s="179"/>
      <c r="O816" s="179" t="s">
        <v>227</v>
      </c>
    </row>
    <row r="817" spans="1:15" x14ac:dyDescent="0.15">
      <c r="A817" s="18"/>
      <c r="B8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817)),ROW(),"")</f>
        <v>817</v>
      </c>
      <c r="C817" s="13">
        <f t="shared" si="83"/>
        <v>0</v>
      </c>
      <c r="D817" s="84" t="str">
        <f t="shared" si="84"/>
        <v/>
      </c>
      <c r="E817" s="18"/>
      <c r="F817" s="174"/>
      <c r="G817" s="175"/>
      <c r="H817" s="195"/>
      <c r="I817" s="196"/>
      <c r="J817" s="196"/>
      <c r="K817" s="196"/>
      <c r="L817" s="174"/>
      <c r="M817" s="178"/>
      <c r="N817" s="179"/>
      <c r="O817" s="179" t="s">
        <v>227</v>
      </c>
    </row>
    <row r="818" spans="1:15" x14ac:dyDescent="0.15">
      <c r="A818" s="18"/>
      <c r="B8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818)),ROW(),"")</f>
        <v>818</v>
      </c>
      <c r="C818" s="13">
        <f t="shared" si="83"/>
        <v>0</v>
      </c>
      <c r="D818" s="84" t="str">
        <f t="shared" si="84"/>
        <v/>
      </c>
      <c r="E818" s="18"/>
      <c r="F818" s="174"/>
      <c r="G818" s="175"/>
      <c r="H818" s="195"/>
      <c r="I818" s="196"/>
      <c r="J818" s="196"/>
      <c r="K818" s="196"/>
      <c r="L818" s="174"/>
      <c r="M818" s="178"/>
      <c r="N818" s="179"/>
      <c r="O818" s="179" t="s">
        <v>227</v>
      </c>
    </row>
    <row r="819" spans="1:15" x14ac:dyDescent="0.15">
      <c r="A819" s="18"/>
      <c r="B8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819)),ROW(),"")</f>
        <v>819</v>
      </c>
      <c r="C819" s="13">
        <f t="shared" si="83"/>
        <v>0</v>
      </c>
      <c r="D819" s="84" t="str">
        <f t="shared" si="84"/>
        <v/>
      </c>
      <c r="E819" s="18"/>
      <c r="F819" s="174"/>
      <c r="G819" s="175"/>
      <c r="H819" s="195"/>
      <c r="I819" s="196"/>
      <c r="J819" s="196"/>
      <c r="K819" s="196"/>
      <c r="L819" s="174"/>
      <c r="M819" s="178"/>
      <c r="N819" s="179"/>
      <c r="O819" s="179" t="s">
        <v>227</v>
      </c>
    </row>
    <row r="820" spans="1:15" x14ac:dyDescent="0.15">
      <c r="A820" s="18"/>
      <c r="B8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820)),ROW(),"")</f>
        <v>820</v>
      </c>
      <c r="C820" s="13">
        <f t="shared" si="83"/>
        <v>0</v>
      </c>
      <c r="D820" s="84" t="str">
        <f t="shared" si="84"/>
        <v/>
      </c>
      <c r="E820" s="18"/>
      <c r="F820" s="174"/>
      <c r="G820" s="175"/>
      <c r="H820" s="195"/>
      <c r="I820" s="196"/>
      <c r="J820" s="196"/>
      <c r="K820" s="196"/>
      <c r="L820" s="174"/>
      <c r="M820" s="178"/>
      <c r="N820" s="179"/>
      <c r="O820" s="179" t="s">
        <v>227</v>
      </c>
    </row>
    <row r="821" spans="1:15" x14ac:dyDescent="0.15">
      <c r="A821" s="18"/>
      <c r="B8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821)),ROW(),"")</f>
        <v>821</v>
      </c>
      <c r="C821" s="13">
        <f t="shared" si="83"/>
        <v>0</v>
      </c>
      <c r="D821" s="84" t="str">
        <f t="shared" si="84"/>
        <v/>
      </c>
      <c r="E821" s="18"/>
      <c r="F821" s="174"/>
      <c r="G821" s="175"/>
      <c r="H821" s="195"/>
      <c r="I821" s="196"/>
      <c r="J821" s="196"/>
      <c r="K821" s="196"/>
      <c r="L821" s="174"/>
      <c r="M821" s="178"/>
      <c r="N821" s="179"/>
      <c r="O821" s="179" t="s">
        <v>227</v>
      </c>
    </row>
    <row r="822" spans="1:15" x14ac:dyDescent="0.15">
      <c r="A822" s="18"/>
      <c r="B8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822)),ROW(),"")</f>
        <v>822</v>
      </c>
      <c r="C822" s="13">
        <f t="shared" si="83"/>
        <v>0</v>
      </c>
      <c r="D822" s="84" t="str">
        <f t="shared" si="84"/>
        <v/>
      </c>
      <c r="E822" s="18"/>
      <c r="F822" s="174"/>
      <c r="G822" s="175"/>
      <c r="H822" s="195"/>
      <c r="I822" s="196"/>
      <c r="J822" s="196"/>
      <c r="K822" s="196"/>
      <c r="L822" s="174"/>
      <c r="M822" s="178"/>
      <c r="N822" s="179"/>
      <c r="O822" s="179" t="s">
        <v>227</v>
      </c>
    </row>
    <row r="823" spans="1:15" x14ac:dyDescent="0.15">
      <c r="A823" s="18"/>
      <c r="B8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823)),ROW(),"")</f>
        <v>823</v>
      </c>
      <c r="C823" s="13">
        <f t="shared" si="83"/>
        <v>0</v>
      </c>
      <c r="D823" s="84" t="str">
        <f t="shared" si="84"/>
        <v/>
      </c>
      <c r="E823" s="18"/>
      <c r="F823" s="174"/>
      <c r="G823" s="175"/>
      <c r="H823" s="195"/>
      <c r="I823" s="196"/>
      <c r="J823" s="196"/>
      <c r="K823" s="196"/>
      <c r="L823" s="174"/>
      <c r="M823" s="178"/>
      <c r="N823" s="179"/>
      <c r="O823" s="179" t="s">
        <v>227</v>
      </c>
    </row>
    <row r="824" spans="1:15" x14ac:dyDescent="0.15">
      <c r="A824" s="18"/>
      <c r="B8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824)),ROW(),"")</f>
        <v>824</v>
      </c>
      <c r="C824" s="13">
        <f t="shared" si="83"/>
        <v>0</v>
      </c>
      <c r="D824" s="84" t="str">
        <f t="shared" si="84"/>
        <v/>
      </c>
      <c r="E824" s="18"/>
      <c r="F824" s="174"/>
      <c r="G824" s="175"/>
      <c r="H824" s="195"/>
      <c r="I824" s="196"/>
      <c r="J824" s="196"/>
      <c r="K824" s="196"/>
      <c r="L824" s="174"/>
      <c r="M824" s="178"/>
      <c r="N824" s="179"/>
      <c r="O824" s="179" t="s">
        <v>227</v>
      </c>
    </row>
    <row r="825" spans="1:15" x14ac:dyDescent="0.15">
      <c r="A825" s="18"/>
      <c r="B8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825)),ROW(),"")</f>
        <v>825</v>
      </c>
      <c r="C825" s="13">
        <f t="shared" si="83"/>
        <v>0</v>
      </c>
      <c r="D825" s="84" t="str">
        <f t="shared" si="84"/>
        <v/>
      </c>
      <c r="E825" s="18"/>
      <c r="F825" s="174"/>
      <c r="G825" s="175"/>
      <c r="H825" s="195"/>
      <c r="I825" s="196"/>
      <c r="J825" s="196"/>
      <c r="K825" s="196"/>
      <c r="L825" s="174"/>
      <c r="M825" s="178"/>
      <c r="N825" s="179"/>
      <c r="O825" s="179" t="s">
        <v>227</v>
      </c>
    </row>
    <row r="826" spans="1:15" x14ac:dyDescent="0.15">
      <c r="A826" s="18"/>
      <c r="B8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826)),ROW(),"")</f>
        <v>826</v>
      </c>
      <c r="C826" s="13">
        <f t="shared" si="83"/>
        <v>0</v>
      </c>
      <c r="D826" s="84" t="str">
        <f t="shared" si="84"/>
        <v/>
      </c>
      <c r="E826" s="18"/>
      <c r="F826" s="174"/>
      <c r="G826" s="175"/>
      <c r="H826" s="195"/>
      <c r="I826" s="196"/>
      <c r="J826" s="196"/>
      <c r="K826" s="196"/>
      <c r="L826" s="174"/>
      <c r="M826" s="178"/>
      <c r="N826" s="179"/>
      <c r="O826" s="179" t="s">
        <v>227</v>
      </c>
    </row>
    <row r="827" spans="1:15" x14ac:dyDescent="0.15">
      <c r="A827" s="18"/>
      <c r="B8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827)),ROW(),"")</f>
        <v>827</v>
      </c>
      <c r="C827" s="13">
        <f t="shared" si="83"/>
        <v>0</v>
      </c>
      <c r="D827" s="84" t="str">
        <f t="shared" si="84"/>
        <v/>
      </c>
      <c r="E827" s="18"/>
      <c r="F827" s="174"/>
      <c r="G827" s="175"/>
      <c r="H827" s="195"/>
      <c r="I827" s="196"/>
      <c r="J827" s="196"/>
      <c r="K827" s="196"/>
      <c r="L827" s="174"/>
      <c r="M827" s="178"/>
      <c r="N827" s="179"/>
      <c r="O827" s="179" t="s">
        <v>227</v>
      </c>
    </row>
    <row r="828" spans="1:15" x14ac:dyDescent="0.15">
      <c r="A828" s="18"/>
      <c r="B8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828)),ROW(),"")</f>
        <v>828</v>
      </c>
      <c r="C828" s="13">
        <f t="shared" si="83"/>
        <v>0</v>
      </c>
      <c r="D828" s="84" t="str">
        <f t="shared" si="84"/>
        <v/>
      </c>
      <c r="E828" s="18"/>
      <c r="F828" s="174"/>
      <c r="G828" s="175"/>
      <c r="H828" s="195"/>
      <c r="I828" s="196"/>
      <c r="J828" s="196"/>
      <c r="K828" s="196"/>
      <c r="L828" s="174"/>
      <c r="M828" s="178"/>
      <c r="N828" s="179"/>
      <c r="O828" s="179" t="s">
        <v>227</v>
      </c>
    </row>
    <row r="829" spans="1:15" x14ac:dyDescent="0.15">
      <c r="A829" s="18"/>
      <c r="B8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829)),ROW(),"")</f>
        <v>829</v>
      </c>
      <c r="C829" s="13">
        <f t="shared" si="83"/>
        <v>0</v>
      </c>
      <c r="D829" s="84" t="str">
        <f t="shared" si="84"/>
        <v/>
      </c>
      <c r="E829" s="18"/>
      <c r="F829" s="174"/>
      <c r="G829" s="175"/>
      <c r="H829" s="195"/>
      <c r="I829" s="196"/>
      <c r="J829" s="196"/>
      <c r="K829" s="196"/>
      <c r="L829" s="174"/>
      <c r="M829" s="178"/>
      <c r="N829" s="179"/>
      <c r="O829" s="179" t="s">
        <v>227</v>
      </c>
    </row>
    <row r="830" spans="1:15" x14ac:dyDescent="0.15">
      <c r="A830" s="18"/>
      <c r="B8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830)),ROW(),"")</f>
        <v>830</v>
      </c>
      <c r="C830" s="13">
        <f t="shared" si="83"/>
        <v>0</v>
      </c>
      <c r="D830" s="84" t="str">
        <f t="shared" si="84"/>
        <v/>
      </c>
      <c r="E830" s="18"/>
      <c r="F830" s="174"/>
      <c r="G830" s="175"/>
      <c r="H830" s="195"/>
      <c r="I830" s="196"/>
      <c r="J830" s="196"/>
      <c r="K830" s="196"/>
      <c r="L830" s="174"/>
      <c r="M830" s="178"/>
      <c r="N830" s="179"/>
      <c r="O830" s="179" t="s">
        <v>227</v>
      </c>
    </row>
    <row r="831" spans="1:15" x14ac:dyDescent="0.15">
      <c r="A831" s="18"/>
      <c r="B8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831)),ROW(),"")</f>
        <v>831</v>
      </c>
      <c r="C831" s="13">
        <f t="shared" si="83"/>
        <v>0</v>
      </c>
      <c r="D831" s="84" t="str">
        <f t="shared" si="84"/>
        <v/>
      </c>
      <c r="E831" s="18"/>
      <c r="F831" s="174"/>
      <c r="G831" s="175"/>
      <c r="H831" s="195"/>
      <c r="I831" s="196"/>
      <c r="J831" s="196"/>
      <c r="K831" s="196"/>
      <c r="L831" s="174"/>
      <c r="M831" s="178"/>
      <c r="N831" s="179"/>
      <c r="O831" s="179" t="s">
        <v>227</v>
      </c>
    </row>
    <row r="832" spans="1:15" x14ac:dyDescent="0.15">
      <c r="A832" s="18"/>
      <c r="B8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832)),ROW(),"")</f>
        <v>832</v>
      </c>
      <c r="C832" s="13">
        <f t="shared" si="83"/>
        <v>0</v>
      </c>
      <c r="D832" s="84" t="str">
        <f t="shared" si="84"/>
        <v/>
      </c>
      <c r="E832" s="18"/>
      <c r="F832" s="174"/>
      <c r="G832" s="175"/>
      <c r="H832" s="195"/>
      <c r="I832" s="196"/>
      <c r="J832" s="196"/>
      <c r="K832" s="196"/>
      <c r="L832" s="174"/>
      <c r="M832" s="178"/>
      <c r="N832" s="179"/>
      <c r="O832" s="179" t="s">
        <v>227</v>
      </c>
    </row>
    <row r="833" spans="1:15" x14ac:dyDescent="0.15">
      <c r="A833" s="18"/>
      <c r="B8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833)),ROW(),"")</f>
        <v>833</v>
      </c>
      <c r="C833" s="13">
        <f t="shared" si="83"/>
        <v>0</v>
      </c>
      <c r="D833" s="84" t="str">
        <f t="shared" si="84"/>
        <v/>
      </c>
      <c r="E833" s="18"/>
      <c r="F833" s="174"/>
      <c r="G833" s="175"/>
      <c r="H833" s="195"/>
      <c r="I833" s="196"/>
      <c r="J833" s="196"/>
      <c r="K833" s="196"/>
      <c r="L833" s="174"/>
      <c r="M833" s="178"/>
      <c r="N833" s="179"/>
      <c r="O833" s="179" t="s">
        <v>227</v>
      </c>
    </row>
    <row r="834" spans="1:15" x14ac:dyDescent="0.15">
      <c r="A834" s="18"/>
      <c r="B8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834)),ROW(),"")</f>
        <v>834</v>
      </c>
      <c r="C834" s="13">
        <f t="shared" si="83"/>
        <v>0</v>
      </c>
      <c r="D834" s="84" t="str">
        <f t="shared" si="84"/>
        <v/>
      </c>
      <c r="E834" s="18"/>
      <c r="F834" s="174"/>
      <c r="G834" s="175"/>
      <c r="H834" s="195"/>
      <c r="I834" s="196"/>
      <c r="J834" s="196"/>
      <c r="K834" s="196"/>
      <c r="L834" s="174"/>
      <c r="M834" s="178"/>
      <c r="N834" s="179"/>
      <c r="O834" s="179" t="s">
        <v>227</v>
      </c>
    </row>
    <row r="835" spans="1:15" x14ac:dyDescent="0.15">
      <c r="A835" s="18"/>
      <c r="B8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835)),ROW(),"")</f>
        <v>835</v>
      </c>
      <c r="C835" s="13">
        <f t="shared" si="83"/>
        <v>0</v>
      </c>
      <c r="D835" s="84" t="str">
        <f t="shared" si="84"/>
        <v/>
      </c>
      <c r="E835" s="18"/>
      <c r="F835" s="174"/>
      <c r="G835" s="175"/>
      <c r="H835" s="195"/>
      <c r="I835" s="196"/>
      <c r="J835" s="196"/>
      <c r="K835" s="196"/>
      <c r="L835" s="174"/>
      <c r="M835" s="178"/>
      <c r="N835" s="179"/>
      <c r="O835" s="179" t="s">
        <v>227</v>
      </c>
    </row>
    <row r="836" spans="1:15" x14ac:dyDescent="0.15">
      <c r="A836" s="18"/>
      <c r="B8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836)),ROW(),"")</f>
        <v>836</v>
      </c>
      <c r="C836" s="13">
        <f t="shared" si="83"/>
        <v>0</v>
      </c>
      <c r="D836" s="84" t="str">
        <f t="shared" si="84"/>
        <v/>
      </c>
      <c r="E836" s="18"/>
      <c r="F836" s="174"/>
      <c r="G836" s="175"/>
      <c r="H836" s="195"/>
      <c r="I836" s="196"/>
      <c r="J836" s="196"/>
      <c r="K836" s="196"/>
      <c r="L836" s="174"/>
      <c r="M836" s="178"/>
      <c r="N836" s="179"/>
      <c r="O836" s="179" t="s">
        <v>227</v>
      </c>
    </row>
    <row r="837" spans="1:15" x14ac:dyDescent="0.15">
      <c r="A837" s="18"/>
      <c r="B8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837)),ROW(),"")</f>
        <v>837</v>
      </c>
      <c r="C837" s="13">
        <f t="shared" si="83"/>
        <v>0</v>
      </c>
      <c r="D837" s="84" t="str">
        <f t="shared" si="84"/>
        <v/>
      </c>
      <c r="E837" s="18"/>
      <c r="F837" s="174"/>
      <c r="G837" s="175"/>
      <c r="H837" s="195"/>
      <c r="I837" s="196"/>
      <c r="J837" s="196"/>
      <c r="K837" s="196"/>
      <c r="L837" s="174"/>
      <c r="M837" s="178"/>
      <c r="N837" s="179"/>
      <c r="O837" s="179" t="s">
        <v>227</v>
      </c>
    </row>
    <row r="838" spans="1:15" x14ac:dyDescent="0.15">
      <c r="A838" s="18"/>
      <c r="B8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838)),ROW(),"")</f>
        <v>838</v>
      </c>
      <c r="C838" s="13">
        <f t="shared" si="83"/>
        <v>0</v>
      </c>
      <c r="D838" s="84" t="str">
        <f t="shared" si="84"/>
        <v/>
      </c>
      <c r="E838" s="18"/>
      <c r="F838" s="174"/>
      <c r="G838" s="175"/>
      <c r="H838" s="195"/>
      <c r="I838" s="196"/>
      <c r="J838" s="196"/>
      <c r="K838" s="196"/>
      <c r="L838" s="174"/>
      <c r="M838" s="178"/>
      <c r="N838" s="179"/>
      <c r="O838" s="179" t="s">
        <v>227</v>
      </c>
    </row>
    <row r="839" spans="1:15" x14ac:dyDescent="0.15">
      <c r="A839" s="18"/>
      <c r="B8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839)),ROW(),"")</f>
        <v>839</v>
      </c>
      <c r="C839" s="13">
        <f t="shared" si="83"/>
        <v>0</v>
      </c>
      <c r="D839" s="84" t="str">
        <f t="shared" si="84"/>
        <v/>
      </c>
      <c r="E839" s="18"/>
      <c r="F839" s="174"/>
      <c r="G839" s="175"/>
      <c r="H839" s="195"/>
      <c r="I839" s="196"/>
      <c r="J839" s="196"/>
      <c r="K839" s="196"/>
      <c r="L839" s="174"/>
      <c r="M839" s="178"/>
      <c r="N839" s="179"/>
      <c r="O839" s="179" t="s">
        <v>227</v>
      </c>
    </row>
    <row r="840" spans="1:15" x14ac:dyDescent="0.15">
      <c r="A840" s="18"/>
      <c r="B8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840)),ROW(),"")</f>
        <v>840</v>
      </c>
      <c r="C840" s="13">
        <f t="shared" si="83"/>
        <v>0</v>
      </c>
      <c r="D840" s="84" t="str">
        <f t="shared" si="84"/>
        <v/>
      </c>
      <c r="E840" s="18"/>
      <c r="F840" s="174"/>
      <c r="G840" s="175"/>
      <c r="H840" s="195"/>
      <c r="I840" s="196"/>
      <c r="J840" s="196"/>
      <c r="K840" s="196"/>
      <c r="L840" s="174"/>
      <c r="M840" s="178"/>
      <c r="N840" s="179"/>
      <c r="O840" s="179" t="s">
        <v>227</v>
      </c>
    </row>
    <row r="841" spans="1:15" x14ac:dyDescent="0.15">
      <c r="A841" s="18"/>
      <c r="B8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841)),ROW(),"")</f>
        <v>841</v>
      </c>
      <c r="C841" s="13">
        <f t="shared" si="83"/>
        <v>0</v>
      </c>
      <c r="D841" s="84" t="str">
        <f t="shared" si="84"/>
        <v/>
      </c>
      <c r="E841" s="18"/>
      <c r="F841" s="174"/>
      <c r="G841" s="175"/>
      <c r="H841" s="195"/>
      <c r="I841" s="196"/>
      <c r="J841" s="196"/>
      <c r="K841" s="196"/>
      <c r="L841" s="174"/>
      <c r="M841" s="178"/>
      <c r="N841" s="179"/>
      <c r="O841" s="179" t="s">
        <v>227</v>
      </c>
    </row>
    <row r="842" spans="1:15" x14ac:dyDescent="0.15">
      <c r="A842" s="18"/>
      <c r="B8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842)),ROW(),"")</f>
        <v>842</v>
      </c>
      <c r="C842" s="13">
        <f t="shared" si="83"/>
        <v>0</v>
      </c>
      <c r="D842" s="84" t="str">
        <f t="shared" si="84"/>
        <v/>
      </c>
      <c r="E842" s="18"/>
      <c r="F842" s="174"/>
      <c r="G842" s="175"/>
      <c r="H842" s="195"/>
      <c r="I842" s="196"/>
      <c r="J842" s="196"/>
      <c r="K842" s="196"/>
      <c r="L842" s="174"/>
      <c r="M842" s="178"/>
      <c r="N842" s="179"/>
      <c r="O842" s="179" t="s">
        <v>227</v>
      </c>
    </row>
    <row r="843" spans="1:15" x14ac:dyDescent="0.15">
      <c r="A843" s="18"/>
      <c r="B8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843)),ROW(),"")</f>
        <v>843</v>
      </c>
      <c r="C843" s="13">
        <f t="shared" si="83"/>
        <v>0</v>
      </c>
      <c r="D843" s="84" t="str">
        <f t="shared" si="84"/>
        <v/>
      </c>
      <c r="E843" s="18"/>
      <c r="F843" s="174"/>
      <c r="G843" s="175"/>
      <c r="H843" s="195"/>
      <c r="I843" s="196"/>
      <c r="J843" s="196"/>
      <c r="K843" s="196"/>
      <c r="L843" s="174"/>
      <c r="M843" s="178"/>
      <c r="N843" s="179"/>
      <c r="O843" s="179" t="s">
        <v>227</v>
      </c>
    </row>
    <row r="844" spans="1:15" x14ac:dyDescent="0.15">
      <c r="A844" s="18"/>
      <c r="B8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844)),ROW(),"")</f>
        <v>844</v>
      </c>
      <c r="C844" s="13">
        <f t="shared" si="83"/>
        <v>0</v>
      </c>
      <c r="D844" s="84" t="str">
        <f t="shared" si="84"/>
        <v/>
      </c>
      <c r="E844" s="18"/>
      <c r="F844" s="174"/>
      <c r="G844" s="175"/>
      <c r="H844" s="195"/>
      <c r="I844" s="196"/>
      <c r="J844" s="196"/>
      <c r="K844" s="196"/>
      <c r="L844" s="174"/>
      <c r="M844" s="178"/>
      <c r="N844" s="179"/>
      <c r="O844" s="179" t="s">
        <v>227</v>
      </c>
    </row>
    <row r="845" spans="1:15" x14ac:dyDescent="0.15">
      <c r="A845" s="18"/>
      <c r="B8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845)),ROW(),"")</f>
        <v>845</v>
      </c>
      <c r="C845" s="13">
        <f t="shared" si="83"/>
        <v>0</v>
      </c>
      <c r="D845" s="84" t="str">
        <f t="shared" si="84"/>
        <v/>
      </c>
      <c r="E845" s="18"/>
      <c r="F845" s="174"/>
      <c r="G845" s="175"/>
      <c r="H845" s="195"/>
      <c r="I845" s="196"/>
      <c r="J845" s="196"/>
      <c r="K845" s="196"/>
      <c r="L845" s="174"/>
      <c r="M845" s="178"/>
      <c r="N845" s="179"/>
      <c r="O845" s="179" t="s">
        <v>227</v>
      </c>
    </row>
    <row r="846" spans="1:15" x14ac:dyDescent="0.15">
      <c r="A846" s="18"/>
      <c r="B8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846)),ROW(),"")</f>
        <v>846</v>
      </c>
      <c r="C846" s="13">
        <f t="shared" si="83"/>
        <v>0</v>
      </c>
      <c r="D846" s="84" t="str">
        <f t="shared" si="84"/>
        <v/>
      </c>
      <c r="E846" s="18"/>
      <c r="F846" s="174"/>
      <c r="G846" s="175"/>
      <c r="H846" s="195"/>
      <c r="I846" s="196"/>
      <c r="J846" s="196"/>
      <c r="K846" s="196"/>
      <c r="L846" s="174"/>
      <c r="M846" s="178"/>
      <c r="N846" s="179"/>
      <c r="O846" s="179" t="s">
        <v>227</v>
      </c>
    </row>
    <row r="847" spans="1:15" x14ac:dyDescent="0.15">
      <c r="A847" s="18"/>
      <c r="B8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847)),ROW(),"")</f>
        <v>847</v>
      </c>
      <c r="C847" s="13">
        <f t="shared" si="83"/>
        <v>0</v>
      </c>
      <c r="D847" s="84" t="str">
        <f t="shared" si="84"/>
        <v/>
      </c>
      <c r="E847" s="18"/>
      <c r="F847" s="174"/>
      <c r="G847" s="175"/>
      <c r="H847" s="195"/>
      <c r="I847" s="196"/>
      <c r="J847" s="196"/>
      <c r="K847" s="196"/>
      <c r="L847" s="174"/>
      <c r="M847" s="178"/>
      <c r="N847" s="179"/>
      <c r="O847" s="179" t="s">
        <v>227</v>
      </c>
    </row>
    <row r="848" spans="1:15" x14ac:dyDescent="0.15">
      <c r="A848" s="18"/>
      <c r="B8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848)),ROW(),"")</f>
        <v>848</v>
      </c>
      <c r="C848" s="13">
        <f t="shared" si="83"/>
        <v>0</v>
      </c>
      <c r="D848" s="84" t="str">
        <f t="shared" si="84"/>
        <v/>
      </c>
      <c r="E848" s="18"/>
      <c r="F848" s="174"/>
      <c r="G848" s="175"/>
      <c r="H848" s="195"/>
      <c r="I848" s="196"/>
      <c r="J848" s="196"/>
      <c r="K848" s="196"/>
      <c r="L848" s="174"/>
      <c r="M848" s="178"/>
      <c r="N848" s="179"/>
      <c r="O848" s="179" t="s">
        <v>227</v>
      </c>
    </row>
    <row r="849" spans="1:15" x14ac:dyDescent="0.15">
      <c r="A849" s="18"/>
      <c r="B8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849)),ROW(),"")</f>
        <v>849</v>
      </c>
      <c r="C849" s="13">
        <f t="shared" si="83"/>
        <v>0</v>
      </c>
      <c r="D849" s="84" t="str">
        <f t="shared" si="84"/>
        <v/>
      </c>
      <c r="E849" s="18"/>
      <c r="F849" s="174"/>
      <c r="G849" s="175"/>
      <c r="H849" s="195"/>
      <c r="I849" s="196"/>
      <c r="J849" s="196"/>
      <c r="K849" s="196"/>
      <c r="L849" s="174"/>
      <c r="M849" s="178"/>
      <c r="N849" s="179"/>
      <c r="O849" s="179" t="s">
        <v>227</v>
      </c>
    </row>
    <row r="850" spans="1:15" x14ac:dyDescent="0.15">
      <c r="A850" s="18"/>
      <c r="B8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850)),ROW(),"")</f>
        <v>850</v>
      </c>
      <c r="C850" s="13">
        <f t="shared" si="83"/>
        <v>0</v>
      </c>
      <c r="D850" s="84" t="str">
        <f t="shared" si="84"/>
        <v/>
      </c>
      <c r="E850" s="18"/>
      <c r="F850" s="174"/>
      <c r="G850" s="175"/>
      <c r="H850" s="195"/>
      <c r="I850" s="196"/>
      <c r="J850" s="196"/>
      <c r="K850" s="196"/>
      <c r="L850" s="174"/>
      <c r="M850" s="178"/>
      <c r="N850" s="179"/>
      <c r="O850" s="179" t="s">
        <v>227</v>
      </c>
    </row>
    <row r="851" spans="1:15" x14ac:dyDescent="0.15">
      <c r="A851" s="18"/>
      <c r="B8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851)),ROW(),"")</f>
        <v>851</v>
      </c>
      <c r="C851" s="13">
        <f t="shared" si="83"/>
        <v>0</v>
      </c>
      <c r="D851" s="84" t="str">
        <f t="shared" si="84"/>
        <v/>
      </c>
      <c r="E851" s="18"/>
      <c r="F851" s="174"/>
      <c r="G851" s="175"/>
      <c r="H851" s="195"/>
      <c r="I851" s="196"/>
      <c r="J851" s="196"/>
      <c r="K851" s="196"/>
      <c r="L851" s="174"/>
      <c r="M851" s="178"/>
      <c r="N851" s="179"/>
      <c r="O851" s="179" t="s">
        <v>227</v>
      </c>
    </row>
    <row r="852" spans="1:15" x14ac:dyDescent="0.15">
      <c r="A852" s="18"/>
      <c r="B8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852)),ROW(),"")</f>
        <v>852</v>
      </c>
      <c r="C852" s="13">
        <f t="shared" si="83"/>
        <v>0</v>
      </c>
      <c r="D852" s="84" t="str">
        <f t="shared" si="84"/>
        <v/>
      </c>
      <c r="E852" s="18"/>
      <c r="F852" s="174"/>
      <c r="G852" s="175"/>
      <c r="H852" s="195"/>
      <c r="I852" s="196"/>
      <c r="J852" s="196"/>
      <c r="K852" s="196"/>
      <c r="L852" s="174"/>
      <c r="M852" s="178"/>
      <c r="N852" s="179"/>
      <c r="O852" s="179" t="s">
        <v>227</v>
      </c>
    </row>
    <row r="853" spans="1:15" x14ac:dyDescent="0.15">
      <c r="A853" s="18"/>
      <c r="B8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853)),ROW(),"")</f>
        <v>853</v>
      </c>
      <c r="C853" s="13">
        <f t="shared" si="83"/>
        <v>0</v>
      </c>
      <c r="D853" s="84" t="str">
        <f t="shared" si="84"/>
        <v/>
      </c>
      <c r="E853" s="18"/>
      <c r="F853" s="174"/>
      <c r="G853" s="175"/>
      <c r="H853" s="195"/>
      <c r="I853" s="196"/>
      <c r="J853" s="196"/>
      <c r="K853" s="196"/>
      <c r="L853" s="174"/>
      <c r="M853" s="178"/>
      <c r="N853" s="179"/>
      <c r="O853" s="179" t="s">
        <v>227</v>
      </c>
    </row>
    <row r="854" spans="1:15" x14ac:dyDescent="0.15">
      <c r="A854" s="18"/>
      <c r="B8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854)),ROW(),"")</f>
        <v>854</v>
      </c>
      <c r="C854" s="13">
        <f t="shared" si="83"/>
        <v>0</v>
      </c>
      <c r="D854" s="84" t="str">
        <f t="shared" si="84"/>
        <v/>
      </c>
      <c r="E854" s="18"/>
      <c r="F854" s="174"/>
      <c r="G854" s="175"/>
      <c r="H854" s="195"/>
      <c r="I854" s="196"/>
      <c r="J854" s="196"/>
      <c r="K854" s="196"/>
      <c r="L854" s="174"/>
      <c r="M854" s="178"/>
      <c r="N854" s="179"/>
      <c r="O854" s="179" t="s">
        <v>227</v>
      </c>
    </row>
    <row r="855" spans="1:15" x14ac:dyDescent="0.15">
      <c r="A855" s="18"/>
      <c r="B8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855)),ROW(),"")</f>
        <v>855</v>
      </c>
      <c r="C855" s="13">
        <f t="shared" si="83"/>
        <v>0</v>
      </c>
      <c r="D855" s="84" t="str">
        <f t="shared" si="84"/>
        <v/>
      </c>
      <c r="E855" s="18"/>
      <c r="F855" s="174"/>
      <c r="G855" s="175"/>
      <c r="H855" s="195"/>
      <c r="I855" s="196"/>
      <c r="J855" s="196"/>
      <c r="K855" s="196"/>
      <c r="L855" s="174"/>
      <c r="M855" s="178"/>
      <c r="N855" s="179"/>
      <c r="O855" s="179" t="s">
        <v>227</v>
      </c>
    </row>
    <row r="856" spans="1:15" x14ac:dyDescent="0.15">
      <c r="A856" s="18"/>
      <c r="B8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856)),ROW(),"")</f>
        <v>856</v>
      </c>
      <c r="C856" s="13">
        <f t="shared" si="83"/>
        <v>0</v>
      </c>
      <c r="D856" s="84" t="str">
        <f t="shared" si="84"/>
        <v/>
      </c>
      <c r="E856" s="18"/>
      <c r="F856" s="174"/>
      <c r="G856" s="175"/>
      <c r="H856" s="195"/>
      <c r="I856" s="196"/>
      <c r="J856" s="196"/>
      <c r="K856" s="196"/>
      <c r="L856" s="174"/>
      <c r="M856" s="178"/>
      <c r="N856" s="179"/>
      <c r="O856" s="179" t="s">
        <v>227</v>
      </c>
    </row>
    <row r="857" spans="1:15" x14ac:dyDescent="0.15">
      <c r="A857" s="18"/>
      <c r="B8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857)),ROW(),"")</f>
        <v>857</v>
      </c>
      <c r="C857" s="13">
        <f t="shared" si="83"/>
        <v>0</v>
      </c>
      <c r="D857" s="84" t="str">
        <f t="shared" si="84"/>
        <v/>
      </c>
      <c r="E857" s="18"/>
      <c r="F857" s="174"/>
      <c r="G857" s="175"/>
      <c r="H857" s="195"/>
      <c r="I857" s="196"/>
      <c r="J857" s="196"/>
      <c r="K857" s="196"/>
      <c r="L857" s="174"/>
      <c r="M857" s="178"/>
      <c r="N857" s="179"/>
      <c r="O857" s="179" t="s">
        <v>227</v>
      </c>
    </row>
    <row r="858" spans="1:15" x14ac:dyDescent="0.15">
      <c r="A858" s="18"/>
      <c r="B8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858)),ROW(),"")</f>
        <v>858</v>
      </c>
      <c r="C858" s="13">
        <f t="shared" si="83"/>
        <v>0</v>
      </c>
      <c r="D858" s="84" t="str">
        <f t="shared" si="84"/>
        <v/>
      </c>
      <c r="E858" s="18"/>
      <c r="F858" s="174"/>
      <c r="G858" s="175"/>
      <c r="H858" s="195"/>
      <c r="I858" s="196"/>
      <c r="J858" s="196"/>
      <c r="K858" s="196"/>
      <c r="L858" s="174"/>
      <c r="M858" s="178"/>
      <c r="N858" s="179"/>
      <c r="O858" s="179" t="s">
        <v>227</v>
      </c>
    </row>
    <row r="859" spans="1:15" x14ac:dyDescent="0.15">
      <c r="A859" s="18"/>
      <c r="B8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859)),ROW(),"")</f>
        <v>859</v>
      </c>
      <c r="C859" s="13">
        <f t="shared" si="83"/>
        <v>0</v>
      </c>
      <c r="D859" s="84" t="str">
        <f t="shared" si="84"/>
        <v/>
      </c>
      <c r="E859" s="18"/>
      <c r="F859" s="174"/>
      <c r="G859" s="175"/>
      <c r="H859" s="195"/>
      <c r="I859" s="196"/>
      <c r="J859" s="196"/>
      <c r="K859" s="196"/>
      <c r="L859" s="174"/>
      <c r="M859" s="178"/>
      <c r="N859" s="179"/>
      <c r="O859" s="179" t="s">
        <v>227</v>
      </c>
    </row>
    <row r="860" spans="1:15" x14ac:dyDescent="0.15">
      <c r="A860" s="18"/>
      <c r="B8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860)),ROW(),"")</f>
        <v>860</v>
      </c>
      <c r="C860" s="13">
        <f t="shared" si="83"/>
        <v>0</v>
      </c>
      <c r="D860" s="84" t="str">
        <f t="shared" si="84"/>
        <v/>
      </c>
      <c r="E860" s="18"/>
      <c r="F860" s="174"/>
      <c r="G860" s="175"/>
      <c r="H860" s="195"/>
      <c r="I860" s="196"/>
      <c r="J860" s="196"/>
      <c r="K860" s="196"/>
      <c r="L860" s="174"/>
      <c r="M860" s="178"/>
      <c r="N860" s="179"/>
      <c r="O860" s="179" t="s">
        <v>227</v>
      </c>
    </row>
    <row r="861" spans="1:15" x14ac:dyDescent="0.15">
      <c r="A861" s="18"/>
      <c r="B8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861)),ROW(),"")</f>
        <v>861</v>
      </c>
      <c r="C861" s="13">
        <f t="shared" si="83"/>
        <v>0</v>
      </c>
      <c r="D861" s="84" t="str">
        <f t="shared" si="84"/>
        <v/>
      </c>
      <c r="E861" s="18"/>
      <c r="F861" s="174"/>
      <c r="G861" s="175"/>
      <c r="H861" s="195"/>
      <c r="I861" s="196"/>
      <c r="J861" s="196"/>
      <c r="K861" s="196"/>
      <c r="L861" s="174"/>
      <c r="M861" s="178"/>
      <c r="N861" s="179"/>
      <c r="O861" s="179" t="s">
        <v>227</v>
      </c>
    </row>
    <row r="862" spans="1:15" x14ac:dyDescent="0.15">
      <c r="A862" s="18"/>
      <c r="B8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862)),ROW(),"")</f>
        <v>862</v>
      </c>
      <c r="C862" s="13">
        <f t="shared" si="83"/>
        <v>0</v>
      </c>
      <c r="D862" s="84" t="str">
        <f t="shared" si="84"/>
        <v/>
      </c>
      <c r="E862" s="18"/>
      <c r="F862" s="174"/>
      <c r="G862" s="175"/>
      <c r="H862" s="195"/>
      <c r="I862" s="196"/>
      <c r="J862" s="196"/>
      <c r="K862" s="196"/>
      <c r="L862" s="174"/>
      <c r="M862" s="178"/>
      <c r="N862" s="179"/>
      <c r="O862" s="179" t="s">
        <v>227</v>
      </c>
    </row>
    <row r="863" spans="1:15" x14ac:dyDescent="0.15">
      <c r="A863" s="18"/>
      <c r="B8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863)),ROW(),"")</f>
        <v>863</v>
      </c>
      <c r="C863" s="13">
        <f t="shared" si="83"/>
        <v>0</v>
      </c>
      <c r="D863" s="84" t="str">
        <f t="shared" si="84"/>
        <v/>
      </c>
      <c r="E863" s="18"/>
      <c r="F863" s="174"/>
      <c r="G863" s="175"/>
      <c r="H863" s="195"/>
      <c r="I863" s="196"/>
      <c r="J863" s="196"/>
      <c r="K863" s="196"/>
      <c r="L863" s="174"/>
      <c r="M863" s="178"/>
      <c r="N863" s="179"/>
      <c r="O863" s="179" t="s">
        <v>227</v>
      </c>
    </row>
    <row r="864" spans="1:15" x14ac:dyDescent="0.15">
      <c r="A864" s="18"/>
      <c r="B8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864)),ROW(),"")</f>
        <v>864</v>
      </c>
      <c r="C864" s="13">
        <f t="shared" si="83"/>
        <v>0</v>
      </c>
      <c r="D864" s="84" t="str">
        <f t="shared" si="84"/>
        <v/>
      </c>
      <c r="E864" s="18"/>
      <c r="F864" s="174"/>
      <c r="G864" s="175"/>
      <c r="H864" s="195"/>
      <c r="I864" s="196"/>
      <c r="J864" s="196"/>
      <c r="K864" s="196"/>
      <c r="L864" s="174"/>
      <c r="M864" s="178"/>
      <c r="N864" s="179"/>
      <c r="O864" s="179" t="s">
        <v>227</v>
      </c>
    </row>
    <row r="865" spans="1:15" x14ac:dyDescent="0.15">
      <c r="A865" s="18"/>
      <c r="B8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865)),ROW(),"")</f>
        <v>865</v>
      </c>
      <c r="C865" s="13">
        <f t="shared" si="83"/>
        <v>0</v>
      </c>
      <c r="D865" s="84" t="str">
        <f t="shared" si="84"/>
        <v/>
      </c>
      <c r="E865" s="18"/>
      <c r="F865" s="174"/>
      <c r="G865" s="175"/>
      <c r="H865" s="195"/>
      <c r="I865" s="196"/>
      <c r="J865" s="196"/>
      <c r="K865" s="196"/>
      <c r="L865" s="174"/>
      <c r="M865" s="178"/>
      <c r="N865" s="179"/>
      <c r="O865" s="179" t="s">
        <v>227</v>
      </c>
    </row>
    <row r="866" spans="1:15" x14ac:dyDescent="0.15">
      <c r="A866" s="18"/>
      <c r="B8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866)),ROW(),"")</f>
        <v>866</v>
      </c>
      <c r="C866" s="13">
        <f t="shared" si="83"/>
        <v>0</v>
      </c>
      <c r="D866" s="84" t="str">
        <f t="shared" si="84"/>
        <v/>
      </c>
      <c r="E866" s="18"/>
      <c r="F866" s="174"/>
      <c r="G866" s="175"/>
      <c r="H866" s="195"/>
      <c r="I866" s="196"/>
      <c r="J866" s="196"/>
      <c r="K866" s="196"/>
      <c r="L866" s="174"/>
      <c r="M866" s="178"/>
      <c r="N866" s="179"/>
      <c r="O866" s="179" t="s">
        <v>227</v>
      </c>
    </row>
    <row r="867" spans="1:15" x14ac:dyDescent="0.15">
      <c r="A867" s="18"/>
      <c r="B8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867)),ROW(),"")</f>
        <v>867</v>
      </c>
      <c r="C867" s="13">
        <f t="shared" si="83"/>
        <v>0</v>
      </c>
      <c r="D867" s="84" t="str">
        <f t="shared" si="84"/>
        <v/>
      </c>
      <c r="E867" s="18"/>
      <c r="F867" s="174"/>
      <c r="G867" s="175"/>
      <c r="H867" s="195"/>
      <c r="I867" s="196"/>
      <c r="J867" s="196"/>
      <c r="K867" s="196"/>
      <c r="L867" s="174"/>
      <c r="M867" s="178"/>
      <c r="N867" s="179"/>
      <c r="O867" s="179" t="s">
        <v>227</v>
      </c>
    </row>
    <row r="868" spans="1:15" x14ac:dyDescent="0.15">
      <c r="A868" s="18"/>
      <c r="B8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868)),ROW(),"")</f>
        <v>868</v>
      </c>
      <c r="C868" s="13">
        <f t="shared" si="83"/>
        <v>0</v>
      </c>
      <c r="D868" s="84" t="str">
        <f t="shared" si="84"/>
        <v/>
      </c>
      <c r="E868" s="18"/>
      <c r="F868" s="174"/>
      <c r="G868" s="175"/>
      <c r="H868" s="195"/>
      <c r="I868" s="196"/>
      <c r="J868" s="196"/>
      <c r="K868" s="196"/>
      <c r="L868" s="174"/>
      <c r="M868" s="178"/>
      <c r="N868" s="179"/>
      <c r="O868" s="179" t="s">
        <v>227</v>
      </c>
    </row>
    <row r="869" spans="1:15" x14ac:dyDescent="0.15">
      <c r="A869" s="18"/>
      <c r="B8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869)),ROW(),"")</f>
        <v>869</v>
      </c>
      <c r="C869" s="13">
        <f t="shared" si="83"/>
        <v>0</v>
      </c>
      <c r="D869" s="84" t="str">
        <f t="shared" si="84"/>
        <v/>
      </c>
      <c r="E869" s="18"/>
      <c r="F869" s="174"/>
      <c r="G869" s="175"/>
      <c r="H869" s="195"/>
      <c r="I869" s="196"/>
      <c r="J869" s="196"/>
      <c r="K869" s="196"/>
      <c r="L869" s="174"/>
      <c r="M869" s="178"/>
      <c r="N869" s="179"/>
      <c r="O869" s="179" t="s">
        <v>227</v>
      </c>
    </row>
    <row r="870" spans="1:15" x14ac:dyDescent="0.15">
      <c r="A870" s="18"/>
      <c r="B8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870)),ROW(),"")</f>
        <v>870</v>
      </c>
      <c r="C870" s="13">
        <f t="shared" si="83"/>
        <v>0</v>
      </c>
      <c r="D870" s="84" t="str">
        <f t="shared" si="84"/>
        <v/>
      </c>
      <c r="E870" s="18"/>
      <c r="F870" s="174"/>
      <c r="G870" s="175"/>
      <c r="H870" s="195"/>
      <c r="I870" s="196"/>
      <c r="J870" s="196"/>
      <c r="K870" s="196"/>
      <c r="L870" s="174"/>
      <c r="M870" s="178"/>
      <c r="N870" s="179"/>
      <c r="O870" s="179" t="s">
        <v>227</v>
      </c>
    </row>
    <row r="871" spans="1:15" x14ac:dyDescent="0.15">
      <c r="A871" s="18"/>
      <c r="B8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871)),ROW(),"")</f>
        <v>871</v>
      </c>
      <c r="C871" s="13">
        <f t="shared" si="83"/>
        <v>0</v>
      </c>
      <c r="D871" s="84" t="str">
        <f t="shared" si="84"/>
        <v/>
      </c>
      <c r="E871" s="18"/>
      <c r="F871" s="174"/>
      <c r="G871" s="175"/>
      <c r="H871" s="195"/>
      <c r="I871" s="196"/>
      <c r="J871" s="196"/>
      <c r="K871" s="196"/>
      <c r="L871" s="174"/>
      <c r="M871" s="178"/>
      <c r="N871" s="179"/>
      <c r="O871" s="179" t="s">
        <v>227</v>
      </c>
    </row>
    <row r="872" spans="1:15" x14ac:dyDescent="0.15">
      <c r="A872" s="18"/>
      <c r="B8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872)),ROW(),"")</f>
        <v>872</v>
      </c>
      <c r="C872" s="13">
        <f t="shared" si="83"/>
        <v>0</v>
      </c>
      <c r="D872" s="84" t="str">
        <f t="shared" si="84"/>
        <v/>
      </c>
      <c r="E872" s="18"/>
      <c r="F872" s="174"/>
      <c r="G872" s="175"/>
      <c r="H872" s="195"/>
      <c r="I872" s="196"/>
      <c r="J872" s="196"/>
      <c r="K872" s="196"/>
      <c r="L872" s="174"/>
      <c r="M872" s="178"/>
      <c r="N872" s="179"/>
      <c r="O872" s="179" t="s">
        <v>227</v>
      </c>
    </row>
    <row r="873" spans="1:15" x14ac:dyDescent="0.15">
      <c r="A873" s="18"/>
      <c r="B8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873)),ROW(),"")</f>
        <v>873</v>
      </c>
      <c r="C873" s="13">
        <f t="shared" si="83"/>
        <v>0</v>
      </c>
      <c r="D873" s="84" t="str">
        <f t="shared" si="84"/>
        <v/>
      </c>
      <c r="E873" s="18"/>
      <c r="F873" s="174"/>
      <c r="G873" s="175"/>
      <c r="H873" s="195"/>
      <c r="I873" s="196"/>
      <c r="J873" s="196"/>
      <c r="K873" s="196"/>
      <c r="L873" s="174"/>
      <c r="M873" s="178"/>
      <c r="N873" s="179"/>
      <c r="O873" s="179" t="s">
        <v>227</v>
      </c>
    </row>
    <row r="874" spans="1:15" x14ac:dyDescent="0.15">
      <c r="A874" s="18"/>
      <c r="B8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874)),ROW(),"")</f>
        <v>874</v>
      </c>
      <c r="C874" s="13">
        <f t="shared" si="83"/>
        <v>0</v>
      </c>
      <c r="D874" s="84" t="str">
        <f t="shared" si="84"/>
        <v/>
      </c>
      <c r="E874" s="18"/>
      <c r="F874" s="174"/>
      <c r="G874" s="175"/>
      <c r="H874" s="195"/>
      <c r="I874" s="196"/>
      <c r="J874" s="196"/>
      <c r="K874" s="196"/>
      <c r="L874" s="174"/>
      <c r="M874" s="178"/>
      <c r="N874" s="179"/>
      <c r="O874" s="179" t="s">
        <v>227</v>
      </c>
    </row>
    <row r="875" spans="1:15" x14ac:dyDescent="0.15">
      <c r="A875" s="18"/>
      <c r="B8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875)),ROW(),"")</f>
        <v>875</v>
      </c>
      <c r="C875" s="13">
        <f t="shared" si="83"/>
        <v>0</v>
      </c>
      <c r="D875" s="84" t="str">
        <f t="shared" si="84"/>
        <v/>
      </c>
      <c r="E875" s="18"/>
      <c r="F875" s="174"/>
      <c r="G875" s="175"/>
      <c r="H875" s="195"/>
      <c r="I875" s="196"/>
      <c r="J875" s="196"/>
      <c r="K875" s="196"/>
      <c r="L875" s="174"/>
      <c r="M875" s="178"/>
      <c r="N875" s="179"/>
      <c r="O875" s="179" t="s">
        <v>227</v>
      </c>
    </row>
    <row r="876" spans="1:15" x14ac:dyDescent="0.15">
      <c r="A876" s="18"/>
      <c r="B8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876)),ROW(),"")</f>
        <v>876</v>
      </c>
      <c r="C876" s="13">
        <f t="shared" si="83"/>
        <v>0</v>
      </c>
      <c r="D876" s="84" t="str">
        <f t="shared" si="84"/>
        <v/>
      </c>
      <c r="E876" s="18"/>
      <c r="F876" s="174"/>
      <c r="G876" s="175"/>
      <c r="H876" s="195"/>
      <c r="I876" s="196"/>
      <c r="J876" s="196"/>
      <c r="K876" s="196"/>
      <c r="L876" s="174"/>
      <c r="M876" s="178"/>
      <c r="N876" s="179"/>
      <c r="O876" s="179" t="s">
        <v>227</v>
      </c>
    </row>
    <row r="877" spans="1:15" x14ac:dyDescent="0.15">
      <c r="A877" s="18"/>
      <c r="B8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877)),ROW(),"")</f>
        <v>877</v>
      </c>
      <c r="C877" s="13">
        <f t="shared" si="83"/>
        <v>0</v>
      </c>
      <c r="D877" s="84" t="str">
        <f t="shared" si="84"/>
        <v/>
      </c>
      <c r="E877" s="18"/>
      <c r="F877" s="174"/>
      <c r="G877" s="175"/>
      <c r="H877" s="195"/>
      <c r="I877" s="196"/>
      <c r="J877" s="196"/>
      <c r="K877" s="196"/>
      <c r="L877" s="174"/>
      <c r="M877" s="178"/>
      <c r="N877" s="179"/>
      <c r="O877" s="179" t="s">
        <v>227</v>
      </c>
    </row>
    <row r="878" spans="1:15" x14ac:dyDescent="0.15">
      <c r="A878" s="18"/>
      <c r="B8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878)),ROW(),"")</f>
        <v>878</v>
      </c>
      <c r="C878" s="13">
        <f t="shared" si="83"/>
        <v>0</v>
      </c>
      <c r="D878" s="84" t="str">
        <f t="shared" si="84"/>
        <v/>
      </c>
      <c r="E878" s="18"/>
      <c r="F878" s="174"/>
      <c r="G878" s="175"/>
      <c r="H878" s="195"/>
      <c r="I878" s="196"/>
      <c r="J878" s="196"/>
      <c r="K878" s="196"/>
      <c r="L878" s="174"/>
      <c r="M878" s="178"/>
      <c r="N878" s="179"/>
      <c r="O878" s="179" t="s">
        <v>227</v>
      </c>
    </row>
    <row r="879" spans="1:15" x14ac:dyDescent="0.15">
      <c r="A879" s="18"/>
      <c r="B8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879)),ROW(),"")</f>
        <v>879</v>
      </c>
      <c r="C879" s="13">
        <f t="shared" ref="C879:C942" si="85">INDEX(A:A,SMALL($B$3:$B$1039,ROW(A877)))</f>
        <v>0</v>
      </c>
      <c r="D879" s="84" t="str">
        <f t="shared" ref="D879:D942" si="86">PHONETIC(A879)</f>
        <v/>
      </c>
      <c r="E879" s="18"/>
      <c r="F879" s="174"/>
      <c r="G879" s="175"/>
      <c r="H879" s="195"/>
      <c r="I879" s="196"/>
      <c r="J879" s="196"/>
      <c r="K879" s="196"/>
      <c r="L879" s="174"/>
      <c r="M879" s="178"/>
      <c r="N879" s="179"/>
      <c r="O879" s="179" t="s">
        <v>227</v>
      </c>
    </row>
    <row r="880" spans="1:15" x14ac:dyDescent="0.15">
      <c r="A880" s="18"/>
      <c r="B8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880)),ROW(),"")</f>
        <v>880</v>
      </c>
      <c r="C880" s="13">
        <f t="shared" si="85"/>
        <v>0</v>
      </c>
      <c r="D880" s="84" t="str">
        <f t="shared" si="86"/>
        <v/>
      </c>
      <c r="E880" s="18"/>
      <c r="F880" s="174"/>
      <c r="G880" s="175"/>
      <c r="H880" s="195"/>
      <c r="I880" s="196"/>
      <c r="J880" s="196"/>
      <c r="K880" s="196"/>
      <c r="L880" s="174"/>
      <c r="M880" s="178"/>
      <c r="N880" s="179"/>
      <c r="O880" s="179" t="s">
        <v>227</v>
      </c>
    </row>
    <row r="881" spans="1:15" x14ac:dyDescent="0.15">
      <c r="A881" s="18"/>
      <c r="B8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881)),ROW(),"")</f>
        <v>881</v>
      </c>
      <c r="C881" s="13">
        <f t="shared" si="85"/>
        <v>0</v>
      </c>
      <c r="D881" s="84" t="str">
        <f t="shared" si="86"/>
        <v/>
      </c>
      <c r="E881" s="18"/>
      <c r="F881" s="174"/>
      <c r="G881" s="175"/>
      <c r="H881" s="195"/>
      <c r="I881" s="196"/>
      <c r="J881" s="196"/>
      <c r="K881" s="196"/>
      <c r="L881" s="174"/>
      <c r="M881" s="178"/>
      <c r="N881" s="179"/>
      <c r="O881" s="179" t="s">
        <v>227</v>
      </c>
    </row>
    <row r="882" spans="1:15" x14ac:dyDescent="0.15">
      <c r="A882" s="18"/>
      <c r="B8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882)),ROW(),"")</f>
        <v>882</v>
      </c>
      <c r="C882" s="13">
        <f t="shared" si="85"/>
        <v>0</v>
      </c>
      <c r="D882" s="84" t="str">
        <f t="shared" si="86"/>
        <v/>
      </c>
      <c r="E882" s="18"/>
      <c r="F882" s="174"/>
      <c r="G882" s="175"/>
      <c r="H882" s="195"/>
      <c r="I882" s="196"/>
      <c r="J882" s="196"/>
      <c r="K882" s="196"/>
      <c r="L882" s="174"/>
      <c r="M882" s="178"/>
      <c r="N882" s="179"/>
      <c r="O882" s="179" t="s">
        <v>227</v>
      </c>
    </row>
    <row r="883" spans="1:15" x14ac:dyDescent="0.15">
      <c r="A883" s="18"/>
      <c r="B8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883)),ROW(),"")</f>
        <v>883</v>
      </c>
      <c r="C883" s="13">
        <f t="shared" si="85"/>
        <v>0</v>
      </c>
      <c r="D883" s="84" t="str">
        <f t="shared" si="86"/>
        <v/>
      </c>
      <c r="E883" s="18"/>
      <c r="F883" s="174"/>
      <c r="G883" s="175"/>
      <c r="H883" s="195"/>
      <c r="I883" s="196"/>
      <c r="J883" s="196"/>
      <c r="K883" s="196"/>
      <c r="L883" s="174"/>
      <c r="M883" s="178"/>
      <c r="N883" s="179"/>
      <c r="O883" s="179" t="s">
        <v>227</v>
      </c>
    </row>
    <row r="884" spans="1:15" x14ac:dyDescent="0.15">
      <c r="A884" s="18"/>
      <c r="B8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884)),ROW(),"")</f>
        <v>884</v>
      </c>
      <c r="C884" s="13">
        <f t="shared" si="85"/>
        <v>0</v>
      </c>
      <c r="D884" s="84" t="str">
        <f t="shared" si="86"/>
        <v/>
      </c>
      <c r="E884" s="18"/>
      <c r="F884" s="174"/>
      <c r="G884" s="175"/>
      <c r="H884" s="195"/>
      <c r="I884" s="196"/>
      <c r="J884" s="196"/>
      <c r="K884" s="196"/>
      <c r="L884" s="174"/>
      <c r="M884" s="178"/>
      <c r="N884" s="179"/>
      <c r="O884" s="179" t="s">
        <v>227</v>
      </c>
    </row>
    <row r="885" spans="1:15" x14ac:dyDescent="0.15">
      <c r="A885" s="18"/>
      <c r="B8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885)),ROW(),"")</f>
        <v>885</v>
      </c>
      <c r="C885" s="13">
        <f t="shared" si="85"/>
        <v>0</v>
      </c>
      <c r="D885" s="84" t="str">
        <f t="shared" si="86"/>
        <v/>
      </c>
      <c r="E885" s="18"/>
      <c r="F885" s="174"/>
      <c r="G885" s="175"/>
      <c r="H885" s="195"/>
      <c r="I885" s="196"/>
      <c r="J885" s="196"/>
      <c r="K885" s="196"/>
      <c r="L885" s="174"/>
      <c r="M885" s="178"/>
      <c r="N885" s="179"/>
      <c r="O885" s="179" t="s">
        <v>227</v>
      </c>
    </row>
    <row r="886" spans="1:15" x14ac:dyDescent="0.15">
      <c r="A886" s="18"/>
      <c r="B8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886)),ROW(),"")</f>
        <v>886</v>
      </c>
      <c r="C886" s="13">
        <f t="shared" si="85"/>
        <v>0</v>
      </c>
      <c r="D886" s="84" t="str">
        <f t="shared" si="86"/>
        <v/>
      </c>
      <c r="E886" s="18"/>
      <c r="F886" s="174"/>
      <c r="G886" s="175"/>
      <c r="H886" s="195"/>
      <c r="I886" s="196"/>
      <c r="J886" s="196"/>
      <c r="K886" s="196"/>
      <c r="L886" s="174"/>
      <c r="M886" s="178"/>
      <c r="N886" s="179"/>
      <c r="O886" s="179" t="s">
        <v>227</v>
      </c>
    </row>
    <row r="887" spans="1:15" x14ac:dyDescent="0.15">
      <c r="A887" s="18"/>
      <c r="B8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887)),ROW(),"")</f>
        <v>887</v>
      </c>
      <c r="C887" s="13">
        <f t="shared" si="85"/>
        <v>0</v>
      </c>
      <c r="D887" s="84" t="str">
        <f t="shared" si="86"/>
        <v/>
      </c>
      <c r="E887" s="18"/>
      <c r="F887" s="174"/>
      <c r="G887" s="175"/>
      <c r="H887" s="195"/>
      <c r="I887" s="196"/>
      <c r="J887" s="196"/>
      <c r="K887" s="196"/>
      <c r="L887" s="174"/>
      <c r="M887" s="178"/>
      <c r="N887" s="179"/>
      <c r="O887" s="179" t="s">
        <v>227</v>
      </c>
    </row>
    <row r="888" spans="1:15" x14ac:dyDescent="0.15">
      <c r="A888" s="18"/>
      <c r="B8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888)),ROW(),"")</f>
        <v>888</v>
      </c>
      <c r="C888" s="13">
        <f t="shared" si="85"/>
        <v>0</v>
      </c>
      <c r="D888" s="84" t="str">
        <f t="shared" si="86"/>
        <v/>
      </c>
      <c r="E888" s="18"/>
      <c r="F888" s="174"/>
      <c r="G888" s="175"/>
      <c r="H888" s="195"/>
      <c r="I888" s="196"/>
      <c r="J888" s="196"/>
      <c r="K888" s="196"/>
      <c r="L888" s="174"/>
      <c r="M888" s="178"/>
      <c r="N888" s="179"/>
      <c r="O888" s="179" t="s">
        <v>227</v>
      </c>
    </row>
    <row r="889" spans="1:15" x14ac:dyDescent="0.15">
      <c r="A889" s="18"/>
      <c r="B8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889)),ROW(),"")</f>
        <v>889</v>
      </c>
      <c r="C889" s="13">
        <f t="shared" si="85"/>
        <v>0</v>
      </c>
      <c r="D889" s="84" t="str">
        <f t="shared" si="86"/>
        <v/>
      </c>
      <c r="E889" s="18"/>
      <c r="F889" s="174"/>
      <c r="G889" s="175"/>
      <c r="H889" s="195"/>
      <c r="I889" s="196"/>
      <c r="J889" s="196"/>
      <c r="K889" s="196"/>
      <c r="L889" s="174"/>
      <c r="M889" s="178"/>
      <c r="N889" s="179"/>
      <c r="O889" s="179" t="s">
        <v>227</v>
      </c>
    </row>
    <row r="890" spans="1:15" x14ac:dyDescent="0.15">
      <c r="A890" s="18"/>
      <c r="B8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890)),ROW(),"")</f>
        <v>890</v>
      </c>
      <c r="C890" s="13">
        <f t="shared" si="85"/>
        <v>0</v>
      </c>
      <c r="D890" s="84" t="str">
        <f t="shared" si="86"/>
        <v/>
      </c>
      <c r="E890" s="18"/>
      <c r="F890" s="174"/>
      <c r="G890" s="175"/>
      <c r="H890" s="195"/>
      <c r="I890" s="196"/>
      <c r="J890" s="196"/>
      <c r="K890" s="196"/>
      <c r="L890" s="174"/>
      <c r="M890" s="178"/>
      <c r="N890" s="179"/>
      <c r="O890" s="179" t="s">
        <v>227</v>
      </c>
    </row>
    <row r="891" spans="1:15" x14ac:dyDescent="0.15">
      <c r="A891" s="18"/>
      <c r="B8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891)),ROW(),"")</f>
        <v>891</v>
      </c>
      <c r="C891" s="13">
        <f t="shared" si="85"/>
        <v>0</v>
      </c>
      <c r="D891" s="84" t="str">
        <f t="shared" si="86"/>
        <v/>
      </c>
      <c r="E891" s="18"/>
      <c r="F891" s="174"/>
      <c r="G891" s="175"/>
      <c r="H891" s="195"/>
      <c r="I891" s="196"/>
      <c r="J891" s="196"/>
      <c r="K891" s="196"/>
      <c r="L891" s="174"/>
      <c r="M891" s="178"/>
      <c r="N891" s="179"/>
      <c r="O891" s="179" t="s">
        <v>227</v>
      </c>
    </row>
    <row r="892" spans="1:15" x14ac:dyDescent="0.15">
      <c r="A892" s="18"/>
      <c r="B8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892)),ROW(),"")</f>
        <v>892</v>
      </c>
      <c r="C892" s="13">
        <f t="shared" si="85"/>
        <v>0</v>
      </c>
      <c r="D892" s="84" t="str">
        <f t="shared" si="86"/>
        <v/>
      </c>
      <c r="E892" s="18"/>
      <c r="F892" s="174"/>
      <c r="G892" s="175"/>
      <c r="H892" s="195"/>
      <c r="I892" s="196"/>
      <c r="J892" s="196"/>
      <c r="K892" s="196"/>
      <c r="L892" s="174"/>
      <c r="M892" s="178"/>
      <c r="N892" s="179"/>
      <c r="O892" s="179" t="s">
        <v>227</v>
      </c>
    </row>
    <row r="893" spans="1:15" x14ac:dyDescent="0.15">
      <c r="A893" s="18"/>
      <c r="B8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893)),ROW(),"")</f>
        <v>893</v>
      </c>
      <c r="C893" s="13">
        <f t="shared" si="85"/>
        <v>0</v>
      </c>
      <c r="D893" s="84" t="str">
        <f t="shared" si="86"/>
        <v/>
      </c>
      <c r="E893" s="18"/>
      <c r="F893" s="174"/>
      <c r="G893" s="175"/>
      <c r="H893" s="195"/>
      <c r="I893" s="196"/>
      <c r="J893" s="196"/>
      <c r="K893" s="196"/>
      <c r="L893" s="174"/>
      <c r="M893" s="178"/>
      <c r="N893" s="179"/>
      <c r="O893" s="179" t="s">
        <v>227</v>
      </c>
    </row>
    <row r="894" spans="1:15" x14ac:dyDescent="0.15">
      <c r="A894" s="18"/>
      <c r="B8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894)),ROW(),"")</f>
        <v>894</v>
      </c>
      <c r="C894" s="13">
        <f t="shared" si="85"/>
        <v>0</v>
      </c>
      <c r="D894" s="84" t="str">
        <f t="shared" si="86"/>
        <v/>
      </c>
      <c r="E894" s="18"/>
      <c r="F894" s="174"/>
      <c r="G894" s="175"/>
      <c r="H894" s="195"/>
      <c r="I894" s="196"/>
      <c r="J894" s="196"/>
      <c r="K894" s="196"/>
      <c r="L894" s="174"/>
      <c r="M894" s="178"/>
      <c r="N894" s="179"/>
      <c r="O894" s="179" t="s">
        <v>227</v>
      </c>
    </row>
    <row r="895" spans="1:15" x14ac:dyDescent="0.15">
      <c r="A895" s="18"/>
      <c r="B8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895)),ROW(),"")</f>
        <v>895</v>
      </c>
      <c r="C895" s="13">
        <f t="shared" si="85"/>
        <v>0</v>
      </c>
      <c r="D895" s="84" t="str">
        <f t="shared" si="86"/>
        <v/>
      </c>
      <c r="E895" s="18"/>
      <c r="F895" s="174"/>
      <c r="G895" s="175"/>
      <c r="H895" s="195"/>
      <c r="I895" s="196"/>
      <c r="J895" s="196"/>
      <c r="K895" s="196"/>
      <c r="L895" s="174"/>
      <c r="M895" s="178"/>
      <c r="N895" s="179"/>
      <c r="O895" s="179" t="s">
        <v>227</v>
      </c>
    </row>
    <row r="896" spans="1:15" x14ac:dyDescent="0.15">
      <c r="A896" s="18"/>
      <c r="B8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896)),ROW(),"")</f>
        <v>896</v>
      </c>
      <c r="C896" s="13">
        <f t="shared" si="85"/>
        <v>0</v>
      </c>
      <c r="D896" s="84" t="str">
        <f t="shared" si="86"/>
        <v/>
      </c>
      <c r="E896" s="18"/>
      <c r="F896" s="174"/>
      <c r="G896" s="175"/>
      <c r="H896" s="195"/>
      <c r="I896" s="196"/>
      <c r="J896" s="196"/>
      <c r="K896" s="196"/>
      <c r="L896" s="174"/>
      <c r="M896" s="178"/>
      <c r="N896" s="179"/>
      <c r="O896" s="179" t="s">
        <v>227</v>
      </c>
    </row>
    <row r="897" spans="1:15" x14ac:dyDescent="0.15">
      <c r="A897" s="18"/>
      <c r="B8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897)),ROW(),"")</f>
        <v>897</v>
      </c>
      <c r="C897" s="13">
        <f t="shared" si="85"/>
        <v>0</v>
      </c>
      <c r="D897" s="84" t="str">
        <f t="shared" si="86"/>
        <v/>
      </c>
      <c r="E897" s="18"/>
      <c r="F897" s="174"/>
      <c r="G897" s="175"/>
      <c r="H897" s="195"/>
      <c r="I897" s="196"/>
      <c r="J897" s="196"/>
      <c r="K897" s="196"/>
      <c r="L897" s="174"/>
      <c r="M897" s="178"/>
      <c r="N897" s="179"/>
      <c r="O897" s="179" t="s">
        <v>227</v>
      </c>
    </row>
    <row r="898" spans="1:15" x14ac:dyDescent="0.15">
      <c r="A898" s="18"/>
      <c r="B8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898)),ROW(),"")</f>
        <v>898</v>
      </c>
      <c r="C898" s="13">
        <f t="shared" si="85"/>
        <v>0</v>
      </c>
      <c r="D898" s="84" t="str">
        <f t="shared" si="86"/>
        <v/>
      </c>
      <c r="E898" s="18"/>
      <c r="F898" s="174"/>
      <c r="G898" s="175"/>
      <c r="H898" s="195"/>
      <c r="I898" s="196"/>
      <c r="J898" s="196"/>
      <c r="K898" s="196"/>
      <c r="L898" s="174"/>
      <c r="M898" s="178"/>
      <c r="N898" s="179"/>
      <c r="O898" s="179" t="s">
        <v>227</v>
      </c>
    </row>
    <row r="899" spans="1:15" x14ac:dyDescent="0.15">
      <c r="A899" s="18"/>
      <c r="B8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899)),ROW(),"")</f>
        <v>899</v>
      </c>
      <c r="C899" s="13">
        <f t="shared" si="85"/>
        <v>0</v>
      </c>
      <c r="D899" s="84" t="str">
        <f t="shared" si="86"/>
        <v/>
      </c>
      <c r="E899" s="18"/>
      <c r="F899" s="174"/>
      <c r="G899" s="175"/>
      <c r="H899" s="195"/>
      <c r="I899" s="196"/>
      <c r="J899" s="196"/>
      <c r="K899" s="196"/>
      <c r="L899" s="174"/>
      <c r="M899" s="178"/>
      <c r="N899" s="179"/>
      <c r="O899" s="179" t="s">
        <v>227</v>
      </c>
    </row>
    <row r="900" spans="1:15" x14ac:dyDescent="0.15">
      <c r="A900" s="18"/>
      <c r="B9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900)),ROW(),"")</f>
        <v>900</v>
      </c>
      <c r="C900" s="13">
        <f t="shared" si="85"/>
        <v>0</v>
      </c>
      <c r="D900" s="84" t="str">
        <f t="shared" si="86"/>
        <v/>
      </c>
      <c r="E900" s="18"/>
      <c r="F900" s="174"/>
      <c r="G900" s="175"/>
      <c r="H900" s="195"/>
      <c r="I900" s="196"/>
      <c r="J900" s="196"/>
      <c r="K900" s="196"/>
      <c r="L900" s="174"/>
      <c r="M900" s="178"/>
      <c r="N900" s="179"/>
      <c r="O900" s="179" t="s">
        <v>227</v>
      </c>
    </row>
    <row r="901" spans="1:15" x14ac:dyDescent="0.15">
      <c r="A901" s="18"/>
      <c r="B9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901)),ROW(),"")</f>
        <v>901</v>
      </c>
      <c r="C901" s="13">
        <f t="shared" si="85"/>
        <v>0</v>
      </c>
      <c r="D901" s="84" t="str">
        <f t="shared" si="86"/>
        <v/>
      </c>
      <c r="E901" s="18"/>
      <c r="F901" s="174"/>
      <c r="G901" s="175"/>
      <c r="H901" s="195"/>
      <c r="I901" s="196"/>
      <c r="J901" s="196"/>
      <c r="K901" s="196"/>
      <c r="L901" s="174"/>
      <c r="M901" s="178"/>
      <c r="N901" s="179"/>
      <c r="O901" s="179" t="s">
        <v>227</v>
      </c>
    </row>
    <row r="902" spans="1:15" x14ac:dyDescent="0.15">
      <c r="A902" s="18"/>
      <c r="B9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902)),ROW(),"")</f>
        <v>902</v>
      </c>
      <c r="C902" s="13">
        <f t="shared" si="85"/>
        <v>0</v>
      </c>
      <c r="D902" s="84" t="str">
        <f t="shared" si="86"/>
        <v/>
      </c>
      <c r="E902" s="18"/>
      <c r="F902" s="174"/>
      <c r="G902" s="175"/>
      <c r="H902" s="195"/>
      <c r="I902" s="196"/>
      <c r="J902" s="196"/>
      <c r="K902" s="196"/>
      <c r="L902" s="174"/>
      <c r="M902" s="178"/>
      <c r="N902" s="179"/>
      <c r="O902" s="179" t="s">
        <v>227</v>
      </c>
    </row>
    <row r="903" spans="1:15" x14ac:dyDescent="0.15">
      <c r="A903" s="18"/>
      <c r="B9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903)),ROW(),"")</f>
        <v>903</v>
      </c>
      <c r="C903" s="13">
        <f t="shared" si="85"/>
        <v>0</v>
      </c>
      <c r="D903" s="84" t="str">
        <f t="shared" si="86"/>
        <v/>
      </c>
      <c r="E903" s="18"/>
      <c r="F903" s="174"/>
      <c r="G903" s="175"/>
      <c r="H903" s="195"/>
      <c r="I903" s="196"/>
      <c r="J903" s="196"/>
      <c r="K903" s="196"/>
      <c r="L903" s="174"/>
      <c r="M903" s="178"/>
      <c r="N903" s="179"/>
      <c r="O903" s="179" t="s">
        <v>227</v>
      </c>
    </row>
    <row r="904" spans="1:15" x14ac:dyDescent="0.15">
      <c r="A904" s="18"/>
      <c r="B9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904)),ROW(),"")</f>
        <v>904</v>
      </c>
      <c r="C904" s="13">
        <f t="shared" si="85"/>
        <v>0</v>
      </c>
      <c r="D904" s="84" t="str">
        <f t="shared" si="86"/>
        <v/>
      </c>
      <c r="E904" s="18"/>
      <c r="F904" s="174"/>
      <c r="G904" s="175"/>
      <c r="H904" s="195"/>
      <c r="I904" s="196"/>
      <c r="J904" s="196"/>
      <c r="K904" s="196"/>
      <c r="L904" s="174"/>
      <c r="M904" s="178"/>
      <c r="N904" s="179"/>
      <c r="O904" s="179" t="s">
        <v>227</v>
      </c>
    </row>
    <row r="905" spans="1:15" x14ac:dyDescent="0.15">
      <c r="A905" s="18"/>
      <c r="B9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905)),ROW(),"")</f>
        <v>905</v>
      </c>
      <c r="C905" s="13">
        <f t="shared" si="85"/>
        <v>0</v>
      </c>
      <c r="D905" s="84" t="str">
        <f t="shared" si="86"/>
        <v/>
      </c>
      <c r="E905" s="18"/>
      <c r="F905" s="174"/>
      <c r="G905" s="175"/>
      <c r="H905" s="195"/>
      <c r="I905" s="196"/>
      <c r="J905" s="196"/>
      <c r="K905" s="196"/>
      <c r="L905" s="174"/>
      <c r="M905" s="178"/>
      <c r="N905" s="179"/>
      <c r="O905" s="179" t="s">
        <v>227</v>
      </c>
    </row>
    <row r="906" spans="1:15" x14ac:dyDescent="0.15">
      <c r="A906" s="18"/>
      <c r="B9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906)),ROW(),"")</f>
        <v>906</v>
      </c>
      <c r="C906" s="13">
        <f t="shared" si="85"/>
        <v>0</v>
      </c>
      <c r="D906" s="84" t="str">
        <f t="shared" si="86"/>
        <v/>
      </c>
      <c r="E906" s="18"/>
      <c r="F906" s="174"/>
      <c r="G906" s="175"/>
      <c r="H906" s="195"/>
      <c r="I906" s="196"/>
      <c r="J906" s="196"/>
      <c r="K906" s="196"/>
      <c r="L906" s="174"/>
      <c r="M906" s="178"/>
      <c r="N906" s="179"/>
      <c r="O906" s="179" t="s">
        <v>227</v>
      </c>
    </row>
    <row r="907" spans="1:15" x14ac:dyDescent="0.15">
      <c r="A907" s="18"/>
      <c r="B9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907)),ROW(),"")</f>
        <v>907</v>
      </c>
      <c r="C907" s="13">
        <f t="shared" si="85"/>
        <v>0</v>
      </c>
      <c r="D907" s="84" t="str">
        <f t="shared" si="86"/>
        <v/>
      </c>
      <c r="E907" s="18"/>
      <c r="F907" s="174"/>
      <c r="G907" s="175"/>
      <c r="H907" s="195"/>
      <c r="I907" s="196"/>
      <c r="J907" s="196"/>
      <c r="K907" s="196"/>
      <c r="L907" s="174"/>
      <c r="M907" s="178"/>
      <c r="N907" s="179"/>
      <c r="O907" s="179" t="s">
        <v>227</v>
      </c>
    </row>
    <row r="908" spans="1:15" x14ac:dyDescent="0.15">
      <c r="A908" s="18"/>
      <c r="B9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908)),ROW(),"")</f>
        <v>908</v>
      </c>
      <c r="C908" s="13">
        <f t="shared" si="85"/>
        <v>0</v>
      </c>
      <c r="D908" s="84" t="str">
        <f t="shared" si="86"/>
        <v/>
      </c>
      <c r="E908" s="18"/>
      <c r="F908" s="174"/>
      <c r="G908" s="175"/>
      <c r="H908" s="195"/>
      <c r="I908" s="196"/>
      <c r="J908" s="196"/>
      <c r="K908" s="196"/>
      <c r="L908" s="174"/>
      <c r="M908" s="178"/>
      <c r="N908" s="179"/>
      <c r="O908" s="179" t="s">
        <v>227</v>
      </c>
    </row>
    <row r="909" spans="1:15" x14ac:dyDescent="0.15">
      <c r="A909" s="18"/>
      <c r="B9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909)),ROW(),"")</f>
        <v>909</v>
      </c>
      <c r="C909" s="13">
        <f t="shared" si="85"/>
        <v>0</v>
      </c>
      <c r="D909" s="84" t="str">
        <f t="shared" si="86"/>
        <v/>
      </c>
      <c r="E909" s="18"/>
      <c r="F909" s="174"/>
      <c r="G909" s="175"/>
      <c r="H909" s="195"/>
      <c r="I909" s="196"/>
      <c r="J909" s="196"/>
      <c r="K909" s="196"/>
      <c r="L909" s="174"/>
      <c r="M909" s="178"/>
      <c r="N909" s="179"/>
      <c r="O909" s="179" t="s">
        <v>227</v>
      </c>
    </row>
    <row r="910" spans="1:15" x14ac:dyDescent="0.15">
      <c r="A910" s="18"/>
      <c r="B9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910)),ROW(),"")</f>
        <v>910</v>
      </c>
      <c r="C910" s="13">
        <f t="shared" si="85"/>
        <v>0</v>
      </c>
      <c r="D910" s="84" t="str">
        <f t="shared" si="86"/>
        <v/>
      </c>
      <c r="E910" s="18"/>
      <c r="F910" s="174"/>
      <c r="G910" s="175"/>
      <c r="H910" s="195"/>
      <c r="I910" s="196"/>
      <c r="J910" s="196"/>
      <c r="K910" s="196"/>
      <c r="L910" s="174"/>
      <c r="M910" s="178"/>
      <c r="N910" s="179"/>
      <c r="O910" s="179" t="s">
        <v>227</v>
      </c>
    </row>
    <row r="911" spans="1:15" x14ac:dyDescent="0.15">
      <c r="A911" s="18"/>
      <c r="B9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911)),ROW(),"")</f>
        <v>911</v>
      </c>
      <c r="C911" s="13">
        <f t="shared" si="85"/>
        <v>0</v>
      </c>
      <c r="D911" s="84" t="str">
        <f t="shared" si="86"/>
        <v/>
      </c>
      <c r="E911" s="18"/>
      <c r="F911" s="174"/>
      <c r="G911" s="175"/>
      <c r="H911" s="195"/>
      <c r="I911" s="196"/>
      <c r="J911" s="196"/>
      <c r="K911" s="196"/>
      <c r="L911" s="174"/>
      <c r="M911" s="178"/>
      <c r="N911" s="179"/>
      <c r="O911" s="179" t="s">
        <v>227</v>
      </c>
    </row>
    <row r="912" spans="1:15" x14ac:dyDescent="0.15">
      <c r="A912" s="18"/>
      <c r="B9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912)),ROW(),"")</f>
        <v>912</v>
      </c>
      <c r="C912" s="13">
        <f t="shared" si="85"/>
        <v>0</v>
      </c>
      <c r="D912" s="84" t="str">
        <f t="shared" si="86"/>
        <v/>
      </c>
      <c r="E912" s="18"/>
      <c r="F912" s="174"/>
      <c r="G912" s="175"/>
      <c r="H912" s="195"/>
      <c r="I912" s="196"/>
      <c r="J912" s="196"/>
      <c r="K912" s="196"/>
      <c r="L912" s="174"/>
      <c r="M912" s="178"/>
      <c r="N912" s="179"/>
      <c r="O912" s="179" t="s">
        <v>227</v>
      </c>
    </row>
    <row r="913" spans="1:15" x14ac:dyDescent="0.15">
      <c r="A913" s="18"/>
      <c r="B9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913)),ROW(),"")</f>
        <v>913</v>
      </c>
      <c r="C913" s="13">
        <f t="shared" si="85"/>
        <v>0</v>
      </c>
      <c r="D913" s="84" t="str">
        <f t="shared" si="86"/>
        <v/>
      </c>
      <c r="E913" s="18"/>
      <c r="F913" s="174"/>
      <c r="G913" s="175"/>
      <c r="H913" s="195"/>
      <c r="I913" s="196"/>
      <c r="J913" s="196"/>
      <c r="K913" s="196"/>
      <c r="L913" s="174"/>
      <c r="M913" s="178"/>
      <c r="N913" s="179"/>
      <c r="O913" s="179" t="s">
        <v>227</v>
      </c>
    </row>
    <row r="914" spans="1:15" x14ac:dyDescent="0.15">
      <c r="A914" s="18"/>
      <c r="B9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914)),ROW(),"")</f>
        <v>914</v>
      </c>
      <c r="C914" s="13">
        <f t="shared" si="85"/>
        <v>0</v>
      </c>
      <c r="D914" s="84" t="str">
        <f t="shared" si="86"/>
        <v/>
      </c>
      <c r="E914" s="18"/>
      <c r="F914" s="174"/>
      <c r="G914" s="175"/>
      <c r="H914" s="195"/>
      <c r="I914" s="196"/>
      <c r="J914" s="196"/>
      <c r="K914" s="196"/>
      <c r="L914" s="174"/>
      <c r="M914" s="178"/>
      <c r="N914" s="179"/>
      <c r="O914" s="179" t="s">
        <v>227</v>
      </c>
    </row>
    <row r="915" spans="1:15" x14ac:dyDescent="0.15">
      <c r="A915" s="18"/>
      <c r="B9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915)),ROW(),"")</f>
        <v>915</v>
      </c>
      <c r="C915" s="13">
        <f t="shared" si="85"/>
        <v>0</v>
      </c>
      <c r="D915" s="84" t="str">
        <f t="shared" si="86"/>
        <v/>
      </c>
      <c r="E915" s="18"/>
      <c r="F915" s="174"/>
      <c r="G915" s="175"/>
      <c r="H915" s="195"/>
      <c r="I915" s="196"/>
      <c r="J915" s="196"/>
      <c r="K915" s="196"/>
      <c r="L915" s="174"/>
      <c r="M915" s="178"/>
      <c r="N915" s="179"/>
      <c r="O915" s="179" t="s">
        <v>227</v>
      </c>
    </row>
    <row r="916" spans="1:15" x14ac:dyDescent="0.15">
      <c r="A916" s="18"/>
      <c r="B9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916)),ROW(),"")</f>
        <v>916</v>
      </c>
      <c r="C916" s="13">
        <f t="shared" si="85"/>
        <v>0</v>
      </c>
      <c r="D916" s="84" t="str">
        <f t="shared" si="86"/>
        <v/>
      </c>
      <c r="E916" s="18"/>
      <c r="F916" s="174"/>
      <c r="G916" s="175"/>
      <c r="H916" s="195"/>
      <c r="I916" s="196"/>
      <c r="J916" s="196"/>
      <c r="K916" s="196"/>
      <c r="L916" s="174"/>
      <c r="M916" s="178"/>
      <c r="N916" s="179"/>
      <c r="O916" s="179" t="s">
        <v>227</v>
      </c>
    </row>
    <row r="917" spans="1:15" x14ac:dyDescent="0.15">
      <c r="A917" s="18"/>
      <c r="B9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917)),ROW(),"")</f>
        <v>917</v>
      </c>
      <c r="C917" s="13">
        <f t="shared" si="85"/>
        <v>0</v>
      </c>
      <c r="D917" s="84" t="str">
        <f t="shared" si="86"/>
        <v/>
      </c>
      <c r="E917" s="18"/>
      <c r="F917" s="174"/>
      <c r="G917" s="175"/>
      <c r="H917" s="195"/>
      <c r="I917" s="196"/>
      <c r="J917" s="196"/>
      <c r="K917" s="196"/>
      <c r="L917" s="174"/>
      <c r="M917" s="178"/>
      <c r="N917" s="179"/>
      <c r="O917" s="179" t="s">
        <v>227</v>
      </c>
    </row>
    <row r="918" spans="1:15" x14ac:dyDescent="0.15">
      <c r="A918" s="18"/>
      <c r="B9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918)),ROW(),"")</f>
        <v>918</v>
      </c>
      <c r="C918" s="13">
        <f t="shared" si="85"/>
        <v>0</v>
      </c>
      <c r="D918" s="84" t="str">
        <f t="shared" si="86"/>
        <v/>
      </c>
      <c r="E918" s="18"/>
      <c r="F918" s="174"/>
      <c r="G918" s="175"/>
      <c r="H918" s="195"/>
      <c r="I918" s="196"/>
      <c r="J918" s="196"/>
      <c r="K918" s="196"/>
      <c r="L918" s="174"/>
      <c r="M918" s="178"/>
      <c r="N918" s="179"/>
      <c r="O918" s="179" t="s">
        <v>227</v>
      </c>
    </row>
    <row r="919" spans="1:15" x14ac:dyDescent="0.15">
      <c r="A919" s="18"/>
      <c r="B9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919)),ROW(),"")</f>
        <v>919</v>
      </c>
      <c r="C919" s="13">
        <f t="shared" si="85"/>
        <v>0</v>
      </c>
      <c r="D919" s="84" t="str">
        <f t="shared" si="86"/>
        <v/>
      </c>
      <c r="E919" s="18"/>
      <c r="F919" s="174"/>
      <c r="G919" s="175"/>
      <c r="H919" s="195"/>
      <c r="I919" s="196"/>
      <c r="J919" s="196"/>
      <c r="K919" s="196"/>
      <c r="L919" s="174"/>
      <c r="M919" s="178"/>
      <c r="N919" s="179"/>
      <c r="O919" s="179" t="s">
        <v>227</v>
      </c>
    </row>
    <row r="920" spans="1:15" x14ac:dyDescent="0.15">
      <c r="A920" s="18"/>
      <c r="B9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920)),ROW(),"")</f>
        <v>920</v>
      </c>
      <c r="C920" s="13">
        <f t="shared" si="85"/>
        <v>0</v>
      </c>
      <c r="D920" s="84" t="str">
        <f t="shared" si="86"/>
        <v/>
      </c>
      <c r="E920" s="18"/>
      <c r="F920" s="174"/>
      <c r="G920" s="175"/>
      <c r="H920" s="195"/>
      <c r="I920" s="196"/>
      <c r="J920" s="196"/>
      <c r="K920" s="196"/>
      <c r="L920" s="174"/>
      <c r="M920" s="178"/>
      <c r="N920" s="179"/>
      <c r="O920" s="179" t="s">
        <v>227</v>
      </c>
    </row>
    <row r="921" spans="1:15" x14ac:dyDescent="0.15">
      <c r="A921" s="18"/>
      <c r="B9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921)),ROW(),"")</f>
        <v>921</v>
      </c>
      <c r="C921" s="13">
        <f t="shared" si="85"/>
        <v>0</v>
      </c>
      <c r="D921" s="84" t="str">
        <f t="shared" si="86"/>
        <v/>
      </c>
      <c r="E921" s="18"/>
      <c r="F921" s="174"/>
      <c r="G921" s="175"/>
      <c r="H921" s="195"/>
      <c r="I921" s="196"/>
      <c r="J921" s="196"/>
      <c r="K921" s="196"/>
      <c r="L921" s="174"/>
      <c r="M921" s="178"/>
      <c r="N921" s="179"/>
      <c r="O921" s="179" t="s">
        <v>227</v>
      </c>
    </row>
    <row r="922" spans="1:15" x14ac:dyDescent="0.15">
      <c r="A922" s="18"/>
      <c r="B9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922)),ROW(),"")</f>
        <v>922</v>
      </c>
      <c r="C922" s="13">
        <f t="shared" si="85"/>
        <v>0</v>
      </c>
      <c r="D922" s="84" t="str">
        <f t="shared" si="86"/>
        <v/>
      </c>
      <c r="E922" s="18"/>
      <c r="F922" s="174"/>
      <c r="G922" s="175"/>
      <c r="H922" s="195"/>
      <c r="I922" s="196"/>
      <c r="J922" s="196"/>
      <c r="K922" s="196"/>
      <c r="L922" s="174"/>
      <c r="M922" s="178"/>
      <c r="N922" s="179"/>
      <c r="O922" s="179" t="s">
        <v>227</v>
      </c>
    </row>
    <row r="923" spans="1:15" x14ac:dyDescent="0.15">
      <c r="A923" s="18"/>
      <c r="B9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923)),ROW(),"")</f>
        <v>923</v>
      </c>
      <c r="C923" s="13">
        <f t="shared" si="85"/>
        <v>0</v>
      </c>
      <c r="D923" s="84" t="str">
        <f t="shared" si="86"/>
        <v/>
      </c>
      <c r="E923" s="18"/>
      <c r="F923" s="174"/>
      <c r="G923" s="175"/>
      <c r="H923" s="195"/>
      <c r="I923" s="196"/>
      <c r="J923" s="196"/>
      <c r="K923" s="196"/>
      <c r="L923" s="174"/>
      <c r="M923" s="178"/>
      <c r="N923" s="179"/>
      <c r="O923" s="179" t="s">
        <v>227</v>
      </c>
    </row>
    <row r="924" spans="1:15" x14ac:dyDescent="0.15">
      <c r="A924" s="18"/>
      <c r="B9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924)),ROW(),"")</f>
        <v>924</v>
      </c>
      <c r="C924" s="13">
        <f t="shared" si="85"/>
        <v>0</v>
      </c>
      <c r="D924" s="84" t="str">
        <f t="shared" si="86"/>
        <v/>
      </c>
      <c r="E924" s="18"/>
      <c r="F924" s="174"/>
      <c r="G924" s="175"/>
      <c r="H924" s="195"/>
      <c r="I924" s="196"/>
      <c r="J924" s="196"/>
      <c r="K924" s="196"/>
      <c r="L924" s="174"/>
      <c r="M924" s="178"/>
      <c r="N924" s="179"/>
      <c r="O924" s="179" t="s">
        <v>227</v>
      </c>
    </row>
    <row r="925" spans="1:15" x14ac:dyDescent="0.15">
      <c r="A925" s="18"/>
      <c r="B9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925)),ROW(),"")</f>
        <v>925</v>
      </c>
      <c r="C925" s="13">
        <f t="shared" si="85"/>
        <v>0</v>
      </c>
      <c r="D925" s="84" t="str">
        <f t="shared" si="86"/>
        <v/>
      </c>
      <c r="E925" s="18"/>
      <c r="F925" s="174"/>
      <c r="G925" s="175"/>
      <c r="H925" s="195"/>
      <c r="I925" s="196"/>
      <c r="J925" s="196"/>
      <c r="K925" s="196"/>
      <c r="L925" s="174"/>
      <c r="M925" s="178"/>
      <c r="N925" s="179"/>
      <c r="O925" s="179" t="s">
        <v>227</v>
      </c>
    </row>
    <row r="926" spans="1:15" x14ac:dyDescent="0.15">
      <c r="A926" s="18"/>
      <c r="B9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926)),ROW(),"")</f>
        <v>926</v>
      </c>
      <c r="C926" s="13">
        <f t="shared" si="85"/>
        <v>0</v>
      </c>
      <c r="D926" s="84" t="str">
        <f t="shared" si="86"/>
        <v/>
      </c>
      <c r="E926" s="18"/>
      <c r="F926" s="174"/>
      <c r="G926" s="175"/>
      <c r="H926" s="195"/>
      <c r="I926" s="196"/>
      <c r="J926" s="196"/>
      <c r="K926" s="196"/>
      <c r="L926" s="174"/>
      <c r="M926" s="178"/>
      <c r="N926" s="179"/>
      <c r="O926" s="179" t="s">
        <v>227</v>
      </c>
    </row>
    <row r="927" spans="1:15" x14ac:dyDescent="0.15">
      <c r="A927" s="18"/>
      <c r="B9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927)),ROW(),"")</f>
        <v>927</v>
      </c>
      <c r="C927" s="13">
        <f t="shared" si="85"/>
        <v>0</v>
      </c>
      <c r="D927" s="84" t="str">
        <f t="shared" si="86"/>
        <v/>
      </c>
      <c r="E927" s="18"/>
      <c r="F927" s="174"/>
      <c r="G927" s="175"/>
      <c r="H927" s="195"/>
      <c r="I927" s="196"/>
      <c r="J927" s="196"/>
      <c r="K927" s="196"/>
      <c r="L927" s="174"/>
      <c r="M927" s="178"/>
      <c r="N927" s="179"/>
      <c r="O927" s="179" t="s">
        <v>227</v>
      </c>
    </row>
    <row r="928" spans="1:15" x14ac:dyDescent="0.15">
      <c r="A928" s="18"/>
      <c r="B9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928)),ROW(),"")</f>
        <v>928</v>
      </c>
      <c r="C928" s="13">
        <f t="shared" si="85"/>
        <v>0</v>
      </c>
      <c r="D928" s="84" t="str">
        <f t="shared" si="86"/>
        <v/>
      </c>
      <c r="E928" s="18"/>
      <c r="F928" s="174"/>
      <c r="G928" s="175"/>
      <c r="H928" s="195"/>
      <c r="I928" s="196"/>
      <c r="J928" s="196"/>
      <c r="K928" s="196"/>
      <c r="L928" s="174"/>
      <c r="M928" s="178"/>
      <c r="N928" s="179"/>
      <c r="O928" s="179" t="s">
        <v>227</v>
      </c>
    </row>
    <row r="929" spans="1:15" x14ac:dyDescent="0.15">
      <c r="A929" s="18"/>
      <c r="B9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929)),ROW(),"")</f>
        <v>929</v>
      </c>
      <c r="C929" s="13">
        <f t="shared" si="85"/>
        <v>0</v>
      </c>
      <c r="D929" s="84" t="str">
        <f t="shared" si="86"/>
        <v/>
      </c>
      <c r="E929" s="18"/>
      <c r="F929" s="174"/>
      <c r="G929" s="175"/>
      <c r="H929" s="195"/>
      <c r="I929" s="196"/>
      <c r="J929" s="196"/>
      <c r="K929" s="196"/>
      <c r="L929" s="174"/>
      <c r="M929" s="178"/>
      <c r="N929" s="179"/>
      <c r="O929" s="179" t="s">
        <v>227</v>
      </c>
    </row>
    <row r="930" spans="1:15" x14ac:dyDescent="0.15">
      <c r="A930" s="18"/>
      <c r="B9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930)),ROW(),"")</f>
        <v>930</v>
      </c>
      <c r="C930" s="13">
        <f t="shared" si="85"/>
        <v>0</v>
      </c>
      <c r="D930" s="84" t="str">
        <f t="shared" si="86"/>
        <v/>
      </c>
      <c r="E930" s="18"/>
      <c r="F930" s="174"/>
      <c r="G930" s="175"/>
      <c r="H930" s="195"/>
      <c r="I930" s="196"/>
      <c r="J930" s="196"/>
      <c r="K930" s="196"/>
      <c r="L930" s="174"/>
      <c r="M930" s="178"/>
      <c r="N930" s="179"/>
      <c r="O930" s="179" t="s">
        <v>227</v>
      </c>
    </row>
    <row r="931" spans="1:15" x14ac:dyDescent="0.15">
      <c r="A931" s="18"/>
      <c r="B9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931)),ROW(),"")</f>
        <v>931</v>
      </c>
      <c r="C931" s="13">
        <f t="shared" si="85"/>
        <v>0</v>
      </c>
      <c r="D931" s="84" t="str">
        <f t="shared" si="86"/>
        <v/>
      </c>
      <c r="E931" s="18"/>
      <c r="F931" s="174"/>
      <c r="G931" s="175"/>
      <c r="H931" s="195"/>
      <c r="I931" s="196"/>
      <c r="J931" s="196"/>
      <c r="K931" s="196"/>
      <c r="L931" s="174"/>
      <c r="M931" s="178"/>
      <c r="N931" s="179"/>
      <c r="O931" s="179" t="s">
        <v>227</v>
      </c>
    </row>
    <row r="932" spans="1:15" x14ac:dyDescent="0.15">
      <c r="A932" s="18"/>
      <c r="B9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932)),ROW(),"")</f>
        <v>932</v>
      </c>
      <c r="C932" s="13">
        <f t="shared" si="85"/>
        <v>0</v>
      </c>
      <c r="D932" s="84" t="str">
        <f t="shared" si="86"/>
        <v/>
      </c>
      <c r="E932" s="18"/>
      <c r="F932" s="174"/>
      <c r="G932" s="175"/>
      <c r="H932" s="195"/>
      <c r="I932" s="196"/>
      <c r="J932" s="196"/>
      <c r="K932" s="196"/>
      <c r="L932" s="174"/>
      <c r="M932" s="178"/>
      <c r="N932" s="179"/>
      <c r="O932" s="179" t="s">
        <v>227</v>
      </c>
    </row>
    <row r="933" spans="1:15" x14ac:dyDescent="0.15">
      <c r="A933" s="18"/>
      <c r="B9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933)),ROW(),"")</f>
        <v>933</v>
      </c>
      <c r="C933" s="13">
        <f t="shared" si="85"/>
        <v>0</v>
      </c>
      <c r="D933" s="84" t="str">
        <f t="shared" si="86"/>
        <v/>
      </c>
      <c r="E933" s="18"/>
      <c r="F933" s="174"/>
      <c r="G933" s="175"/>
      <c r="H933" s="195"/>
      <c r="I933" s="196"/>
      <c r="J933" s="196"/>
      <c r="K933" s="196"/>
      <c r="L933" s="174"/>
      <c r="M933" s="178"/>
      <c r="N933" s="179"/>
      <c r="O933" s="179" t="s">
        <v>227</v>
      </c>
    </row>
    <row r="934" spans="1:15" x14ac:dyDescent="0.15">
      <c r="A934" s="18"/>
      <c r="B9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934)),ROW(),"")</f>
        <v>934</v>
      </c>
      <c r="C934" s="13">
        <f t="shared" si="85"/>
        <v>0</v>
      </c>
      <c r="D934" s="84" t="str">
        <f t="shared" si="86"/>
        <v/>
      </c>
      <c r="E934" s="18"/>
      <c r="F934" s="174"/>
      <c r="G934" s="175"/>
      <c r="H934" s="195"/>
      <c r="I934" s="196"/>
      <c r="J934" s="196"/>
      <c r="K934" s="196"/>
      <c r="L934" s="174"/>
      <c r="M934" s="178"/>
      <c r="N934" s="179"/>
      <c r="O934" s="179" t="s">
        <v>227</v>
      </c>
    </row>
    <row r="935" spans="1:15" x14ac:dyDescent="0.15">
      <c r="A935" s="18"/>
      <c r="B9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935)),ROW(),"")</f>
        <v>935</v>
      </c>
      <c r="C935" s="13">
        <f t="shared" si="85"/>
        <v>0</v>
      </c>
      <c r="D935" s="84" t="str">
        <f t="shared" si="86"/>
        <v/>
      </c>
      <c r="E935" s="18"/>
      <c r="F935" s="174"/>
      <c r="G935" s="175"/>
      <c r="H935" s="195"/>
      <c r="I935" s="196"/>
      <c r="J935" s="196"/>
      <c r="K935" s="196"/>
      <c r="L935" s="174"/>
      <c r="M935" s="178"/>
      <c r="N935" s="179"/>
      <c r="O935" s="179" t="s">
        <v>227</v>
      </c>
    </row>
    <row r="936" spans="1:15" x14ac:dyDescent="0.15">
      <c r="A936" s="18"/>
      <c r="B9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936)),ROW(),"")</f>
        <v>936</v>
      </c>
      <c r="C936" s="13">
        <f t="shared" si="85"/>
        <v>0</v>
      </c>
      <c r="D936" s="84" t="str">
        <f t="shared" si="86"/>
        <v/>
      </c>
      <c r="E936" s="18"/>
      <c r="F936" s="174"/>
      <c r="G936" s="175"/>
      <c r="H936" s="195"/>
      <c r="I936" s="196"/>
      <c r="J936" s="196"/>
      <c r="K936" s="196"/>
      <c r="L936" s="174"/>
      <c r="M936" s="178"/>
      <c r="N936" s="179"/>
      <c r="O936" s="179" t="s">
        <v>227</v>
      </c>
    </row>
    <row r="937" spans="1:15" x14ac:dyDescent="0.15">
      <c r="A937" s="18"/>
      <c r="B9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937)),ROW(),"")</f>
        <v>937</v>
      </c>
      <c r="C937" s="13">
        <f t="shared" si="85"/>
        <v>0</v>
      </c>
      <c r="D937" s="84" t="str">
        <f t="shared" si="86"/>
        <v/>
      </c>
      <c r="E937" s="18"/>
      <c r="F937" s="174"/>
      <c r="G937" s="175"/>
      <c r="H937" s="195"/>
      <c r="I937" s="196"/>
      <c r="J937" s="196"/>
      <c r="K937" s="196"/>
      <c r="L937" s="174"/>
      <c r="M937" s="178"/>
      <c r="N937" s="179"/>
      <c r="O937" s="179" t="s">
        <v>227</v>
      </c>
    </row>
    <row r="938" spans="1:15" x14ac:dyDescent="0.15">
      <c r="A938" s="18"/>
      <c r="B9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938)),ROW(),"")</f>
        <v>938</v>
      </c>
      <c r="C938" s="13">
        <f t="shared" si="85"/>
        <v>0</v>
      </c>
      <c r="D938" s="84" t="str">
        <f t="shared" si="86"/>
        <v/>
      </c>
      <c r="E938" s="18"/>
      <c r="F938" s="174"/>
      <c r="G938" s="175"/>
      <c r="H938" s="195"/>
      <c r="I938" s="196"/>
      <c r="J938" s="196"/>
      <c r="K938" s="196"/>
      <c r="L938" s="174"/>
      <c r="M938" s="178"/>
      <c r="N938" s="179"/>
      <c r="O938" s="179" t="s">
        <v>227</v>
      </c>
    </row>
    <row r="939" spans="1:15" x14ac:dyDescent="0.15">
      <c r="A939" s="18"/>
      <c r="B9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939)),ROW(),"")</f>
        <v>939</v>
      </c>
      <c r="C939" s="13">
        <f t="shared" si="85"/>
        <v>0</v>
      </c>
      <c r="D939" s="84" t="str">
        <f t="shared" si="86"/>
        <v/>
      </c>
      <c r="E939" s="18"/>
      <c r="F939" s="174"/>
      <c r="G939" s="175"/>
      <c r="H939" s="195"/>
      <c r="I939" s="196"/>
      <c r="J939" s="196"/>
      <c r="K939" s="196"/>
      <c r="L939" s="174"/>
      <c r="M939" s="178"/>
      <c r="N939" s="179"/>
      <c r="O939" s="179" t="s">
        <v>227</v>
      </c>
    </row>
    <row r="940" spans="1:15" x14ac:dyDescent="0.15">
      <c r="A940" s="18"/>
      <c r="B9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940)),ROW(),"")</f>
        <v>940</v>
      </c>
      <c r="C940" s="13">
        <f t="shared" si="85"/>
        <v>0</v>
      </c>
      <c r="D940" s="84" t="str">
        <f t="shared" si="86"/>
        <v/>
      </c>
      <c r="E940" s="18"/>
      <c r="F940" s="174"/>
      <c r="G940" s="175"/>
      <c r="H940" s="195"/>
      <c r="I940" s="196"/>
      <c r="J940" s="196"/>
      <c r="K940" s="196"/>
      <c r="L940" s="174"/>
      <c r="M940" s="178"/>
      <c r="N940" s="179"/>
      <c r="O940" s="179" t="s">
        <v>227</v>
      </c>
    </row>
    <row r="941" spans="1:15" x14ac:dyDescent="0.15">
      <c r="A941" s="18"/>
      <c r="B9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941)),ROW(),"")</f>
        <v>941</v>
      </c>
      <c r="C941" s="13">
        <f t="shared" si="85"/>
        <v>0</v>
      </c>
      <c r="D941" s="84" t="str">
        <f t="shared" si="86"/>
        <v/>
      </c>
      <c r="E941" s="18"/>
      <c r="F941" s="174"/>
      <c r="G941" s="175"/>
      <c r="H941" s="195"/>
      <c r="I941" s="196"/>
      <c r="J941" s="196"/>
      <c r="K941" s="196"/>
      <c r="L941" s="174"/>
      <c r="M941" s="178"/>
      <c r="N941" s="179"/>
      <c r="O941" s="179" t="s">
        <v>227</v>
      </c>
    </row>
    <row r="942" spans="1:15" x14ac:dyDescent="0.15">
      <c r="A942" s="18"/>
      <c r="B9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942)),ROW(),"")</f>
        <v>942</v>
      </c>
      <c r="C942" s="13">
        <f t="shared" si="85"/>
        <v>0</v>
      </c>
      <c r="D942" s="84" t="str">
        <f t="shared" si="86"/>
        <v/>
      </c>
      <c r="E942" s="18"/>
      <c r="F942" s="174"/>
      <c r="G942" s="175"/>
      <c r="H942" s="195"/>
      <c r="I942" s="196"/>
      <c r="J942" s="196"/>
      <c r="K942" s="196"/>
      <c r="L942" s="174"/>
      <c r="M942" s="178"/>
      <c r="N942" s="179"/>
      <c r="O942" s="179" t="s">
        <v>227</v>
      </c>
    </row>
    <row r="943" spans="1:15" x14ac:dyDescent="0.15">
      <c r="A943" s="18"/>
      <c r="B9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943)),ROW(),"")</f>
        <v>943</v>
      </c>
      <c r="C943" s="13">
        <f t="shared" ref="C943:C1006" si="87">INDEX(A:A,SMALL($B$3:$B$1039,ROW(A941)))</f>
        <v>0</v>
      </c>
      <c r="D943" s="84" t="str">
        <f t="shared" ref="D943:D1006" si="88">PHONETIC(A943)</f>
        <v/>
      </c>
      <c r="E943" s="18"/>
      <c r="F943" s="174"/>
      <c r="G943" s="175"/>
      <c r="H943" s="195"/>
      <c r="I943" s="196"/>
      <c r="J943" s="196"/>
      <c r="K943" s="196"/>
      <c r="L943" s="174"/>
      <c r="M943" s="178"/>
      <c r="N943" s="179"/>
      <c r="O943" s="179" t="s">
        <v>227</v>
      </c>
    </row>
    <row r="944" spans="1:15" x14ac:dyDescent="0.15">
      <c r="A944" s="18"/>
      <c r="B9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944)),ROW(),"")</f>
        <v>944</v>
      </c>
      <c r="C944" s="13">
        <f t="shared" si="87"/>
        <v>0</v>
      </c>
      <c r="D944" s="84" t="str">
        <f t="shared" si="88"/>
        <v/>
      </c>
      <c r="E944" s="18"/>
      <c r="F944" s="174"/>
      <c r="G944" s="175"/>
      <c r="H944" s="195"/>
      <c r="I944" s="196"/>
      <c r="J944" s="196"/>
      <c r="K944" s="196"/>
      <c r="L944" s="174"/>
      <c r="M944" s="178"/>
      <c r="N944" s="179"/>
      <c r="O944" s="179" t="s">
        <v>227</v>
      </c>
    </row>
    <row r="945" spans="1:15" x14ac:dyDescent="0.15">
      <c r="A945" s="18"/>
      <c r="B9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945)),ROW(),"")</f>
        <v>945</v>
      </c>
      <c r="C945" s="13">
        <f t="shared" si="87"/>
        <v>0</v>
      </c>
      <c r="D945" s="84" t="str">
        <f t="shared" si="88"/>
        <v/>
      </c>
      <c r="E945" s="18"/>
      <c r="F945" s="174"/>
      <c r="G945" s="175"/>
      <c r="H945" s="195"/>
      <c r="I945" s="196"/>
      <c r="J945" s="196"/>
      <c r="K945" s="196"/>
      <c r="L945" s="174"/>
      <c r="M945" s="178"/>
      <c r="N945" s="179"/>
      <c r="O945" s="179" t="s">
        <v>227</v>
      </c>
    </row>
    <row r="946" spans="1:15" x14ac:dyDescent="0.15">
      <c r="A946" s="18"/>
      <c r="B9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946)),ROW(),"")</f>
        <v>946</v>
      </c>
      <c r="C946" s="13">
        <f t="shared" si="87"/>
        <v>0</v>
      </c>
      <c r="D946" s="84" t="str">
        <f t="shared" si="88"/>
        <v/>
      </c>
      <c r="E946" s="18"/>
      <c r="F946" s="174"/>
      <c r="G946" s="175"/>
      <c r="H946" s="195"/>
      <c r="I946" s="196"/>
      <c r="J946" s="196"/>
      <c r="K946" s="196"/>
      <c r="L946" s="174"/>
      <c r="M946" s="178"/>
      <c r="N946" s="179"/>
      <c r="O946" s="179" t="s">
        <v>227</v>
      </c>
    </row>
    <row r="947" spans="1:15" x14ac:dyDescent="0.15">
      <c r="A947" s="18"/>
      <c r="B9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947)),ROW(),"")</f>
        <v>947</v>
      </c>
      <c r="C947" s="13">
        <f t="shared" si="87"/>
        <v>0</v>
      </c>
      <c r="D947" s="84" t="str">
        <f t="shared" si="88"/>
        <v/>
      </c>
      <c r="E947" s="18"/>
      <c r="F947" s="174"/>
      <c r="G947" s="175"/>
      <c r="H947" s="195"/>
      <c r="I947" s="196"/>
      <c r="J947" s="196"/>
      <c r="K947" s="196"/>
      <c r="L947" s="174"/>
      <c r="M947" s="178"/>
      <c r="N947" s="179"/>
      <c r="O947" s="179" t="s">
        <v>227</v>
      </c>
    </row>
    <row r="948" spans="1:15" x14ac:dyDescent="0.15">
      <c r="A948" s="18"/>
      <c r="B9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948)),ROW(),"")</f>
        <v>948</v>
      </c>
      <c r="C948" s="13">
        <f t="shared" si="87"/>
        <v>0</v>
      </c>
      <c r="D948" s="84" t="str">
        <f t="shared" si="88"/>
        <v/>
      </c>
      <c r="E948" s="18"/>
      <c r="F948" s="174"/>
      <c r="G948" s="175"/>
      <c r="H948" s="195"/>
      <c r="I948" s="196"/>
      <c r="J948" s="196"/>
      <c r="K948" s="196"/>
      <c r="L948" s="174"/>
      <c r="M948" s="178"/>
      <c r="N948" s="179"/>
      <c r="O948" s="179" t="s">
        <v>227</v>
      </c>
    </row>
    <row r="949" spans="1:15" x14ac:dyDescent="0.15">
      <c r="A949" s="18"/>
      <c r="B9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949)),ROW(),"")</f>
        <v>949</v>
      </c>
      <c r="C949" s="13">
        <f t="shared" si="87"/>
        <v>0</v>
      </c>
      <c r="D949" s="84" t="str">
        <f t="shared" si="88"/>
        <v/>
      </c>
      <c r="E949" s="18"/>
      <c r="F949" s="174"/>
      <c r="G949" s="175"/>
      <c r="H949" s="195"/>
      <c r="I949" s="196"/>
      <c r="J949" s="196"/>
      <c r="K949" s="196"/>
      <c r="L949" s="174"/>
      <c r="M949" s="178"/>
      <c r="N949" s="179"/>
      <c r="O949" s="179" t="s">
        <v>227</v>
      </c>
    </row>
    <row r="950" spans="1:15" x14ac:dyDescent="0.15">
      <c r="A950" s="18"/>
      <c r="B9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950)),ROW(),"")</f>
        <v>950</v>
      </c>
      <c r="C950" s="13">
        <f t="shared" si="87"/>
        <v>0</v>
      </c>
      <c r="D950" s="84" t="str">
        <f t="shared" si="88"/>
        <v/>
      </c>
      <c r="E950" s="18"/>
      <c r="F950" s="174"/>
      <c r="G950" s="175"/>
      <c r="H950" s="195"/>
      <c r="I950" s="196"/>
      <c r="J950" s="196"/>
      <c r="K950" s="196"/>
      <c r="L950" s="174"/>
      <c r="M950" s="178"/>
      <c r="N950" s="179"/>
      <c r="O950" s="179" t="s">
        <v>227</v>
      </c>
    </row>
    <row r="951" spans="1:15" x14ac:dyDescent="0.15">
      <c r="A951" s="18"/>
      <c r="B9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951)),ROW(),"")</f>
        <v>951</v>
      </c>
      <c r="C951" s="13">
        <f t="shared" si="87"/>
        <v>0</v>
      </c>
      <c r="D951" s="84" t="str">
        <f t="shared" si="88"/>
        <v/>
      </c>
      <c r="E951" s="18"/>
      <c r="F951" s="174"/>
      <c r="G951" s="175"/>
      <c r="H951" s="195"/>
      <c r="I951" s="196"/>
      <c r="J951" s="196"/>
      <c r="K951" s="196"/>
      <c r="L951" s="174"/>
      <c r="M951" s="178"/>
      <c r="N951" s="179"/>
      <c r="O951" s="179" t="s">
        <v>227</v>
      </c>
    </row>
    <row r="952" spans="1:15" x14ac:dyDescent="0.15">
      <c r="A952" s="18"/>
      <c r="B9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952)),ROW(),"")</f>
        <v>952</v>
      </c>
      <c r="C952" s="13">
        <f t="shared" si="87"/>
        <v>0</v>
      </c>
      <c r="D952" s="84" t="str">
        <f t="shared" si="88"/>
        <v/>
      </c>
      <c r="E952" s="18"/>
      <c r="F952" s="174"/>
      <c r="G952" s="175"/>
      <c r="H952" s="195"/>
      <c r="I952" s="196"/>
      <c r="J952" s="196"/>
      <c r="K952" s="196"/>
      <c r="L952" s="174"/>
      <c r="M952" s="178"/>
      <c r="N952" s="179"/>
      <c r="O952" s="179" t="s">
        <v>227</v>
      </c>
    </row>
    <row r="953" spans="1:15" x14ac:dyDescent="0.15">
      <c r="A953" s="18"/>
      <c r="B9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953)),ROW(),"")</f>
        <v>953</v>
      </c>
      <c r="C953" s="13">
        <f t="shared" si="87"/>
        <v>0</v>
      </c>
      <c r="D953" s="84" t="str">
        <f t="shared" si="88"/>
        <v/>
      </c>
      <c r="E953" s="18"/>
      <c r="F953" s="174"/>
      <c r="G953" s="175"/>
      <c r="H953" s="195"/>
      <c r="I953" s="196"/>
      <c r="J953" s="196"/>
      <c r="K953" s="196"/>
      <c r="L953" s="174"/>
      <c r="M953" s="178"/>
      <c r="N953" s="179"/>
      <c r="O953" s="179" t="s">
        <v>227</v>
      </c>
    </row>
    <row r="954" spans="1:15" x14ac:dyDescent="0.15">
      <c r="A954" s="18"/>
      <c r="B9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954)),ROW(),"")</f>
        <v>954</v>
      </c>
      <c r="C954" s="13">
        <f t="shared" si="87"/>
        <v>0</v>
      </c>
      <c r="D954" s="84" t="str">
        <f t="shared" si="88"/>
        <v/>
      </c>
      <c r="E954" s="18"/>
      <c r="F954" s="174"/>
      <c r="G954" s="175"/>
      <c r="H954" s="195"/>
      <c r="I954" s="196"/>
      <c r="J954" s="196"/>
      <c r="K954" s="196"/>
      <c r="L954" s="174"/>
      <c r="M954" s="178"/>
      <c r="N954" s="179"/>
      <c r="O954" s="179" t="s">
        <v>227</v>
      </c>
    </row>
    <row r="955" spans="1:15" x14ac:dyDescent="0.15">
      <c r="A955" s="18"/>
      <c r="B9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955)),ROW(),"")</f>
        <v>955</v>
      </c>
      <c r="C955" s="13">
        <f t="shared" si="87"/>
        <v>0</v>
      </c>
      <c r="D955" s="84" t="str">
        <f t="shared" si="88"/>
        <v/>
      </c>
      <c r="E955" s="18"/>
      <c r="F955" s="174"/>
      <c r="G955" s="175"/>
      <c r="H955" s="195"/>
      <c r="I955" s="196"/>
      <c r="J955" s="196"/>
      <c r="K955" s="196"/>
      <c r="L955" s="174"/>
      <c r="M955" s="178"/>
      <c r="N955" s="179"/>
      <c r="O955" s="179" t="s">
        <v>227</v>
      </c>
    </row>
    <row r="956" spans="1:15" x14ac:dyDescent="0.15">
      <c r="A956" s="18"/>
      <c r="B9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956)),ROW(),"")</f>
        <v>956</v>
      </c>
      <c r="C956" s="13">
        <f t="shared" si="87"/>
        <v>0</v>
      </c>
      <c r="D956" s="84" t="str">
        <f t="shared" si="88"/>
        <v/>
      </c>
      <c r="E956" s="18"/>
      <c r="F956" s="174"/>
      <c r="G956" s="175"/>
      <c r="H956" s="195"/>
      <c r="I956" s="196"/>
      <c r="J956" s="196"/>
      <c r="K956" s="196"/>
      <c r="L956" s="174"/>
      <c r="M956" s="178"/>
      <c r="N956" s="179"/>
      <c r="O956" s="179" t="s">
        <v>227</v>
      </c>
    </row>
    <row r="957" spans="1:15" x14ac:dyDescent="0.15">
      <c r="A957" s="18"/>
      <c r="B9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957)),ROW(),"")</f>
        <v>957</v>
      </c>
      <c r="C957" s="13">
        <f t="shared" si="87"/>
        <v>0</v>
      </c>
      <c r="D957" s="84" t="str">
        <f t="shared" si="88"/>
        <v/>
      </c>
      <c r="E957" s="18"/>
      <c r="F957" s="174"/>
      <c r="G957" s="175"/>
      <c r="H957" s="195"/>
      <c r="I957" s="196"/>
      <c r="J957" s="196"/>
      <c r="K957" s="196"/>
      <c r="L957" s="174"/>
      <c r="M957" s="178"/>
      <c r="N957" s="179"/>
      <c r="O957" s="179" t="s">
        <v>227</v>
      </c>
    </row>
    <row r="958" spans="1:15" x14ac:dyDescent="0.15">
      <c r="A958" s="18"/>
      <c r="B9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958)),ROW(),"")</f>
        <v>958</v>
      </c>
      <c r="C958" s="13">
        <f t="shared" si="87"/>
        <v>0</v>
      </c>
      <c r="D958" s="84" t="str">
        <f t="shared" si="88"/>
        <v/>
      </c>
      <c r="E958" s="18"/>
      <c r="F958" s="174"/>
      <c r="G958" s="175"/>
      <c r="H958" s="195"/>
      <c r="I958" s="196"/>
      <c r="J958" s="196"/>
      <c r="K958" s="196"/>
      <c r="L958" s="174"/>
      <c r="M958" s="178"/>
      <c r="N958" s="179"/>
      <c r="O958" s="179" t="s">
        <v>227</v>
      </c>
    </row>
    <row r="959" spans="1:15" x14ac:dyDescent="0.15">
      <c r="A959" s="18"/>
      <c r="B9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959)),ROW(),"")</f>
        <v>959</v>
      </c>
      <c r="C959" s="13">
        <f t="shared" si="87"/>
        <v>0</v>
      </c>
      <c r="D959" s="84" t="str">
        <f t="shared" si="88"/>
        <v/>
      </c>
      <c r="E959" s="18"/>
      <c r="F959" s="174"/>
      <c r="G959" s="175"/>
      <c r="H959" s="195"/>
      <c r="I959" s="196"/>
      <c r="J959" s="196"/>
      <c r="K959" s="196"/>
      <c r="L959" s="174"/>
      <c r="M959" s="178"/>
      <c r="N959" s="179"/>
      <c r="O959" s="179" t="s">
        <v>227</v>
      </c>
    </row>
    <row r="960" spans="1:15" x14ac:dyDescent="0.15">
      <c r="A960" s="18"/>
      <c r="B9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960)),ROW(),"")</f>
        <v>960</v>
      </c>
      <c r="C960" s="13">
        <f t="shared" si="87"/>
        <v>0</v>
      </c>
      <c r="D960" s="84" t="str">
        <f t="shared" si="88"/>
        <v/>
      </c>
      <c r="E960" s="18"/>
      <c r="F960" s="174"/>
      <c r="G960" s="175"/>
      <c r="H960" s="195"/>
      <c r="I960" s="196"/>
      <c r="J960" s="196"/>
      <c r="K960" s="196"/>
      <c r="L960" s="174"/>
      <c r="M960" s="178"/>
      <c r="N960" s="179"/>
      <c r="O960" s="179" t="s">
        <v>227</v>
      </c>
    </row>
    <row r="961" spans="1:15" x14ac:dyDescent="0.15">
      <c r="A961" s="18"/>
      <c r="B9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961)),ROW(),"")</f>
        <v>961</v>
      </c>
      <c r="C961" s="13">
        <f t="shared" si="87"/>
        <v>0</v>
      </c>
      <c r="D961" s="84" t="str">
        <f t="shared" si="88"/>
        <v/>
      </c>
      <c r="E961" s="18"/>
      <c r="F961" s="174"/>
      <c r="G961" s="175"/>
      <c r="H961" s="195"/>
      <c r="I961" s="196"/>
      <c r="J961" s="196"/>
      <c r="K961" s="196"/>
      <c r="L961" s="174"/>
      <c r="M961" s="178"/>
      <c r="N961" s="179"/>
      <c r="O961" s="179" t="s">
        <v>227</v>
      </c>
    </row>
    <row r="962" spans="1:15" x14ac:dyDescent="0.15">
      <c r="A962" s="18"/>
      <c r="B9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962)),ROW(),"")</f>
        <v>962</v>
      </c>
      <c r="C962" s="13">
        <f t="shared" si="87"/>
        <v>0</v>
      </c>
      <c r="D962" s="84" t="str">
        <f t="shared" si="88"/>
        <v/>
      </c>
      <c r="E962" s="18"/>
      <c r="F962" s="174"/>
      <c r="G962" s="175"/>
      <c r="H962" s="195"/>
      <c r="I962" s="196"/>
      <c r="J962" s="196"/>
      <c r="K962" s="196"/>
      <c r="L962" s="174"/>
      <c r="M962" s="178"/>
      <c r="N962" s="179"/>
      <c r="O962" s="179" t="s">
        <v>227</v>
      </c>
    </row>
    <row r="963" spans="1:15" x14ac:dyDescent="0.15">
      <c r="A963" s="18"/>
      <c r="B9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963)),ROW(),"")</f>
        <v>963</v>
      </c>
      <c r="C963" s="13">
        <f t="shared" si="87"/>
        <v>0</v>
      </c>
      <c r="D963" s="84" t="str">
        <f t="shared" si="88"/>
        <v/>
      </c>
      <c r="E963" s="18"/>
      <c r="F963" s="174"/>
      <c r="G963" s="175"/>
      <c r="H963" s="195"/>
      <c r="I963" s="196"/>
      <c r="J963" s="196"/>
      <c r="K963" s="196"/>
      <c r="L963" s="174"/>
      <c r="M963" s="178"/>
      <c r="N963" s="179"/>
      <c r="O963" s="179" t="s">
        <v>227</v>
      </c>
    </row>
    <row r="964" spans="1:15" x14ac:dyDescent="0.15">
      <c r="A964" s="18"/>
      <c r="B9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964)),ROW(),"")</f>
        <v>964</v>
      </c>
      <c r="C964" s="13">
        <f t="shared" si="87"/>
        <v>0</v>
      </c>
      <c r="D964" s="84" t="str">
        <f t="shared" si="88"/>
        <v/>
      </c>
      <c r="E964" s="18"/>
      <c r="F964" s="174"/>
      <c r="G964" s="175"/>
      <c r="H964" s="195"/>
      <c r="I964" s="196"/>
      <c r="J964" s="196"/>
      <c r="K964" s="196"/>
      <c r="L964" s="174"/>
      <c r="M964" s="178"/>
      <c r="N964" s="179"/>
      <c r="O964" s="179" t="s">
        <v>227</v>
      </c>
    </row>
    <row r="965" spans="1:15" x14ac:dyDescent="0.15">
      <c r="A965" s="18"/>
      <c r="B9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965)),ROW(),"")</f>
        <v>965</v>
      </c>
      <c r="C965" s="13">
        <f t="shared" si="87"/>
        <v>0</v>
      </c>
      <c r="D965" s="84" t="str">
        <f t="shared" si="88"/>
        <v/>
      </c>
      <c r="E965" s="18"/>
      <c r="F965" s="174"/>
      <c r="G965" s="175"/>
      <c r="H965" s="195"/>
      <c r="I965" s="196"/>
      <c r="J965" s="196"/>
      <c r="K965" s="196"/>
      <c r="L965" s="174"/>
      <c r="M965" s="178"/>
      <c r="N965" s="179"/>
      <c r="O965" s="179" t="s">
        <v>227</v>
      </c>
    </row>
    <row r="966" spans="1:15" x14ac:dyDescent="0.15">
      <c r="A966" s="18"/>
      <c r="B9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966)),ROW(),"")</f>
        <v>966</v>
      </c>
      <c r="C966" s="13">
        <f t="shared" si="87"/>
        <v>0</v>
      </c>
      <c r="D966" s="84" t="str">
        <f t="shared" si="88"/>
        <v/>
      </c>
      <c r="E966" s="18"/>
      <c r="F966" s="174"/>
      <c r="G966" s="175"/>
      <c r="H966" s="195"/>
      <c r="I966" s="196"/>
      <c r="J966" s="196"/>
      <c r="K966" s="196"/>
      <c r="L966" s="174"/>
      <c r="M966" s="178"/>
      <c r="N966" s="179"/>
      <c r="O966" s="179" t="s">
        <v>227</v>
      </c>
    </row>
    <row r="967" spans="1:15" x14ac:dyDescent="0.15">
      <c r="A967" s="18"/>
      <c r="B9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967)),ROW(),"")</f>
        <v>967</v>
      </c>
      <c r="C967" s="13">
        <f t="shared" si="87"/>
        <v>0</v>
      </c>
      <c r="D967" s="84" t="str">
        <f t="shared" si="88"/>
        <v/>
      </c>
      <c r="E967" s="18"/>
      <c r="F967" s="174"/>
      <c r="G967" s="175"/>
      <c r="H967" s="195"/>
      <c r="I967" s="196"/>
      <c r="J967" s="196"/>
      <c r="K967" s="196"/>
      <c r="L967" s="174"/>
      <c r="M967" s="178"/>
      <c r="N967" s="179"/>
      <c r="O967" s="179" t="s">
        <v>227</v>
      </c>
    </row>
    <row r="968" spans="1:15" x14ac:dyDescent="0.15">
      <c r="A968" s="18"/>
      <c r="B9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968)),ROW(),"")</f>
        <v>968</v>
      </c>
      <c r="C968" s="13">
        <f t="shared" si="87"/>
        <v>0</v>
      </c>
      <c r="D968" s="84" t="str">
        <f t="shared" si="88"/>
        <v/>
      </c>
      <c r="E968" s="18"/>
      <c r="F968" s="174"/>
      <c r="G968" s="175"/>
      <c r="H968" s="195"/>
      <c r="I968" s="196"/>
      <c r="J968" s="196"/>
      <c r="K968" s="196"/>
      <c r="L968" s="174"/>
      <c r="M968" s="178"/>
      <c r="N968" s="179"/>
      <c r="O968" s="179" t="s">
        <v>227</v>
      </c>
    </row>
    <row r="969" spans="1:15" x14ac:dyDescent="0.15">
      <c r="A969" s="18"/>
      <c r="B9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969)),ROW(),"")</f>
        <v>969</v>
      </c>
      <c r="C969" s="13">
        <f t="shared" si="87"/>
        <v>0</v>
      </c>
      <c r="D969" s="84" t="str">
        <f t="shared" si="88"/>
        <v/>
      </c>
      <c r="E969" s="18"/>
      <c r="F969" s="174"/>
      <c r="G969" s="175"/>
      <c r="H969" s="195"/>
      <c r="I969" s="196"/>
      <c r="J969" s="196"/>
      <c r="K969" s="196"/>
      <c r="L969" s="174"/>
      <c r="M969" s="178"/>
      <c r="N969" s="179"/>
      <c r="O969" s="179" t="s">
        <v>227</v>
      </c>
    </row>
    <row r="970" spans="1:15" x14ac:dyDescent="0.15">
      <c r="A970" s="18"/>
      <c r="B9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970)),ROW(),"")</f>
        <v>970</v>
      </c>
      <c r="C970" s="13">
        <f t="shared" si="87"/>
        <v>0</v>
      </c>
      <c r="D970" s="84" t="str">
        <f t="shared" si="88"/>
        <v/>
      </c>
      <c r="E970" s="18"/>
      <c r="F970" s="174"/>
      <c r="G970" s="175"/>
      <c r="H970" s="195"/>
      <c r="I970" s="196"/>
      <c r="J970" s="196"/>
      <c r="K970" s="196"/>
      <c r="L970" s="174"/>
      <c r="M970" s="178"/>
      <c r="N970" s="179"/>
      <c r="O970" s="179" t="s">
        <v>227</v>
      </c>
    </row>
    <row r="971" spans="1:15" x14ac:dyDescent="0.15">
      <c r="A971" s="18"/>
      <c r="B9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971)),ROW(),"")</f>
        <v>971</v>
      </c>
      <c r="C971" s="13">
        <f t="shared" si="87"/>
        <v>0</v>
      </c>
      <c r="D971" s="84" t="str">
        <f t="shared" si="88"/>
        <v/>
      </c>
      <c r="E971" s="18"/>
      <c r="F971" s="174"/>
      <c r="G971" s="175"/>
      <c r="H971" s="195"/>
      <c r="I971" s="196"/>
      <c r="J971" s="196"/>
      <c r="K971" s="196"/>
      <c r="L971" s="174"/>
      <c r="M971" s="178"/>
      <c r="N971" s="179"/>
      <c r="O971" s="179" t="s">
        <v>227</v>
      </c>
    </row>
    <row r="972" spans="1:15" x14ac:dyDescent="0.15">
      <c r="A972" s="18"/>
      <c r="B9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972)),ROW(),"")</f>
        <v>972</v>
      </c>
      <c r="C972" s="13">
        <f t="shared" si="87"/>
        <v>0</v>
      </c>
      <c r="D972" s="84" t="str">
        <f t="shared" si="88"/>
        <v/>
      </c>
      <c r="E972" s="18"/>
      <c r="F972" s="174"/>
      <c r="G972" s="175"/>
      <c r="H972" s="195"/>
      <c r="I972" s="196"/>
      <c r="J972" s="196"/>
      <c r="K972" s="196"/>
      <c r="L972" s="174"/>
      <c r="M972" s="178"/>
      <c r="N972" s="179"/>
      <c r="O972" s="179" t="s">
        <v>227</v>
      </c>
    </row>
    <row r="973" spans="1:15" x14ac:dyDescent="0.15">
      <c r="A973" s="18"/>
      <c r="B9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973)),ROW(),"")</f>
        <v>973</v>
      </c>
      <c r="C973" s="13">
        <f t="shared" si="87"/>
        <v>0</v>
      </c>
      <c r="D973" s="84" t="str">
        <f t="shared" si="88"/>
        <v/>
      </c>
      <c r="E973" s="18"/>
      <c r="F973" s="174"/>
      <c r="G973" s="175"/>
      <c r="H973" s="195"/>
      <c r="I973" s="196"/>
      <c r="J973" s="196"/>
      <c r="K973" s="196"/>
      <c r="L973" s="174"/>
      <c r="M973" s="178"/>
      <c r="N973" s="179"/>
      <c r="O973" s="179" t="s">
        <v>227</v>
      </c>
    </row>
    <row r="974" spans="1:15" x14ac:dyDescent="0.15">
      <c r="A974" s="18"/>
      <c r="B9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974)),ROW(),"")</f>
        <v>974</v>
      </c>
      <c r="C974" s="13">
        <f t="shared" si="87"/>
        <v>0</v>
      </c>
      <c r="D974" s="84" t="str">
        <f t="shared" si="88"/>
        <v/>
      </c>
      <c r="E974" s="18"/>
      <c r="F974" s="174"/>
      <c r="G974" s="175"/>
      <c r="H974" s="195"/>
      <c r="I974" s="196"/>
      <c r="J974" s="196"/>
      <c r="K974" s="196"/>
      <c r="L974" s="174"/>
      <c r="M974" s="178"/>
      <c r="N974" s="179"/>
      <c r="O974" s="179" t="s">
        <v>227</v>
      </c>
    </row>
    <row r="975" spans="1:15" x14ac:dyDescent="0.15">
      <c r="A975" s="18"/>
      <c r="B9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975)),ROW(),"")</f>
        <v>975</v>
      </c>
      <c r="C975" s="13">
        <f t="shared" si="87"/>
        <v>0</v>
      </c>
      <c r="D975" s="84" t="str">
        <f t="shared" si="88"/>
        <v/>
      </c>
      <c r="E975" s="18"/>
      <c r="F975" s="174"/>
      <c r="G975" s="175"/>
      <c r="H975" s="195"/>
      <c r="I975" s="196"/>
      <c r="J975" s="196"/>
      <c r="K975" s="196"/>
      <c r="L975" s="174"/>
      <c r="M975" s="178"/>
      <c r="N975" s="179"/>
      <c r="O975" s="179" t="s">
        <v>227</v>
      </c>
    </row>
    <row r="976" spans="1:15" x14ac:dyDescent="0.15">
      <c r="A976" s="18"/>
      <c r="B9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976)),ROW(),"")</f>
        <v>976</v>
      </c>
      <c r="C976" s="13">
        <f t="shared" si="87"/>
        <v>0</v>
      </c>
      <c r="D976" s="84" t="str">
        <f t="shared" si="88"/>
        <v/>
      </c>
      <c r="E976" s="18"/>
      <c r="F976" s="174"/>
      <c r="G976" s="175"/>
      <c r="H976" s="195"/>
      <c r="I976" s="196"/>
      <c r="J976" s="196"/>
      <c r="K976" s="196"/>
      <c r="L976" s="174"/>
      <c r="M976" s="178"/>
      <c r="N976" s="179"/>
      <c r="O976" s="179" t="s">
        <v>227</v>
      </c>
    </row>
    <row r="977" spans="1:15" x14ac:dyDescent="0.15">
      <c r="A977" s="18"/>
      <c r="B9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977)),ROW(),"")</f>
        <v>977</v>
      </c>
      <c r="C977" s="13">
        <f t="shared" si="87"/>
        <v>0</v>
      </c>
      <c r="D977" s="84" t="str">
        <f t="shared" si="88"/>
        <v/>
      </c>
      <c r="E977" s="18"/>
      <c r="F977" s="174"/>
      <c r="G977" s="175"/>
      <c r="H977" s="195"/>
      <c r="I977" s="196"/>
      <c r="J977" s="196"/>
      <c r="K977" s="196"/>
      <c r="L977" s="174"/>
      <c r="M977" s="178"/>
      <c r="N977" s="179"/>
      <c r="O977" s="179" t="s">
        <v>227</v>
      </c>
    </row>
    <row r="978" spans="1:15" x14ac:dyDescent="0.15">
      <c r="A978" s="18"/>
      <c r="B9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978)),ROW(),"")</f>
        <v>978</v>
      </c>
      <c r="C978" s="13">
        <f t="shared" si="87"/>
        <v>0</v>
      </c>
      <c r="D978" s="84" t="str">
        <f t="shared" si="88"/>
        <v/>
      </c>
      <c r="E978" s="18"/>
      <c r="F978" s="174"/>
      <c r="G978" s="175"/>
      <c r="H978" s="195"/>
      <c r="I978" s="196"/>
      <c r="J978" s="196"/>
      <c r="K978" s="196"/>
      <c r="L978" s="174"/>
      <c r="M978" s="178"/>
      <c r="N978" s="179"/>
      <c r="O978" s="179" t="s">
        <v>227</v>
      </c>
    </row>
    <row r="979" spans="1:15" x14ac:dyDescent="0.15">
      <c r="A979" s="18"/>
      <c r="B9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979)),ROW(),"")</f>
        <v>979</v>
      </c>
      <c r="C979" s="13">
        <f t="shared" si="87"/>
        <v>0</v>
      </c>
      <c r="D979" s="84" t="str">
        <f t="shared" si="88"/>
        <v/>
      </c>
      <c r="E979" s="18"/>
      <c r="F979" s="174"/>
      <c r="G979" s="175"/>
      <c r="H979" s="195"/>
      <c r="I979" s="196"/>
      <c r="J979" s="196"/>
      <c r="K979" s="196"/>
      <c r="L979" s="174"/>
      <c r="M979" s="178"/>
      <c r="N979" s="179"/>
      <c r="O979" s="179" t="s">
        <v>227</v>
      </c>
    </row>
    <row r="980" spans="1:15" x14ac:dyDescent="0.15">
      <c r="A980" s="18"/>
      <c r="B9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980)),ROW(),"")</f>
        <v>980</v>
      </c>
      <c r="C980" s="13">
        <f t="shared" si="87"/>
        <v>0</v>
      </c>
      <c r="D980" s="84" t="str">
        <f t="shared" si="88"/>
        <v/>
      </c>
      <c r="E980" s="18"/>
      <c r="F980" s="174"/>
      <c r="G980" s="175"/>
      <c r="H980" s="195"/>
      <c r="I980" s="196"/>
      <c r="J980" s="196"/>
      <c r="K980" s="196"/>
      <c r="L980" s="174"/>
      <c r="M980" s="178"/>
      <c r="N980" s="179"/>
      <c r="O980" s="179" t="s">
        <v>227</v>
      </c>
    </row>
    <row r="981" spans="1:15" x14ac:dyDescent="0.15">
      <c r="A981" s="18"/>
      <c r="B9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981)),ROW(),"")</f>
        <v>981</v>
      </c>
      <c r="C981" s="13">
        <f t="shared" si="87"/>
        <v>0</v>
      </c>
      <c r="D981" s="84" t="str">
        <f t="shared" si="88"/>
        <v/>
      </c>
      <c r="E981" s="18"/>
      <c r="F981" s="174"/>
      <c r="G981" s="175"/>
      <c r="H981" s="195"/>
      <c r="I981" s="196"/>
      <c r="J981" s="196"/>
      <c r="K981" s="196"/>
      <c r="L981" s="174"/>
      <c r="M981" s="178"/>
      <c r="N981" s="179"/>
      <c r="O981" s="179" t="s">
        <v>227</v>
      </c>
    </row>
    <row r="982" spans="1:15" x14ac:dyDescent="0.15">
      <c r="A982" s="18"/>
      <c r="B9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982)),ROW(),"")</f>
        <v>982</v>
      </c>
      <c r="C982" s="13">
        <f t="shared" si="87"/>
        <v>0</v>
      </c>
      <c r="D982" s="84" t="str">
        <f t="shared" si="88"/>
        <v/>
      </c>
      <c r="E982" s="18"/>
      <c r="F982" s="174"/>
      <c r="G982" s="175"/>
      <c r="H982" s="195"/>
      <c r="I982" s="196"/>
      <c r="J982" s="196"/>
      <c r="K982" s="196"/>
      <c r="L982" s="174"/>
      <c r="M982" s="178"/>
      <c r="N982" s="179"/>
      <c r="O982" s="179" t="s">
        <v>227</v>
      </c>
    </row>
    <row r="983" spans="1:15" x14ac:dyDescent="0.15">
      <c r="A983" s="18"/>
      <c r="B9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983)),ROW(),"")</f>
        <v>983</v>
      </c>
      <c r="C983" s="13">
        <f t="shared" si="87"/>
        <v>0</v>
      </c>
      <c r="D983" s="84" t="str">
        <f t="shared" si="88"/>
        <v/>
      </c>
      <c r="E983" s="18"/>
      <c r="F983" s="174"/>
      <c r="G983" s="175"/>
      <c r="H983" s="195"/>
      <c r="I983" s="196"/>
      <c r="J983" s="196"/>
      <c r="K983" s="196"/>
      <c r="L983" s="174"/>
      <c r="M983" s="178"/>
      <c r="N983" s="179"/>
      <c r="O983" s="179" t="s">
        <v>227</v>
      </c>
    </row>
    <row r="984" spans="1:15" x14ac:dyDescent="0.15">
      <c r="A984" s="18"/>
      <c r="B9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984)),ROW(),"")</f>
        <v>984</v>
      </c>
      <c r="C984" s="13">
        <f t="shared" si="87"/>
        <v>0</v>
      </c>
      <c r="D984" s="84" t="str">
        <f t="shared" si="88"/>
        <v/>
      </c>
      <c r="E984" s="18"/>
      <c r="F984" s="174"/>
      <c r="G984" s="175"/>
      <c r="H984" s="195"/>
      <c r="I984" s="196"/>
      <c r="J984" s="196"/>
      <c r="K984" s="196"/>
      <c r="L984" s="174"/>
      <c r="M984" s="178"/>
      <c r="N984" s="179"/>
      <c r="O984" s="179" t="s">
        <v>227</v>
      </c>
    </row>
    <row r="985" spans="1:15" x14ac:dyDescent="0.15">
      <c r="A985" s="18"/>
      <c r="B9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985)),ROW(),"")</f>
        <v>985</v>
      </c>
      <c r="C985" s="13">
        <f t="shared" si="87"/>
        <v>0</v>
      </c>
      <c r="D985" s="84" t="str">
        <f t="shared" si="88"/>
        <v/>
      </c>
      <c r="E985" s="18"/>
      <c r="F985" s="174"/>
      <c r="G985" s="175"/>
      <c r="H985" s="195"/>
      <c r="I985" s="196"/>
      <c r="J985" s="196"/>
      <c r="K985" s="196"/>
      <c r="L985" s="174"/>
      <c r="M985" s="178"/>
      <c r="N985" s="179"/>
      <c r="O985" s="179" t="s">
        <v>227</v>
      </c>
    </row>
    <row r="986" spans="1:15" x14ac:dyDescent="0.15">
      <c r="A986" s="18"/>
      <c r="B9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986)),ROW(),"")</f>
        <v>986</v>
      </c>
      <c r="C986" s="13">
        <f t="shared" si="87"/>
        <v>0</v>
      </c>
      <c r="D986" s="84" t="str">
        <f t="shared" si="88"/>
        <v/>
      </c>
      <c r="E986" s="18"/>
      <c r="F986" s="174"/>
      <c r="G986" s="175"/>
      <c r="H986" s="195"/>
      <c r="I986" s="196"/>
      <c r="J986" s="196"/>
      <c r="K986" s="196"/>
      <c r="L986" s="174"/>
      <c r="M986" s="178"/>
      <c r="N986" s="179"/>
      <c r="O986" s="179" t="s">
        <v>227</v>
      </c>
    </row>
    <row r="987" spans="1:15" x14ac:dyDescent="0.15">
      <c r="A987" s="18"/>
      <c r="B9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987)),ROW(),"")</f>
        <v>987</v>
      </c>
      <c r="C987" s="13">
        <f t="shared" si="87"/>
        <v>0</v>
      </c>
      <c r="D987" s="84" t="str">
        <f t="shared" si="88"/>
        <v/>
      </c>
      <c r="E987" s="18"/>
      <c r="F987" s="174"/>
      <c r="G987" s="175"/>
      <c r="H987" s="195"/>
      <c r="I987" s="196"/>
      <c r="J987" s="196"/>
      <c r="K987" s="196"/>
      <c r="L987" s="174"/>
      <c r="M987" s="178"/>
      <c r="N987" s="179"/>
      <c r="O987" s="179" t="s">
        <v>227</v>
      </c>
    </row>
    <row r="988" spans="1:15" x14ac:dyDescent="0.15">
      <c r="A988" s="18"/>
      <c r="B9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988)),ROW(),"")</f>
        <v>988</v>
      </c>
      <c r="C988" s="13">
        <f t="shared" si="87"/>
        <v>0</v>
      </c>
      <c r="D988" s="84" t="str">
        <f t="shared" si="88"/>
        <v/>
      </c>
      <c r="E988" s="18"/>
      <c r="F988" s="174"/>
      <c r="G988" s="175"/>
      <c r="H988" s="195"/>
      <c r="I988" s="196"/>
      <c r="J988" s="196"/>
      <c r="K988" s="196"/>
      <c r="L988" s="174"/>
      <c r="M988" s="178"/>
      <c r="N988" s="179"/>
      <c r="O988" s="179" t="s">
        <v>227</v>
      </c>
    </row>
    <row r="989" spans="1:15" x14ac:dyDescent="0.15">
      <c r="A989" s="18"/>
      <c r="B9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989)),ROW(),"")</f>
        <v>989</v>
      </c>
      <c r="C989" s="13">
        <f t="shared" si="87"/>
        <v>0</v>
      </c>
      <c r="D989" s="84" t="str">
        <f t="shared" si="88"/>
        <v/>
      </c>
      <c r="E989" s="18"/>
      <c r="F989" s="174"/>
      <c r="G989" s="175"/>
      <c r="H989" s="195"/>
      <c r="I989" s="196"/>
      <c r="J989" s="196"/>
      <c r="K989" s="196"/>
      <c r="L989" s="174"/>
      <c r="M989" s="178"/>
      <c r="N989" s="179"/>
      <c r="O989" s="179" t="s">
        <v>227</v>
      </c>
    </row>
    <row r="990" spans="1:15" x14ac:dyDescent="0.15">
      <c r="A990" s="18"/>
      <c r="B9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990)),ROW(),"")</f>
        <v>990</v>
      </c>
      <c r="C990" s="13">
        <f t="shared" si="87"/>
        <v>0</v>
      </c>
      <c r="D990" s="84" t="str">
        <f t="shared" si="88"/>
        <v/>
      </c>
      <c r="E990" s="18"/>
      <c r="F990" s="174"/>
      <c r="G990" s="175"/>
      <c r="H990" s="195"/>
      <c r="I990" s="196"/>
      <c r="J990" s="196"/>
      <c r="K990" s="196"/>
      <c r="L990" s="174"/>
      <c r="M990" s="178"/>
      <c r="N990" s="179"/>
      <c r="O990" s="179" t="s">
        <v>227</v>
      </c>
    </row>
    <row r="991" spans="1:15" x14ac:dyDescent="0.15">
      <c r="A991" s="18"/>
      <c r="B9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991)),ROW(),"")</f>
        <v>991</v>
      </c>
      <c r="C991" s="13">
        <f t="shared" si="87"/>
        <v>0</v>
      </c>
      <c r="D991" s="84" t="str">
        <f t="shared" si="88"/>
        <v/>
      </c>
      <c r="E991" s="18"/>
      <c r="F991" s="174"/>
      <c r="G991" s="175"/>
      <c r="H991" s="195"/>
      <c r="I991" s="196"/>
      <c r="J991" s="196"/>
      <c r="K991" s="196"/>
      <c r="L991" s="174"/>
      <c r="M991" s="178"/>
      <c r="N991" s="179"/>
      <c r="O991" s="179" t="s">
        <v>227</v>
      </c>
    </row>
    <row r="992" spans="1:15" x14ac:dyDescent="0.15">
      <c r="A992" s="18"/>
      <c r="B9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992)),ROW(),"")</f>
        <v>992</v>
      </c>
      <c r="C992" s="13">
        <f t="shared" si="87"/>
        <v>0</v>
      </c>
      <c r="D992" s="84" t="str">
        <f t="shared" si="88"/>
        <v/>
      </c>
      <c r="E992" s="18"/>
      <c r="F992" s="174"/>
      <c r="G992" s="175"/>
      <c r="H992" s="195"/>
      <c r="I992" s="196"/>
      <c r="J992" s="196"/>
      <c r="K992" s="196"/>
      <c r="L992" s="174"/>
      <c r="M992" s="178"/>
      <c r="N992" s="179"/>
      <c r="O992" s="179" t="s">
        <v>227</v>
      </c>
    </row>
    <row r="993" spans="1:15" x14ac:dyDescent="0.15">
      <c r="A993" s="18"/>
      <c r="B9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993)),ROW(),"")</f>
        <v>993</v>
      </c>
      <c r="C993" s="13">
        <f t="shared" si="87"/>
        <v>0</v>
      </c>
      <c r="D993" s="84" t="str">
        <f t="shared" si="88"/>
        <v/>
      </c>
      <c r="E993" s="18"/>
      <c r="F993" s="174"/>
      <c r="G993" s="175"/>
      <c r="H993" s="195"/>
      <c r="I993" s="196"/>
      <c r="J993" s="196"/>
      <c r="K993" s="196"/>
      <c r="L993" s="174"/>
      <c r="M993" s="178"/>
      <c r="N993" s="179"/>
      <c r="O993" s="179" t="s">
        <v>227</v>
      </c>
    </row>
    <row r="994" spans="1:15" x14ac:dyDescent="0.15">
      <c r="A994" s="18"/>
      <c r="B9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994)),ROW(),"")</f>
        <v>994</v>
      </c>
      <c r="C994" s="13">
        <f t="shared" si="87"/>
        <v>0</v>
      </c>
      <c r="D994" s="84" t="str">
        <f t="shared" si="88"/>
        <v/>
      </c>
      <c r="E994" s="18"/>
      <c r="F994" s="174"/>
      <c r="G994" s="175"/>
      <c r="H994" s="195"/>
      <c r="I994" s="196"/>
      <c r="J994" s="196"/>
      <c r="K994" s="196"/>
      <c r="L994" s="174"/>
      <c r="M994" s="178"/>
      <c r="N994" s="179"/>
      <c r="O994" s="179" t="s">
        <v>227</v>
      </c>
    </row>
    <row r="995" spans="1:15" x14ac:dyDescent="0.15">
      <c r="A995" s="18"/>
      <c r="B9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995)),ROW(),"")</f>
        <v>995</v>
      </c>
      <c r="C995" s="13">
        <f t="shared" si="87"/>
        <v>0</v>
      </c>
      <c r="D995" s="84" t="str">
        <f t="shared" si="88"/>
        <v/>
      </c>
      <c r="E995" s="18"/>
      <c r="F995" s="174"/>
      <c r="G995" s="175"/>
      <c r="H995" s="195"/>
      <c r="I995" s="196"/>
      <c r="J995" s="196"/>
      <c r="K995" s="196"/>
      <c r="L995" s="174"/>
      <c r="M995" s="178"/>
      <c r="N995" s="179"/>
      <c r="O995" s="179" t="s">
        <v>227</v>
      </c>
    </row>
    <row r="996" spans="1:15" x14ac:dyDescent="0.15">
      <c r="A996" s="18"/>
      <c r="B9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996)),ROW(),"")</f>
        <v>996</v>
      </c>
      <c r="C996" s="13">
        <f t="shared" si="87"/>
        <v>0</v>
      </c>
      <c r="D996" s="84" t="str">
        <f t="shared" si="88"/>
        <v/>
      </c>
      <c r="E996" s="18"/>
      <c r="F996" s="174"/>
      <c r="G996" s="175"/>
      <c r="H996" s="195"/>
      <c r="I996" s="196"/>
      <c r="J996" s="196"/>
      <c r="K996" s="196"/>
      <c r="L996" s="174"/>
      <c r="M996" s="178"/>
      <c r="N996" s="179"/>
      <c r="O996" s="179" t="s">
        <v>227</v>
      </c>
    </row>
    <row r="997" spans="1:15" x14ac:dyDescent="0.15">
      <c r="A997" s="18"/>
      <c r="B9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997)),ROW(),"")</f>
        <v>997</v>
      </c>
      <c r="C997" s="13">
        <f t="shared" si="87"/>
        <v>0</v>
      </c>
      <c r="D997" s="84" t="str">
        <f t="shared" si="88"/>
        <v/>
      </c>
      <c r="E997" s="18"/>
      <c r="F997" s="174"/>
      <c r="G997" s="175"/>
      <c r="H997" s="195"/>
      <c r="I997" s="196"/>
      <c r="J997" s="196"/>
      <c r="K997" s="196"/>
      <c r="L997" s="174"/>
      <c r="M997" s="178"/>
      <c r="N997" s="179"/>
      <c r="O997" s="179" t="s">
        <v>227</v>
      </c>
    </row>
    <row r="998" spans="1:15" x14ac:dyDescent="0.15">
      <c r="A998" s="18"/>
      <c r="B9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998)),ROW(),"")</f>
        <v>998</v>
      </c>
      <c r="C998" s="13">
        <f t="shared" si="87"/>
        <v>0</v>
      </c>
      <c r="D998" s="84" t="str">
        <f t="shared" si="88"/>
        <v/>
      </c>
      <c r="E998" s="18"/>
      <c r="F998" s="174"/>
      <c r="G998" s="175"/>
      <c r="H998" s="195"/>
      <c r="I998" s="196"/>
      <c r="J998" s="196"/>
      <c r="K998" s="196"/>
      <c r="L998" s="174"/>
      <c r="M998" s="178"/>
      <c r="N998" s="179"/>
      <c r="O998" s="179" t="s">
        <v>227</v>
      </c>
    </row>
    <row r="999" spans="1:15" x14ac:dyDescent="0.15">
      <c r="A999" s="18"/>
      <c r="B9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999)),ROW(),"")</f>
        <v>999</v>
      </c>
      <c r="C999" s="13">
        <f t="shared" si="87"/>
        <v>0</v>
      </c>
      <c r="D999" s="84" t="str">
        <f t="shared" si="88"/>
        <v/>
      </c>
      <c r="E999" s="18"/>
      <c r="F999" s="174"/>
      <c r="G999" s="175"/>
      <c r="H999" s="195"/>
      <c r="I999" s="196"/>
      <c r="J999" s="196"/>
      <c r="K999" s="196"/>
      <c r="L999" s="174"/>
      <c r="M999" s="178"/>
      <c r="N999" s="179"/>
      <c r="O999" s="179" t="s">
        <v>227</v>
      </c>
    </row>
    <row r="1000" spans="1:15" x14ac:dyDescent="0.15">
      <c r="A1000" s="18"/>
      <c r="B10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1000)),ROW(),"")</f>
        <v>1000</v>
      </c>
      <c r="C1000" s="13">
        <f t="shared" si="87"/>
        <v>0</v>
      </c>
      <c r="D1000" s="84" t="str">
        <f t="shared" si="88"/>
        <v/>
      </c>
      <c r="E1000" s="18"/>
      <c r="F1000" s="174"/>
      <c r="G1000" s="175"/>
      <c r="H1000" s="195"/>
      <c r="I1000" s="196"/>
      <c r="J1000" s="196"/>
      <c r="K1000" s="196"/>
      <c r="L1000" s="174"/>
      <c r="M1000" s="178"/>
      <c r="N1000" s="179"/>
      <c r="O1000" s="179" t="s">
        <v>227</v>
      </c>
    </row>
    <row r="1001" spans="1:15" x14ac:dyDescent="0.15">
      <c r="A1001" s="18"/>
      <c r="B10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1001)),ROW(),"")</f>
        <v>1001</v>
      </c>
      <c r="C1001" s="13">
        <f t="shared" si="87"/>
        <v>0</v>
      </c>
      <c r="D1001" s="84" t="str">
        <f t="shared" si="88"/>
        <v/>
      </c>
      <c r="E1001" s="18"/>
      <c r="F1001" s="174"/>
      <c r="G1001" s="175"/>
      <c r="H1001" s="195"/>
      <c r="I1001" s="196"/>
      <c r="J1001" s="196"/>
      <c r="K1001" s="196"/>
      <c r="L1001" s="174"/>
      <c r="M1001" s="178"/>
      <c r="N1001" s="179"/>
      <c r="O1001" s="179" t="s">
        <v>227</v>
      </c>
    </row>
    <row r="1002" spans="1:15" x14ac:dyDescent="0.15">
      <c r="A1002" s="18"/>
      <c r="B10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1002)),ROW(),"")</f>
        <v>1002</v>
      </c>
      <c r="C1002" s="13">
        <f t="shared" si="87"/>
        <v>0</v>
      </c>
      <c r="D1002" s="84" t="str">
        <f t="shared" si="88"/>
        <v/>
      </c>
      <c r="E1002" s="18"/>
      <c r="F1002" s="174"/>
      <c r="G1002" s="175"/>
      <c r="H1002" s="195"/>
      <c r="I1002" s="196"/>
      <c r="J1002" s="196"/>
      <c r="K1002" s="196"/>
      <c r="L1002" s="174"/>
      <c r="M1002" s="178"/>
      <c r="N1002" s="179"/>
      <c r="O1002" s="179" t="s">
        <v>227</v>
      </c>
    </row>
    <row r="1003" spans="1:15" x14ac:dyDescent="0.15">
      <c r="A1003" s="18"/>
      <c r="B10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1003)),ROW(),"")</f>
        <v>1003</v>
      </c>
      <c r="C1003" s="13">
        <f t="shared" si="87"/>
        <v>0</v>
      </c>
      <c r="D1003" s="84" t="str">
        <f t="shared" si="88"/>
        <v/>
      </c>
      <c r="E1003" s="18"/>
      <c r="F1003" s="174"/>
      <c r="G1003" s="175"/>
      <c r="H1003" s="195"/>
      <c r="I1003" s="196"/>
      <c r="J1003" s="196"/>
      <c r="K1003" s="196"/>
      <c r="L1003" s="174"/>
      <c r="M1003" s="178"/>
      <c r="N1003" s="179"/>
      <c r="O1003" s="179" t="s">
        <v>227</v>
      </c>
    </row>
    <row r="1004" spans="1:15" x14ac:dyDescent="0.15">
      <c r="A1004" s="18"/>
      <c r="B10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1004)),ROW(),"")</f>
        <v>1004</v>
      </c>
      <c r="C1004" s="13">
        <f t="shared" si="87"/>
        <v>0</v>
      </c>
      <c r="D1004" s="84" t="str">
        <f t="shared" si="88"/>
        <v/>
      </c>
      <c r="E1004" s="18"/>
      <c r="F1004" s="174"/>
      <c r="G1004" s="175"/>
      <c r="H1004" s="195"/>
      <c r="I1004" s="196"/>
      <c r="J1004" s="196"/>
      <c r="K1004" s="196"/>
      <c r="L1004" s="174"/>
      <c r="M1004" s="178"/>
      <c r="N1004" s="179"/>
      <c r="O1004" s="179" t="s">
        <v>227</v>
      </c>
    </row>
    <row r="1005" spans="1:15" x14ac:dyDescent="0.15">
      <c r="A1005" s="18"/>
      <c r="B10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1005)),ROW(),"")</f>
        <v>1005</v>
      </c>
      <c r="C1005" s="13">
        <f t="shared" si="87"/>
        <v>0</v>
      </c>
      <c r="D1005" s="84" t="str">
        <f t="shared" si="88"/>
        <v/>
      </c>
      <c r="E1005" s="18"/>
      <c r="F1005" s="174"/>
      <c r="G1005" s="175"/>
      <c r="H1005" s="195"/>
      <c r="I1005" s="196"/>
      <c r="J1005" s="196"/>
      <c r="K1005" s="196"/>
      <c r="L1005" s="174"/>
      <c r="M1005" s="178"/>
      <c r="N1005" s="179"/>
      <c r="O1005" s="179" t="s">
        <v>227</v>
      </c>
    </row>
    <row r="1006" spans="1:15" x14ac:dyDescent="0.15">
      <c r="A1006" s="18"/>
      <c r="B10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1006)),ROW(),"")</f>
        <v>1006</v>
      </c>
      <c r="C1006" s="13">
        <f t="shared" si="87"/>
        <v>0</v>
      </c>
      <c r="D1006" s="84" t="str">
        <f t="shared" si="88"/>
        <v/>
      </c>
      <c r="E1006" s="18"/>
      <c r="F1006" s="174"/>
      <c r="G1006" s="175"/>
      <c r="H1006" s="195"/>
      <c r="I1006" s="196"/>
      <c r="J1006" s="196"/>
      <c r="K1006" s="196"/>
      <c r="L1006" s="174"/>
      <c r="M1006" s="178"/>
      <c r="N1006" s="179"/>
      <c r="O1006" s="179" t="s">
        <v>227</v>
      </c>
    </row>
    <row r="1007" spans="1:15" x14ac:dyDescent="0.15">
      <c r="A1007" s="18"/>
      <c r="B10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1007)),ROW(),"")</f>
        <v>1007</v>
      </c>
      <c r="C1007" s="13">
        <f t="shared" ref="C1007:C1039" si="89">INDEX(A:A,SMALL($B$3:$B$1039,ROW(A1005)))</f>
        <v>0</v>
      </c>
      <c r="D1007" s="84" t="str">
        <f t="shared" ref="D1007:D1039" si="90">PHONETIC(A1007)</f>
        <v/>
      </c>
      <c r="E1007" s="18"/>
      <c r="F1007" s="174"/>
      <c r="G1007" s="175"/>
      <c r="H1007" s="195"/>
      <c r="I1007" s="196"/>
      <c r="J1007" s="196"/>
      <c r="K1007" s="196"/>
      <c r="L1007" s="174"/>
      <c r="M1007" s="178"/>
      <c r="N1007" s="179"/>
      <c r="O1007" s="179" t="s">
        <v>227</v>
      </c>
    </row>
    <row r="1008" spans="1:15" x14ac:dyDescent="0.15">
      <c r="A1008" s="18"/>
      <c r="B10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1008)),ROW(),"")</f>
        <v>1008</v>
      </c>
      <c r="C1008" s="13">
        <f t="shared" si="89"/>
        <v>0</v>
      </c>
      <c r="D1008" s="84" t="str">
        <f t="shared" si="90"/>
        <v/>
      </c>
      <c r="E1008" s="18"/>
      <c r="F1008" s="174"/>
      <c r="G1008" s="175"/>
      <c r="H1008" s="195"/>
      <c r="I1008" s="196"/>
      <c r="J1008" s="196"/>
      <c r="K1008" s="196"/>
      <c r="L1008" s="174"/>
      <c r="M1008" s="178"/>
      <c r="N1008" s="179"/>
      <c r="O1008" s="179" t="s">
        <v>227</v>
      </c>
    </row>
    <row r="1009" spans="1:15" x14ac:dyDescent="0.15">
      <c r="A1009" s="18"/>
      <c r="B10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1009)),ROW(),"")</f>
        <v>1009</v>
      </c>
      <c r="C1009" s="13">
        <f t="shared" si="89"/>
        <v>0</v>
      </c>
      <c r="D1009" s="84" t="str">
        <f t="shared" si="90"/>
        <v/>
      </c>
      <c r="E1009" s="18"/>
      <c r="F1009" s="174"/>
      <c r="G1009" s="175"/>
      <c r="H1009" s="195"/>
      <c r="I1009" s="196"/>
      <c r="J1009" s="196"/>
      <c r="K1009" s="196"/>
      <c r="L1009" s="174"/>
      <c r="M1009" s="178"/>
      <c r="N1009" s="179"/>
      <c r="O1009" s="179" t="s">
        <v>227</v>
      </c>
    </row>
    <row r="1010" spans="1:15" x14ac:dyDescent="0.15">
      <c r="A1010" s="18"/>
      <c r="B10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1010)),ROW(),"")</f>
        <v>1010</v>
      </c>
      <c r="C1010" s="13">
        <f t="shared" si="89"/>
        <v>0</v>
      </c>
      <c r="D1010" s="84" t="str">
        <f t="shared" si="90"/>
        <v/>
      </c>
      <c r="E1010" s="18"/>
      <c r="F1010" s="174"/>
      <c r="G1010" s="175"/>
      <c r="H1010" s="195"/>
      <c r="I1010" s="196"/>
      <c r="J1010" s="196"/>
      <c r="K1010" s="196"/>
      <c r="L1010" s="174"/>
      <c r="M1010" s="178"/>
      <c r="N1010" s="179"/>
      <c r="O1010" s="179" t="s">
        <v>227</v>
      </c>
    </row>
    <row r="1011" spans="1:15" x14ac:dyDescent="0.15">
      <c r="A1011" s="18"/>
      <c r="B10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1011)),ROW(),"")</f>
        <v>1011</v>
      </c>
      <c r="C1011" s="13">
        <f t="shared" si="89"/>
        <v>0</v>
      </c>
      <c r="D1011" s="84" t="str">
        <f t="shared" si="90"/>
        <v/>
      </c>
      <c r="E1011" s="18"/>
      <c r="F1011" s="174"/>
      <c r="G1011" s="175"/>
      <c r="H1011" s="195"/>
      <c r="I1011" s="196"/>
      <c r="J1011" s="196"/>
      <c r="K1011" s="196"/>
      <c r="L1011" s="174"/>
      <c r="M1011" s="178"/>
      <c r="N1011" s="179"/>
      <c r="O1011" s="179" t="s">
        <v>227</v>
      </c>
    </row>
    <row r="1012" spans="1:15" x14ac:dyDescent="0.15">
      <c r="A1012" s="18"/>
      <c r="B10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1012)),ROW(),"")</f>
        <v>1012</v>
      </c>
      <c r="C1012" s="13">
        <f t="shared" si="89"/>
        <v>0</v>
      </c>
      <c r="D1012" s="84" t="str">
        <f t="shared" si="90"/>
        <v/>
      </c>
      <c r="E1012" s="18"/>
      <c r="F1012" s="174"/>
      <c r="G1012" s="175"/>
      <c r="H1012" s="195"/>
      <c r="I1012" s="196"/>
      <c r="J1012" s="196"/>
      <c r="K1012" s="196"/>
      <c r="L1012" s="174"/>
      <c r="M1012" s="178"/>
      <c r="N1012" s="179"/>
      <c r="O1012" s="179" t="s">
        <v>227</v>
      </c>
    </row>
    <row r="1013" spans="1:15" x14ac:dyDescent="0.15">
      <c r="A1013" s="18"/>
      <c r="B10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1013)),ROW(),"")</f>
        <v>1013</v>
      </c>
      <c r="C1013" s="13">
        <f t="shared" si="89"/>
        <v>0</v>
      </c>
      <c r="D1013" s="84" t="str">
        <f t="shared" si="90"/>
        <v/>
      </c>
      <c r="E1013" s="18"/>
      <c r="F1013" s="174"/>
      <c r="G1013" s="175"/>
      <c r="H1013" s="195"/>
      <c r="I1013" s="196"/>
      <c r="J1013" s="196"/>
      <c r="K1013" s="196"/>
      <c r="L1013" s="174"/>
      <c r="M1013" s="178"/>
      <c r="N1013" s="179"/>
      <c r="O1013" s="179" t="s">
        <v>227</v>
      </c>
    </row>
    <row r="1014" spans="1:15" x14ac:dyDescent="0.15">
      <c r="A1014" s="18"/>
      <c r="B10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1014)),ROW(),"")</f>
        <v>1014</v>
      </c>
      <c r="C1014" s="13">
        <f t="shared" si="89"/>
        <v>0</v>
      </c>
      <c r="D1014" s="84" t="str">
        <f t="shared" si="90"/>
        <v/>
      </c>
      <c r="E1014" s="18"/>
      <c r="F1014" s="174"/>
      <c r="G1014" s="175"/>
      <c r="H1014" s="195"/>
      <c r="I1014" s="196"/>
      <c r="J1014" s="196"/>
      <c r="K1014" s="196"/>
      <c r="L1014" s="174"/>
      <c r="M1014" s="178"/>
      <c r="N1014" s="179"/>
      <c r="O1014" s="179" t="s">
        <v>227</v>
      </c>
    </row>
    <row r="1015" spans="1:15" x14ac:dyDescent="0.15">
      <c r="A1015" s="18"/>
      <c r="B10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1015)),ROW(),"")</f>
        <v>1015</v>
      </c>
      <c r="C1015" s="13">
        <f t="shared" si="89"/>
        <v>0</v>
      </c>
      <c r="D1015" s="84" t="str">
        <f t="shared" si="90"/>
        <v/>
      </c>
      <c r="E1015" s="18"/>
      <c r="F1015" s="174"/>
      <c r="G1015" s="175"/>
      <c r="H1015" s="195"/>
      <c r="I1015" s="196"/>
      <c r="J1015" s="196"/>
      <c r="K1015" s="196"/>
      <c r="L1015" s="174"/>
      <c r="M1015" s="178"/>
      <c r="N1015" s="179"/>
      <c r="O1015" s="179" t="s">
        <v>227</v>
      </c>
    </row>
    <row r="1016" spans="1:15" x14ac:dyDescent="0.15">
      <c r="A1016" s="18"/>
      <c r="B10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1016)),ROW(),"")</f>
        <v>1016</v>
      </c>
      <c r="C1016" s="13">
        <f t="shared" si="89"/>
        <v>0</v>
      </c>
      <c r="D1016" s="84" t="str">
        <f t="shared" si="90"/>
        <v/>
      </c>
      <c r="E1016" s="18"/>
      <c r="F1016" s="174"/>
      <c r="G1016" s="175"/>
      <c r="H1016" s="195"/>
      <c r="I1016" s="196"/>
      <c r="J1016" s="196"/>
      <c r="K1016" s="196"/>
      <c r="L1016" s="174"/>
      <c r="M1016" s="178"/>
      <c r="N1016" s="179"/>
      <c r="O1016" s="179" t="s">
        <v>227</v>
      </c>
    </row>
    <row r="1017" spans="1:15" x14ac:dyDescent="0.15">
      <c r="A1017" s="18"/>
      <c r="B10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1017)),ROW(),"")</f>
        <v>1017</v>
      </c>
      <c r="C1017" s="13">
        <f t="shared" si="89"/>
        <v>0</v>
      </c>
      <c r="D1017" s="84" t="str">
        <f t="shared" si="90"/>
        <v/>
      </c>
      <c r="E1017" s="18"/>
      <c r="F1017" s="174"/>
      <c r="G1017" s="175"/>
      <c r="H1017" s="195"/>
      <c r="I1017" s="196"/>
      <c r="J1017" s="196"/>
      <c r="K1017" s="196"/>
      <c r="L1017" s="174"/>
      <c r="M1017" s="178"/>
      <c r="N1017" s="179"/>
      <c r="O1017" s="179" t="s">
        <v>227</v>
      </c>
    </row>
    <row r="1018" spans="1:15" x14ac:dyDescent="0.15">
      <c r="A1018" s="18"/>
      <c r="B10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1018)),ROW(),"")</f>
        <v>1018</v>
      </c>
      <c r="C1018" s="13">
        <f t="shared" si="89"/>
        <v>0</v>
      </c>
      <c r="D1018" s="84" t="str">
        <f t="shared" si="90"/>
        <v/>
      </c>
      <c r="E1018" s="18"/>
      <c r="F1018" s="174"/>
      <c r="G1018" s="175"/>
      <c r="H1018" s="195"/>
      <c r="I1018" s="196"/>
      <c r="J1018" s="196"/>
      <c r="K1018" s="196"/>
      <c r="L1018" s="174"/>
      <c r="M1018" s="178"/>
      <c r="N1018" s="179"/>
      <c r="O1018" s="179" t="s">
        <v>227</v>
      </c>
    </row>
    <row r="1019" spans="1:15" x14ac:dyDescent="0.15">
      <c r="A1019" s="18"/>
      <c r="B10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1019)),ROW(),"")</f>
        <v>1019</v>
      </c>
      <c r="C1019" s="13">
        <f t="shared" si="89"/>
        <v>0</v>
      </c>
      <c r="D1019" s="84" t="str">
        <f t="shared" si="90"/>
        <v/>
      </c>
      <c r="E1019" s="18"/>
      <c r="F1019" s="174"/>
      <c r="G1019" s="175"/>
      <c r="H1019" s="195"/>
      <c r="I1019" s="196"/>
      <c r="J1019" s="196"/>
      <c r="K1019" s="196"/>
      <c r="L1019" s="174"/>
      <c r="M1019" s="178"/>
      <c r="N1019" s="179"/>
      <c r="O1019" s="179" t="s">
        <v>227</v>
      </c>
    </row>
    <row r="1020" spans="1:15" x14ac:dyDescent="0.15">
      <c r="A1020" s="18"/>
      <c r="B10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1020)),ROW(),"")</f>
        <v>1020</v>
      </c>
      <c r="C1020" s="13">
        <f t="shared" si="89"/>
        <v>0</v>
      </c>
      <c r="D1020" s="84" t="str">
        <f t="shared" si="90"/>
        <v/>
      </c>
      <c r="E1020" s="18"/>
      <c r="F1020" s="174"/>
      <c r="G1020" s="175"/>
      <c r="H1020" s="195"/>
      <c r="I1020" s="196"/>
      <c r="J1020" s="196"/>
      <c r="K1020" s="196"/>
      <c r="L1020" s="174"/>
      <c r="M1020" s="178"/>
      <c r="N1020" s="179"/>
      <c r="O1020" s="179" t="s">
        <v>227</v>
      </c>
    </row>
    <row r="1021" spans="1:15" x14ac:dyDescent="0.15">
      <c r="A1021" s="18"/>
      <c r="B10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1021)),ROW(),"")</f>
        <v>1021</v>
      </c>
      <c r="C1021" s="13">
        <f t="shared" si="89"/>
        <v>0</v>
      </c>
      <c r="D1021" s="84" t="str">
        <f t="shared" si="90"/>
        <v/>
      </c>
      <c r="E1021" s="18"/>
      <c r="F1021" s="174"/>
      <c r="G1021" s="175"/>
      <c r="H1021" s="195"/>
      <c r="I1021" s="196"/>
      <c r="J1021" s="196"/>
      <c r="K1021" s="196"/>
      <c r="L1021" s="174"/>
      <c r="M1021" s="178"/>
      <c r="N1021" s="179"/>
      <c r="O1021" s="179" t="s">
        <v>227</v>
      </c>
    </row>
    <row r="1022" spans="1:15" x14ac:dyDescent="0.15">
      <c r="A1022" s="18"/>
      <c r="B10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1022)),ROW(),"")</f>
        <v>1022</v>
      </c>
      <c r="C1022" s="13">
        <f t="shared" si="89"/>
        <v>0</v>
      </c>
      <c r="D1022" s="84" t="str">
        <f t="shared" si="90"/>
        <v/>
      </c>
      <c r="E1022" s="18"/>
      <c r="F1022" s="174"/>
      <c r="G1022" s="175"/>
      <c r="H1022" s="195"/>
      <c r="I1022" s="196"/>
      <c r="J1022" s="196"/>
      <c r="K1022" s="196"/>
      <c r="L1022" s="174"/>
      <c r="M1022" s="178"/>
      <c r="N1022" s="179"/>
      <c r="O1022" s="179" t="s">
        <v>227</v>
      </c>
    </row>
    <row r="1023" spans="1:15" x14ac:dyDescent="0.15">
      <c r="A1023" s="18"/>
      <c r="B10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1023)),ROW(),"")</f>
        <v>1023</v>
      </c>
      <c r="C1023" s="13">
        <f t="shared" si="89"/>
        <v>0</v>
      </c>
      <c r="D1023" s="84" t="str">
        <f t="shared" si="90"/>
        <v/>
      </c>
      <c r="E1023" s="18"/>
      <c r="F1023" s="174"/>
      <c r="G1023" s="175"/>
      <c r="H1023" s="195"/>
      <c r="I1023" s="196"/>
      <c r="J1023" s="196"/>
      <c r="K1023" s="196"/>
      <c r="L1023" s="174"/>
      <c r="M1023" s="178"/>
      <c r="N1023" s="179"/>
      <c r="O1023" s="179" t="s">
        <v>227</v>
      </c>
    </row>
    <row r="1024" spans="1:15" x14ac:dyDescent="0.15">
      <c r="A1024" s="18"/>
      <c r="B10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1024)),ROW(),"")</f>
        <v>1024</v>
      </c>
      <c r="C1024" s="13">
        <f t="shared" si="89"/>
        <v>0</v>
      </c>
      <c r="D1024" s="84" t="str">
        <f t="shared" si="90"/>
        <v/>
      </c>
      <c r="E1024" s="18"/>
      <c r="F1024" s="174"/>
      <c r="G1024" s="175"/>
      <c r="H1024" s="195"/>
      <c r="I1024" s="196"/>
      <c r="J1024" s="196"/>
      <c r="K1024" s="196"/>
      <c r="L1024" s="174"/>
      <c r="M1024" s="178"/>
      <c r="N1024" s="179"/>
      <c r="O1024" s="179" t="s">
        <v>227</v>
      </c>
    </row>
    <row r="1025" spans="1:15" x14ac:dyDescent="0.15">
      <c r="A1025" s="18"/>
      <c r="B10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1025)),ROW(),"")</f>
        <v>1025</v>
      </c>
      <c r="C1025" s="13">
        <f t="shared" si="89"/>
        <v>0</v>
      </c>
      <c r="D1025" s="84" t="str">
        <f t="shared" si="90"/>
        <v/>
      </c>
      <c r="E1025" s="18"/>
      <c r="F1025" s="174"/>
      <c r="G1025" s="175"/>
      <c r="H1025" s="195"/>
      <c r="I1025" s="196"/>
      <c r="J1025" s="196"/>
      <c r="K1025" s="196"/>
      <c r="L1025" s="174"/>
      <c r="M1025" s="178"/>
      <c r="N1025" s="179"/>
      <c r="O1025" s="179" t="s">
        <v>227</v>
      </c>
    </row>
    <row r="1026" spans="1:15" x14ac:dyDescent="0.15">
      <c r="A1026" s="18"/>
      <c r="B10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1026)),ROW(),"")</f>
        <v>1026</v>
      </c>
      <c r="C1026" s="13">
        <f t="shared" si="89"/>
        <v>0</v>
      </c>
      <c r="D1026" s="84" t="str">
        <f t="shared" si="90"/>
        <v/>
      </c>
      <c r="E1026" s="18"/>
      <c r="F1026" s="174"/>
      <c r="G1026" s="175"/>
      <c r="H1026" s="195"/>
      <c r="I1026" s="196"/>
      <c r="J1026" s="196"/>
      <c r="K1026" s="196"/>
      <c r="L1026" s="174"/>
      <c r="M1026" s="178"/>
      <c r="N1026" s="179"/>
      <c r="O1026" s="179" t="s">
        <v>227</v>
      </c>
    </row>
    <row r="1027" spans="1:15" x14ac:dyDescent="0.15">
      <c r="A1027" s="18"/>
      <c r="B10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1027)),ROW(),"")</f>
        <v>1027</v>
      </c>
      <c r="C1027" s="13">
        <f t="shared" si="89"/>
        <v>0</v>
      </c>
      <c r="D1027" s="84" t="str">
        <f t="shared" si="90"/>
        <v/>
      </c>
      <c r="E1027" s="18"/>
      <c r="F1027" s="174"/>
      <c r="G1027" s="175"/>
      <c r="H1027" s="195"/>
      <c r="I1027" s="196"/>
      <c r="J1027" s="196"/>
      <c r="K1027" s="196"/>
      <c r="L1027" s="174"/>
      <c r="M1027" s="178"/>
      <c r="N1027" s="179"/>
      <c r="O1027" s="179" t="s">
        <v>227</v>
      </c>
    </row>
    <row r="1028" spans="1:15" x14ac:dyDescent="0.15">
      <c r="A1028" s="18"/>
      <c r="B10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1028)),ROW(),"")</f>
        <v>1028</v>
      </c>
      <c r="C1028" s="13">
        <f t="shared" si="89"/>
        <v>0</v>
      </c>
      <c r="D1028" s="84" t="str">
        <f t="shared" si="90"/>
        <v/>
      </c>
      <c r="E1028" s="18"/>
      <c r="F1028" s="174"/>
      <c r="G1028" s="175"/>
      <c r="H1028" s="195"/>
      <c r="I1028" s="196"/>
      <c r="J1028" s="196"/>
      <c r="K1028" s="196"/>
      <c r="L1028" s="174"/>
      <c r="M1028" s="178"/>
      <c r="N1028" s="179"/>
      <c r="O1028" s="179" t="s">
        <v>227</v>
      </c>
    </row>
    <row r="1029" spans="1:15" x14ac:dyDescent="0.15">
      <c r="A1029" s="18"/>
      <c r="B10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1029)),ROW(),"")</f>
        <v>1029</v>
      </c>
      <c r="C1029" s="13">
        <f t="shared" si="89"/>
        <v>0</v>
      </c>
      <c r="D1029" s="84" t="str">
        <f t="shared" si="90"/>
        <v/>
      </c>
      <c r="E1029" s="18"/>
      <c r="F1029" s="174"/>
      <c r="G1029" s="175"/>
      <c r="H1029" s="195"/>
      <c r="I1029" s="196"/>
      <c r="J1029" s="196"/>
      <c r="K1029" s="196"/>
      <c r="L1029" s="174"/>
      <c r="M1029" s="178"/>
      <c r="N1029" s="179"/>
      <c r="O1029" s="179" t="s">
        <v>227</v>
      </c>
    </row>
    <row r="1030" spans="1:15" x14ac:dyDescent="0.15">
      <c r="A1030" s="18"/>
      <c r="B10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1030)),ROW(),"")</f>
        <v>1030</v>
      </c>
      <c r="C1030" s="13">
        <f t="shared" si="89"/>
        <v>0</v>
      </c>
      <c r="D1030" s="84" t="str">
        <f t="shared" si="90"/>
        <v/>
      </c>
      <c r="E1030" s="18"/>
      <c r="F1030" s="174"/>
      <c r="G1030" s="175"/>
      <c r="H1030" s="195"/>
      <c r="I1030" s="196"/>
      <c r="J1030" s="196"/>
      <c r="K1030" s="196"/>
      <c r="L1030" s="174"/>
      <c r="M1030" s="178"/>
      <c r="N1030" s="179"/>
      <c r="O1030" s="179" t="s">
        <v>227</v>
      </c>
    </row>
    <row r="1031" spans="1:15" x14ac:dyDescent="0.15">
      <c r="A1031" s="18"/>
      <c r="B10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1031)),ROW(),"")</f>
        <v>1031</v>
      </c>
      <c r="C1031" s="13">
        <f t="shared" si="89"/>
        <v>0</v>
      </c>
      <c r="D1031" s="84" t="str">
        <f t="shared" si="90"/>
        <v/>
      </c>
      <c r="E1031" s="18"/>
      <c r="F1031" s="174"/>
      <c r="G1031" s="175"/>
      <c r="H1031" s="195"/>
      <c r="I1031" s="196"/>
      <c r="J1031" s="196"/>
      <c r="K1031" s="196"/>
      <c r="L1031" s="174"/>
      <c r="M1031" s="178"/>
      <c r="N1031" s="179"/>
      <c r="O1031" s="179" t="s">
        <v>227</v>
      </c>
    </row>
    <row r="1032" spans="1:15" x14ac:dyDescent="0.15">
      <c r="A1032" s="18"/>
      <c r="B10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1032)),ROW(),"")</f>
        <v>1032</v>
      </c>
      <c r="C1032" s="13">
        <f t="shared" si="89"/>
        <v>0</v>
      </c>
      <c r="D1032" s="84" t="str">
        <f t="shared" si="90"/>
        <v/>
      </c>
      <c r="E1032" s="18"/>
      <c r="F1032" s="174"/>
      <c r="G1032" s="175"/>
      <c r="H1032" s="195"/>
      <c r="I1032" s="196"/>
      <c r="J1032" s="196"/>
      <c r="K1032" s="196"/>
      <c r="L1032" s="174"/>
      <c r="M1032" s="178"/>
      <c r="N1032" s="179"/>
      <c r="O1032" s="179" t="s">
        <v>227</v>
      </c>
    </row>
    <row r="1033" spans="1:15" x14ac:dyDescent="0.15">
      <c r="A1033" s="18"/>
      <c r="B10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1033)),ROW(),"")</f>
        <v>1033</v>
      </c>
      <c r="C1033" s="13">
        <f t="shared" si="89"/>
        <v>0</v>
      </c>
      <c r="D1033" s="84" t="str">
        <f t="shared" si="90"/>
        <v/>
      </c>
      <c r="E1033" s="18"/>
      <c r="F1033" s="174"/>
      <c r="G1033" s="175"/>
      <c r="H1033" s="195"/>
      <c r="I1033" s="196"/>
      <c r="J1033" s="196"/>
      <c r="K1033" s="196"/>
      <c r="L1033" s="174"/>
      <c r="M1033" s="178"/>
      <c r="N1033" s="179"/>
      <c r="O1033" s="179" t="s">
        <v>227</v>
      </c>
    </row>
    <row r="1034" spans="1:15" x14ac:dyDescent="0.15">
      <c r="A1034" s="18"/>
      <c r="B10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1034)),ROW(),"")</f>
        <v>1034</v>
      </c>
      <c r="C1034" s="13">
        <f t="shared" si="89"/>
        <v>0</v>
      </c>
      <c r="D1034" s="84" t="str">
        <f t="shared" si="90"/>
        <v/>
      </c>
      <c r="E1034" s="18"/>
      <c r="F1034" s="174"/>
      <c r="G1034" s="175"/>
      <c r="H1034" s="195"/>
      <c r="I1034" s="196"/>
      <c r="J1034" s="196"/>
      <c r="K1034" s="196"/>
      <c r="L1034" s="174"/>
      <c r="M1034" s="178"/>
      <c r="N1034" s="179"/>
      <c r="O1034" s="179" t="s">
        <v>227</v>
      </c>
    </row>
    <row r="1035" spans="1:15" x14ac:dyDescent="0.15">
      <c r="A1035" s="18"/>
      <c r="B10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1035)),ROW(),"")</f>
        <v>1035</v>
      </c>
      <c r="C1035" s="13">
        <f t="shared" si="89"/>
        <v>0</v>
      </c>
      <c r="D1035" s="84" t="str">
        <f t="shared" si="90"/>
        <v/>
      </c>
      <c r="E1035" s="18"/>
      <c r="F1035" s="174"/>
      <c r="G1035" s="175"/>
      <c r="H1035" s="195"/>
      <c r="I1035" s="196"/>
      <c r="J1035" s="196"/>
      <c r="K1035" s="196"/>
      <c r="L1035" s="174"/>
      <c r="M1035" s="178"/>
      <c r="N1035" s="179"/>
      <c r="O1035" s="179" t="s">
        <v>227</v>
      </c>
    </row>
    <row r="1036" spans="1:15" x14ac:dyDescent="0.15">
      <c r="A1036" s="18"/>
      <c r="B10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1036)),ROW(),"")</f>
        <v>1036</v>
      </c>
      <c r="C1036" s="13">
        <f t="shared" si="89"/>
        <v>0</v>
      </c>
      <c r="D1036" s="84" t="str">
        <f t="shared" si="90"/>
        <v/>
      </c>
      <c r="E1036" s="18"/>
      <c r="F1036" s="174"/>
      <c r="G1036" s="175"/>
      <c r="H1036" s="195"/>
      <c r="I1036" s="196"/>
      <c r="J1036" s="196"/>
      <c r="K1036" s="196"/>
      <c r="L1036" s="174"/>
      <c r="M1036" s="178"/>
      <c r="N1036" s="179"/>
      <c r="O1036" s="179" t="s">
        <v>227</v>
      </c>
    </row>
    <row r="1037" spans="1:15" x14ac:dyDescent="0.15">
      <c r="A1037" s="18"/>
      <c r="B10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1037)),ROW(),"")</f>
        <v>1037</v>
      </c>
      <c r="C1037" s="13">
        <f t="shared" si="89"/>
        <v>0</v>
      </c>
      <c r="D1037" s="84" t="str">
        <f t="shared" si="90"/>
        <v/>
      </c>
      <c r="E1037" s="18"/>
      <c r="F1037" s="174"/>
      <c r="G1037" s="175"/>
      <c r="H1037" s="195"/>
      <c r="I1037" s="196"/>
      <c r="J1037" s="196"/>
      <c r="K1037" s="196"/>
      <c r="L1037" s="174"/>
      <c r="M1037" s="178"/>
      <c r="N1037" s="179"/>
      <c r="O1037" s="179" t="s">
        <v>227</v>
      </c>
    </row>
    <row r="1038" spans="1:15" x14ac:dyDescent="0.15">
      <c r="A1038" s="18"/>
      <c r="B10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1038)),ROW(),"")</f>
        <v>1038</v>
      </c>
      <c r="C1038" s="13">
        <f t="shared" si="89"/>
        <v>0</v>
      </c>
      <c r="D1038" s="84" t="str">
        <f t="shared" si="90"/>
        <v/>
      </c>
      <c r="E1038" s="18"/>
      <c r="F1038" s="174"/>
      <c r="G1038" s="175"/>
      <c r="H1038" s="195"/>
      <c r="I1038" s="196"/>
      <c r="J1038" s="196"/>
      <c r="K1038" s="196"/>
      <c r="L1038" s="174"/>
      <c r="M1038" s="178"/>
      <c r="N1038" s="179"/>
      <c r="O1038" s="179" t="s">
        <v>227</v>
      </c>
    </row>
    <row r="1039" spans="1:15" x14ac:dyDescent="0.15">
      <c r="A1039" s="18"/>
      <c r="B10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1039)),ROW(),"")</f>
        <v>1039</v>
      </c>
      <c r="C1039" s="13">
        <f t="shared" si="89"/>
        <v>0</v>
      </c>
      <c r="D1039" s="84" t="str">
        <f t="shared" si="90"/>
        <v/>
      </c>
      <c r="E1039" s="18"/>
      <c r="F1039" s="174"/>
      <c r="G1039" s="175"/>
      <c r="H1039" s="195"/>
      <c r="I1039" s="196"/>
      <c r="J1039" s="196"/>
      <c r="K1039" s="196"/>
      <c r="L1039" s="174"/>
      <c r="M1039" s="178"/>
      <c r="N1039" s="179"/>
      <c r="O1039" s="179" t="s">
        <v>227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4AB0-D6D8-4E3C-9781-A2B9647C8CD4}">
  <sheetPr codeName="Sheet3"/>
  <dimension ref="A1:G13"/>
  <sheetViews>
    <sheetView workbookViewId="0">
      <selection activeCell="B7" sqref="B7"/>
    </sheetView>
  </sheetViews>
  <sheetFormatPr defaultRowHeight="13.5" x14ac:dyDescent="0.15"/>
  <cols>
    <col min="1" max="4" width="30.625" customWidth="1"/>
  </cols>
  <sheetData>
    <row r="1" spans="1:7" x14ac:dyDescent="0.15">
      <c r="A1" s="119">
        <v>1</v>
      </c>
      <c r="B1" s="119">
        <v>2</v>
      </c>
      <c r="C1" s="119">
        <v>3</v>
      </c>
      <c r="D1" s="119">
        <v>4</v>
      </c>
      <c r="E1" s="119"/>
      <c r="F1" s="119"/>
      <c r="G1" s="119"/>
    </row>
    <row r="2" spans="1:7" x14ac:dyDescent="0.15">
      <c r="A2" s="119" t="s">
        <v>336</v>
      </c>
      <c r="B2" s="119" t="s">
        <v>338</v>
      </c>
      <c r="C2" s="119" t="s">
        <v>337</v>
      </c>
      <c r="D2" s="119" t="s">
        <v>339</v>
      </c>
      <c r="E2" s="119"/>
      <c r="F2" s="119"/>
      <c r="G2" s="119"/>
    </row>
    <row r="3" spans="1:7" ht="24" x14ac:dyDescent="0.15">
      <c r="A3" s="119" t="s">
        <v>1050</v>
      </c>
      <c r="B3" s="120">
        <v>8.3333333333333329E-2</v>
      </c>
      <c r="C3" s="120">
        <v>0.4375</v>
      </c>
      <c r="D3" s="163" t="s">
        <v>1022</v>
      </c>
      <c r="E3" s="119"/>
      <c r="F3" s="119"/>
      <c r="G3" s="119"/>
    </row>
    <row r="4" spans="1:7" ht="24" x14ac:dyDescent="0.15">
      <c r="A4" s="119" t="s">
        <v>1051</v>
      </c>
      <c r="B4" s="120">
        <v>4.1666666666666664E-2</v>
      </c>
      <c r="C4" s="120">
        <v>0.4375</v>
      </c>
      <c r="D4" s="163" t="s">
        <v>1022</v>
      </c>
      <c r="E4" s="119"/>
      <c r="F4" s="119"/>
      <c r="G4" s="119"/>
    </row>
    <row r="5" spans="1:7" x14ac:dyDescent="0.15">
      <c r="A5" s="119" t="s">
        <v>1052</v>
      </c>
      <c r="B5" s="120"/>
      <c r="C5" s="120"/>
      <c r="D5" s="164"/>
      <c r="E5" s="119"/>
      <c r="F5" s="119"/>
      <c r="G5" s="119"/>
    </row>
    <row r="6" spans="1:7" ht="24" x14ac:dyDescent="0.15">
      <c r="A6" s="119" t="s">
        <v>1053</v>
      </c>
      <c r="B6" s="120">
        <v>0.16666666666666666</v>
      </c>
      <c r="C6" s="120">
        <v>0.66666666666666663</v>
      </c>
      <c r="D6" s="163" t="s">
        <v>1023</v>
      </c>
      <c r="E6" s="119"/>
      <c r="F6" s="119"/>
      <c r="G6" s="119"/>
    </row>
    <row r="7" spans="1:7" ht="24" x14ac:dyDescent="0.15">
      <c r="A7" s="119" t="s">
        <v>1054</v>
      </c>
      <c r="B7" s="120">
        <v>8.3333333333333329E-2</v>
      </c>
      <c r="C7" s="120">
        <v>0.54166666666666663</v>
      </c>
      <c r="D7" s="163" t="s">
        <v>1024</v>
      </c>
      <c r="E7" s="119"/>
      <c r="F7" s="119"/>
      <c r="G7" s="119"/>
    </row>
    <row r="8" spans="1:7" ht="24" x14ac:dyDescent="0.15">
      <c r="A8" s="119" t="s">
        <v>1055</v>
      </c>
      <c r="B8" s="120">
        <v>0.16666666666666666</v>
      </c>
      <c r="C8" s="120">
        <v>0.625</v>
      </c>
      <c r="D8" s="163" t="s">
        <v>1025</v>
      </c>
      <c r="E8" s="119"/>
      <c r="F8" s="119"/>
      <c r="G8" s="119"/>
    </row>
    <row r="9" spans="1:7" ht="24" x14ac:dyDescent="0.15">
      <c r="A9" s="119" t="s">
        <v>1056</v>
      </c>
      <c r="B9" s="120">
        <v>0.125</v>
      </c>
      <c r="C9" s="120">
        <v>0.54166666666666663</v>
      </c>
      <c r="D9" s="163" t="s">
        <v>1039</v>
      </c>
      <c r="E9" s="119"/>
      <c r="F9" s="119"/>
      <c r="G9" s="119"/>
    </row>
    <row r="10" spans="1:7" x14ac:dyDescent="0.15">
      <c r="A10" s="119" t="s">
        <v>1057</v>
      </c>
      <c r="B10" s="120"/>
      <c r="C10" s="120"/>
      <c r="D10" s="163"/>
      <c r="E10" s="119"/>
      <c r="F10" s="119"/>
      <c r="G10" s="119"/>
    </row>
    <row r="11" spans="1:7" x14ac:dyDescent="0.15">
      <c r="A11" s="119" t="s">
        <v>1058</v>
      </c>
      <c r="B11" s="120">
        <v>2.0833333333333332E-2</v>
      </c>
      <c r="C11" s="120">
        <v>0.35416666666666669</v>
      </c>
      <c r="D11" s="163" t="s">
        <v>1026</v>
      </c>
      <c r="E11" s="119"/>
      <c r="F11" s="119"/>
      <c r="G11" s="119"/>
    </row>
    <row r="12" spans="1:7" ht="24" x14ac:dyDescent="0.15">
      <c r="A12" s="119" t="s">
        <v>1059</v>
      </c>
      <c r="B12" s="120">
        <v>0.10416666666666667</v>
      </c>
      <c r="C12" s="120">
        <v>0.625</v>
      </c>
      <c r="D12" s="163" t="s">
        <v>1027</v>
      </c>
      <c r="E12" s="119"/>
      <c r="F12" s="119"/>
      <c r="G12" s="119"/>
    </row>
    <row r="13" spans="1:7" ht="24" x14ac:dyDescent="0.15">
      <c r="A13" s="119" t="s">
        <v>1060</v>
      </c>
      <c r="B13" s="120">
        <v>0.375</v>
      </c>
      <c r="C13" s="120">
        <v>0.66666666666666663</v>
      </c>
      <c r="D13" s="163" t="s">
        <v>1028</v>
      </c>
      <c r="E13" s="119"/>
      <c r="F13" s="119"/>
      <c r="G13" s="119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59BD-53A1-4215-B8B8-27BDCB08FB85}">
  <sheetPr codeName="Sheet4"/>
  <dimension ref="A1:I597"/>
  <sheetViews>
    <sheetView topLeftCell="B113" workbookViewId="0">
      <selection activeCell="C130" sqref="C130"/>
    </sheetView>
  </sheetViews>
  <sheetFormatPr defaultRowHeight="13.5" x14ac:dyDescent="0.15"/>
  <cols>
    <col min="1" max="1" width="27.375" style="117" customWidth="1"/>
    <col min="3" max="3" width="44.625" customWidth="1"/>
    <col min="4" max="5" width="30.625" customWidth="1"/>
    <col min="8" max="8" width="18.125" customWidth="1"/>
    <col min="9" max="9" width="24.375" customWidth="1"/>
  </cols>
  <sheetData>
    <row r="1" spans="1:9" ht="27" x14ac:dyDescent="0.15">
      <c r="A1" s="117" t="s">
        <v>346</v>
      </c>
      <c r="B1" t="s">
        <v>348</v>
      </c>
      <c r="C1" s="13" t="s">
        <v>369</v>
      </c>
      <c r="D1" s="13" t="s">
        <v>211</v>
      </c>
      <c r="E1" s="13" t="s">
        <v>212</v>
      </c>
      <c r="G1" s="165" t="s">
        <v>748</v>
      </c>
      <c r="H1" s="171"/>
    </row>
    <row r="2" spans="1:9" ht="27" x14ac:dyDescent="0.15">
      <c r="C2" s="117" t="s">
        <v>994</v>
      </c>
      <c r="D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C2)),
  ROW(),
  ""
)</f>
        <v>2</v>
      </c>
      <c r="E2" t="str">
        <f t="shared" ref="E2:E65" si="0">INDEX(C$1:C$1487,SMALL($D$2:$D$1490,ROW(C1)))</f>
        <v>㈱ケミクレア　
小名浜工場</v>
      </c>
      <c r="G2" s="165" t="s">
        <v>749</v>
      </c>
      <c r="H2" s="166">
        <v>45658</v>
      </c>
      <c r="I2" s="172"/>
    </row>
    <row r="3" spans="1:9" ht="27" x14ac:dyDescent="0.15">
      <c r="A3" s="117" t="s">
        <v>344</v>
      </c>
      <c r="B3" t="s">
        <v>349</v>
      </c>
      <c r="C3" s="117" t="s">
        <v>388</v>
      </c>
      <c r="D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C3)),
  ROW(),
  ""
)</f>
        <v>3</v>
      </c>
      <c r="E3" t="str">
        <f t="shared" si="0"/>
        <v>㈱ジプテック　
小名浜工場</v>
      </c>
      <c r="G3" s="18" t="s">
        <v>750</v>
      </c>
      <c r="H3" s="166">
        <v>45670</v>
      </c>
    </row>
    <row r="4" spans="1:9" ht="27" x14ac:dyDescent="0.15">
      <c r="A4" s="117" t="s">
        <v>733</v>
      </c>
      <c r="B4" t="s">
        <v>350</v>
      </c>
      <c r="C4" s="117" t="s">
        <v>380</v>
      </c>
      <c r="D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C4)),
  ROW(),
  ""
)</f>
        <v>4</v>
      </c>
      <c r="E4" t="str">
        <f t="shared" si="0"/>
        <v>㈱安部日鋼工業
須賀川工場</v>
      </c>
      <c r="G4" s="165" t="s">
        <v>751</v>
      </c>
      <c r="H4" s="166">
        <v>45699</v>
      </c>
    </row>
    <row r="5" spans="1:9" ht="27" x14ac:dyDescent="0.15">
      <c r="A5" s="117" t="s">
        <v>345</v>
      </c>
      <c r="C5" s="13" t="s">
        <v>992</v>
      </c>
      <c r="D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C5)),
  ROW(),
  ""
)</f>
        <v>5</v>
      </c>
      <c r="E5" t="str">
        <f t="shared" si="0"/>
        <v>㈲久保木商会</v>
      </c>
      <c r="G5" s="165" t="s">
        <v>752</v>
      </c>
      <c r="H5" s="166">
        <v>45711</v>
      </c>
    </row>
    <row r="6" spans="1:9" x14ac:dyDescent="0.15">
      <c r="A6" s="117" t="s">
        <v>347</v>
      </c>
      <c r="C6" s="13" t="s">
        <v>351</v>
      </c>
      <c r="D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C6)),
  ROW(),
  ""
)</f>
        <v>6</v>
      </c>
      <c r="E6" t="str">
        <f t="shared" si="0"/>
        <v>ＪＲとまとランド</v>
      </c>
      <c r="G6" s="165" t="s">
        <v>753</v>
      </c>
      <c r="H6" s="166">
        <v>45712</v>
      </c>
    </row>
    <row r="7" spans="1:9" ht="27" x14ac:dyDescent="0.15">
      <c r="C7" s="121" t="s">
        <v>383</v>
      </c>
      <c r="D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C7)),
  ROW(),
  ""
)</f>
        <v>7</v>
      </c>
      <c r="E7" t="str">
        <f t="shared" si="0"/>
        <v>ＪＲ東日本　
総合研修ｾﾝﾀｰ</v>
      </c>
      <c r="G7" s="165" t="s">
        <v>754</v>
      </c>
      <c r="H7" s="166">
        <v>45736</v>
      </c>
    </row>
    <row r="8" spans="1:9" ht="27" x14ac:dyDescent="0.15">
      <c r="C8" s="121" t="s">
        <v>389</v>
      </c>
      <c r="D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C8)),
  ROW(),
  ""
)</f>
        <v>8</v>
      </c>
      <c r="E8" t="str">
        <f t="shared" si="0"/>
        <v>ＮＯＫ㈱
樹脂ｳﾚﾀﾝ事業部</v>
      </c>
      <c r="G8" s="165" t="s">
        <v>755</v>
      </c>
      <c r="H8" s="166">
        <v>45776</v>
      </c>
    </row>
    <row r="9" spans="1:9" x14ac:dyDescent="0.15">
      <c r="C9" s="13" t="s">
        <v>352</v>
      </c>
      <c r="D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C9)),
  ROW(),
  ""
)</f>
        <v>9</v>
      </c>
      <c r="E9" t="str">
        <f t="shared" si="0"/>
        <v>アグリ新舞子</v>
      </c>
      <c r="G9" s="165" t="s">
        <v>756</v>
      </c>
      <c r="H9" s="166">
        <v>45780</v>
      </c>
    </row>
    <row r="10" spans="1:9" ht="27" x14ac:dyDescent="0.15">
      <c r="C10" s="117" t="s">
        <v>382</v>
      </c>
      <c r="D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C10)),
  ROW(),
  ""
)</f>
        <v>10</v>
      </c>
      <c r="E10" t="str">
        <f t="shared" si="0"/>
        <v>ｱﾙﾌﾟｽｱﾙﾊﾟｲﾝ
いわき開発</v>
      </c>
      <c r="G10" s="165" t="s">
        <v>757</v>
      </c>
      <c r="H10" s="166">
        <v>45781</v>
      </c>
    </row>
    <row r="11" spans="1:9" ht="27" x14ac:dyDescent="0.15">
      <c r="C11" s="117" t="s">
        <v>381</v>
      </c>
      <c r="D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C11)),
  ROW(),
  ""
)</f>
        <v>11</v>
      </c>
      <c r="E11" t="str">
        <f t="shared" si="0"/>
        <v>ｱﾙﾌﾟｽｱﾙﾊﾟｲﾝ
いわき事業所</v>
      </c>
      <c r="G11" s="165" t="s">
        <v>758</v>
      </c>
      <c r="H11" s="166">
        <v>45782</v>
      </c>
    </row>
    <row r="12" spans="1:9" ht="27" x14ac:dyDescent="0.15">
      <c r="C12" s="117" t="s">
        <v>398</v>
      </c>
      <c r="D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C12)),
  ROW(),
  ""
)</f>
        <v>12</v>
      </c>
      <c r="E12" t="str">
        <f t="shared" si="0"/>
        <v>いわき市
医療ｾﾝﾀｰ</v>
      </c>
      <c r="G12" s="165" t="s">
        <v>753</v>
      </c>
      <c r="H12" s="166">
        <v>45783</v>
      </c>
    </row>
    <row r="13" spans="1:9" ht="40.5" x14ac:dyDescent="0.15">
      <c r="C13" s="121" t="s">
        <v>399</v>
      </c>
      <c r="D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C13)),
  ROW(),
  ""
)</f>
        <v>13</v>
      </c>
      <c r="E13" t="str">
        <f t="shared" si="0"/>
        <v>いわき市小名浜
学校給食共同
調理場</v>
      </c>
      <c r="G13" s="165" t="s">
        <v>759</v>
      </c>
      <c r="H13" s="166">
        <v>45859</v>
      </c>
    </row>
    <row r="14" spans="1:9" ht="27" x14ac:dyDescent="0.15">
      <c r="C14" s="117" t="s">
        <v>370</v>
      </c>
      <c r="D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C14)),
  ROW(),
  ""
)</f>
        <v>14</v>
      </c>
      <c r="E14" t="str">
        <f t="shared" si="0"/>
        <v>いわき市役所　
公営競技事務所</v>
      </c>
      <c r="G14" s="165" t="s">
        <v>760</v>
      </c>
      <c r="H14" s="166">
        <v>45880</v>
      </c>
    </row>
    <row r="15" spans="1:9" x14ac:dyDescent="0.15">
      <c r="C15" s="13" t="s">
        <v>390</v>
      </c>
      <c r="D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C15)),
  ROW(),
  ""
)</f>
        <v>15</v>
      </c>
      <c r="E15" t="str">
        <f t="shared" si="0"/>
        <v>いわき大王製紙㈱</v>
      </c>
      <c r="G15" s="165" t="s">
        <v>761</v>
      </c>
      <c r="H15" s="166">
        <v>45915</v>
      </c>
    </row>
    <row r="16" spans="1:9" x14ac:dyDescent="0.15">
      <c r="C16" s="13" t="s">
        <v>385</v>
      </c>
      <c r="D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C16)),
  ROW(),
  ""
)</f>
        <v>16</v>
      </c>
      <c r="E16" t="str">
        <f t="shared" si="0"/>
        <v>いわき中央ｱｽｺﾝ</v>
      </c>
      <c r="G16" s="165" t="s">
        <v>762</v>
      </c>
      <c r="H16" s="166">
        <v>45923</v>
      </c>
    </row>
    <row r="17" spans="3:8" ht="27" x14ac:dyDescent="0.15">
      <c r="C17" s="121" t="s">
        <v>386</v>
      </c>
      <c r="D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C17)),
  ROW(),
  ""
)</f>
        <v>17</v>
      </c>
      <c r="E17" t="str">
        <f t="shared" si="0"/>
        <v>いわき中央ｱｽｺﾝ　
四倉工場</v>
      </c>
      <c r="G17" s="165" t="s">
        <v>763</v>
      </c>
      <c r="H17" s="166">
        <v>45943</v>
      </c>
    </row>
    <row r="18" spans="3:8" ht="27" x14ac:dyDescent="0.15">
      <c r="C18" s="121" t="s">
        <v>371</v>
      </c>
      <c r="D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C18)),
  ROW(),
  ""
)</f>
        <v>18</v>
      </c>
      <c r="E18" t="str">
        <f t="shared" si="0"/>
        <v>いわき藤間温泉
ホテル浬</v>
      </c>
      <c r="G18" s="165" t="s">
        <v>764</v>
      </c>
      <c r="H18" s="166">
        <v>45964</v>
      </c>
    </row>
    <row r="19" spans="3:8" x14ac:dyDescent="0.15">
      <c r="C19" s="13" t="s">
        <v>361</v>
      </c>
      <c r="D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C19)),
  ROW(),
  ""
)</f>
        <v>19</v>
      </c>
      <c r="E19" t="str">
        <f t="shared" si="0"/>
        <v>いわき半導体</v>
      </c>
      <c r="G19" s="165" t="s">
        <v>765</v>
      </c>
      <c r="H19" s="166">
        <v>45984</v>
      </c>
    </row>
    <row r="20" spans="3:8" x14ac:dyDescent="0.15">
      <c r="C20" t="s">
        <v>363</v>
      </c>
      <c r="D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C20)),
  ROW(),
  ""
)</f>
        <v>20</v>
      </c>
      <c r="E20" t="str">
        <f t="shared" si="0"/>
        <v>いわせ食品</v>
      </c>
      <c r="G20" s="165" t="s">
        <v>753</v>
      </c>
      <c r="H20" s="166">
        <v>45985</v>
      </c>
    </row>
    <row r="21" spans="3:8" ht="27" x14ac:dyDescent="0.15">
      <c r="C21" s="117" t="s">
        <v>372</v>
      </c>
      <c r="D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C21)),
  ROW(),
  ""
)</f>
        <v>21</v>
      </c>
      <c r="E21" t="str">
        <f t="shared" si="0"/>
        <v>エナリス　
北茨城発電所</v>
      </c>
      <c r="G21" s="165"/>
      <c r="H21" s="166"/>
    </row>
    <row r="22" spans="3:8" ht="27" x14ac:dyDescent="0.15">
      <c r="C22" s="121" t="s">
        <v>373</v>
      </c>
      <c r="D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C22)),
  ROW(),
  ""
)</f>
        <v>22</v>
      </c>
      <c r="E22" t="str">
        <f t="shared" si="0"/>
        <v>カメイ　
いわき油槽所</v>
      </c>
      <c r="G22" s="165"/>
      <c r="H22" s="166"/>
    </row>
    <row r="23" spans="3:8" ht="27" x14ac:dyDescent="0.15">
      <c r="C23" s="121" t="s">
        <v>374</v>
      </c>
      <c r="D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C23)),
  ROW(),
  ""
)</f>
        <v>23</v>
      </c>
      <c r="E23" t="str">
        <f t="shared" si="0"/>
        <v>カメイ福島　
白河油槽所</v>
      </c>
    </row>
    <row r="24" spans="3:8" ht="27" x14ac:dyDescent="0.15">
      <c r="C24" s="117" t="s">
        <v>375</v>
      </c>
      <c r="D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C24)),
  ROW(),
  ""
)</f>
        <v>24</v>
      </c>
      <c r="E24" t="str">
        <f t="shared" si="0"/>
        <v>クレハ　
いわき事業所</v>
      </c>
    </row>
    <row r="25" spans="3:8" x14ac:dyDescent="0.15">
      <c r="C25" s="13" t="s">
        <v>400</v>
      </c>
      <c r="D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C25)),
  ROW(),
  ""
)</f>
        <v>25</v>
      </c>
      <c r="E25" t="str">
        <f t="shared" si="0"/>
        <v>ｺﾝｸﾘｰﾄｺｰﾘﾝｸﾞ㈱</v>
      </c>
    </row>
    <row r="26" spans="3:8" x14ac:dyDescent="0.15">
      <c r="C26" t="s">
        <v>362</v>
      </c>
      <c r="D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C26)),
  ROW(),
  ""
)</f>
        <v>26</v>
      </c>
      <c r="E26" t="str">
        <f t="shared" si="0"/>
        <v>ジャパンパイル</v>
      </c>
    </row>
    <row r="27" spans="3:8" ht="27" x14ac:dyDescent="0.15">
      <c r="C27" s="121" t="s">
        <v>401</v>
      </c>
      <c r="D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C27)),
  ROW(),
  ""
)</f>
        <v>27</v>
      </c>
      <c r="E27" t="str">
        <f t="shared" si="0"/>
        <v>スウィン大教
スイミングいわき</v>
      </c>
    </row>
    <row r="28" spans="3:8" ht="27" x14ac:dyDescent="0.15">
      <c r="C28" s="121" t="s">
        <v>402</v>
      </c>
      <c r="D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C28)),
  ROW(),
  ""
)</f>
        <v>28</v>
      </c>
      <c r="E28" t="str">
        <f t="shared" si="0"/>
        <v>スウィン大教
スイミング小名浜</v>
      </c>
    </row>
    <row r="29" spans="3:8" ht="27" x14ac:dyDescent="0.15">
      <c r="C29" s="121" t="s">
        <v>403</v>
      </c>
      <c r="D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C29)),
  ROW(),
  ""
)</f>
        <v>29</v>
      </c>
      <c r="E29" t="str">
        <f t="shared" si="0"/>
        <v>スパリゾート
ハワイアンズ</v>
      </c>
    </row>
    <row r="30" spans="3:8" ht="27" x14ac:dyDescent="0.15">
      <c r="C30" s="117" t="s">
        <v>404</v>
      </c>
      <c r="D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C30)),
  ROW(),
  ""
)</f>
        <v>30</v>
      </c>
      <c r="E30" t="str">
        <f t="shared" si="0"/>
        <v>たむら
クリーンｾﾝﾀｰ</v>
      </c>
    </row>
    <row r="31" spans="3:8" ht="27" x14ac:dyDescent="0.15">
      <c r="C31" s="121" t="s">
        <v>405</v>
      </c>
      <c r="D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C31)),
  ROW(),
  ""
)</f>
        <v>31</v>
      </c>
      <c r="E31" t="str">
        <f t="shared" si="0"/>
        <v>ナラハプラント
ファクトリー</v>
      </c>
    </row>
    <row r="32" spans="3:8" x14ac:dyDescent="0.15">
      <c r="C32" t="s">
        <v>366</v>
      </c>
      <c r="D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C32)),
  ROW(),
  ""
)</f>
        <v>32</v>
      </c>
      <c r="E32" t="str">
        <f t="shared" si="0"/>
        <v>ひらた中央病院</v>
      </c>
    </row>
    <row r="33" spans="3:5" ht="27" x14ac:dyDescent="0.15">
      <c r="C33" s="121" t="s">
        <v>406</v>
      </c>
      <c r="D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C33)),
  ROW(),
  ""
)</f>
        <v>33</v>
      </c>
      <c r="E33" t="str">
        <f t="shared" si="0"/>
        <v>ホテル華ノ湯
華風館</v>
      </c>
    </row>
    <row r="34" spans="3:5" ht="27" x14ac:dyDescent="0.15">
      <c r="C34" s="121" t="s">
        <v>407</v>
      </c>
      <c r="D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C34)),
  ROW(),
  ""
)</f>
        <v>34</v>
      </c>
      <c r="E34" t="str">
        <f t="shared" si="0"/>
        <v>ホテル華ノ湯
松風館</v>
      </c>
    </row>
    <row r="35" spans="3:5" x14ac:dyDescent="0.15">
      <c r="C35" t="s">
        <v>391</v>
      </c>
      <c r="D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C35)),
  ROW(),
  ""
)</f>
        <v>35</v>
      </c>
      <c r="E35" t="str">
        <f t="shared" si="0"/>
        <v>マックス常磐㈱</v>
      </c>
    </row>
    <row r="36" spans="3:5" ht="27" x14ac:dyDescent="0.15">
      <c r="C36" s="121" t="s">
        <v>408</v>
      </c>
      <c r="D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C36)),
  ROW(),
  ""
)</f>
        <v>36</v>
      </c>
      <c r="E36" t="str">
        <f t="shared" si="0"/>
        <v>マルハ産業㈱
北茨城工場（重油</v>
      </c>
    </row>
    <row r="37" spans="3:5" ht="27" x14ac:dyDescent="0.15">
      <c r="C37" s="117" t="s">
        <v>409</v>
      </c>
      <c r="D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C37)),
  ROW(),
  ""
)</f>
        <v>37</v>
      </c>
      <c r="E37" t="str">
        <f t="shared" si="0"/>
        <v>ﾕﾆﾁｬｰﾑﾌﾟﾛﾀﾞｸﾂ
福島工場</v>
      </c>
    </row>
    <row r="38" spans="3:5" x14ac:dyDescent="0.15">
      <c r="C38" s="13" t="s">
        <v>392</v>
      </c>
      <c r="D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C38)),
  ROW(),
  ""
)</f>
        <v>38</v>
      </c>
      <c r="E38" t="str">
        <f t="shared" si="0"/>
        <v>ユニマテック㈱</v>
      </c>
    </row>
    <row r="39" spans="3:5" ht="27" x14ac:dyDescent="0.15">
      <c r="C39" s="121" t="s">
        <v>410</v>
      </c>
      <c r="D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C39)),
  ROW(),
  ""
)</f>
        <v>39</v>
      </c>
      <c r="E39" t="str">
        <f t="shared" si="0"/>
        <v>茨城県漁連
平潟・大津油槽所</v>
      </c>
    </row>
    <row r="40" spans="3:5" ht="27" x14ac:dyDescent="0.15">
      <c r="C40" s="121" t="s">
        <v>411</v>
      </c>
      <c r="D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C40)),
  ROW(),
  ""
)</f>
        <v>40</v>
      </c>
      <c r="E40" t="str">
        <f t="shared" si="0"/>
        <v>横関油脂工業
南中郷工場</v>
      </c>
    </row>
    <row r="41" spans="3:5" x14ac:dyDescent="0.15">
      <c r="C41" s="13" t="s">
        <v>412</v>
      </c>
      <c r="D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C41)),
  ROW(),
  ""
)</f>
        <v>41</v>
      </c>
      <c r="E41" t="str">
        <f t="shared" si="0"/>
        <v>株式会社ｷｮｳﾃﾞﾝ</v>
      </c>
    </row>
    <row r="42" spans="3:5" ht="27" x14ac:dyDescent="0.15">
      <c r="C42" s="117" t="s">
        <v>413</v>
      </c>
      <c r="D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C42)),
  ROW(),
  ""
)</f>
        <v>42</v>
      </c>
      <c r="E42" t="str">
        <f t="shared" si="0"/>
        <v>関彰商事
日立支店</v>
      </c>
    </row>
    <row r="43" spans="3:5" x14ac:dyDescent="0.15">
      <c r="C43" s="13" t="s">
        <v>414</v>
      </c>
      <c r="D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C43)),
  ROW(),
  ""
)</f>
        <v>43</v>
      </c>
      <c r="E43" t="str">
        <f t="shared" si="0"/>
        <v>関東ｴﾗｽﾄﾏｰ㈱</v>
      </c>
    </row>
    <row r="44" spans="3:5" ht="27" x14ac:dyDescent="0.15">
      <c r="C44" s="121" t="s">
        <v>415</v>
      </c>
      <c r="D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C44)),
  ROW(),
  ""
)</f>
        <v>44</v>
      </c>
      <c r="E44" t="str">
        <f t="shared" si="0"/>
        <v>共同企業体
白河ｱｽｺﾝ</v>
      </c>
    </row>
    <row r="45" spans="3:5" ht="27" x14ac:dyDescent="0.15">
      <c r="C45" s="117" t="s">
        <v>376</v>
      </c>
      <c r="D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C45)),
  ROW(),
  ""
)</f>
        <v>45</v>
      </c>
      <c r="E45" t="str">
        <f t="shared" si="0"/>
        <v>玉川繊維工業所　
福島事業所</v>
      </c>
    </row>
    <row r="46" spans="3:5" x14ac:dyDescent="0.15">
      <c r="C46" s="13" t="s">
        <v>356</v>
      </c>
      <c r="D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C46)),
  ROW(),
  ""
)</f>
        <v>46</v>
      </c>
      <c r="E46" t="str">
        <f t="shared" si="0"/>
        <v>金山町国民健康保険診療所</v>
      </c>
    </row>
    <row r="47" spans="3:5" ht="27" x14ac:dyDescent="0.15">
      <c r="C47" s="121" t="s">
        <v>377</v>
      </c>
      <c r="D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C47)),
  ROW(),
  ""
)</f>
        <v>47</v>
      </c>
      <c r="E47" t="str">
        <f t="shared" si="0"/>
        <v>古藤工業　
いわき好間工場</v>
      </c>
    </row>
    <row r="48" spans="3:5" x14ac:dyDescent="0.15">
      <c r="C48" t="s">
        <v>367</v>
      </c>
      <c r="D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C48)),
  ROW(),
  ""
)</f>
        <v>48</v>
      </c>
      <c r="E48" t="str">
        <f t="shared" si="0"/>
        <v>高砂荘</v>
      </c>
    </row>
    <row r="49" spans="3:5" ht="27" x14ac:dyDescent="0.15">
      <c r="C49" s="121" t="s">
        <v>393</v>
      </c>
      <c r="D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C49)),
  ROW(),
  ""
)</f>
        <v>49</v>
      </c>
      <c r="E49" t="str">
        <f t="shared" si="0"/>
        <v>堺化学工業㈱　
小名浜事業所</v>
      </c>
    </row>
    <row r="50" spans="3:5" ht="40.5" x14ac:dyDescent="0.15">
      <c r="C50" s="117" t="s">
        <v>416</v>
      </c>
      <c r="D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C50)),
  ROW(),
  ""
)</f>
        <v>50</v>
      </c>
      <c r="E50" t="str">
        <f t="shared" si="0"/>
        <v>堺化学工業
小名浜事業所
湯本工場</v>
      </c>
    </row>
    <row r="51" spans="3:5" ht="40.5" x14ac:dyDescent="0.15">
      <c r="C51" s="121" t="s">
        <v>417</v>
      </c>
      <c r="D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C51)),
  ROW(),
  ""
)</f>
        <v>51</v>
      </c>
      <c r="E51" t="str">
        <f t="shared" si="0"/>
        <v>社会福祉法人
飛鳥　
はなまる共和国</v>
      </c>
    </row>
    <row r="52" spans="3:5" ht="40.5" x14ac:dyDescent="0.15">
      <c r="C52" s="117" t="s">
        <v>418</v>
      </c>
      <c r="D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C52)),
  ROW(),
  ""
)</f>
        <v>52</v>
      </c>
      <c r="E52" t="str">
        <f t="shared" si="0"/>
        <v>春雪さぶーる　
サガミハム
白河工場</v>
      </c>
    </row>
    <row r="53" spans="3:5" ht="27" x14ac:dyDescent="0.15">
      <c r="C53" s="121" t="s">
        <v>419</v>
      </c>
      <c r="D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C53)),
  ROW(),
  ""
)</f>
        <v>53</v>
      </c>
      <c r="E53" t="str">
        <f t="shared" si="0"/>
        <v>純正化学㈱
茨城工場</v>
      </c>
    </row>
    <row r="54" spans="3:5" ht="27" x14ac:dyDescent="0.15">
      <c r="C54" s="117" t="s">
        <v>420</v>
      </c>
      <c r="D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C54)),
  ROW(),
  ""
)</f>
        <v>54</v>
      </c>
      <c r="E54" t="str">
        <f t="shared" si="0"/>
        <v>小名浜
吉野石膏㈱</v>
      </c>
    </row>
    <row r="55" spans="3:5" ht="27" x14ac:dyDescent="0.15">
      <c r="C55" s="121" t="s">
        <v>421</v>
      </c>
      <c r="D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C55)),
  ROW(),
  ""
)</f>
        <v>55</v>
      </c>
      <c r="E55" t="str">
        <f t="shared" si="0"/>
        <v>松阪興産㈱
福島工場</v>
      </c>
    </row>
    <row r="56" spans="3:5" x14ac:dyDescent="0.15">
      <c r="C56" s="13" t="s">
        <v>360</v>
      </c>
      <c r="D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C56)),
  ROW(),
  ""
)</f>
        <v>56</v>
      </c>
      <c r="E56" t="str">
        <f t="shared" si="0"/>
        <v>松村総合病院</v>
      </c>
    </row>
    <row r="57" spans="3:5" ht="27" x14ac:dyDescent="0.15">
      <c r="C57" s="121" t="s">
        <v>394</v>
      </c>
      <c r="D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C57)),
  ROW(),
  ""
)</f>
        <v>57</v>
      </c>
      <c r="E57" t="str">
        <f t="shared" si="0"/>
        <v>城北化学工業㈱
いわき工場</v>
      </c>
    </row>
    <row r="58" spans="3:5" ht="27" x14ac:dyDescent="0.15">
      <c r="C58" s="121" t="s">
        <v>395</v>
      </c>
      <c r="D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C58)),
  ROW(),
  ""
)</f>
        <v>58</v>
      </c>
      <c r="E58" t="str">
        <f t="shared" si="0"/>
        <v>常磐共同火力㈱
勿来発電所</v>
      </c>
    </row>
    <row r="59" spans="3:5" ht="27" x14ac:dyDescent="0.15">
      <c r="C59" s="121" t="s">
        <v>422</v>
      </c>
      <c r="D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C59)),
  ROW(),
  ""
)</f>
        <v>59</v>
      </c>
      <c r="E59" t="str">
        <f t="shared" si="0"/>
        <v>常磐共同火力
小名浜ｽﾃｰｼｮﾝ</v>
      </c>
    </row>
    <row r="60" spans="3:5" ht="40.5" x14ac:dyDescent="0.15">
      <c r="C60" s="117" t="s">
        <v>423</v>
      </c>
      <c r="D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C60)),
  ROW(),
  ""
)</f>
        <v>60</v>
      </c>
      <c r="E60" t="str">
        <f t="shared" si="0"/>
        <v>須賀川瓦斯
油槽所　
オイルｾﾝﾀｰ</v>
      </c>
    </row>
    <row r="61" spans="3:5" x14ac:dyDescent="0.15">
      <c r="C61" s="13" t="s">
        <v>357</v>
      </c>
      <c r="D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C61)),
  ROW(),
  ""
)</f>
        <v>61</v>
      </c>
      <c r="E61" t="str">
        <f t="shared" si="0"/>
        <v>西白河病院</v>
      </c>
    </row>
    <row r="62" spans="3:5" ht="27" x14ac:dyDescent="0.15">
      <c r="C62" s="121" t="s">
        <v>378</v>
      </c>
      <c r="D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C62)),
  ROW(),
  ""
)</f>
        <v>62</v>
      </c>
      <c r="E62" t="str">
        <f t="shared" si="0"/>
        <v>村田基準寝具　
好間工場</v>
      </c>
    </row>
    <row r="63" spans="3:5" ht="27" x14ac:dyDescent="0.15">
      <c r="C63" s="117" t="s">
        <v>424</v>
      </c>
      <c r="D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C63)),
  ROW(),
  ""
)</f>
        <v>63</v>
      </c>
      <c r="E63" t="str">
        <f t="shared" si="0"/>
        <v>太陽の国　
からまつ荘</v>
      </c>
    </row>
    <row r="64" spans="3:5" ht="27" x14ac:dyDescent="0.15">
      <c r="C64" s="117" t="s">
        <v>1068</v>
      </c>
      <c r="D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C64)),
  ROW(),
  ""
)</f>
        <v>64</v>
      </c>
      <c r="E64" t="str">
        <f t="shared" si="0"/>
        <v>太陽の里
いわき</v>
      </c>
    </row>
    <row r="65" spans="3:5" ht="40.5" x14ac:dyDescent="0.15">
      <c r="C65" s="117" t="s">
        <v>425</v>
      </c>
      <c r="D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C65)),
  ROW(),
  ""
)</f>
        <v>65</v>
      </c>
      <c r="E65" t="str">
        <f t="shared" si="0"/>
        <v>大塚ポリテック
福島製作所
小野工場</v>
      </c>
    </row>
    <row r="66" spans="3:5" ht="27" x14ac:dyDescent="0.15">
      <c r="C66" s="121" t="s">
        <v>426</v>
      </c>
      <c r="D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C66)),
  ROW(),
  ""
)</f>
        <v>66</v>
      </c>
      <c r="E66" t="str">
        <f t="shared" ref="E66:E129" si="1">INDEX(C$1:C$1487,SMALL($D$2:$D$1490,ROW(C65)))</f>
        <v>大木産業
小名浜工場</v>
      </c>
    </row>
    <row r="67" spans="3:5" ht="27" x14ac:dyDescent="0.15">
      <c r="C67" s="121" t="s">
        <v>428</v>
      </c>
      <c r="D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C67)),
  ROW(),
  ""
)</f>
        <v>67</v>
      </c>
      <c r="E67" t="str">
        <f t="shared" si="1"/>
        <v>大野水耕
生産組合</v>
      </c>
    </row>
    <row r="68" spans="3:5" x14ac:dyDescent="0.15">
      <c r="C68" s="13" t="s">
        <v>354</v>
      </c>
      <c r="D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C68)),
  ROW(),
  ""
)</f>
        <v>68</v>
      </c>
      <c r="E68" t="str">
        <f t="shared" si="1"/>
        <v>長春館病院</v>
      </c>
    </row>
    <row r="69" spans="3:5" ht="27" x14ac:dyDescent="0.15">
      <c r="C69" s="117" t="s">
        <v>396</v>
      </c>
      <c r="D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C69)),
  ROW(),
  ""
)</f>
        <v>69</v>
      </c>
      <c r="E69" t="str">
        <f t="shared" si="1"/>
        <v>東レ建材㈱
福島工場　生産課</v>
      </c>
    </row>
    <row r="70" spans="3:5" ht="27" x14ac:dyDescent="0.15">
      <c r="C70" s="121" t="s">
        <v>427</v>
      </c>
      <c r="D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C70)),
  ROW(),
  ""
)</f>
        <v>70</v>
      </c>
      <c r="E70" t="str">
        <f t="shared" si="1"/>
        <v>東京アニリン
染料製造㈱</v>
      </c>
    </row>
    <row r="71" spans="3:5" x14ac:dyDescent="0.15">
      <c r="C71" s="13" t="s">
        <v>379</v>
      </c>
      <c r="D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C71)),
  ROW(),
  ""
)</f>
        <v>71</v>
      </c>
      <c r="E71" t="str">
        <f t="shared" si="1"/>
        <v>東西しらかわ
農業協同組合表郷ＳＳ</v>
      </c>
    </row>
    <row r="72" spans="3:5" ht="27" x14ac:dyDescent="0.15">
      <c r="C72" s="121" t="s">
        <v>429</v>
      </c>
      <c r="D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C72)),
  ROW(),
  ""
)</f>
        <v>72</v>
      </c>
      <c r="E72" t="str">
        <f t="shared" si="1"/>
        <v>東邦亜鉛
小名浜製錬所</v>
      </c>
    </row>
    <row r="73" spans="3:5" ht="27" x14ac:dyDescent="0.15">
      <c r="C73" s="117" t="s">
        <v>430</v>
      </c>
      <c r="D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C73)),
  ROW(),
  ""
)</f>
        <v>73</v>
      </c>
      <c r="E73" t="str">
        <f t="shared" si="1"/>
        <v>東北ポ－ル
白河工場</v>
      </c>
    </row>
    <row r="74" spans="3:5" ht="27" x14ac:dyDescent="0.15">
      <c r="C74" s="121" t="s">
        <v>431</v>
      </c>
      <c r="D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C74)),
  ROW(),
  ""
)</f>
        <v>74</v>
      </c>
      <c r="E74" t="str">
        <f t="shared" si="1"/>
        <v>東北ミドリ
安全工業</v>
      </c>
    </row>
    <row r="75" spans="3:5" x14ac:dyDescent="0.15">
      <c r="C75" s="13" t="s">
        <v>365</v>
      </c>
      <c r="D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C75)),
  ROW(),
  ""
)</f>
        <v>75</v>
      </c>
      <c r="E75" t="str">
        <f t="shared" si="1"/>
        <v>湯遊ランドはなわ</v>
      </c>
    </row>
    <row r="76" spans="3:5" ht="27" x14ac:dyDescent="0.15">
      <c r="C76" s="117" t="s">
        <v>433</v>
      </c>
      <c r="D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C76)),
  ROW(),
  ""
)</f>
        <v>76</v>
      </c>
      <c r="E76" t="str">
        <f t="shared" si="1"/>
        <v>特別養護老人ﾎｰﾑ
こまち荘</v>
      </c>
    </row>
    <row r="77" spans="3:5" ht="27" x14ac:dyDescent="0.15">
      <c r="C77" s="117" t="s">
        <v>434</v>
      </c>
      <c r="D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C77)),
  ROW(),
  ""
)</f>
        <v>77</v>
      </c>
      <c r="E77" t="str">
        <f t="shared" si="1"/>
        <v>特別養護老人ﾎｰﾑ
寿恵園</v>
      </c>
    </row>
    <row r="78" spans="3:5" ht="40.5" x14ac:dyDescent="0.15">
      <c r="C78" s="122" t="s">
        <v>432</v>
      </c>
      <c r="D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C78)),
  ROW(),
  ""
)</f>
        <v>78</v>
      </c>
      <c r="E78" t="str">
        <f t="shared" si="1"/>
        <v>独立行政法人
国立病院機構
福島病院</v>
      </c>
    </row>
    <row r="79" spans="3:5" ht="27" x14ac:dyDescent="0.15">
      <c r="C79" s="121" t="s">
        <v>397</v>
      </c>
      <c r="D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C79)),
  ROW(),
  ""
)</f>
        <v>79</v>
      </c>
      <c r="E79" t="str">
        <f t="shared" si="1"/>
        <v>日本化学産業㈱
福島第一工場</v>
      </c>
    </row>
    <row r="80" spans="3:5" x14ac:dyDescent="0.15">
      <c r="C80" s="117" t="s">
        <v>368</v>
      </c>
      <c r="D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C80)),
  ROW(),
  ""
)</f>
        <v>80</v>
      </c>
      <c r="E80" t="str">
        <f t="shared" si="1"/>
        <v>日本果実加工</v>
      </c>
    </row>
    <row r="81" spans="3:5" x14ac:dyDescent="0.15">
      <c r="C81" t="s">
        <v>358</v>
      </c>
      <c r="D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C81)),
  ROW(),
  ""
)</f>
        <v>81</v>
      </c>
      <c r="E81" t="str">
        <f t="shared" si="1"/>
        <v>日本全薬工業</v>
      </c>
    </row>
    <row r="82" spans="3:5" ht="40.5" x14ac:dyDescent="0.15">
      <c r="C82" s="121" t="s">
        <v>435</v>
      </c>
      <c r="D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C82)),
  ROW(),
  ""
)</f>
        <v>82</v>
      </c>
      <c r="E82" t="str">
        <f t="shared" si="1"/>
        <v>日本特殊
化学工業
小名浜工場</v>
      </c>
    </row>
    <row r="83" spans="3:5" x14ac:dyDescent="0.15">
      <c r="C83" s="121" t="s">
        <v>387</v>
      </c>
      <c r="D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C83)),
  ROW(),
  ""
)</f>
        <v>83</v>
      </c>
      <c r="E83" t="str">
        <f t="shared" si="1"/>
        <v>日立ｱｽｺﾝ</v>
      </c>
    </row>
    <row r="84" spans="3:5" ht="27" x14ac:dyDescent="0.15">
      <c r="C84" s="121" t="s">
        <v>436</v>
      </c>
      <c r="D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C84)),
  ROW(),
  ""
)</f>
        <v>84</v>
      </c>
      <c r="E84" t="str">
        <f t="shared" si="1"/>
        <v>白河厚生
総合病院</v>
      </c>
    </row>
    <row r="85" spans="3:5" x14ac:dyDescent="0.15">
      <c r="C85" t="s">
        <v>364</v>
      </c>
      <c r="D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C85)),
  ROW(),
  ""
)</f>
        <v>85</v>
      </c>
      <c r="E85" t="str">
        <f t="shared" si="1"/>
        <v>塙厚生病院</v>
      </c>
    </row>
    <row r="86" spans="3:5" x14ac:dyDescent="0.15">
      <c r="C86" t="s">
        <v>384</v>
      </c>
      <c r="D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C86)),
  ROW(),
  ""
)</f>
        <v>86</v>
      </c>
      <c r="E86" t="str">
        <f t="shared" si="1"/>
        <v>磐城実業　
いわき健康ｾﾝﾀｰ</v>
      </c>
    </row>
    <row r="87" spans="3:5" ht="27" x14ac:dyDescent="0.15">
      <c r="C87" s="121" t="s">
        <v>437</v>
      </c>
      <c r="D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C87)),
  ROW(),
  ""
)</f>
        <v>87</v>
      </c>
      <c r="E87" t="str">
        <f t="shared" si="1"/>
        <v>品川ﾘﾌﾗｸﾄﾘｰｽﾞ　
東日本工場</v>
      </c>
    </row>
    <row r="88" spans="3:5" ht="27" x14ac:dyDescent="0.15">
      <c r="C88" s="117" t="s">
        <v>438</v>
      </c>
      <c r="D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C88)),
  ROW(),
  ""
)</f>
        <v>88</v>
      </c>
      <c r="E88" t="str">
        <f t="shared" si="1"/>
        <v>富士ﾌｨﾙﾑ
ﾜｺｰｹﾐｶﾙ㈱</v>
      </c>
    </row>
    <row r="89" spans="3:5" ht="40.5" x14ac:dyDescent="0.15">
      <c r="C89" s="121" t="s">
        <v>439</v>
      </c>
      <c r="D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C89)),
  ROW(),
  ""
)</f>
        <v>89</v>
      </c>
      <c r="E89" t="str">
        <f t="shared" si="1"/>
        <v>武蔵野
化学研究所
磯原工場</v>
      </c>
    </row>
    <row r="90" spans="3:5" x14ac:dyDescent="0.15">
      <c r="C90" s="121" t="s">
        <v>355</v>
      </c>
      <c r="D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C90)),
  ROW(),
  ""
)</f>
        <v>90</v>
      </c>
      <c r="E90" t="str">
        <f t="shared" si="1"/>
        <v>舞子浜病院</v>
      </c>
    </row>
    <row r="91" spans="3:5" ht="40.5" x14ac:dyDescent="0.15">
      <c r="C91" s="121" t="s">
        <v>1067</v>
      </c>
      <c r="D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C91)),
  ROW(),
  ""
)</f>
        <v>91</v>
      </c>
      <c r="E91" t="str">
        <f t="shared" si="1"/>
        <v>福島県
いわき海浜
自然の家</v>
      </c>
    </row>
    <row r="92" spans="3:5" ht="27" x14ac:dyDescent="0.15">
      <c r="C92" s="121" t="s">
        <v>1066</v>
      </c>
      <c r="D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C92)),
  ROW(),
  ""
)</f>
        <v>92</v>
      </c>
      <c r="E92" t="str">
        <f t="shared" si="1"/>
        <v>福島県
かしわ荘</v>
      </c>
    </row>
    <row r="93" spans="3:5" ht="27" x14ac:dyDescent="0.15">
      <c r="C93" s="117" t="s">
        <v>1065</v>
      </c>
      <c r="D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C93)),
  ROW(),
  ""
)</f>
        <v>93</v>
      </c>
      <c r="E93" t="str">
        <f t="shared" si="1"/>
        <v>福島県
やまぶき荘</v>
      </c>
    </row>
    <row r="94" spans="3:5" x14ac:dyDescent="0.15">
      <c r="C94" t="s">
        <v>359</v>
      </c>
      <c r="D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C94)),
  ROW(),
  ""
)</f>
        <v>94</v>
      </c>
      <c r="E94" t="str">
        <f t="shared" si="1"/>
        <v>福島県県南地方振興局</v>
      </c>
    </row>
    <row r="95" spans="3:5" ht="40.5" x14ac:dyDescent="0.15">
      <c r="C95" s="121" t="s">
        <v>440</v>
      </c>
      <c r="D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C95)),
  ROW(),
  ""
)</f>
        <v>95</v>
      </c>
      <c r="E95" t="str">
        <f t="shared" si="1"/>
        <v>福島県立
勿来工業
高等学校</v>
      </c>
    </row>
    <row r="96" spans="3:5" ht="27" x14ac:dyDescent="0.15">
      <c r="C96" s="121" t="s">
        <v>441</v>
      </c>
      <c r="D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C96)),
  ROW(),
  ""
)</f>
        <v>96</v>
      </c>
      <c r="E96" t="str">
        <f t="shared" si="1"/>
        <v>福島労災病院
（Ａ重油）</v>
      </c>
    </row>
    <row r="97" spans="3:5" ht="27" x14ac:dyDescent="0.15">
      <c r="C97" s="117" t="s">
        <v>442</v>
      </c>
      <c r="D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C97)),
  ROW(),
  ""
)</f>
        <v>97</v>
      </c>
      <c r="E97" t="str">
        <f t="shared" si="1"/>
        <v>北茨城市
環境ｾﾝﾀｰ</v>
      </c>
    </row>
    <row r="98" spans="3:5" ht="40.5" x14ac:dyDescent="0.15">
      <c r="C98" s="121" t="s">
        <v>443</v>
      </c>
      <c r="D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C98)),
  ROW(),
  ""
)</f>
        <v>98</v>
      </c>
      <c r="E98" t="str">
        <f t="shared" si="1"/>
        <v>北茨城市
複合防災
学校給食ｾﾝﾀｰ</v>
      </c>
    </row>
    <row r="99" spans="3:5" ht="27" x14ac:dyDescent="0.15">
      <c r="C99" s="121" t="s">
        <v>444</v>
      </c>
      <c r="D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C99)),
  ROW(),
  ""
)</f>
        <v>99</v>
      </c>
      <c r="E99" t="str">
        <f t="shared" si="1"/>
        <v>勿来温泉
関の湯</v>
      </c>
    </row>
    <row r="100" spans="3:5" x14ac:dyDescent="0.15">
      <c r="C100" s="13" t="s">
        <v>445</v>
      </c>
      <c r="D1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C100)),
  ROW(),
  ""
)</f>
        <v>100</v>
      </c>
      <c r="E100" t="str">
        <f t="shared" si="1"/>
        <v>有機合成薬品</v>
      </c>
    </row>
    <row r="101" spans="3:5" x14ac:dyDescent="0.15">
      <c r="C101" s="13" t="s">
        <v>353</v>
      </c>
      <c r="D1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C101)),
  ROW(),
  ""
)</f>
        <v>101</v>
      </c>
      <c r="E101" t="str">
        <f t="shared" si="1"/>
        <v>夕月</v>
      </c>
    </row>
    <row r="102" spans="3:5" ht="27" x14ac:dyDescent="0.15">
      <c r="C102" s="121" t="s">
        <v>446</v>
      </c>
      <c r="D1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C102)),
  ROW(),
  ""
)</f>
        <v>102</v>
      </c>
      <c r="E102" t="str">
        <f t="shared" si="1"/>
        <v>陸上自衛隊
郡山駐屯地</v>
      </c>
    </row>
    <row r="103" spans="3:5" ht="27" x14ac:dyDescent="0.15">
      <c r="C103" s="121" t="s">
        <v>447</v>
      </c>
      <c r="D1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C103)),
  ROW(),
  ""
)</f>
        <v>103</v>
      </c>
      <c r="E103" t="str">
        <f t="shared" si="1"/>
        <v>老人保険施設
久慈の郷</v>
      </c>
    </row>
    <row r="104" spans="3:5" x14ac:dyDescent="0.15">
      <c r="C104" t="s">
        <v>448</v>
      </c>
      <c r="D1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C104)),
  ROW(),
  ""
)</f>
        <v>104</v>
      </c>
      <c r="E104" t="str">
        <f t="shared" si="1"/>
        <v>櫻泳ｽｲﾐﾝｸﾞｽｸｰﾙ</v>
      </c>
    </row>
    <row r="105" spans="3:5" x14ac:dyDescent="0.15">
      <c r="C105" s="13" t="s">
        <v>767</v>
      </c>
      <c r="D1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C105)),
  ROW(),
  ""
)</f>
        <v>105</v>
      </c>
      <c r="E105" t="str">
        <f t="shared" si="1"/>
        <v>車検</v>
      </c>
    </row>
    <row r="106" spans="3:5" x14ac:dyDescent="0.15">
      <c r="C106" t="s">
        <v>768</v>
      </c>
      <c r="D1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C106)),
  ROW(),
  ""
)</f>
        <v>106</v>
      </c>
      <c r="E106" t="str">
        <f t="shared" si="1"/>
        <v>消防検査</v>
      </c>
    </row>
    <row r="107" spans="3:5" x14ac:dyDescent="0.15">
      <c r="C107" t="s">
        <v>979</v>
      </c>
      <c r="D1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C107)),
  ROW(),
  ""
)</f>
        <v>107</v>
      </c>
      <c r="E107" t="str">
        <f t="shared" si="1"/>
        <v>日東粉化工業　福島工場</v>
      </c>
    </row>
    <row r="108" spans="3:5" x14ac:dyDescent="0.15">
      <c r="C108" t="s">
        <v>984</v>
      </c>
      <c r="D1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C108)),
  ROW(),
  ""
)</f>
        <v>108</v>
      </c>
      <c r="E108" t="str">
        <f t="shared" si="1"/>
        <v>住化加工紙</v>
      </c>
    </row>
    <row r="109" spans="3:5" x14ac:dyDescent="0.15">
      <c r="C109" t="s">
        <v>991</v>
      </c>
      <c r="D1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C109)),
  ROW(),
  ""
)</f>
        <v>109</v>
      </c>
      <c r="E109" t="str">
        <f t="shared" si="1"/>
        <v>㈱T・A・D</v>
      </c>
    </row>
    <row r="110" spans="3:5" x14ac:dyDescent="0.15">
      <c r="C110" t="s">
        <v>993</v>
      </c>
      <c r="D1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C110)),
  ROW(),
  ""
)</f>
        <v>110</v>
      </c>
      <c r="E110" t="str">
        <f t="shared" si="1"/>
        <v>ブイエス科工㈱</v>
      </c>
    </row>
    <row r="111" spans="3:5" ht="27" x14ac:dyDescent="0.15">
      <c r="C111" s="117" t="s">
        <v>999</v>
      </c>
      <c r="D1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C111)),
  ROW(),
  ""
)</f>
        <v>111</v>
      </c>
      <c r="E111" t="str">
        <f t="shared" si="1"/>
        <v>エンリゾート
グランデコホテル</v>
      </c>
    </row>
    <row r="112" spans="3:5" ht="27" x14ac:dyDescent="0.15">
      <c r="C112" s="117" t="s">
        <v>1009</v>
      </c>
      <c r="D1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C112)),
  ROW(),
  ""
)</f>
        <v>112</v>
      </c>
      <c r="E112" t="str">
        <f>INDEX(C$1:C$1487,SMALL($D$2:$D$1490,ROW(C111)))</f>
        <v>テスコグリーン
サイクルいわき</v>
      </c>
    </row>
    <row r="113" spans="3:5" x14ac:dyDescent="0.15">
      <c r="C113" t="s">
        <v>1018</v>
      </c>
      <c r="D1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C113)),
  ROW(),
  ""
)</f>
        <v>113</v>
      </c>
      <c r="E113" t="str">
        <f t="shared" si="1"/>
        <v>八洲ゴム</v>
      </c>
    </row>
    <row r="114" spans="3:5" ht="27" x14ac:dyDescent="0.15">
      <c r="C114" s="117" t="s">
        <v>1019</v>
      </c>
      <c r="D1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C114)),
  ROW(),
  ""
)</f>
        <v>114</v>
      </c>
      <c r="E114" t="str">
        <f t="shared" si="1"/>
        <v>Grandeco
小野川寮</v>
      </c>
    </row>
    <row r="115" spans="3:5" ht="27" x14ac:dyDescent="0.15">
      <c r="C115" s="117" t="s">
        <v>1040</v>
      </c>
      <c r="D1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C115)),
  ROW(),
  ""
)</f>
        <v>115</v>
      </c>
      <c r="E115" t="str">
        <f t="shared" si="1"/>
        <v>永谷園ﾌｰｽﾞ
ｻﾝﾌﾚｯｸｽ泉工場</v>
      </c>
    </row>
    <row r="116" spans="3:5" x14ac:dyDescent="0.15">
      <c r="C116" t="s">
        <v>1137</v>
      </c>
      <c r="D1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C116)),
  ROW(),
  ""
)</f>
        <v>116</v>
      </c>
      <c r="E116" t="str">
        <f t="shared" si="1"/>
        <v>岩村製餡工場</v>
      </c>
    </row>
    <row r="117" spans="3:5" x14ac:dyDescent="0.15">
      <c r="C117" t="s">
        <v>1136</v>
      </c>
      <c r="D1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C117)),
  ROW(),
  ""
)</f>
        <v>117</v>
      </c>
      <c r="E117" t="str">
        <f t="shared" si="1"/>
        <v>モリマーコンポジット㈱（関本）</v>
      </c>
    </row>
    <row r="118" spans="3:5" x14ac:dyDescent="0.15">
      <c r="C118" s="117" t="s">
        <v>1135</v>
      </c>
      <c r="D1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C118)),
  ROW(),
  ""
)</f>
        <v>118</v>
      </c>
      <c r="E118" t="str">
        <f t="shared" si="1"/>
        <v>モリマーコンポジット㈱（中郷）</v>
      </c>
    </row>
    <row r="119" spans="3:5" ht="27" x14ac:dyDescent="0.15">
      <c r="C119" s="117" t="s">
        <v>1134</v>
      </c>
      <c r="D1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C119)),
  ROW(),
  ""
)</f>
        <v>119</v>
      </c>
      <c r="E119" t="str">
        <f t="shared" si="1"/>
        <v>航空自衛隊
大滝根山分屯基地</v>
      </c>
    </row>
    <row r="120" spans="3:5" ht="27" x14ac:dyDescent="0.15">
      <c r="C120" s="117" t="s">
        <v>1133</v>
      </c>
      <c r="D1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C120)),
  ROW(),
  ""
)</f>
        <v>120</v>
      </c>
      <c r="E120" t="str">
        <f t="shared" si="1"/>
        <v>太陽の国　
洗濯センター</v>
      </c>
    </row>
    <row r="121" spans="3:5" ht="27" x14ac:dyDescent="0.15">
      <c r="C121" s="117" t="s">
        <v>1132</v>
      </c>
      <c r="D1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C121)),
  ROW(),
  ""
)</f>
        <v>121</v>
      </c>
      <c r="E121" t="str">
        <f t="shared" si="1"/>
        <v>福島県
かえで荘</v>
      </c>
    </row>
    <row r="122" spans="3:5" x14ac:dyDescent="0.15">
      <c r="C122" t="s">
        <v>1131</v>
      </c>
      <c r="D1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C122)),
  ROW(),
  ""
)</f>
        <v>122</v>
      </c>
      <c r="E122" t="str">
        <f t="shared" si="1"/>
        <v>佐川商店</v>
      </c>
    </row>
    <row r="123" spans="3:5" ht="27" x14ac:dyDescent="0.15">
      <c r="C123" s="117" t="s">
        <v>1130</v>
      </c>
      <c r="D1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C123)),
  ROW(),
  ""
)</f>
        <v>123</v>
      </c>
      <c r="E123" t="str">
        <f t="shared" si="1"/>
        <v>棚倉開発
棚倉田舎倶楽部</v>
      </c>
    </row>
    <row r="124" spans="3:5" ht="27" x14ac:dyDescent="0.15">
      <c r="C124" s="117" t="s">
        <v>1129</v>
      </c>
      <c r="D1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C124)),
  ROW(),
  ""
)</f>
        <v>124</v>
      </c>
      <c r="E124" t="str">
        <f t="shared" si="1"/>
        <v>東邦福島㈱
ホテルNAGISA</v>
      </c>
    </row>
    <row r="125" spans="3:5" x14ac:dyDescent="0.15">
      <c r="C125" t="s">
        <v>1146</v>
      </c>
      <c r="D1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C125)),
  ROW(),
  ""
)</f>
        <v>125</v>
      </c>
      <c r="E125" t="str">
        <f t="shared" si="1"/>
        <v>ニッソーファイン　いわき製造部</v>
      </c>
    </row>
    <row r="126" spans="3:5" x14ac:dyDescent="0.15">
      <c r="C126" t="s">
        <v>1198</v>
      </c>
      <c r="D1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C126)),
  ROW(),
  ""
)</f>
        <v>126</v>
      </c>
      <c r="E126" t="str">
        <f t="shared" si="1"/>
        <v>いわき市北白土第二ポンプ場</v>
      </c>
    </row>
    <row r="127" spans="3:5" x14ac:dyDescent="0.15">
      <c r="D1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C127)),
  ROW(),
  ""
)</f>
        <v>127</v>
      </c>
      <c r="E127">
        <f t="shared" si="1"/>
        <v>0</v>
      </c>
    </row>
    <row r="128" spans="3:5" x14ac:dyDescent="0.15">
      <c r="D1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C128)),
  ROW(),
  ""
)</f>
        <v>128</v>
      </c>
      <c r="E128">
        <f t="shared" si="1"/>
        <v>0</v>
      </c>
    </row>
    <row r="129" spans="4:5" x14ac:dyDescent="0.15">
      <c r="D1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C129)),
  ROW(),
  ""
)</f>
        <v>129</v>
      </c>
      <c r="E129">
        <f t="shared" si="1"/>
        <v>0</v>
      </c>
    </row>
    <row r="130" spans="4:5" x14ac:dyDescent="0.15">
      <c r="D1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C130)),
  ROW(),
  ""
)</f>
        <v>130</v>
      </c>
      <c r="E130">
        <f t="shared" ref="E130:E193" si="2">INDEX(C$1:C$1487,SMALL($D$2:$D$1490,ROW(C129)))</f>
        <v>0</v>
      </c>
    </row>
    <row r="131" spans="4:5" x14ac:dyDescent="0.15">
      <c r="D1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C131)),
  ROW(),
  ""
)</f>
        <v>131</v>
      </c>
      <c r="E131">
        <f t="shared" si="2"/>
        <v>0</v>
      </c>
    </row>
    <row r="132" spans="4:5" x14ac:dyDescent="0.15">
      <c r="D1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C132)),
  ROW(),
  ""
)</f>
        <v>132</v>
      </c>
      <c r="E132">
        <f t="shared" si="2"/>
        <v>0</v>
      </c>
    </row>
    <row r="133" spans="4:5" x14ac:dyDescent="0.15">
      <c r="D1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C133)),
  ROW(),
  ""
)</f>
        <v>133</v>
      </c>
      <c r="E133">
        <f t="shared" si="2"/>
        <v>0</v>
      </c>
    </row>
    <row r="134" spans="4:5" x14ac:dyDescent="0.15">
      <c r="D1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C134)),
  ROW(),
  ""
)</f>
        <v>134</v>
      </c>
      <c r="E134">
        <f t="shared" si="2"/>
        <v>0</v>
      </c>
    </row>
    <row r="135" spans="4:5" x14ac:dyDescent="0.15">
      <c r="D1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C135)),
  ROW(),
  ""
)</f>
        <v>135</v>
      </c>
      <c r="E135">
        <f t="shared" si="2"/>
        <v>0</v>
      </c>
    </row>
    <row r="136" spans="4:5" x14ac:dyDescent="0.15">
      <c r="D1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C136)),
  ROW(),
  ""
)</f>
        <v>136</v>
      </c>
      <c r="E136">
        <f t="shared" si="2"/>
        <v>0</v>
      </c>
    </row>
    <row r="137" spans="4:5" x14ac:dyDescent="0.15">
      <c r="D1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C137)),
  ROW(),
  ""
)</f>
        <v>137</v>
      </c>
      <c r="E137">
        <f t="shared" si="2"/>
        <v>0</v>
      </c>
    </row>
    <row r="138" spans="4:5" x14ac:dyDescent="0.15">
      <c r="D1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C138)),
  ROW(),
  ""
)</f>
        <v>138</v>
      </c>
      <c r="E138">
        <f t="shared" si="2"/>
        <v>0</v>
      </c>
    </row>
    <row r="139" spans="4:5" x14ac:dyDescent="0.15">
      <c r="D1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C139)),
  ROW(),
  ""
)</f>
        <v>139</v>
      </c>
      <c r="E139">
        <f t="shared" si="2"/>
        <v>0</v>
      </c>
    </row>
    <row r="140" spans="4:5" x14ac:dyDescent="0.15">
      <c r="D1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C140)),
  ROW(),
  ""
)</f>
        <v>140</v>
      </c>
      <c r="E140">
        <f t="shared" si="2"/>
        <v>0</v>
      </c>
    </row>
    <row r="141" spans="4:5" x14ac:dyDescent="0.15">
      <c r="D1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C141)),
  ROW(),
  ""
)</f>
        <v>141</v>
      </c>
      <c r="E141">
        <f t="shared" si="2"/>
        <v>0</v>
      </c>
    </row>
    <row r="142" spans="4:5" x14ac:dyDescent="0.15">
      <c r="D1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C142)),
  ROW(),
  ""
)</f>
        <v>142</v>
      </c>
      <c r="E142">
        <f t="shared" si="2"/>
        <v>0</v>
      </c>
    </row>
    <row r="143" spans="4:5" x14ac:dyDescent="0.15">
      <c r="D1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C143)),
  ROW(),
  ""
)</f>
        <v>143</v>
      </c>
      <c r="E143">
        <f t="shared" si="2"/>
        <v>0</v>
      </c>
    </row>
    <row r="144" spans="4:5" x14ac:dyDescent="0.15">
      <c r="D1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C144)),
  ROW(),
  ""
)</f>
        <v>144</v>
      </c>
      <c r="E144">
        <f t="shared" si="2"/>
        <v>0</v>
      </c>
    </row>
    <row r="145" spans="4:5" x14ac:dyDescent="0.15">
      <c r="D1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C145)),
  ROW(),
  ""
)</f>
        <v>145</v>
      </c>
      <c r="E145">
        <f t="shared" si="2"/>
        <v>0</v>
      </c>
    </row>
    <row r="146" spans="4:5" x14ac:dyDescent="0.15">
      <c r="D1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C146)),
  ROW(),
  ""
)</f>
        <v>146</v>
      </c>
      <c r="E146">
        <f t="shared" si="2"/>
        <v>0</v>
      </c>
    </row>
    <row r="147" spans="4:5" x14ac:dyDescent="0.15">
      <c r="D1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C147)),
  ROW(),
  ""
)</f>
        <v>147</v>
      </c>
      <c r="E147">
        <f t="shared" si="2"/>
        <v>0</v>
      </c>
    </row>
    <row r="148" spans="4:5" x14ac:dyDescent="0.15">
      <c r="D1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C148)),
  ROW(),
  ""
)</f>
        <v>148</v>
      </c>
      <c r="E148">
        <f t="shared" si="2"/>
        <v>0</v>
      </c>
    </row>
    <row r="149" spans="4:5" x14ac:dyDescent="0.15">
      <c r="D1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C149)),
  ROW(),
  ""
)</f>
        <v>149</v>
      </c>
      <c r="E149">
        <f t="shared" si="2"/>
        <v>0</v>
      </c>
    </row>
    <row r="150" spans="4:5" x14ac:dyDescent="0.15">
      <c r="D1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C150)),
  ROW(),
  ""
)</f>
        <v>150</v>
      </c>
      <c r="E150">
        <f t="shared" si="2"/>
        <v>0</v>
      </c>
    </row>
    <row r="151" spans="4:5" x14ac:dyDescent="0.15">
      <c r="D1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C151)),
  ROW(),
  ""
)</f>
        <v>151</v>
      </c>
      <c r="E151">
        <f t="shared" si="2"/>
        <v>0</v>
      </c>
    </row>
    <row r="152" spans="4:5" x14ac:dyDescent="0.15">
      <c r="D1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C152)),
  ROW(),
  ""
)</f>
        <v>152</v>
      </c>
      <c r="E152">
        <f t="shared" si="2"/>
        <v>0</v>
      </c>
    </row>
    <row r="153" spans="4:5" x14ac:dyDescent="0.15">
      <c r="D1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C153)),
  ROW(),
  ""
)</f>
        <v>153</v>
      </c>
      <c r="E153">
        <f t="shared" si="2"/>
        <v>0</v>
      </c>
    </row>
    <row r="154" spans="4:5" x14ac:dyDescent="0.15">
      <c r="D1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C154)),
  ROW(),
  ""
)</f>
        <v>154</v>
      </c>
      <c r="E154">
        <f t="shared" si="2"/>
        <v>0</v>
      </c>
    </row>
    <row r="155" spans="4:5" x14ac:dyDescent="0.15">
      <c r="D1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C155)),
  ROW(),
  ""
)</f>
        <v>155</v>
      </c>
      <c r="E155">
        <f t="shared" si="2"/>
        <v>0</v>
      </c>
    </row>
    <row r="156" spans="4:5" x14ac:dyDescent="0.15">
      <c r="D1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C156)),
  ROW(),
  ""
)</f>
        <v>156</v>
      </c>
      <c r="E156">
        <f t="shared" si="2"/>
        <v>0</v>
      </c>
    </row>
    <row r="157" spans="4:5" x14ac:dyDescent="0.15">
      <c r="D1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C157)),
  ROW(),
  ""
)</f>
        <v>157</v>
      </c>
      <c r="E157">
        <f t="shared" si="2"/>
        <v>0</v>
      </c>
    </row>
    <row r="158" spans="4:5" x14ac:dyDescent="0.15">
      <c r="D1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C158)),
  ROW(),
  ""
)</f>
        <v>158</v>
      </c>
      <c r="E158">
        <f t="shared" si="2"/>
        <v>0</v>
      </c>
    </row>
    <row r="159" spans="4:5" x14ac:dyDescent="0.15">
      <c r="D1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C159)),
  ROW(),
  ""
)</f>
        <v>159</v>
      </c>
      <c r="E159">
        <f t="shared" si="2"/>
        <v>0</v>
      </c>
    </row>
    <row r="160" spans="4:5" x14ac:dyDescent="0.15">
      <c r="D1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C160)),
  ROW(),
  ""
)</f>
        <v>160</v>
      </c>
      <c r="E160">
        <f t="shared" si="2"/>
        <v>0</v>
      </c>
    </row>
    <row r="161" spans="4:5" x14ac:dyDescent="0.15">
      <c r="D1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C161)),
  ROW(),
  ""
)</f>
        <v>161</v>
      </c>
      <c r="E161">
        <f t="shared" si="2"/>
        <v>0</v>
      </c>
    </row>
    <row r="162" spans="4:5" x14ac:dyDescent="0.15">
      <c r="D1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C162)),
  ROW(),
  ""
)</f>
        <v>162</v>
      </c>
      <c r="E162">
        <f t="shared" si="2"/>
        <v>0</v>
      </c>
    </row>
    <row r="163" spans="4:5" x14ac:dyDescent="0.15">
      <c r="D1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C163)),
  ROW(),
  ""
)</f>
        <v>163</v>
      </c>
      <c r="E163">
        <f t="shared" si="2"/>
        <v>0</v>
      </c>
    </row>
    <row r="164" spans="4:5" x14ac:dyDescent="0.15">
      <c r="D1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C164)),
  ROW(),
  ""
)</f>
        <v>164</v>
      </c>
      <c r="E164">
        <f t="shared" si="2"/>
        <v>0</v>
      </c>
    </row>
    <row r="165" spans="4:5" x14ac:dyDescent="0.15">
      <c r="D1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C165)),
  ROW(),
  ""
)</f>
        <v>165</v>
      </c>
      <c r="E165">
        <f t="shared" si="2"/>
        <v>0</v>
      </c>
    </row>
    <row r="166" spans="4:5" x14ac:dyDescent="0.15">
      <c r="D1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C166)),
  ROW(),
  ""
)</f>
        <v>166</v>
      </c>
      <c r="E166">
        <f t="shared" si="2"/>
        <v>0</v>
      </c>
    </row>
    <row r="167" spans="4:5" x14ac:dyDescent="0.15">
      <c r="D1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C167)),
  ROW(),
  ""
)</f>
        <v>167</v>
      </c>
      <c r="E167">
        <f t="shared" si="2"/>
        <v>0</v>
      </c>
    </row>
    <row r="168" spans="4:5" x14ac:dyDescent="0.15">
      <c r="D1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C168)),
  ROW(),
  ""
)</f>
        <v>168</v>
      </c>
      <c r="E168">
        <f t="shared" si="2"/>
        <v>0</v>
      </c>
    </row>
    <row r="169" spans="4:5" x14ac:dyDescent="0.15">
      <c r="D1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C169)),
  ROW(),
  ""
)</f>
        <v>169</v>
      </c>
      <c r="E169">
        <f t="shared" si="2"/>
        <v>0</v>
      </c>
    </row>
    <row r="170" spans="4:5" x14ac:dyDescent="0.15">
      <c r="D1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C170)),
  ROW(),
  ""
)</f>
        <v>170</v>
      </c>
      <c r="E170">
        <f t="shared" si="2"/>
        <v>0</v>
      </c>
    </row>
    <row r="171" spans="4:5" x14ac:dyDescent="0.15">
      <c r="D1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C171)),
  ROW(),
  ""
)</f>
        <v>171</v>
      </c>
      <c r="E171">
        <f t="shared" si="2"/>
        <v>0</v>
      </c>
    </row>
    <row r="172" spans="4:5" x14ac:dyDescent="0.15">
      <c r="D1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C172)),
  ROW(),
  ""
)</f>
        <v>172</v>
      </c>
      <c r="E172">
        <f t="shared" si="2"/>
        <v>0</v>
      </c>
    </row>
    <row r="173" spans="4:5" x14ac:dyDescent="0.15">
      <c r="D1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C173)),
  ROW(),
  ""
)</f>
        <v>173</v>
      </c>
      <c r="E173">
        <f t="shared" si="2"/>
        <v>0</v>
      </c>
    </row>
    <row r="174" spans="4:5" x14ac:dyDescent="0.15">
      <c r="D1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C174)),
  ROW(),
  ""
)</f>
        <v>174</v>
      </c>
      <c r="E174">
        <f t="shared" si="2"/>
        <v>0</v>
      </c>
    </row>
    <row r="175" spans="4:5" x14ac:dyDescent="0.15">
      <c r="D1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C175)),
  ROW(),
  ""
)</f>
        <v>175</v>
      </c>
      <c r="E175">
        <f t="shared" si="2"/>
        <v>0</v>
      </c>
    </row>
    <row r="176" spans="4:5" x14ac:dyDescent="0.15">
      <c r="D1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C176)),
  ROW(),
  ""
)</f>
        <v>176</v>
      </c>
      <c r="E176">
        <f t="shared" si="2"/>
        <v>0</v>
      </c>
    </row>
    <row r="177" spans="4:5" x14ac:dyDescent="0.15">
      <c r="D1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C177)),
  ROW(),
  ""
)</f>
        <v>177</v>
      </c>
      <c r="E177">
        <f t="shared" si="2"/>
        <v>0</v>
      </c>
    </row>
    <row r="178" spans="4:5" x14ac:dyDescent="0.15">
      <c r="D1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C178)),
  ROW(),
  ""
)</f>
        <v>178</v>
      </c>
      <c r="E178">
        <f t="shared" si="2"/>
        <v>0</v>
      </c>
    </row>
    <row r="179" spans="4:5" x14ac:dyDescent="0.15">
      <c r="D1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C179)),
  ROW(),
  ""
)</f>
        <v>179</v>
      </c>
      <c r="E179">
        <f t="shared" si="2"/>
        <v>0</v>
      </c>
    </row>
    <row r="180" spans="4:5" x14ac:dyDescent="0.15">
      <c r="D1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C180)),
  ROW(),
  ""
)</f>
        <v>180</v>
      </c>
      <c r="E180">
        <f t="shared" si="2"/>
        <v>0</v>
      </c>
    </row>
    <row r="181" spans="4:5" x14ac:dyDescent="0.15">
      <c r="D1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C181)),
  ROW(),
  ""
)</f>
        <v>181</v>
      </c>
      <c r="E181">
        <f t="shared" si="2"/>
        <v>0</v>
      </c>
    </row>
    <row r="182" spans="4:5" x14ac:dyDescent="0.15">
      <c r="D1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C182)),
  ROW(),
  ""
)</f>
        <v>182</v>
      </c>
      <c r="E182">
        <f t="shared" si="2"/>
        <v>0</v>
      </c>
    </row>
    <row r="183" spans="4:5" x14ac:dyDescent="0.15">
      <c r="D1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C183)),
  ROW(),
  ""
)</f>
        <v>183</v>
      </c>
      <c r="E183">
        <f t="shared" si="2"/>
        <v>0</v>
      </c>
    </row>
    <row r="184" spans="4:5" x14ac:dyDescent="0.15">
      <c r="D1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C184)),
  ROW(),
  ""
)</f>
        <v>184</v>
      </c>
      <c r="E184">
        <f t="shared" si="2"/>
        <v>0</v>
      </c>
    </row>
    <row r="185" spans="4:5" x14ac:dyDescent="0.15">
      <c r="D1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C185)),
  ROW(),
  ""
)</f>
        <v>185</v>
      </c>
      <c r="E185">
        <f t="shared" si="2"/>
        <v>0</v>
      </c>
    </row>
    <row r="186" spans="4:5" x14ac:dyDescent="0.15">
      <c r="D1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C186)),
  ROW(),
  ""
)</f>
        <v>186</v>
      </c>
      <c r="E186">
        <f t="shared" si="2"/>
        <v>0</v>
      </c>
    </row>
    <row r="187" spans="4:5" x14ac:dyDescent="0.15">
      <c r="D1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C187)),
  ROW(),
  ""
)</f>
        <v>187</v>
      </c>
      <c r="E187">
        <f t="shared" si="2"/>
        <v>0</v>
      </c>
    </row>
    <row r="188" spans="4:5" x14ac:dyDescent="0.15">
      <c r="D1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C188)),
  ROW(),
  ""
)</f>
        <v>188</v>
      </c>
      <c r="E188">
        <f t="shared" si="2"/>
        <v>0</v>
      </c>
    </row>
    <row r="189" spans="4:5" x14ac:dyDescent="0.15">
      <c r="D1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C189)),
  ROW(),
  ""
)</f>
        <v>189</v>
      </c>
      <c r="E189">
        <f t="shared" si="2"/>
        <v>0</v>
      </c>
    </row>
    <row r="190" spans="4:5" x14ac:dyDescent="0.15">
      <c r="D1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C190)),
  ROW(),
  ""
)</f>
        <v>190</v>
      </c>
      <c r="E190">
        <f t="shared" si="2"/>
        <v>0</v>
      </c>
    </row>
    <row r="191" spans="4:5" x14ac:dyDescent="0.15">
      <c r="D1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C191)),
  ROW(),
  ""
)</f>
        <v>191</v>
      </c>
      <c r="E191">
        <f t="shared" si="2"/>
        <v>0</v>
      </c>
    </row>
    <row r="192" spans="4:5" x14ac:dyDescent="0.15">
      <c r="D1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C192)),
  ROW(),
  ""
)</f>
        <v>192</v>
      </c>
      <c r="E192">
        <f t="shared" si="2"/>
        <v>0</v>
      </c>
    </row>
    <row r="193" spans="4:5" x14ac:dyDescent="0.15">
      <c r="D1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C193)),
  ROW(),
  ""
)</f>
        <v>193</v>
      </c>
      <c r="E193">
        <f t="shared" si="2"/>
        <v>0</v>
      </c>
    </row>
    <row r="194" spans="4:5" x14ac:dyDescent="0.15">
      <c r="D1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C194)),
  ROW(),
  ""
)</f>
        <v>194</v>
      </c>
      <c r="E194">
        <f t="shared" ref="E194:E257" si="3">INDEX(C$1:C$1487,SMALL($D$2:$D$1490,ROW(C193)))</f>
        <v>0</v>
      </c>
    </row>
    <row r="195" spans="4:5" x14ac:dyDescent="0.15">
      <c r="D1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C195)),
  ROW(),
  ""
)</f>
        <v>195</v>
      </c>
      <c r="E195">
        <f t="shared" si="3"/>
        <v>0</v>
      </c>
    </row>
    <row r="196" spans="4:5" x14ac:dyDescent="0.15">
      <c r="D1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C196)),
  ROW(),
  ""
)</f>
        <v>196</v>
      </c>
      <c r="E196">
        <f t="shared" si="3"/>
        <v>0</v>
      </c>
    </row>
    <row r="197" spans="4:5" x14ac:dyDescent="0.15">
      <c r="D1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C197)),
  ROW(),
  ""
)</f>
        <v>197</v>
      </c>
      <c r="E197">
        <f t="shared" si="3"/>
        <v>0</v>
      </c>
    </row>
    <row r="198" spans="4:5" x14ac:dyDescent="0.15">
      <c r="D1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C198)),
  ROW(),
  ""
)</f>
        <v>198</v>
      </c>
      <c r="E198">
        <f t="shared" si="3"/>
        <v>0</v>
      </c>
    </row>
    <row r="199" spans="4:5" x14ac:dyDescent="0.15">
      <c r="D1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C199)),
  ROW(),
  ""
)</f>
        <v>199</v>
      </c>
      <c r="E199">
        <f t="shared" si="3"/>
        <v>0</v>
      </c>
    </row>
    <row r="200" spans="4:5" x14ac:dyDescent="0.15">
      <c r="D2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C200)),
  ROW(),
  ""
)</f>
        <v>200</v>
      </c>
      <c r="E200">
        <f t="shared" si="3"/>
        <v>0</v>
      </c>
    </row>
    <row r="201" spans="4:5" x14ac:dyDescent="0.15">
      <c r="D2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C201)),
  ROW(),
  ""
)</f>
        <v>201</v>
      </c>
      <c r="E201">
        <f t="shared" si="3"/>
        <v>0</v>
      </c>
    </row>
    <row r="202" spans="4:5" x14ac:dyDescent="0.15">
      <c r="D2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C202)),
  ROW(),
  ""
)</f>
        <v>202</v>
      </c>
      <c r="E202">
        <f t="shared" si="3"/>
        <v>0</v>
      </c>
    </row>
    <row r="203" spans="4:5" x14ac:dyDescent="0.15">
      <c r="D2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C203)),
  ROW(),
  ""
)</f>
        <v>203</v>
      </c>
      <c r="E203">
        <f t="shared" si="3"/>
        <v>0</v>
      </c>
    </row>
    <row r="204" spans="4:5" x14ac:dyDescent="0.15">
      <c r="D2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C204)),
  ROW(),
  ""
)</f>
        <v>204</v>
      </c>
      <c r="E204">
        <f t="shared" si="3"/>
        <v>0</v>
      </c>
    </row>
    <row r="205" spans="4:5" x14ac:dyDescent="0.15">
      <c r="D2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C205)),
  ROW(),
  ""
)</f>
        <v>205</v>
      </c>
      <c r="E205">
        <f t="shared" si="3"/>
        <v>0</v>
      </c>
    </row>
    <row r="206" spans="4:5" x14ac:dyDescent="0.15">
      <c r="D2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C206)),
  ROW(),
  ""
)</f>
        <v>206</v>
      </c>
      <c r="E206">
        <f t="shared" si="3"/>
        <v>0</v>
      </c>
    </row>
    <row r="207" spans="4:5" x14ac:dyDescent="0.15">
      <c r="D2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C207)),
  ROW(),
  ""
)</f>
        <v>207</v>
      </c>
      <c r="E207">
        <f t="shared" si="3"/>
        <v>0</v>
      </c>
    </row>
    <row r="208" spans="4:5" x14ac:dyDescent="0.15">
      <c r="D2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C208)),
  ROW(),
  ""
)</f>
        <v>208</v>
      </c>
      <c r="E208">
        <f t="shared" si="3"/>
        <v>0</v>
      </c>
    </row>
    <row r="209" spans="4:5" x14ac:dyDescent="0.15">
      <c r="D2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C209)),
  ROW(),
  ""
)</f>
        <v>209</v>
      </c>
      <c r="E209">
        <f t="shared" si="3"/>
        <v>0</v>
      </c>
    </row>
    <row r="210" spans="4:5" x14ac:dyDescent="0.15">
      <c r="D2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C210)),
  ROW(),
  ""
)</f>
        <v>210</v>
      </c>
      <c r="E210">
        <f t="shared" si="3"/>
        <v>0</v>
      </c>
    </row>
    <row r="211" spans="4:5" x14ac:dyDescent="0.15">
      <c r="D2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C211)),
  ROW(),
  ""
)</f>
        <v>211</v>
      </c>
      <c r="E211">
        <f t="shared" si="3"/>
        <v>0</v>
      </c>
    </row>
    <row r="212" spans="4:5" x14ac:dyDescent="0.15">
      <c r="D2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C212)),
  ROW(),
  ""
)</f>
        <v>212</v>
      </c>
      <c r="E212">
        <f t="shared" si="3"/>
        <v>0</v>
      </c>
    </row>
    <row r="213" spans="4:5" x14ac:dyDescent="0.15">
      <c r="D2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C213)),
  ROW(),
  ""
)</f>
        <v>213</v>
      </c>
      <c r="E213">
        <f t="shared" si="3"/>
        <v>0</v>
      </c>
    </row>
    <row r="214" spans="4:5" x14ac:dyDescent="0.15">
      <c r="D2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C214)),
  ROW(),
  ""
)</f>
        <v>214</v>
      </c>
      <c r="E214">
        <f t="shared" si="3"/>
        <v>0</v>
      </c>
    </row>
    <row r="215" spans="4:5" x14ac:dyDescent="0.15">
      <c r="D2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C215)),
  ROW(),
  ""
)</f>
        <v>215</v>
      </c>
      <c r="E215">
        <f t="shared" si="3"/>
        <v>0</v>
      </c>
    </row>
    <row r="216" spans="4:5" x14ac:dyDescent="0.15">
      <c r="D2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C216)),
  ROW(),
  ""
)</f>
        <v>216</v>
      </c>
      <c r="E216">
        <f t="shared" si="3"/>
        <v>0</v>
      </c>
    </row>
    <row r="217" spans="4:5" x14ac:dyDescent="0.15">
      <c r="D2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C217)),
  ROW(),
  ""
)</f>
        <v>217</v>
      </c>
      <c r="E217">
        <f t="shared" si="3"/>
        <v>0</v>
      </c>
    </row>
    <row r="218" spans="4:5" x14ac:dyDescent="0.15">
      <c r="D2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C218)),
  ROW(),
  ""
)</f>
        <v>218</v>
      </c>
      <c r="E218">
        <f t="shared" si="3"/>
        <v>0</v>
      </c>
    </row>
    <row r="219" spans="4:5" x14ac:dyDescent="0.15">
      <c r="D2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C219)),
  ROW(),
  ""
)</f>
        <v>219</v>
      </c>
      <c r="E219">
        <f t="shared" si="3"/>
        <v>0</v>
      </c>
    </row>
    <row r="220" spans="4:5" x14ac:dyDescent="0.15">
      <c r="D2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C220)),
  ROW(),
  ""
)</f>
        <v>220</v>
      </c>
      <c r="E220">
        <f t="shared" si="3"/>
        <v>0</v>
      </c>
    </row>
    <row r="221" spans="4:5" x14ac:dyDescent="0.15">
      <c r="D2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C221)),
  ROW(),
  ""
)</f>
        <v>221</v>
      </c>
      <c r="E221">
        <f t="shared" si="3"/>
        <v>0</v>
      </c>
    </row>
    <row r="222" spans="4:5" x14ac:dyDescent="0.15">
      <c r="D2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C222)),
  ROW(),
  ""
)</f>
        <v>222</v>
      </c>
      <c r="E222">
        <f t="shared" si="3"/>
        <v>0</v>
      </c>
    </row>
    <row r="223" spans="4:5" x14ac:dyDescent="0.15">
      <c r="D2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C223)),
  ROW(),
  ""
)</f>
        <v>223</v>
      </c>
      <c r="E223">
        <f t="shared" si="3"/>
        <v>0</v>
      </c>
    </row>
    <row r="224" spans="4:5" x14ac:dyDescent="0.15">
      <c r="D2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C224)),
  ROW(),
  ""
)</f>
        <v>224</v>
      </c>
      <c r="E224">
        <f t="shared" si="3"/>
        <v>0</v>
      </c>
    </row>
    <row r="225" spans="4:5" x14ac:dyDescent="0.15">
      <c r="D2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C225)),
  ROW(),
  ""
)</f>
        <v>225</v>
      </c>
      <c r="E225">
        <f t="shared" si="3"/>
        <v>0</v>
      </c>
    </row>
    <row r="226" spans="4:5" x14ac:dyDescent="0.15">
      <c r="D2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C226)),
  ROW(),
  ""
)</f>
        <v>226</v>
      </c>
      <c r="E226">
        <f t="shared" si="3"/>
        <v>0</v>
      </c>
    </row>
    <row r="227" spans="4:5" x14ac:dyDescent="0.15">
      <c r="D2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C227)),
  ROW(),
  ""
)</f>
        <v>227</v>
      </c>
      <c r="E227">
        <f t="shared" si="3"/>
        <v>0</v>
      </c>
    </row>
    <row r="228" spans="4:5" x14ac:dyDescent="0.15">
      <c r="D2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C228)),
  ROW(),
  ""
)</f>
        <v>228</v>
      </c>
      <c r="E228">
        <f t="shared" si="3"/>
        <v>0</v>
      </c>
    </row>
    <row r="229" spans="4:5" x14ac:dyDescent="0.15">
      <c r="D2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C229)),
  ROW(),
  ""
)</f>
        <v>229</v>
      </c>
      <c r="E229">
        <f t="shared" si="3"/>
        <v>0</v>
      </c>
    </row>
    <row r="230" spans="4:5" x14ac:dyDescent="0.15">
      <c r="D2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C230)),
  ROW(),
  ""
)</f>
        <v>230</v>
      </c>
      <c r="E230">
        <f t="shared" si="3"/>
        <v>0</v>
      </c>
    </row>
    <row r="231" spans="4:5" x14ac:dyDescent="0.15">
      <c r="D2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C231)),
  ROW(),
  ""
)</f>
        <v>231</v>
      </c>
      <c r="E231">
        <f t="shared" si="3"/>
        <v>0</v>
      </c>
    </row>
    <row r="232" spans="4:5" x14ac:dyDescent="0.15">
      <c r="D2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C232)),
  ROW(),
  ""
)</f>
        <v>232</v>
      </c>
      <c r="E232">
        <f t="shared" si="3"/>
        <v>0</v>
      </c>
    </row>
    <row r="233" spans="4:5" x14ac:dyDescent="0.15">
      <c r="D2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C233)),
  ROW(),
  ""
)</f>
        <v>233</v>
      </c>
      <c r="E233">
        <f t="shared" si="3"/>
        <v>0</v>
      </c>
    </row>
    <row r="234" spans="4:5" x14ac:dyDescent="0.15">
      <c r="D2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C234)),
  ROW(),
  ""
)</f>
        <v>234</v>
      </c>
      <c r="E234">
        <f t="shared" si="3"/>
        <v>0</v>
      </c>
    </row>
    <row r="235" spans="4:5" x14ac:dyDescent="0.15">
      <c r="D2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C235)),
  ROW(),
  ""
)</f>
        <v>235</v>
      </c>
      <c r="E235">
        <f t="shared" si="3"/>
        <v>0</v>
      </c>
    </row>
    <row r="236" spans="4:5" x14ac:dyDescent="0.15">
      <c r="D2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C236)),
  ROW(),
  ""
)</f>
        <v>236</v>
      </c>
      <c r="E236">
        <f t="shared" si="3"/>
        <v>0</v>
      </c>
    </row>
    <row r="237" spans="4:5" x14ac:dyDescent="0.15">
      <c r="D2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C237)),
  ROW(),
  ""
)</f>
        <v>237</v>
      </c>
      <c r="E237">
        <f t="shared" si="3"/>
        <v>0</v>
      </c>
    </row>
    <row r="238" spans="4:5" x14ac:dyDescent="0.15">
      <c r="D2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C238)),
  ROW(),
  ""
)</f>
        <v>238</v>
      </c>
      <c r="E238">
        <f t="shared" si="3"/>
        <v>0</v>
      </c>
    </row>
    <row r="239" spans="4:5" x14ac:dyDescent="0.15">
      <c r="D2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C239)),
  ROW(),
  ""
)</f>
        <v>239</v>
      </c>
      <c r="E239">
        <f t="shared" si="3"/>
        <v>0</v>
      </c>
    </row>
    <row r="240" spans="4:5" x14ac:dyDescent="0.15">
      <c r="D2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C240)),
  ROW(),
  ""
)</f>
        <v>240</v>
      </c>
      <c r="E240">
        <f t="shared" si="3"/>
        <v>0</v>
      </c>
    </row>
    <row r="241" spans="4:5" x14ac:dyDescent="0.15">
      <c r="D2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C241)),
  ROW(),
  ""
)</f>
        <v>241</v>
      </c>
      <c r="E241">
        <f t="shared" si="3"/>
        <v>0</v>
      </c>
    </row>
    <row r="242" spans="4:5" x14ac:dyDescent="0.15">
      <c r="D2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C242)),
  ROW(),
  ""
)</f>
        <v>242</v>
      </c>
      <c r="E242">
        <f t="shared" si="3"/>
        <v>0</v>
      </c>
    </row>
    <row r="243" spans="4:5" x14ac:dyDescent="0.15">
      <c r="D2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C243)),
  ROW(),
  ""
)</f>
        <v>243</v>
      </c>
      <c r="E243">
        <f t="shared" si="3"/>
        <v>0</v>
      </c>
    </row>
    <row r="244" spans="4:5" x14ac:dyDescent="0.15">
      <c r="D2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C244)),
  ROW(),
  ""
)</f>
        <v>244</v>
      </c>
      <c r="E244">
        <f t="shared" si="3"/>
        <v>0</v>
      </c>
    </row>
    <row r="245" spans="4:5" x14ac:dyDescent="0.15">
      <c r="D2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C245)),
  ROW(),
  ""
)</f>
        <v>245</v>
      </c>
      <c r="E245">
        <f t="shared" si="3"/>
        <v>0</v>
      </c>
    </row>
    <row r="246" spans="4:5" x14ac:dyDescent="0.15">
      <c r="D2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C246)),
  ROW(),
  ""
)</f>
        <v>246</v>
      </c>
      <c r="E246">
        <f t="shared" si="3"/>
        <v>0</v>
      </c>
    </row>
    <row r="247" spans="4:5" x14ac:dyDescent="0.15">
      <c r="D2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C247)),
  ROW(),
  ""
)</f>
        <v>247</v>
      </c>
      <c r="E247">
        <f t="shared" si="3"/>
        <v>0</v>
      </c>
    </row>
    <row r="248" spans="4:5" x14ac:dyDescent="0.15">
      <c r="D2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C248)),
  ROW(),
  ""
)</f>
        <v>248</v>
      </c>
      <c r="E248">
        <f t="shared" si="3"/>
        <v>0</v>
      </c>
    </row>
    <row r="249" spans="4:5" x14ac:dyDescent="0.15">
      <c r="D2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C249)),
  ROW(),
  ""
)</f>
        <v>249</v>
      </c>
      <c r="E249">
        <f t="shared" si="3"/>
        <v>0</v>
      </c>
    </row>
    <row r="250" spans="4:5" x14ac:dyDescent="0.15">
      <c r="D2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C250)),
  ROW(),
  ""
)</f>
        <v>250</v>
      </c>
      <c r="E250">
        <f t="shared" si="3"/>
        <v>0</v>
      </c>
    </row>
    <row r="251" spans="4:5" x14ac:dyDescent="0.15">
      <c r="D2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C251)),
  ROW(),
  ""
)</f>
        <v>251</v>
      </c>
      <c r="E251">
        <f t="shared" si="3"/>
        <v>0</v>
      </c>
    </row>
    <row r="252" spans="4:5" x14ac:dyDescent="0.15">
      <c r="D2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C252)),
  ROW(),
  ""
)</f>
        <v>252</v>
      </c>
      <c r="E252">
        <f t="shared" si="3"/>
        <v>0</v>
      </c>
    </row>
    <row r="253" spans="4:5" x14ac:dyDescent="0.15">
      <c r="D2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C253)),
  ROW(),
  ""
)</f>
        <v>253</v>
      </c>
      <c r="E253">
        <f t="shared" si="3"/>
        <v>0</v>
      </c>
    </row>
    <row r="254" spans="4:5" x14ac:dyDescent="0.15">
      <c r="D2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C254)),
  ROW(),
  ""
)</f>
        <v>254</v>
      </c>
      <c r="E254">
        <f t="shared" si="3"/>
        <v>0</v>
      </c>
    </row>
    <row r="255" spans="4:5" x14ac:dyDescent="0.15">
      <c r="D2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C255)),
  ROW(),
  ""
)</f>
        <v>255</v>
      </c>
      <c r="E255">
        <f t="shared" si="3"/>
        <v>0</v>
      </c>
    </row>
    <row r="256" spans="4:5" x14ac:dyDescent="0.15">
      <c r="D2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C256)),
  ROW(),
  ""
)</f>
        <v>256</v>
      </c>
      <c r="E256">
        <f t="shared" si="3"/>
        <v>0</v>
      </c>
    </row>
    <row r="257" spans="4:5" x14ac:dyDescent="0.15">
      <c r="D2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C257)),
  ROW(),
  ""
)</f>
        <v>257</v>
      </c>
      <c r="E257">
        <f t="shared" si="3"/>
        <v>0</v>
      </c>
    </row>
    <row r="258" spans="4:5" x14ac:dyDescent="0.15">
      <c r="D2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C258)),
  ROW(),
  ""
)</f>
        <v>258</v>
      </c>
      <c r="E258">
        <f t="shared" ref="E258:E321" si="4">INDEX(C$1:C$1487,SMALL($D$2:$D$1490,ROW(C257)))</f>
        <v>0</v>
      </c>
    </row>
    <row r="259" spans="4:5" x14ac:dyDescent="0.15">
      <c r="D2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C259)),
  ROW(),
  ""
)</f>
        <v>259</v>
      </c>
      <c r="E259">
        <f t="shared" si="4"/>
        <v>0</v>
      </c>
    </row>
    <row r="260" spans="4:5" x14ac:dyDescent="0.15">
      <c r="D2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C260)),
  ROW(),
  ""
)</f>
        <v>260</v>
      </c>
      <c r="E260">
        <f t="shared" si="4"/>
        <v>0</v>
      </c>
    </row>
    <row r="261" spans="4:5" x14ac:dyDescent="0.15">
      <c r="D2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C261)),
  ROW(),
  ""
)</f>
        <v>261</v>
      </c>
      <c r="E261">
        <f t="shared" si="4"/>
        <v>0</v>
      </c>
    </row>
    <row r="262" spans="4:5" x14ac:dyDescent="0.15">
      <c r="D2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C262)),
  ROW(),
  ""
)</f>
        <v>262</v>
      </c>
      <c r="E262">
        <f t="shared" si="4"/>
        <v>0</v>
      </c>
    </row>
    <row r="263" spans="4:5" x14ac:dyDescent="0.15">
      <c r="D2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C263)),
  ROW(),
  ""
)</f>
        <v>263</v>
      </c>
      <c r="E263">
        <f t="shared" si="4"/>
        <v>0</v>
      </c>
    </row>
    <row r="264" spans="4:5" x14ac:dyDescent="0.15">
      <c r="D2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C264)),
  ROW(),
  ""
)</f>
        <v>264</v>
      </c>
      <c r="E264">
        <f t="shared" si="4"/>
        <v>0</v>
      </c>
    </row>
    <row r="265" spans="4:5" x14ac:dyDescent="0.15">
      <c r="D2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C265)),
  ROW(),
  ""
)</f>
        <v>265</v>
      </c>
      <c r="E265">
        <f t="shared" si="4"/>
        <v>0</v>
      </c>
    </row>
    <row r="266" spans="4:5" x14ac:dyDescent="0.15">
      <c r="D2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C266)),
  ROW(),
  ""
)</f>
        <v>266</v>
      </c>
      <c r="E266">
        <f t="shared" si="4"/>
        <v>0</v>
      </c>
    </row>
    <row r="267" spans="4:5" x14ac:dyDescent="0.15">
      <c r="D2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C267)),
  ROW(),
  ""
)</f>
        <v>267</v>
      </c>
      <c r="E267">
        <f t="shared" si="4"/>
        <v>0</v>
      </c>
    </row>
    <row r="268" spans="4:5" x14ac:dyDescent="0.15">
      <c r="D2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C268)),
  ROW(),
  ""
)</f>
        <v>268</v>
      </c>
      <c r="E268">
        <f t="shared" si="4"/>
        <v>0</v>
      </c>
    </row>
    <row r="269" spans="4:5" x14ac:dyDescent="0.15">
      <c r="D2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C269)),
  ROW(),
  ""
)</f>
        <v>269</v>
      </c>
      <c r="E269">
        <f t="shared" si="4"/>
        <v>0</v>
      </c>
    </row>
    <row r="270" spans="4:5" x14ac:dyDescent="0.15">
      <c r="D2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C270)),
  ROW(),
  ""
)</f>
        <v>270</v>
      </c>
      <c r="E270">
        <f t="shared" si="4"/>
        <v>0</v>
      </c>
    </row>
    <row r="271" spans="4:5" x14ac:dyDescent="0.15">
      <c r="D2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C271)),
  ROW(),
  ""
)</f>
        <v>271</v>
      </c>
      <c r="E271">
        <f t="shared" si="4"/>
        <v>0</v>
      </c>
    </row>
    <row r="272" spans="4:5" x14ac:dyDescent="0.15">
      <c r="D2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C272)),
  ROW(),
  ""
)</f>
        <v>272</v>
      </c>
      <c r="E272">
        <f t="shared" si="4"/>
        <v>0</v>
      </c>
    </row>
    <row r="273" spans="4:5" x14ac:dyDescent="0.15">
      <c r="D2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C273)),
  ROW(),
  ""
)</f>
        <v>273</v>
      </c>
      <c r="E273">
        <f t="shared" si="4"/>
        <v>0</v>
      </c>
    </row>
    <row r="274" spans="4:5" x14ac:dyDescent="0.15">
      <c r="D2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C274)),
  ROW(),
  ""
)</f>
        <v>274</v>
      </c>
      <c r="E274">
        <f t="shared" si="4"/>
        <v>0</v>
      </c>
    </row>
    <row r="275" spans="4:5" x14ac:dyDescent="0.15">
      <c r="D2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C275)),
  ROW(),
  ""
)</f>
        <v>275</v>
      </c>
      <c r="E275">
        <f t="shared" si="4"/>
        <v>0</v>
      </c>
    </row>
    <row r="276" spans="4:5" x14ac:dyDescent="0.15">
      <c r="D2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C276)),
  ROW(),
  ""
)</f>
        <v>276</v>
      </c>
      <c r="E276">
        <f t="shared" si="4"/>
        <v>0</v>
      </c>
    </row>
    <row r="277" spans="4:5" x14ac:dyDescent="0.15">
      <c r="D2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C277)),
  ROW(),
  ""
)</f>
        <v>277</v>
      </c>
      <c r="E277">
        <f t="shared" si="4"/>
        <v>0</v>
      </c>
    </row>
    <row r="278" spans="4:5" x14ac:dyDescent="0.15">
      <c r="D2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C278)),
  ROW(),
  ""
)</f>
        <v>278</v>
      </c>
      <c r="E278">
        <f t="shared" si="4"/>
        <v>0</v>
      </c>
    </row>
    <row r="279" spans="4:5" x14ac:dyDescent="0.15">
      <c r="D2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C279)),
  ROW(),
  ""
)</f>
        <v>279</v>
      </c>
      <c r="E279">
        <f t="shared" si="4"/>
        <v>0</v>
      </c>
    </row>
    <row r="280" spans="4:5" x14ac:dyDescent="0.15">
      <c r="D2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C280)),
  ROW(),
  ""
)</f>
        <v>280</v>
      </c>
      <c r="E280">
        <f t="shared" si="4"/>
        <v>0</v>
      </c>
    </row>
    <row r="281" spans="4:5" x14ac:dyDescent="0.15">
      <c r="D2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C281)),
  ROW(),
  ""
)</f>
        <v>281</v>
      </c>
      <c r="E281">
        <f t="shared" si="4"/>
        <v>0</v>
      </c>
    </row>
    <row r="282" spans="4:5" x14ac:dyDescent="0.15">
      <c r="D2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C282)),
  ROW(),
  ""
)</f>
        <v>282</v>
      </c>
      <c r="E282">
        <f t="shared" si="4"/>
        <v>0</v>
      </c>
    </row>
    <row r="283" spans="4:5" x14ac:dyDescent="0.15">
      <c r="D2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C283)),
  ROW(),
  ""
)</f>
        <v>283</v>
      </c>
      <c r="E283">
        <f t="shared" si="4"/>
        <v>0</v>
      </c>
    </row>
    <row r="284" spans="4:5" x14ac:dyDescent="0.15">
      <c r="D2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C284)),
  ROW(),
  ""
)</f>
        <v>284</v>
      </c>
      <c r="E284">
        <f t="shared" si="4"/>
        <v>0</v>
      </c>
    </row>
    <row r="285" spans="4:5" x14ac:dyDescent="0.15">
      <c r="D2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C285)),
  ROW(),
  ""
)</f>
        <v>285</v>
      </c>
      <c r="E285">
        <f t="shared" si="4"/>
        <v>0</v>
      </c>
    </row>
    <row r="286" spans="4:5" x14ac:dyDescent="0.15">
      <c r="D2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C286)),
  ROW(),
  ""
)</f>
        <v>286</v>
      </c>
      <c r="E286">
        <f t="shared" si="4"/>
        <v>0</v>
      </c>
    </row>
    <row r="287" spans="4:5" x14ac:dyDescent="0.15">
      <c r="D2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C287)),
  ROW(),
  ""
)</f>
        <v>287</v>
      </c>
      <c r="E287">
        <f t="shared" si="4"/>
        <v>0</v>
      </c>
    </row>
    <row r="288" spans="4:5" x14ac:dyDescent="0.15">
      <c r="D2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C288)),
  ROW(),
  ""
)</f>
        <v>288</v>
      </c>
      <c r="E288">
        <f t="shared" si="4"/>
        <v>0</v>
      </c>
    </row>
    <row r="289" spans="4:5" x14ac:dyDescent="0.15">
      <c r="D2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C289)),
  ROW(),
  ""
)</f>
        <v>289</v>
      </c>
      <c r="E289">
        <f t="shared" si="4"/>
        <v>0</v>
      </c>
    </row>
    <row r="290" spans="4:5" x14ac:dyDescent="0.15">
      <c r="D2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C290)),
  ROW(),
  ""
)</f>
        <v>290</v>
      </c>
      <c r="E290">
        <f t="shared" si="4"/>
        <v>0</v>
      </c>
    </row>
    <row r="291" spans="4:5" x14ac:dyDescent="0.15">
      <c r="D2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C291)),
  ROW(),
  ""
)</f>
        <v>291</v>
      </c>
      <c r="E291">
        <f t="shared" si="4"/>
        <v>0</v>
      </c>
    </row>
    <row r="292" spans="4:5" x14ac:dyDescent="0.15">
      <c r="D2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C292)),
  ROW(),
  ""
)</f>
        <v>292</v>
      </c>
      <c r="E292">
        <f t="shared" si="4"/>
        <v>0</v>
      </c>
    </row>
    <row r="293" spans="4:5" x14ac:dyDescent="0.15">
      <c r="D2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C293)),
  ROW(),
  ""
)</f>
        <v>293</v>
      </c>
      <c r="E293">
        <f t="shared" si="4"/>
        <v>0</v>
      </c>
    </row>
    <row r="294" spans="4:5" x14ac:dyDescent="0.15">
      <c r="D2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C294)),
  ROW(),
  ""
)</f>
        <v>294</v>
      </c>
      <c r="E294">
        <f t="shared" si="4"/>
        <v>0</v>
      </c>
    </row>
    <row r="295" spans="4:5" x14ac:dyDescent="0.15">
      <c r="D2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C295)),
  ROW(),
  ""
)</f>
        <v>295</v>
      </c>
      <c r="E295">
        <f t="shared" si="4"/>
        <v>0</v>
      </c>
    </row>
    <row r="296" spans="4:5" x14ac:dyDescent="0.15">
      <c r="D2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C296)),
  ROW(),
  ""
)</f>
        <v>296</v>
      </c>
      <c r="E296">
        <f t="shared" si="4"/>
        <v>0</v>
      </c>
    </row>
    <row r="297" spans="4:5" x14ac:dyDescent="0.15">
      <c r="D2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C297)),
  ROW(),
  ""
)</f>
        <v>297</v>
      </c>
      <c r="E297">
        <f t="shared" si="4"/>
        <v>0</v>
      </c>
    </row>
    <row r="298" spans="4:5" x14ac:dyDescent="0.15">
      <c r="D2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C298)),
  ROW(),
  ""
)</f>
        <v>298</v>
      </c>
      <c r="E298">
        <f t="shared" si="4"/>
        <v>0</v>
      </c>
    </row>
    <row r="299" spans="4:5" x14ac:dyDescent="0.15">
      <c r="D2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C299)),
  ROW(),
  ""
)</f>
        <v>299</v>
      </c>
      <c r="E299">
        <f t="shared" si="4"/>
        <v>0</v>
      </c>
    </row>
    <row r="300" spans="4:5" x14ac:dyDescent="0.15">
      <c r="D3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C300)),
  ROW(),
  ""
)</f>
        <v>300</v>
      </c>
      <c r="E300">
        <f t="shared" si="4"/>
        <v>0</v>
      </c>
    </row>
    <row r="301" spans="4:5" x14ac:dyDescent="0.15">
      <c r="D3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C301)),
  ROW(),
  ""
)</f>
        <v>301</v>
      </c>
      <c r="E301">
        <f t="shared" si="4"/>
        <v>0</v>
      </c>
    </row>
    <row r="302" spans="4:5" x14ac:dyDescent="0.15">
      <c r="D3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C302)),
  ROW(),
  ""
)</f>
        <v>302</v>
      </c>
      <c r="E302">
        <f t="shared" si="4"/>
        <v>0</v>
      </c>
    </row>
    <row r="303" spans="4:5" x14ac:dyDescent="0.15">
      <c r="D3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C303)),
  ROW(),
  ""
)</f>
        <v>303</v>
      </c>
      <c r="E303">
        <f t="shared" si="4"/>
        <v>0</v>
      </c>
    </row>
    <row r="304" spans="4:5" x14ac:dyDescent="0.15">
      <c r="D3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C304)),
  ROW(),
  ""
)</f>
        <v>304</v>
      </c>
      <c r="E304">
        <f t="shared" si="4"/>
        <v>0</v>
      </c>
    </row>
    <row r="305" spans="4:5" x14ac:dyDescent="0.15">
      <c r="D3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C305)),
  ROW(),
  ""
)</f>
        <v>305</v>
      </c>
      <c r="E305">
        <f t="shared" si="4"/>
        <v>0</v>
      </c>
    </row>
    <row r="306" spans="4:5" x14ac:dyDescent="0.15">
      <c r="D3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C306)),
  ROW(),
  ""
)</f>
        <v>306</v>
      </c>
      <c r="E306">
        <f t="shared" si="4"/>
        <v>0</v>
      </c>
    </row>
    <row r="307" spans="4:5" x14ac:dyDescent="0.15">
      <c r="D3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C307)),
  ROW(),
  ""
)</f>
        <v>307</v>
      </c>
      <c r="E307">
        <f t="shared" si="4"/>
        <v>0</v>
      </c>
    </row>
    <row r="308" spans="4:5" x14ac:dyDescent="0.15">
      <c r="D3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C308)),
  ROW(),
  ""
)</f>
        <v>308</v>
      </c>
      <c r="E308">
        <f t="shared" si="4"/>
        <v>0</v>
      </c>
    </row>
    <row r="309" spans="4:5" x14ac:dyDescent="0.15">
      <c r="D3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C309)),
  ROW(),
  ""
)</f>
        <v>309</v>
      </c>
      <c r="E309">
        <f t="shared" si="4"/>
        <v>0</v>
      </c>
    </row>
    <row r="310" spans="4:5" x14ac:dyDescent="0.15">
      <c r="D3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C310)),
  ROW(),
  ""
)</f>
        <v>310</v>
      </c>
      <c r="E310">
        <f t="shared" si="4"/>
        <v>0</v>
      </c>
    </row>
    <row r="311" spans="4:5" x14ac:dyDescent="0.15">
      <c r="D3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C311)),
  ROW(),
  ""
)</f>
        <v>311</v>
      </c>
      <c r="E311">
        <f t="shared" si="4"/>
        <v>0</v>
      </c>
    </row>
    <row r="312" spans="4:5" x14ac:dyDescent="0.15">
      <c r="D3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C312)),
  ROW(),
  ""
)</f>
        <v>312</v>
      </c>
      <c r="E312">
        <f t="shared" si="4"/>
        <v>0</v>
      </c>
    </row>
    <row r="313" spans="4:5" x14ac:dyDescent="0.15">
      <c r="D3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C313)),
  ROW(),
  ""
)</f>
        <v>313</v>
      </c>
      <c r="E313">
        <f t="shared" si="4"/>
        <v>0</v>
      </c>
    </row>
    <row r="314" spans="4:5" x14ac:dyDescent="0.15">
      <c r="D3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C314)),
  ROW(),
  ""
)</f>
        <v>314</v>
      </c>
      <c r="E314">
        <f t="shared" si="4"/>
        <v>0</v>
      </c>
    </row>
    <row r="315" spans="4:5" x14ac:dyDescent="0.15">
      <c r="D3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C315)),
  ROW(),
  ""
)</f>
        <v>315</v>
      </c>
      <c r="E315">
        <f t="shared" si="4"/>
        <v>0</v>
      </c>
    </row>
    <row r="316" spans="4:5" x14ac:dyDescent="0.15">
      <c r="D3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C316)),
  ROW(),
  ""
)</f>
        <v>316</v>
      </c>
      <c r="E316">
        <f t="shared" si="4"/>
        <v>0</v>
      </c>
    </row>
    <row r="317" spans="4:5" x14ac:dyDescent="0.15">
      <c r="D3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C317)),
  ROW(),
  ""
)</f>
        <v>317</v>
      </c>
      <c r="E317">
        <f t="shared" si="4"/>
        <v>0</v>
      </c>
    </row>
    <row r="318" spans="4:5" x14ac:dyDescent="0.15">
      <c r="D3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C318)),
  ROW(),
  ""
)</f>
        <v>318</v>
      </c>
      <c r="E318">
        <f t="shared" si="4"/>
        <v>0</v>
      </c>
    </row>
    <row r="319" spans="4:5" x14ac:dyDescent="0.15">
      <c r="D3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C319)),
  ROW(),
  ""
)</f>
        <v>319</v>
      </c>
      <c r="E319">
        <f t="shared" si="4"/>
        <v>0</v>
      </c>
    </row>
    <row r="320" spans="4:5" x14ac:dyDescent="0.15">
      <c r="D3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C320)),
  ROW(),
  ""
)</f>
        <v>320</v>
      </c>
      <c r="E320">
        <f t="shared" si="4"/>
        <v>0</v>
      </c>
    </row>
    <row r="321" spans="4:5" x14ac:dyDescent="0.15">
      <c r="D3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C321)),
  ROW(),
  ""
)</f>
        <v>321</v>
      </c>
      <c r="E321">
        <f t="shared" si="4"/>
        <v>0</v>
      </c>
    </row>
    <row r="322" spans="4:5" x14ac:dyDescent="0.15">
      <c r="D3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C322)),
  ROW(),
  ""
)</f>
        <v>322</v>
      </c>
      <c r="E322">
        <f t="shared" ref="E322:E385" si="5">INDEX(C$1:C$1487,SMALL($D$2:$D$1490,ROW(C321)))</f>
        <v>0</v>
      </c>
    </row>
    <row r="323" spans="4:5" x14ac:dyDescent="0.15">
      <c r="D3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C323)),
  ROW(),
  ""
)</f>
        <v>323</v>
      </c>
      <c r="E323">
        <f t="shared" si="5"/>
        <v>0</v>
      </c>
    </row>
    <row r="324" spans="4:5" x14ac:dyDescent="0.15">
      <c r="D3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C324)),
  ROW(),
  ""
)</f>
        <v>324</v>
      </c>
      <c r="E324">
        <f t="shared" si="5"/>
        <v>0</v>
      </c>
    </row>
    <row r="325" spans="4:5" x14ac:dyDescent="0.15">
      <c r="D3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C325)),
  ROW(),
  ""
)</f>
        <v>325</v>
      </c>
      <c r="E325">
        <f t="shared" si="5"/>
        <v>0</v>
      </c>
    </row>
    <row r="326" spans="4:5" x14ac:dyDescent="0.15">
      <c r="D3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C326)),
  ROW(),
  ""
)</f>
        <v>326</v>
      </c>
      <c r="E326">
        <f t="shared" si="5"/>
        <v>0</v>
      </c>
    </row>
    <row r="327" spans="4:5" x14ac:dyDescent="0.15">
      <c r="D3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C327)),
  ROW(),
  ""
)</f>
        <v>327</v>
      </c>
      <c r="E327">
        <f t="shared" si="5"/>
        <v>0</v>
      </c>
    </row>
    <row r="328" spans="4:5" x14ac:dyDescent="0.15">
      <c r="D3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C328)),
  ROW(),
  ""
)</f>
        <v>328</v>
      </c>
      <c r="E328">
        <f t="shared" si="5"/>
        <v>0</v>
      </c>
    </row>
    <row r="329" spans="4:5" x14ac:dyDescent="0.15">
      <c r="D3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C329)),
  ROW(),
  ""
)</f>
        <v>329</v>
      </c>
      <c r="E329">
        <f t="shared" si="5"/>
        <v>0</v>
      </c>
    </row>
    <row r="330" spans="4:5" x14ac:dyDescent="0.15">
      <c r="D3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C330)),
  ROW(),
  ""
)</f>
        <v>330</v>
      </c>
      <c r="E330">
        <f t="shared" si="5"/>
        <v>0</v>
      </c>
    </row>
    <row r="331" spans="4:5" x14ac:dyDescent="0.15">
      <c r="D3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C331)),
  ROW(),
  ""
)</f>
        <v>331</v>
      </c>
      <c r="E331">
        <f t="shared" si="5"/>
        <v>0</v>
      </c>
    </row>
    <row r="332" spans="4:5" x14ac:dyDescent="0.15">
      <c r="D3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C332)),
  ROW(),
  ""
)</f>
        <v>332</v>
      </c>
      <c r="E332">
        <f t="shared" si="5"/>
        <v>0</v>
      </c>
    </row>
    <row r="333" spans="4:5" x14ac:dyDescent="0.15">
      <c r="D3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C333)),
  ROW(),
  ""
)</f>
        <v>333</v>
      </c>
      <c r="E333">
        <f t="shared" si="5"/>
        <v>0</v>
      </c>
    </row>
    <row r="334" spans="4:5" x14ac:dyDescent="0.15">
      <c r="D3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C334)),
  ROW(),
  ""
)</f>
        <v>334</v>
      </c>
      <c r="E334">
        <f t="shared" si="5"/>
        <v>0</v>
      </c>
    </row>
    <row r="335" spans="4:5" x14ac:dyDescent="0.15">
      <c r="D3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C335)),
  ROW(),
  ""
)</f>
        <v>335</v>
      </c>
      <c r="E335">
        <f t="shared" si="5"/>
        <v>0</v>
      </c>
    </row>
    <row r="336" spans="4:5" x14ac:dyDescent="0.15">
      <c r="D3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C336)),
  ROW(),
  ""
)</f>
        <v>336</v>
      </c>
      <c r="E336">
        <f t="shared" si="5"/>
        <v>0</v>
      </c>
    </row>
    <row r="337" spans="4:5" x14ac:dyDescent="0.15">
      <c r="D3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C337)),
  ROW(),
  ""
)</f>
        <v>337</v>
      </c>
      <c r="E337">
        <f t="shared" si="5"/>
        <v>0</v>
      </c>
    </row>
    <row r="338" spans="4:5" x14ac:dyDescent="0.15">
      <c r="D3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C338)),
  ROW(),
  ""
)</f>
        <v>338</v>
      </c>
      <c r="E338">
        <f t="shared" si="5"/>
        <v>0</v>
      </c>
    </row>
    <row r="339" spans="4:5" x14ac:dyDescent="0.15">
      <c r="D3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C339)),
  ROW(),
  ""
)</f>
        <v>339</v>
      </c>
      <c r="E339">
        <f t="shared" si="5"/>
        <v>0</v>
      </c>
    </row>
    <row r="340" spans="4:5" x14ac:dyDescent="0.15">
      <c r="D3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C340)),
  ROW(),
  ""
)</f>
        <v>340</v>
      </c>
      <c r="E340">
        <f t="shared" si="5"/>
        <v>0</v>
      </c>
    </row>
    <row r="341" spans="4:5" x14ac:dyDescent="0.15">
      <c r="D3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C341)),
  ROW(),
  ""
)</f>
        <v>341</v>
      </c>
      <c r="E341">
        <f t="shared" si="5"/>
        <v>0</v>
      </c>
    </row>
    <row r="342" spans="4:5" x14ac:dyDescent="0.15">
      <c r="D3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C342)),
  ROW(),
  ""
)</f>
        <v>342</v>
      </c>
      <c r="E342">
        <f t="shared" si="5"/>
        <v>0</v>
      </c>
    </row>
    <row r="343" spans="4:5" x14ac:dyDescent="0.15">
      <c r="D3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C343)),
  ROW(),
  ""
)</f>
        <v>343</v>
      </c>
      <c r="E343">
        <f t="shared" si="5"/>
        <v>0</v>
      </c>
    </row>
    <row r="344" spans="4:5" x14ac:dyDescent="0.15">
      <c r="D3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C344)),
  ROW(),
  ""
)</f>
        <v>344</v>
      </c>
      <c r="E344">
        <f t="shared" si="5"/>
        <v>0</v>
      </c>
    </row>
    <row r="345" spans="4:5" x14ac:dyDescent="0.15">
      <c r="D3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C345)),
  ROW(),
  ""
)</f>
        <v>345</v>
      </c>
      <c r="E345">
        <f t="shared" si="5"/>
        <v>0</v>
      </c>
    </row>
    <row r="346" spans="4:5" x14ac:dyDescent="0.15">
      <c r="D3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C346)),
  ROW(),
  ""
)</f>
        <v>346</v>
      </c>
      <c r="E346">
        <f t="shared" si="5"/>
        <v>0</v>
      </c>
    </row>
    <row r="347" spans="4:5" x14ac:dyDescent="0.15">
      <c r="D3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C347)),
  ROW(),
  ""
)</f>
        <v>347</v>
      </c>
      <c r="E347">
        <f t="shared" si="5"/>
        <v>0</v>
      </c>
    </row>
    <row r="348" spans="4:5" x14ac:dyDescent="0.15">
      <c r="D3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C348)),
  ROW(),
  ""
)</f>
        <v>348</v>
      </c>
      <c r="E348">
        <f t="shared" si="5"/>
        <v>0</v>
      </c>
    </row>
    <row r="349" spans="4:5" x14ac:dyDescent="0.15">
      <c r="D3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C349)),
  ROW(),
  ""
)</f>
        <v>349</v>
      </c>
      <c r="E349">
        <f t="shared" si="5"/>
        <v>0</v>
      </c>
    </row>
    <row r="350" spans="4:5" x14ac:dyDescent="0.15">
      <c r="D3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C350)),
  ROW(),
  ""
)</f>
        <v>350</v>
      </c>
      <c r="E350">
        <f t="shared" si="5"/>
        <v>0</v>
      </c>
    </row>
    <row r="351" spans="4:5" x14ac:dyDescent="0.15">
      <c r="D3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C351)),
  ROW(),
  ""
)</f>
        <v>351</v>
      </c>
      <c r="E351">
        <f t="shared" si="5"/>
        <v>0</v>
      </c>
    </row>
    <row r="352" spans="4:5" x14ac:dyDescent="0.15">
      <c r="D3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C352)),
  ROW(),
  ""
)</f>
        <v>352</v>
      </c>
      <c r="E352">
        <f t="shared" si="5"/>
        <v>0</v>
      </c>
    </row>
    <row r="353" spans="4:5" x14ac:dyDescent="0.15">
      <c r="D3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C353)),
  ROW(),
  ""
)</f>
        <v>353</v>
      </c>
      <c r="E353">
        <f t="shared" si="5"/>
        <v>0</v>
      </c>
    </row>
    <row r="354" spans="4:5" x14ac:dyDescent="0.15">
      <c r="D3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C354)),
  ROW(),
  ""
)</f>
        <v>354</v>
      </c>
      <c r="E354">
        <f t="shared" si="5"/>
        <v>0</v>
      </c>
    </row>
    <row r="355" spans="4:5" x14ac:dyDescent="0.15">
      <c r="D3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C355)),
  ROW(),
  ""
)</f>
        <v>355</v>
      </c>
      <c r="E355">
        <f t="shared" si="5"/>
        <v>0</v>
      </c>
    </row>
    <row r="356" spans="4:5" x14ac:dyDescent="0.15">
      <c r="D3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C356)),
  ROW(),
  ""
)</f>
        <v>356</v>
      </c>
      <c r="E356">
        <f t="shared" si="5"/>
        <v>0</v>
      </c>
    </row>
    <row r="357" spans="4:5" x14ac:dyDescent="0.15">
      <c r="D3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C357)),
  ROW(),
  ""
)</f>
        <v>357</v>
      </c>
      <c r="E357">
        <f t="shared" si="5"/>
        <v>0</v>
      </c>
    </row>
    <row r="358" spans="4:5" x14ac:dyDescent="0.15">
      <c r="D3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C358)),
  ROW(),
  ""
)</f>
        <v>358</v>
      </c>
      <c r="E358">
        <f t="shared" si="5"/>
        <v>0</v>
      </c>
    </row>
    <row r="359" spans="4:5" x14ac:dyDescent="0.15">
      <c r="D3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C359)),
  ROW(),
  ""
)</f>
        <v>359</v>
      </c>
      <c r="E359">
        <f t="shared" si="5"/>
        <v>0</v>
      </c>
    </row>
    <row r="360" spans="4:5" x14ac:dyDescent="0.15">
      <c r="D3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C360)),
  ROW(),
  ""
)</f>
        <v>360</v>
      </c>
      <c r="E360">
        <f t="shared" si="5"/>
        <v>0</v>
      </c>
    </row>
    <row r="361" spans="4:5" x14ac:dyDescent="0.15">
      <c r="D3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C361)),
  ROW(),
  ""
)</f>
        <v>361</v>
      </c>
      <c r="E361">
        <f t="shared" si="5"/>
        <v>0</v>
      </c>
    </row>
    <row r="362" spans="4:5" x14ac:dyDescent="0.15">
      <c r="D3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C362)),
  ROW(),
  ""
)</f>
        <v>362</v>
      </c>
      <c r="E362">
        <f t="shared" si="5"/>
        <v>0</v>
      </c>
    </row>
    <row r="363" spans="4:5" x14ac:dyDescent="0.15">
      <c r="D3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C363)),
  ROW(),
  ""
)</f>
        <v>363</v>
      </c>
      <c r="E363">
        <f t="shared" si="5"/>
        <v>0</v>
      </c>
    </row>
    <row r="364" spans="4:5" x14ac:dyDescent="0.15">
      <c r="D3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C364)),
  ROW(),
  ""
)</f>
        <v>364</v>
      </c>
      <c r="E364">
        <f t="shared" si="5"/>
        <v>0</v>
      </c>
    </row>
    <row r="365" spans="4:5" x14ac:dyDescent="0.15">
      <c r="D3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C365)),
  ROW(),
  ""
)</f>
        <v>365</v>
      </c>
      <c r="E365">
        <f t="shared" si="5"/>
        <v>0</v>
      </c>
    </row>
    <row r="366" spans="4:5" x14ac:dyDescent="0.15">
      <c r="D3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C366)),
  ROW(),
  ""
)</f>
        <v>366</v>
      </c>
      <c r="E366">
        <f t="shared" si="5"/>
        <v>0</v>
      </c>
    </row>
    <row r="367" spans="4:5" x14ac:dyDescent="0.15">
      <c r="D3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C367)),
  ROW(),
  ""
)</f>
        <v>367</v>
      </c>
      <c r="E367">
        <f t="shared" si="5"/>
        <v>0</v>
      </c>
    </row>
    <row r="368" spans="4:5" x14ac:dyDescent="0.15">
      <c r="D3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C368)),
  ROW(),
  ""
)</f>
        <v>368</v>
      </c>
      <c r="E368">
        <f t="shared" si="5"/>
        <v>0</v>
      </c>
    </row>
    <row r="369" spans="4:5" x14ac:dyDescent="0.15">
      <c r="D3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C369)),
  ROW(),
  ""
)</f>
        <v>369</v>
      </c>
      <c r="E369">
        <f t="shared" si="5"/>
        <v>0</v>
      </c>
    </row>
    <row r="370" spans="4:5" x14ac:dyDescent="0.15">
      <c r="D3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C370)),
  ROW(),
  ""
)</f>
        <v>370</v>
      </c>
      <c r="E370">
        <f t="shared" si="5"/>
        <v>0</v>
      </c>
    </row>
    <row r="371" spans="4:5" x14ac:dyDescent="0.15">
      <c r="D3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C371)),
  ROW(),
  ""
)</f>
        <v>371</v>
      </c>
      <c r="E371">
        <f t="shared" si="5"/>
        <v>0</v>
      </c>
    </row>
    <row r="372" spans="4:5" x14ac:dyDescent="0.15">
      <c r="D3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C372)),
  ROW(),
  ""
)</f>
        <v>372</v>
      </c>
      <c r="E372">
        <f t="shared" si="5"/>
        <v>0</v>
      </c>
    </row>
    <row r="373" spans="4:5" x14ac:dyDescent="0.15">
      <c r="D3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C373)),
  ROW(),
  ""
)</f>
        <v>373</v>
      </c>
      <c r="E373">
        <f t="shared" si="5"/>
        <v>0</v>
      </c>
    </row>
    <row r="374" spans="4:5" x14ac:dyDescent="0.15">
      <c r="D3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C374)),
  ROW(),
  ""
)</f>
        <v>374</v>
      </c>
      <c r="E374">
        <f t="shared" si="5"/>
        <v>0</v>
      </c>
    </row>
    <row r="375" spans="4:5" x14ac:dyDescent="0.15">
      <c r="D3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C375)),
  ROW(),
  ""
)</f>
        <v>375</v>
      </c>
      <c r="E375">
        <f t="shared" si="5"/>
        <v>0</v>
      </c>
    </row>
    <row r="376" spans="4:5" x14ac:dyDescent="0.15">
      <c r="D3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C376)),
  ROW(),
  ""
)</f>
        <v>376</v>
      </c>
      <c r="E376">
        <f t="shared" si="5"/>
        <v>0</v>
      </c>
    </row>
    <row r="377" spans="4:5" x14ac:dyDescent="0.15">
      <c r="D3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C377)),
  ROW(),
  ""
)</f>
        <v>377</v>
      </c>
      <c r="E377">
        <f t="shared" si="5"/>
        <v>0</v>
      </c>
    </row>
    <row r="378" spans="4:5" x14ac:dyDescent="0.15">
      <c r="D3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C378)),
  ROW(),
  ""
)</f>
        <v>378</v>
      </c>
      <c r="E378">
        <f t="shared" si="5"/>
        <v>0</v>
      </c>
    </row>
    <row r="379" spans="4:5" x14ac:dyDescent="0.15">
      <c r="D3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C379)),
  ROW(),
  ""
)</f>
        <v>379</v>
      </c>
      <c r="E379">
        <f t="shared" si="5"/>
        <v>0</v>
      </c>
    </row>
    <row r="380" spans="4:5" x14ac:dyDescent="0.15">
      <c r="D3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C380)),
  ROW(),
  ""
)</f>
        <v>380</v>
      </c>
      <c r="E380">
        <f t="shared" si="5"/>
        <v>0</v>
      </c>
    </row>
    <row r="381" spans="4:5" x14ac:dyDescent="0.15">
      <c r="D3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C381)),
  ROW(),
  ""
)</f>
        <v>381</v>
      </c>
      <c r="E381">
        <f t="shared" si="5"/>
        <v>0</v>
      </c>
    </row>
    <row r="382" spans="4:5" x14ac:dyDescent="0.15">
      <c r="D3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C382)),
  ROW(),
  ""
)</f>
        <v>382</v>
      </c>
      <c r="E382">
        <f t="shared" si="5"/>
        <v>0</v>
      </c>
    </row>
    <row r="383" spans="4:5" x14ac:dyDescent="0.15">
      <c r="D3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C383)),
  ROW(),
  ""
)</f>
        <v>383</v>
      </c>
      <c r="E383">
        <f t="shared" si="5"/>
        <v>0</v>
      </c>
    </row>
    <row r="384" spans="4:5" x14ac:dyDescent="0.15">
      <c r="D3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C384)),
  ROW(),
  ""
)</f>
        <v>384</v>
      </c>
      <c r="E384">
        <f t="shared" si="5"/>
        <v>0</v>
      </c>
    </row>
    <row r="385" spans="4:5" x14ac:dyDescent="0.15">
      <c r="D3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C385)),
  ROW(),
  ""
)</f>
        <v>385</v>
      </c>
      <c r="E385">
        <f t="shared" si="5"/>
        <v>0</v>
      </c>
    </row>
    <row r="386" spans="4:5" x14ac:dyDescent="0.15">
      <c r="D3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C386)),
  ROW(),
  ""
)</f>
        <v>386</v>
      </c>
      <c r="E386">
        <f t="shared" ref="E386:E449" si="6">INDEX(C$1:C$1487,SMALL($D$2:$D$1490,ROW(C385)))</f>
        <v>0</v>
      </c>
    </row>
    <row r="387" spans="4:5" x14ac:dyDescent="0.15">
      <c r="D3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C387)),
  ROW(),
  ""
)</f>
        <v>387</v>
      </c>
      <c r="E387">
        <f t="shared" si="6"/>
        <v>0</v>
      </c>
    </row>
    <row r="388" spans="4:5" x14ac:dyDescent="0.15">
      <c r="D3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C388)),
  ROW(),
  ""
)</f>
        <v>388</v>
      </c>
      <c r="E388">
        <f t="shared" si="6"/>
        <v>0</v>
      </c>
    </row>
    <row r="389" spans="4:5" x14ac:dyDescent="0.15">
      <c r="D3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C389)),
  ROW(),
  ""
)</f>
        <v>389</v>
      </c>
      <c r="E389">
        <f t="shared" si="6"/>
        <v>0</v>
      </c>
    </row>
    <row r="390" spans="4:5" x14ac:dyDescent="0.15">
      <c r="D3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C390)),
  ROW(),
  ""
)</f>
        <v>390</v>
      </c>
      <c r="E390">
        <f t="shared" si="6"/>
        <v>0</v>
      </c>
    </row>
    <row r="391" spans="4:5" x14ac:dyDescent="0.15">
      <c r="D3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C391)),
  ROW(),
  ""
)</f>
        <v>391</v>
      </c>
      <c r="E391">
        <f t="shared" si="6"/>
        <v>0</v>
      </c>
    </row>
    <row r="392" spans="4:5" x14ac:dyDescent="0.15">
      <c r="D3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C392)),
  ROW(),
  ""
)</f>
        <v>392</v>
      </c>
      <c r="E392">
        <f t="shared" si="6"/>
        <v>0</v>
      </c>
    </row>
    <row r="393" spans="4:5" x14ac:dyDescent="0.15">
      <c r="D3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C393)),
  ROW(),
  ""
)</f>
        <v>393</v>
      </c>
      <c r="E393">
        <f t="shared" si="6"/>
        <v>0</v>
      </c>
    </row>
    <row r="394" spans="4:5" x14ac:dyDescent="0.15">
      <c r="D3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C394)),
  ROW(),
  ""
)</f>
        <v>394</v>
      </c>
      <c r="E394">
        <f t="shared" si="6"/>
        <v>0</v>
      </c>
    </row>
    <row r="395" spans="4:5" x14ac:dyDescent="0.15">
      <c r="D3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C395)),
  ROW(),
  ""
)</f>
        <v>395</v>
      </c>
      <c r="E395">
        <f t="shared" si="6"/>
        <v>0</v>
      </c>
    </row>
    <row r="396" spans="4:5" x14ac:dyDescent="0.15">
      <c r="D3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C396)),
  ROW(),
  ""
)</f>
        <v>396</v>
      </c>
      <c r="E396">
        <f t="shared" si="6"/>
        <v>0</v>
      </c>
    </row>
    <row r="397" spans="4:5" x14ac:dyDescent="0.15">
      <c r="D3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C397)),
  ROW(),
  ""
)</f>
        <v>397</v>
      </c>
      <c r="E397">
        <f t="shared" si="6"/>
        <v>0</v>
      </c>
    </row>
    <row r="398" spans="4:5" x14ac:dyDescent="0.15">
      <c r="D3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C398)),
  ROW(),
  ""
)</f>
        <v>398</v>
      </c>
      <c r="E398">
        <f t="shared" si="6"/>
        <v>0</v>
      </c>
    </row>
    <row r="399" spans="4:5" x14ac:dyDescent="0.15">
      <c r="D3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C399)),
  ROW(),
  ""
)</f>
        <v>399</v>
      </c>
      <c r="E399">
        <f t="shared" si="6"/>
        <v>0</v>
      </c>
    </row>
    <row r="400" spans="4:5" x14ac:dyDescent="0.15">
      <c r="D4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C400)),
  ROW(),
  ""
)</f>
        <v>400</v>
      </c>
      <c r="E400">
        <f t="shared" si="6"/>
        <v>0</v>
      </c>
    </row>
    <row r="401" spans="4:5" x14ac:dyDescent="0.15">
      <c r="D4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C401)),
  ROW(),
  ""
)</f>
        <v>401</v>
      </c>
      <c r="E401">
        <f t="shared" si="6"/>
        <v>0</v>
      </c>
    </row>
    <row r="402" spans="4:5" x14ac:dyDescent="0.15">
      <c r="D4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C402)),
  ROW(),
  ""
)</f>
        <v>402</v>
      </c>
      <c r="E402">
        <f t="shared" si="6"/>
        <v>0</v>
      </c>
    </row>
    <row r="403" spans="4:5" x14ac:dyDescent="0.15">
      <c r="D4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C403)),
  ROW(),
  ""
)</f>
        <v>403</v>
      </c>
      <c r="E403">
        <f t="shared" si="6"/>
        <v>0</v>
      </c>
    </row>
    <row r="404" spans="4:5" x14ac:dyDescent="0.15">
      <c r="D4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C404)),
  ROW(),
  ""
)</f>
        <v>404</v>
      </c>
      <c r="E404">
        <f t="shared" si="6"/>
        <v>0</v>
      </c>
    </row>
    <row r="405" spans="4:5" x14ac:dyDescent="0.15">
      <c r="D4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C405)),
  ROW(),
  ""
)</f>
        <v>405</v>
      </c>
      <c r="E405">
        <f t="shared" si="6"/>
        <v>0</v>
      </c>
    </row>
    <row r="406" spans="4:5" x14ac:dyDescent="0.15">
      <c r="D4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C406)),
  ROW(),
  ""
)</f>
        <v>406</v>
      </c>
      <c r="E406">
        <f t="shared" si="6"/>
        <v>0</v>
      </c>
    </row>
    <row r="407" spans="4:5" x14ac:dyDescent="0.15">
      <c r="D4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C407)),
  ROW(),
  ""
)</f>
        <v>407</v>
      </c>
      <c r="E407">
        <f t="shared" si="6"/>
        <v>0</v>
      </c>
    </row>
    <row r="408" spans="4:5" x14ac:dyDescent="0.15">
      <c r="D4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C408)),
  ROW(),
  ""
)</f>
        <v>408</v>
      </c>
      <c r="E408">
        <f t="shared" si="6"/>
        <v>0</v>
      </c>
    </row>
    <row r="409" spans="4:5" x14ac:dyDescent="0.15">
      <c r="D4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C409)),
  ROW(),
  ""
)</f>
        <v>409</v>
      </c>
      <c r="E409">
        <f t="shared" si="6"/>
        <v>0</v>
      </c>
    </row>
    <row r="410" spans="4:5" x14ac:dyDescent="0.15">
      <c r="D4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C410)),
  ROW(),
  ""
)</f>
        <v>410</v>
      </c>
      <c r="E410">
        <f t="shared" si="6"/>
        <v>0</v>
      </c>
    </row>
    <row r="411" spans="4:5" x14ac:dyDescent="0.15">
      <c r="D4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C411)),
  ROW(),
  ""
)</f>
        <v>411</v>
      </c>
      <c r="E411">
        <f t="shared" si="6"/>
        <v>0</v>
      </c>
    </row>
    <row r="412" spans="4:5" x14ac:dyDescent="0.15">
      <c r="D4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C412)),
  ROW(),
  ""
)</f>
        <v>412</v>
      </c>
      <c r="E412">
        <f t="shared" si="6"/>
        <v>0</v>
      </c>
    </row>
    <row r="413" spans="4:5" x14ac:dyDescent="0.15">
      <c r="D4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C413)),
  ROW(),
  ""
)</f>
        <v>413</v>
      </c>
      <c r="E413">
        <f t="shared" si="6"/>
        <v>0</v>
      </c>
    </row>
    <row r="414" spans="4:5" x14ac:dyDescent="0.15">
      <c r="D4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C414)),
  ROW(),
  ""
)</f>
        <v>414</v>
      </c>
      <c r="E414">
        <f t="shared" si="6"/>
        <v>0</v>
      </c>
    </row>
    <row r="415" spans="4:5" x14ac:dyDescent="0.15">
      <c r="D4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C415)),
  ROW(),
  ""
)</f>
        <v>415</v>
      </c>
      <c r="E415">
        <f t="shared" si="6"/>
        <v>0</v>
      </c>
    </row>
    <row r="416" spans="4:5" x14ac:dyDescent="0.15">
      <c r="D4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C416)),
  ROW(),
  ""
)</f>
        <v>416</v>
      </c>
      <c r="E416">
        <f t="shared" si="6"/>
        <v>0</v>
      </c>
    </row>
    <row r="417" spans="4:5" x14ac:dyDescent="0.15">
      <c r="D4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C417)),
  ROW(),
  ""
)</f>
        <v>417</v>
      </c>
      <c r="E417">
        <f t="shared" si="6"/>
        <v>0</v>
      </c>
    </row>
    <row r="418" spans="4:5" x14ac:dyDescent="0.15">
      <c r="D4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C418)),
  ROW(),
  ""
)</f>
        <v>418</v>
      </c>
      <c r="E418">
        <f t="shared" si="6"/>
        <v>0</v>
      </c>
    </row>
    <row r="419" spans="4:5" x14ac:dyDescent="0.15">
      <c r="D4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C419)),
  ROW(),
  ""
)</f>
        <v>419</v>
      </c>
      <c r="E419">
        <f t="shared" si="6"/>
        <v>0</v>
      </c>
    </row>
    <row r="420" spans="4:5" x14ac:dyDescent="0.15">
      <c r="D4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C420)),
  ROW(),
  ""
)</f>
        <v>420</v>
      </c>
      <c r="E420">
        <f t="shared" si="6"/>
        <v>0</v>
      </c>
    </row>
    <row r="421" spans="4:5" x14ac:dyDescent="0.15">
      <c r="D4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C421)),
  ROW(),
  ""
)</f>
        <v>421</v>
      </c>
      <c r="E421">
        <f t="shared" si="6"/>
        <v>0</v>
      </c>
    </row>
    <row r="422" spans="4:5" x14ac:dyDescent="0.15">
      <c r="D4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C422)),
  ROW(),
  ""
)</f>
        <v>422</v>
      </c>
      <c r="E422">
        <f t="shared" si="6"/>
        <v>0</v>
      </c>
    </row>
    <row r="423" spans="4:5" x14ac:dyDescent="0.15">
      <c r="D4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C423)),
  ROW(),
  ""
)</f>
        <v>423</v>
      </c>
      <c r="E423">
        <f t="shared" si="6"/>
        <v>0</v>
      </c>
    </row>
    <row r="424" spans="4:5" x14ac:dyDescent="0.15">
      <c r="D4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C424)),
  ROW(),
  ""
)</f>
        <v>424</v>
      </c>
      <c r="E424">
        <f t="shared" si="6"/>
        <v>0</v>
      </c>
    </row>
    <row r="425" spans="4:5" x14ac:dyDescent="0.15">
      <c r="D4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C425)),
  ROW(),
  ""
)</f>
        <v>425</v>
      </c>
      <c r="E425">
        <f t="shared" si="6"/>
        <v>0</v>
      </c>
    </row>
    <row r="426" spans="4:5" x14ac:dyDescent="0.15">
      <c r="D4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C426)),
  ROW(),
  ""
)</f>
        <v>426</v>
      </c>
      <c r="E426">
        <f t="shared" si="6"/>
        <v>0</v>
      </c>
    </row>
    <row r="427" spans="4:5" x14ac:dyDescent="0.15">
      <c r="D4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C427)),
  ROW(),
  ""
)</f>
        <v>427</v>
      </c>
      <c r="E427">
        <f t="shared" si="6"/>
        <v>0</v>
      </c>
    </row>
    <row r="428" spans="4:5" x14ac:dyDescent="0.15">
      <c r="D4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C428)),
  ROW(),
  ""
)</f>
        <v>428</v>
      </c>
      <c r="E428">
        <f t="shared" si="6"/>
        <v>0</v>
      </c>
    </row>
    <row r="429" spans="4:5" x14ac:dyDescent="0.15">
      <c r="D4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C429)),
  ROW(),
  ""
)</f>
        <v>429</v>
      </c>
      <c r="E429">
        <f t="shared" si="6"/>
        <v>0</v>
      </c>
    </row>
    <row r="430" spans="4:5" x14ac:dyDescent="0.15">
      <c r="D4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C430)),
  ROW(),
  ""
)</f>
        <v>430</v>
      </c>
      <c r="E430">
        <f t="shared" si="6"/>
        <v>0</v>
      </c>
    </row>
    <row r="431" spans="4:5" x14ac:dyDescent="0.15">
      <c r="D4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C431)),
  ROW(),
  ""
)</f>
        <v>431</v>
      </c>
      <c r="E431">
        <f t="shared" si="6"/>
        <v>0</v>
      </c>
    </row>
    <row r="432" spans="4:5" x14ac:dyDescent="0.15">
      <c r="D4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C432)),
  ROW(),
  ""
)</f>
        <v>432</v>
      </c>
      <c r="E432">
        <f t="shared" si="6"/>
        <v>0</v>
      </c>
    </row>
    <row r="433" spans="4:5" x14ac:dyDescent="0.15">
      <c r="D4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C433)),
  ROW(),
  ""
)</f>
        <v>433</v>
      </c>
      <c r="E433">
        <f t="shared" si="6"/>
        <v>0</v>
      </c>
    </row>
    <row r="434" spans="4:5" x14ac:dyDescent="0.15">
      <c r="D4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C434)),
  ROW(),
  ""
)</f>
        <v>434</v>
      </c>
      <c r="E434">
        <f t="shared" si="6"/>
        <v>0</v>
      </c>
    </row>
    <row r="435" spans="4:5" x14ac:dyDescent="0.15">
      <c r="D4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C435)),
  ROW(),
  ""
)</f>
        <v>435</v>
      </c>
      <c r="E435">
        <f t="shared" si="6"/>
        <v>0</v>
      </c>
    </row>
    <row r="436" spans="4:5" x14ac:dyDescent="0.15">
      <c r="D4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C436)),
  ROW(),
  ""
)</f>
        <v>436</v>
      </c>
      <c r="E436">
        <f t="shared" si="6"/>
        <v>0</v>
      </c>
    </row>
    <row r="437" spans="4:5" x14ac:dyDescent="0.15">
      <c r="D4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C437)),
  ROW(),
  ""
)</f>
        <v>437</v>
      </c>
      <c r="E437">
        <f t="shared" si="6"/>
        <v>0</v>
      </c>
    </row>
    <row r="438" spans="4:5" x14ac:dyDescent="0.15">
      <c r="D4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C438)),
  ROW(),
  ""
)</f>
        <v>438</v>
      </c>
      <c r="E438">
        <f t="shared" si="6"/>
        <v>0</v>
      </c>
    </row>
    <row r="439" spans="4:5" x14ac:dyDescent="0.15">
      <c r="D4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C439)),
  ROW(),
  ""
)</f>
        <v>439</v>
      </c>
      <c r="E439">
        <f t="shared" si="6"/>
        <v>0</v>
      </c>
    </row>
    <row r="440" spans="4:5" x14ac:dyDescent="0.15">
      <c r="D4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C440)),
  ROW(),
  ""
)</f>
        <v>440</v>
      </c>
      <c r="E440">
        <f t="shared" si="6"/>
        <v>0</v>
      </c>
    </row>
    <row r="441" spans="4:5" x14ac:dyDescent="0.15">
      <c r="D4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C441)),
  ROW(),
  ""
)</f>
        <v>441</v>
      </c>
      <c r="E441">
        <f t="shared" si="6"/>
        <v>0</v>
      </c>
    </row>
    <row r="442" spans="4:5" x14ac:dyDescent="0.15">
      <c r="D4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C442)),
  ROW(),
  ""
)</f>
        <v>442</v>
      </c>
      <c r="E442">
        <f t="shared" si="6"/>
        <v>0</v>
      </c>
    </row>
    <row r="443" spans="4:5" x14ac:dyDescent="0.15">
      <c r="D4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C443)),
  ROW(),
  ""
)</f>
        <v>443</v>
      </c>
      <c r="E443">
        <f t="shared" si="6"/>
        <v>0</v>
      </c>
    </row>
    <row r="444" spans="4:5" x14ac:dyDescent="0.15">
      <c r="D4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C444)),
  ROW(),
  ""
)</f>
        <v>444</v>
      </c>
      <c r="E444">
        <f t="shared" si="6"/>
        <v>0</v>
      </c>
    </row>
    <row r="445" spans="4:5" x14ac:dyDescent="0.15">
      <c r="D4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C445)),
  ROW(),
  ""
)</f>
        <v>445</v>
      </c>
      <c r="E445">
        <f t="shared" si="6"/>
        <v>0</v>
      </c>
    </row>
    <row r="446" spans="4:5" x14ac:dyDescent="0.15">
      <c r="D4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C446)),
  ROW(),
  ""
)</f>
        <v>446</v>
      </c>
      <c r="E446">
        <f t="shared" si="6"/>
        <v>0</v>
      </c>
    </row>
    <row r="447" spans="4:5" x14ac:dyDescent="0.15">
      <c r="D4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C447)),
  ROW(),
  ""
)</f>
        <v>447</v>
      </c>
      <c r="E447">
        <f t="shared" si="6"/>
        <v>0</v>
      </c>
    </row>
    <row r="448" spans="4:5" x14ac:dyDescent="0.15">
      <c r="D4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C448)),
  ROW(),
  ""
)</f>
        <v>448</v>
      </c>
      <c r="E448">
        <f t="shared" si="6"/>
        <v>0</v>
      </c>
    </row>
    <row r="449" spans="4:5" x14ac:dyDescent="0.15">
      <c r="D4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C449)),
  ROW(),
  ""
)</f>
        <v>449</v>
      </c>
      <c r="E449">
        <f t="shared" si="6"/>
        <v>0</v>
      </c>
    </row>
    <row r="450" spans="4:5" x14ac:dyDescent="0.15">
      <c r="D4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C450)),
  ROW(),
  ""
)</f>
        <v>450</v>
      </c>
      <c r="E450">
        <f t="shared" ref="E450:E513" si="7">INDEX(C$1:C$1487,SMALL($D$2:$D$1490,ROW(C449)))</f>
        <v>0</v>
      </c>
    </row>
    <row r="451" spans="4:5" x14ac:dyDescent="0.15">
      <c r="D4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C451)),
  ROW(),
  ""
)</f>
        <v>451</v>
      </c>
      <c r="E451">
        <f t="shared" si="7"/>
        <v>0</v>
      </c>
    </row>
    <row r="452" spans="4:5" x14ac:dyDescent="0.15">
      <c r="D4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C452)),
  ROW(),
  ""
)</f>
        <v>452</v>
      </c>
      <c r="E452">
        <f t="shared" si="7"/>
        <v>0</v>
      </c>
    </row>
    <row r="453" spans="4:5" x14ac:dyDescent="0.15">
      <c r="D4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C453)),
  ROW(),
  ""
)</f>
        <v>453</v>
      </c>
      <c r="E453">
        <f t="shared" si="7"/>
        <v>0</v>
      </c>
    </row>
    <row r="454" spans="4:5" x14ac:dyDescent="0.15">
      <c r="D4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C454)),
  ROW(),
  ""
)</f>
        <v>454</v>
      </c>
      <c r="E454">
        <f t="shared" si="7"/>
        <v>0</v>
      </c>
    </row>
    <row r="455" spans="4:5" x14ac:dyDescent="0.15">
      <c r="D4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C455)),
  ROW(),
  ""
)</f>
        <v>455</v>
      </c>
      <c r="E455">
        <f t="shared" si="7"/>
        <v>0</v>
      </c>
    </row>
    <row r="456" spans="4:5" x14ac:dyDescent="0.15">
      <c r="D4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C456)),
  ROW(),
  ""
)</f>
        <v>456</v>
      </c>
      <c r="E456">
        <f t="shared" si="7"/>
        <v>0</v>
      </c>
    </row>
    <row r="457" spans="4:5" x14ac:dyDescent="0.15">
      <c r="D4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C457)),
  ROW(),
  ""
)</f>
        <v>457</v>
      </c>
      <c r="E457">
        <f t="shared" si="7"/>
        <v>0</v>
      </c>
    </row>
    <row r="458" spans="4:5" x14ac:dyDescent="0.15">
      <c r="D4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C458)),
  ROW(),
  ""
)</f>
        <v>458</v>
      </c>
      <c r="E458">
        <f t="shared" si="7"/>
        <v>0</v>
      </c>
    </row>
    <row r="459" spans="4:5" x14ac:dyDescent="0.15">
      <c r="D4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C459)),
  ROW(),
  ""
)</f>
        <v>459</v>
      </c>
      <c r="E459">
        <f t="shared" si="7"/>
        <v>0</v>
      </c>
    </row>
    <row r="460" spans="4:5" x14ac:dyDescent="0.15">
      <c r="D4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C460)),
  ROW(),
  ""
)</f>
        <v>460</v>
      </c>
      <c r="E460">
        <f t="shared" si="7"/>
        <v>0</v>
      </c>
    </row>
    <row r="461" spans="4:5" x14ac:dyDescent="0.15">
      <c r="D4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C461)),
  ROW(),
  ""
)</f>
        <v>461</v>
      </c>
      <c r="E461">
        <f t="shared" si="7"/>
        <v>0</v>
      </c>
    </row>
    <row r="462" spans="4:5" x14ac:dyDescent="0.15">
      <c r="D4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C462)),
  ROW(),
  ""
)</f>
        <v>462</v>
      </c>
      <c r="E462">
        <f t="shared" si="7"/>
        <v>0</v>
      </c>
    </row>
    <row r="463" spans="4:5" x14ac:dyDescent="0.15">
      <c r="D4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C463)),
  ROW(),
  ""
)</f>
        <v>463</v>
      </c>
      <c r="E463">
        <f t="shared" si="7"/>
        <v>0</v>
      </c>
    </row>
    <row r="464" spans="4:5" x14ac:dyDescent="0.15">
      <c r="D4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C464)),
  ROW(),
  ""
)</f>
        <v>464</v>
      </c>
      <c r="E464">
        <f t="shared" si="7"/>
        <v>0</v>
      </c>
    </row>
    <row r="465" spans="4:5" x14ac:dyDescent="0.15">
      <c r="D4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C465)),
  ROW(),
  ""
)</f>
        <v>465</v>
      </c>
      <c r="E465">
        <f t="shared" si="7"/>
        <v>0</v>
      </c>
    </row>
    <row r="466" spans="4:5" x14ac:dyDescent="0.15">
      <c r="D4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C466)),
  ROW(),
  ""
)</f>
        <v>466</v>
      </c>
      <c r="E466">
        <f t="shared" si="7"/>
        <v>0</v>
      </c>
    </row>
    <row r="467" spans="4:5" x14ac:dyDescent="0.15">
      <c r="D4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C467)),
  ROW(),
  ""
)</f>
        <v>467</v>
      </c>
      <c r="E467">
        <f t="shared" si="7"/>
        <v>0</v>
      </c>
    </row>
    <row r="468" spans="4:5" x14ac:dyDescent="0.15">
      <c r="D4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C468)),
  ROW(),
  ""
)</f>
        <v>468</v>
      </c>
      <c r="E468">
        <f t="shared" si="7"/>
        <v>0</v>
      </c>
    </row>
    <row r="469" spans="4:5" x14ac:dyDescent="0.15">
      <c r="D4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C469)),
  ROW(),
  ""
)</f>
        <v>469</v>
      </c>
      <c r="E469">
        <f t="shared" si="7"/>
        <v>0</v>
      </c>
    </row>
    <row r="470" spans="4:5" x14ac:dyDescent="0.15">
      <c r="D4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C470)),
  ROW(),
  ""
)</f>
        <v>470</v>
      </c>
      <c r="E470">
        <f t="shared" si="7"/>
        <v>0</v>
      </c>
    </row>
    <row r="471" spans="4:5" x14ac:dyDescent="0.15">
      <c r="D4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C471)),
  ROW(),
  ""
)</f>
        <v>471</v>
      </c>
      <c r="E471">
        <f t="shared" si="7"/>
        <v>0</v>
      </c>
    </row>
    <row r="472" spans="4:5" x14ac:dyDescent="0.15">
      <c r="D4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C472)),
  ROW(),
  ""
)</f>
        <v>472</v>
      </c>
      <c r="E472">
        <f t="shared" si="7"/>
        <v>0</v>
      </c>
    </row>
    <row r="473" spans="4:5" x14ac:dyDescent="0.15">
      <c r="D4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C473)),
  ROW(),
  ""
)</f>
        <v>473</v>
      </c>
      <c r="E473">
        <f t="shared" si="7"/>
        <v>0</v>
      </c>
    </row>
    <row r="474" spans="4:5" x14ac:dyDescent="0.15">
      <c r="D4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C474)),
  ROW(),
  ""
)</f>
        <v>474</v>
      </c>
      <c r="E474">
        <f t="shared" si="7"/>
        <v>0</v>
      </c>
    </row>
    <row r="475" spans="4:5" x14ac:dyDescent="0.15">
      <c r="D4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C475)),
  ROW(),
  ""
)</f>
        <v>475</v>
      </c>
      <c r="E475">
        <f t="shared" si="7"/>
        <v>0</v>
      </c>
    </row>
    <row r="476" spans="4:5" x14ac:dyDescent="0.15">
      <c r="D4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C476)),
  ROW(),
  ""
)</f>
        <v>476</v>
      </c>
      <c r="E476">
        <f t="shared" si="7"/>
        <v>0</v>
      </c>
    </row>
    <row r="477" spans="4:5" x14ac:dyDescent="0.15">
      <c r="D4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C477)),
  ROW(),
  ""
)</f>
        <v>477</v>
      </c>
      <c r="E477">
        <f t="shared" si="7"/>
        <v>0</v>
      </c>
    </row>
    <row r="478" spans="4:5" x14ac:dyDescent="0.15">
      <c r="D4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C478)),
  ROW(),
  ""
)</f>
        <v>478</v>
      </c>
      <c r="E478">
        <f t="shared" si="7"/>
        <v>0</v>
      </c>
    </row>
    <row r="479" spans="4:5" x14ac:dyDescent="0.15">
      <c r="D4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C479)),
  ROW(),
  ""
)</f>
        <v>479</v>
      </c>
      <c r="E479">
        <f t="shared" si="7"/>
        <v>0</v>
      </c>
    </row>
    <row r="480" spans="4:5" x14ac:dyDescent="0.15">
      <c r="D4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C480)),
  ROW(),
  ""
)</f>
        <v>480</v>
      </c>
      <c r="E480">
        <f t="shared" si="7"/>
        <v>0</v>
      </c>
    </row>
    <row r="481" spans="4:5" x14ac:dyDescent="0.15">
      <c r="D4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C481)),
  ROW(),
  ""
)</f>
        <v>481</v>
      </c>
      <c r="E481">
        <f t="shared" si="7"/>
        <v>0</v>
      </c>
    </row>
    <row r="482" spans="4:5" x14ac:dyDescent="0.15">
      <c r="D4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C482)),
  ROW(),
  ""
)</f>
        <v>482</v>
      </c>
      <c r="E482">
        <f t="shared" si="7"/>
        <v>0</v>
      </c>
    </row>
    <row r="483" spans="4:5" x14ac:dyDescent="0.15">
      <c r="D4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C483)),
  ROW(),
  ""
)</f>
        <v>483</v>
      </c>
      <c r="E483">
        <f t="shared" si="7"/>
        <v>0</v>
      </c>
    </row>
    <row r="484" spans="4:5" x14ac:dyDescent="0.15">
      <c r="D4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C484)),
  ROW(),
  ""
)</f>
        <v>484</v>
      </c>
      <c r="E484">
        <f t="shared" si="7"/>
        <v>0</v>
      </c>
    </row>
    <row r="485" spans="4:5" x14ac:dyDescent="0.15">
      <c r="D4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C485)),
  ROW(),
  ""
)</f>
        <v>485</v>
      </c>
      <c r="E485">
        <f t="shared" si="7"/>
        <v>0</v>
      </c>
    </row>
    <row r="486" spans="4:5" x14ac:dyDescent="0.15">
      <c r="D4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C486)),
  ROW(),
  ""
)</f>
        <v>486</v>
      </c>
      <c r="E486">
        <f t="shared" si="7"/>
        <v>0</v>
      </c>
    </row>
    <row r="487" spans="4:5" x14ac:dyDescent="0.15">
      <c r="D4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C487)),
  ROW(),
  ""
)</f>
        <v>487</v>
      </c>
      <c r="E487">
        <f t="shared" si="7"/>
        <v>0</v>
      </c>
    </row>
    <row r="488" spans="4:5" x14ac:dyDescent="0.15">
      <c r="D4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C488)),
  ROW(),
  ""
)</f>
        <v>488</v>
      </c>
      <c r="E488">
        <f t="shared" si="7"/>
        <v>0</v>
      </c>
    </row>
    <row r="489" spans="4:5" x14ac:dyDescent="0.15">
      <c r="D4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C489)),
  ROW(),
  ""
)</f>
        <v>489</v>
      </c>
      <c r="E489">
        <f t="shared" si="7"/>
        <v>0</v>
      </c>
    </row>
    <row r="490" spans="4:5" x14ac:dyDescent="0.15">
      <c r="D4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C490)),
  ROW(),
  ""
)</f>
        <v>490</v>
      </c>
      <c r="E490">
        <f t="shared" si="7"/>
        <v>0</v>
      </c>
    </row>
    <row r="491" spans="4:5" x14ac:dyDescent="0.15">
      <c r="D4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C491)),
  ROW(),
  ""
)</f>
        <v>491</v>
      </c>
      <c r="E491">
        <f t="shared" si="7"/>
        <v>0</v>
      </c>
    </row>
    <row r="492" spans="4:5" x14ac:dyDescent="0.15">
      <c r="D4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C492)),
  ROW(),
  ""
)</f>
        <v>492</v>
      </c>
      <c r="E492">
        <f t="shared" si="7"/>
        <v>0</v>
      </c>
    </row>
    <row r="493" spans="4:5" x14ac:dyDescent="0.15">
      <c r="D4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C493)),
  ROW(),
  ""
)</f>
        <v>493</v>
      </c>
      <c r="E493">
        <f t="shared" si="7"/>
        <v>0</v>
      </c>
    </row>
    <row r="494" spans="4:5" x14ac:dyDescent="0.15">
      <c r="D4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C494)),
  ROW(),
  ""
)</f>
        <v>494</v>
      </c>
      <c r="E494">
        <f t="shared" si="7"/>
        <v>0</v>
      </c>
    </row>
    <row r="495" spans="4:5" x14ac:dyDescent="0.15">
      <c r="D4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C495)),
  ROW(),
  ""
)</f>
        <v>495</v>
      </c>
      <c r="E495">
        <f t="shared" si="7"/>
        <v>0</v>
      </c>
    </row>
    <row r="496" spans="4:5" x14ac:dyDescent="0.15">
      <c r="D4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C496)),
  ROW(),
  ""
)</f>
        <v>496</v>
      </c>
      <c r="E496">
        <f t="shared" si="7"/>
        <v>0</v>
      </c>
    </row>
    <row r="497" spans="4:5" x14ac:dyDescent="0.15">
      <c r="D4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C497)),
  ROW(),
  ""
)</f>
        <v>497</v>
      </c>
      <c r="E497">
        <f t="shared" si="7"/>
        <v>0</v>
      </c>
    </row>
    <row r="498" spans="4:5" x14ac:dyDescent="0.15">
      <c r="D4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C498)),
  ROW(),
  ""
)</f>
        <v>498</v>
      </c>
      <c r="E498">
        <f t="shared" si="7"/>
        <v>0</v>
      </c>
    </row>
    <row r="499" spans="4:5" x14ac:dyDescent="0.15">
      <c r="D4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C499)),
  ROW(),
  ""
)</f>
        <v>499</v>
      </c>
      <c r="E499">
        <f t="shared" si="7"/>
        <v>0</v>
      </c>
    </row>
    <row r="500" spans="4:5" x14ac:dyDescent="0.15">
      <c r="D5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C500)),
  ROW(),
  ""
)</f>
        <v>500</v>
      </c>
      <c r="E500">
        <f t="shared" si="7"/>
        <v>0</v>
      </c>
    </row>
    <row r="501" spans="4:5" x14ac:dyDescent="0.15">
      <c r="D5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C501)),
  ROW(),
  ""
)</f>
        <v>501</v>
      </c>
      <c r="E501">
        <f t="shared" si="7"/>
        <v>0</v>
      </c>
    </row>
    <row r="502" spans="4:5" x14ac:dyDescent="0.15">
      <c r="D5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C502)),
  ROW(),
  ""
)</f>
        <v>502</v>
      </c>
      <c r="E502">
        <f t="shared" si="7"/>
        <v>0</v>
      </c>
    </row>
    <row r="503" spans="4:5" x14ac:dyDescent="0.15">
      <c r="D5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C503)),
  ROW(),
  ""
)</f>
        <v>503</v>
      </c>
      <c r="E503">
        <f t="shared" si="7"/>
        <v>0</v>
      </c>
    </row>
    <row r="504" spans="4:5" x14ac:dyDescent="0.15">
      <c r="D5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C504)),
  ROW(),
  ""
)</f>
        <v>504</v>
      </c>
      <c r="E504">
        <f t="shared" si="7"/>
        <v>0</v>
      </c>
    </row>
    <row r="505" spans="4:5" x14ac:dyDescent="0.15">
      <c r="D5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C505)),
  ROW(),
  ""
)</f>
        <v>505</v>
      </c>
      <c r="E505">
        <f t="shared" si="7"/>
        <v>0</v>
      </c>
    </row>
    <row r="506" spans="4:5" x14ac:dyDescent="0.15">
      <c r="D5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C506)),
  ROW(),
  ""
)</f>
        <v>506</v>
      </c>
      <c r="E506">
        <f t="shared" si="7"/>
        <v>0</v>
      </c>
    </row>
    <row r="507" spans="4:5" x14ac:dyDescent="0.15">
      <c r="D5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C507)),
  ROW(),
  ""
)</f>
        <v>507</v>
      </c>
      <c r="E507">
        <f t="shared" si="7"/>
        <v>0</v>
      </c>
    </row>
    <row r="508" spans="4:5" x14ac:dyDescent="0.15">
      <c r="D5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C508)),
  ROW(),
  ""
)</f>
        <v>508</v>
      </c>
      <c r="E508">
        <f t="shared" si="7"/>
        <v>0</v>
      </c>
    </row>
    <row r="509" spans="4:5" x14ac:dyDescent="0.15">
      <c r="D5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C509)),
  ROW(),
  ""
)</f>
        <v>509</v>
      </c>
      <c r="E509">
        <f t="shared" si="7"/>
        <v>0</v>
      </c>
    </row>
    <row r="510" spans="4:5" x14ac:dyDescent="0.15">
      <c r="D5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C510)),
  ROW(),
  ""
)</f>
        <v>510</v>
      </c>
      <c r="E510">
        <f t="shared" si="7"/>
        <v>0</v>
      </c>
    </row>
    <row r="511" spans="4:5" x14ac:dyDescent="0.15">
      <c r="D5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C511)),
  ROW(),
  ""
)</f>
        <v>511</v>
      </c>
      <c r="E511">
        <f t="shared" si="7"/>
        <v>0</v>
      </c>
    </row>
    <row r="512" spans="4:5" x14ac:dyDescent="0.15">
      <c r="D5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C512)),
  ROW(),
  ""
)</f>
        <v>512</v>
      </c>
      <c r="E512">
        <f t="shared" si="7"/>
        <v>0</v>
      </c>
    </row>
    <row r="513" spans="4:5" x14ac:dyDescent="0.15">
      <c r="D5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C513)),
  ROW(),
  ""
)</f>
        <v>513</v>
      </c>
      <c r="E513">
        <f t="shared" si="7"/>
        <v>0</v>
      </c>
    </row>
    <row r="514" spans="4:5" x14ac:dyDescent="0.15">
      <c r="D5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C514)),
  ROW(),
  ""
)</f>
        <v>514</v>
      </c>
      <c r="E514">
        <f t="shared" ref="E514:E577" si="8">INDEX(C$1:C$1487,SMALL($D$2:$D$1490,ROW(C513)))</f>
        <v>0</v>
      </c>
    </row>
    <row r="515" spans="4:5" x14ac:dyDescent="0.15">
      <c r="D5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C515)),
  ROW(),
  ""
)</f>
        <v>515</v>
      </c>
      <c r="E515">
        <f t="shared" si="8"/>
        <v>0</v>
      </c>
    </row>
    <row r="516" spans="4:5" x14ac:dyDescent="0.15">
      <c r="D5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C516)),
  ROW(),
  ""
)</f>
        <v>516</v>
      </c>
      <c r="E516">
        <f t="shared" si="8"/>
        <v>0</v>
      </c>
    </row>
    <row r="517" spans="4:5" x14ac:dyDescent="0.15">
      <c r="D5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C517)),
  ROW(),
  ""
)</f>
        <v>517</v>
      </c>
      <c r="E517">
        <f t="shared" si="8"/>
        <v>0</v>
      </c>
    </row>
    <row r="518" spans="4:5" x14ac:dyDescent="0.15">
      <c r="D5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C518)),
  ROW(),
  ""
)</f>
        <v>518</v>
      </c>
      <c r="E518">
        <f t="shared" si="8"/>
        <v>0</v>
      </c>
    </row>
    <row r="519" spans="4:5" x14ac:dyDescent="0.15">
      <c r="D5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C519)),
  ROW(),
  ""
)</f>
        <v>519</v>
      </c>
      <c r="E519">
        <f t="shared" si="8"/>
        <v>0</v>
      </c>
    </row>
    <row r="520" spans="4:5" x14ac:dyDescent="0.15">
      <c r="D5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C520)),
  ROW(),
  ""
)</f>
        <v>520</v>
      </c>
      <c r="E520">
        <f t="shared" si="8"/>
        <v>0</v>
      </c>
    </row>
    <row r="521" spans="4:5" x14ac:dyDescent="0.15">
      <c r="D5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C521)),
  ROW(),
  ""
)</f>
        <v>521</v>
      </c>
      <c r="E521">
        <f t="shared" si="8"/>
        <v>0</v>
      </c>
    </row>
    <row r="522" spans="4:5" x14ac:dyDescent="0.15">
      <c r="D5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C522)),
  ROW(),
  ""
)</f>
        <v>522</v>
      </c>
      <c r="E522">
        <f t="shared" si="8"/>
        <v>0</v>
      </c>
    </row>
    <row r="523" spans="4:5" x14ac:dyDescent="0.15">
      <c r="D5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C523)),
  ROW(),
  ""
)</f>
        <v>523</v>
      </c>
      <c r="E523">
        <f t="shared" si="8"/>
        <v>0</v>
      </c>
    </row>
    <row r="524" spans="4:5" x14ac:dyDescent="0.15">
      <c r="D5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C524)),
  ROW(),
  ""
)</f>
        <v>524</v>
      </c>
      <c r="E524">
        <f t="shared" si="8"/>
        <v>0</v>
      </c>
    </row>
    <row r="525" spans="4:5" x14ac:dyDescent="0.15">
      <c r="D5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C525)),
  ROW(),
  ""
)</f>
        <v>525</v>
      </c>
      <c r="E525">
        <f t="shared" si="8"/>
        <v>0</v>
      </c>
    </row>
    <row r="526" spans="4:5" x14ac:dyDescent="0.15">
      <c r="D5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C526)),
  ROW(),
  ""
)</f>
        <v>526</v>
      </c>
      <c r="E526">
        <f t="shared" si="8"/>
        <v>0</v>
      </c>
    </row>
    <row r="527" spans="4:5" x14ac:dyDescent="0.15">
      <c r="D5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C527)),
  ROW(),
  ""
)</f>
        <v>527</v>
      </c>
      <c r="E527">
        <f t="shared" si="8"/>
        <v>0</v>
      </c>
    </row>
    <row r="528" spans="4:5" x14ac:dyDescent="0.15">
      <c r="D5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C528)),
  ROW(),
  ""
)</f>
        <v>528</v>
      </c>
      <c r="E528">
        <f t="shared" si="8"/>
        <v>0</v>
      </c>
    </row>
    <row r="529" spans="4:5" x14ac:dyDescent="0.15">
      <c r="D5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C529)),
  ROW(),
  ""
)</f>
        <v>529</v>
      </c>
      <c r="E529">
        <f t="shared" si="8"/>
        <v>0</v>
      </c>
    </row>
    <row r="530" spans="4:5" x14ac:dyDescent="0.15">
      <c r="D5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C530)),
  ROW(),
  ""
)</f>
        <v>530</v>
      </c>
      <c r="E530">
        <f t="shared" si="8"/>
        <v>0</v>
      </c>
    </row>
    <row r="531" spans="4:5" x14ac:dyDescent="0.15">
      <c r="D5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C531)),
  ROW(),
  ""
)</f>
        <v>531</v>
      </c>
      <c r="E531">
        <f t="shared" si="8"/>
        <v>0</v>
      </c>
    </row>
    <row r="532" spans="4:5" x14ac:dyDescent="0.15">
      <c r="D5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C532)),
  ROW(),
  ""
)</f>
        <v>532</v>
      </c>
      <c r="E532">
        <f t="shared" si="8"/>
        <v>0</v>
      </c>
    </row>
    <row r="533" spans="4:5" x14ac:dyDescent="0.15">
      <c r="D5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C533)),
  ROW(),
  ""
)</f>
        <v>533</v>
      </c>
      <c r="E533">
        <f t="shared" si="8"/>
        <v>0</v>
      </c>
    </row>
    <row r="534" spans="4:5" x14ac:dyDescent="0.15">
      <c r="D5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C534)),
  ROW(),
  ""
)</f>
        <v>534</v>
      </c>
      <c r="E534">
        <f t="shared" si="8"/>
        <v>0</v>
      </c>
    </row>
    <row r="535" spans="4:5" x14ac:dyDescent="0.15">
      <c r="D5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C535)),
  ROW(),
  ""
)</f>
        <v>535</v>
      </c>
      <c r="E535">
        <f t="shared" si="8"/>
        <v>0</v>
      </c>
    </row>
    <row r="536" spans="4:5" x14ac:dyDescent="0.15">
      <c r="D5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C536)),
  ROW(),
  ""
)</f>
        <v>536</v>
      </c>
      <c r="E536">
        <f t="shared" si="8"/>
        <v>0</v>
      </c>
    </row>
    <row r="537" spans="4:5" x14ac:dyDescent="0.15">
      <c r="D5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C537)),
  ROW(),
  ""
)</f>
        <v>537</v>
      </c>
      <c r="E537">
        <f t="shared" si="8"/>
        <v>0</v>
      </c>
    </row>
    <row r="538" spans="4:5" x14ac:dyDescent="0.15">
      <c r="D5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C538)),
  ROW(),
  ""
)</f>
        <v>538</v>
      </c>
      <c r="E538">
        <f t="shared" si="8"/>
        <v>0</v>
      </c>
    </row>
    <row r="539" spans="4:5" x14ac:dyDescent="0.15">
      <c r="D5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C539)),
  ROW(),
  ""
)</f>
        <v>539</v>
      </c>
      <c r="E539">
        <f t="shared" si="8"/>
        <v>0</v>
      </c>
    </row>
    <row r="540" spans="4:5" x14ac:dyDescent="0.15">
      <c r="D5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C540)),
  ROW(),
  ""
)</f>
        <v>540</v>
      </c>
      <c r="E540">
        <f t="shared" si="8"/>
        <v>0</v>
      </c>
    </row>
    <row r="541" spans="4:5" x14ac:dyDescent="0.15">
      <c r="D5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C541)),
  ROW(),
  ""
)</f>
        <v>541</v>
      </c>
      <c r="E541">
        <f t="shared" si="8"/>
        <v>0</v>
      </c>
    </row>
    <row r="542" spans="4:5" x14ac:dyDescent="0.15">
      <c r="D5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C542)),
  ROW(),
  ""
)</f>
        <v>542</v>
      </c>
      <c r="E542">
        <f t="shared" si="8"/>
        <v>0</v>
      </c>
    </row>
    <row r="543" spans="4:5" x14ac:dyDescent="0.15">
      <c r="D5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C543)),
  ROW(),
  ""
)</f>
        <v>543</v>
      </c>
      <c r="E543">
        <f t="shared" si="8"/>
        <v>0</v>
      </c>
    </row>
    <row r="544" spans="4:5" x14ac:dyDescent="0.15">
      <c r="D5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C544)),
  ROW(),
  ""
)</f>
        <v>544</v>
      </c>
      <c r="E544">
        <f t="shared" si="8"/>
        <v>0</v>
      </c>
    </row>
    <row r="545" spans="4:5" x14ac:dyDescent="0.15">
      <c r="D5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C545)),
  ROW(),
  ""
)</f>
        <v>545</v>
      </c>
      <c r="E545">
        <f t="shared" si="8"/>
        <v>0</v>
      </c>
    </row>
    <row r="546" spans="4:5" x14ac:dyDescent="0.15">
      <c r="D5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C546)),
  ROW(),
  ""
)</f>
        <v>546</v>
      </c>
      <c r="E546">
        <f t="shared" si="8"/>
        <v>0</v>
      </c>
    </row>
    <row r="547" spans="4:5" x14ac:dyDescent="0.15">
      <c r="D5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C547)),
  ROW(),
  ""
)</f>
        <v>547</v>
      </c>
      <c r="E547">
        <f t="shared" si="8"/>
        <v>0</v>
      </c>
    </row>
    <row r="548" spans="4:5" x14ac:dyDescent="0.15">
      <c r="D5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C548)),
  ROW(),
  ""
)</f>
        <v>548</v>
      </c>
      <c r="E548">
        <f t="shared" si="8"/>
        <v>0</v>
      </c>
    </row>
    <row r="549" spans="4:5" x14ac:dyDescent="0.15">
      <c r="D5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C549)),
  ROW(),
  ""
)</f>
        <v>549</v>
      </c>
      <c r="E549">
        <f t="shared" si="8"/>
        <v>0</v>
      </c>
    </row>
    <row r="550" spans="4:5" x14ac:dyDescent="0.15">
      <c r="D5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C550)),
  ROW(),
  ""
)</f>
        <v>550</v>
      </c>
      <c r="E550">
        <f t="shared" si="8"/>
        <v>0</v>
      </c>
    </row>
    <row r="551" spans="4:5" x14ac:dyDescent="0.15">
      <c r="D5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C551)),
  ROW(),
  ""
)</f>
        <v>551</v>
      </c>
      <c r="E551">
        <f t="shared" si="8"/>
        <v>0</v>
      </c>
    </row>
    <row r="552" spans="4:5" x14ac:dyDescent="0.15">
      <c r="D5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C552)),
  ROW(),
  ""
)</f>
        <v>552</v>
      </c>
      <c r="E552">
        <f t="shared" si="8"/>
        <v>0</v>
      </c>
    </row>
    <row r="553" spans="4:5" x14ac:dyDescent="0.15">
      <c r="D5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C553)),
  ROW(),
  ""
)</f>
        <v>553</v>
      </c>
      <c r="E553">
        <f t="shared" si="8"/>
        <v>0</v>
      </c>
    </row>
    <row r="554" spans="4:5" x14ac:dyDescent="0.15">
      <c r="D5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C554)),
  ROW(),
  ""
)</f>
        <v>554</v>
      </c>
      <c r="E554">
        <f t="shared" si="8"/>
        <v>0</v>
      </c>
    </row>
    <row r="555" spans="4:5" x14ac:dyDescent="0.15">
      <c r="D5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C555)),
  ROW(),
  ""
)</f>
        <v>555</v>
      </c>
      <c r="E555">
        <f t="shared" si="8"/>
        <v>0</v>
      </c>
    </row>
    <row r="556" spans="4:5" x14ac:dyDescent="0.15">
      <c r="D5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C556)),
  ROW(),
  ""
)</f>
        <v>556</v>
      </c>
      <c r="E556">
        <f t="shared" si="8"/>
        <v>0</v>
      </c>
    </row>
    <row r="557" spans="4:5" x14ac:dyDescent="0.15">
      <c r="D5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C557)),
  ROW(),
  ""
)</f>
        <v>557</v>
      </c>
      <c r="E557">
        <f t="shared" si="8"/>
        <v>0</v>
      </c>
    </row>
    <row r="558" spans="4:5" x14ac:dyDescent="0.15">
      <c r="D5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C558)),
  ROW(),
  ""
)</f>
        <v>558</v>
      </c>
      <c r="E558">
        <f t="shared" si="8"/>
        <v>0</v>
      </c>
    </row>
    <row r="559" spans="4:5" x14ac:dyDescent="0.15">
      <c r="D5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C559)),
  ROW(),
  ""
)</f>
        <v>559</v>
      </c>
      <c r="E559">
        <f t="shared" si="8"/>
        <v>0</v>
      </c>
    </row>
    <row r="560" spans="4:5" x14ac:dyDescent="0.15">
      <c r="D5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C560)),
  ROW(),
  ""
)</f>
        <v>560</v>
      </c>
      <c r="E560">
        <f t="shared" si="8"/>
        <v>0</v>
      </c>
    </row>
    <row r="561" spans="4:5" x14ac:dyDescent="0.15">
      <c r="D5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C561)),
  ROW(),
  ""
)</f>
        <v>561</v>
      </c>
      <c r="E561">
        <f t="shared" si="8"/>
        <v>0</v>
      </c>
    </row>
    <row r="562" spans="4:5" x14ac:dyDescent="0.15">
      <c r="D5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C562)),
  ROW(),
  ""
)</f>
        <v>562</v>
      </c>
      <c r="E562">
        <f t="shared" si="8"/>
        <v>0</v>
      </c>
    </row>
    <row r="563" spans="4:5" x14ac:dyDescent="0.15">
      <c r="D5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C563)),
  ROW(),
  ""
)</f>
        <v>563</v>
      </c>
      <c r="E563">
        <f t="shared" si="8"/>
        <v>0</v>
      </c>
    </row>
    <row r="564" spans="4:5" x14ac:dyDescent="0.15">
      <c r="D5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C564)),
  ROW(),
  ""
)</f>
        <v>564</v>
      </c>
      <c r="E564">
        <f t="shared" si="8"/>
        <v>0</v>
      </c>
    </row>
    <row r="565" spans="4:5" x14ac:dyDescent="0.15">
      <c r="D5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C565)),
  ROW(),
  ""
)</f>
        <v>565</v>
      </c>
      <c r="E565">
        <f t="shared" si="8"/>
        <v>0</v>
      </c>
    </row>
    <row r="566" spans="4:5" x14ac:dyDescent="0.15">
      <c r="D5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C566)),
  ROW(),
  ""
)</f>
        <v>566</v>
      </c>
      <c r="E566">
        <f t="shared" si="8"/>
        <v>0</v>
      </c>
    </row>
    <row r="567" spans="4:5" x14ac:dyDescent="0.15">
      <c r="D5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C567)),
  ROW(),
  ""
)</f>
        <v>567</v>
      </c>
      <c r="E567">
        <f t="shared" si="8"/>
        <v>0</v>
      </c>
    </row>
    <row r="568" spans="4:5" x14ac:dyDescent="0.15">
      <c r="D5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C568)),
  ROW(),
  ""
)</f>
        <v>568</v>
      </c>
      <c r="E568">
        <f t="shared" si="8"/>
        <v>0</v>
      </c>
    </row>
    <row r="569" spans="4:5" x14ac:dyDescent="0.15">
      <c r="D5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C569)),
  ROW(),
  ""
)</f>
        <v>569</v>
      </c>
      <c r="E569">
        <f t="shared" si="8"/>
        <v>0</v>
      </c>
    </row>
    <row r="570" spans="4:5" x14ac:dyDescent="0.15">
      <c r="D5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C570)),
  ROW(),
  ""
)</f>
        <v>570</v>
      </c>
      <c r="E570">
        <f t="shared" si="8"/>
        <v>0</v>
      </c>
    </row>
    <row r="571" spans="4:5" x14ac:dyDescent="0.15">
      <c r="D5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C571)),
  ROW(),
  ""
)</f>
        <v>571</v>
      </c>
      <c r="E571">
        <f t="shared" si="8"/>
        <v>0</v>
      </c>
    </row>
    <row r="572" spans="4:5" x14ac:dyDescent="0.15">
      <c r="D5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C572)),
  ROW(),
  ""
)</f>
        <v>572</v>
      </c>
      <c r="E572">
        <f t="shared" si="8"/>
        <v>0</v>
      </c>
    </row>
    <row r="573" spans="4:5" x14ac:dyDescent="0.15">
      <c r="D5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C573)),
  ROW(),
  ""
)</f>
        <v>573</v>
      </c>
      <c r="E573">
        <f t="shared" si="8"/>
        <v>0</v>
      </c>
    </row>
    <row r="574" spans="4:5" x14ac:dyDescent="0.15">
      <c r="D5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C574)),
  ROW(),
  ""
)</f>
        <v>574</v>
      </c>
      <c r="E574">
        <f t="shared" si="8"/>
        <v>0</v>
      </c>
    </row>
    <row r="575" spans="4:5" x14ac:dyDescent="0.15">
      <c r="D5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C575)),
  ROW(),
  ""
)</f>
        <v>575</v>
      </c>
      <c r="E575">
        <f t="shared" si="8"/>
        <v>0</v>
      </c>
    </row>
    <row r="576" spans="4:5" x14ac:dyDescent="0.15">
      <c r="D5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C576)),
  ROW(),
  ""
)</f>
        <v>576</v>
      </c>
      <c r="E576">
        <f t="shared" si="8"/>
        <v>0</v>
      </c>
    </row>
    <row r="577" spans="4:5" x14ac:dyDescent="0.15">
      <c r="D5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C577)),
  ROW(),
  ""
)</f>
        <v>577</v>
      </c>
      <c r="E577">
        <f t="shared" si="8"/>
        <v>0</v>
      </c>
    </row>
    <row r="578" spans="4:5" x14ac:dyDescent="0.15">
      <c r="D5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C578)),
  ROW(),
  ""
)</f>
        <v>578</v>
      </c>
      <c r="E578">
        <f t="shared" ref="E578:E597" si="9">INDEX(C$1:C$1487,SMALL($D$2:$D$1490,ROW(C577)))</f>
        <v>0</v>
      </c>
    </row>
    <row r="579" spans="4:5" x14ac:dyDescent="0.15">
      <c r="D5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C579)),
  ROW(),
  ""
)</f>
        <v>579</v>
      </c>
      <c r="E579">
        <f t="shared" si="9"/>
        <v>0</v>
      </c>
    </row>
    <row r="580" spans="4:5" x14ac:dyDescent="0.15">
      <c r="D5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C580)),
  ROW(),
  ""
)</f>
        <v>580</v>
      </c>
      <c r="E580">
        <f t="shared" si="9"/>
        <v>0</v>
      </c>
    </row>
    <row r="581" spans="4:5" x14ac:dyDescent="0.15">
      <c r="D5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C581)),
  ROW(),
  ""
)</f>
        <v>581</v>
      </c>
      <c r="E581">
        <f t="shared" si="9"/>
        <v>0</v>
      </c>
    </row>
    <row r="582" spans="4:5" x14ac:dyDescent="0.15">
      <c r="D5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C582)),
  ROW(),
  ""
)</f>
        <v>582</v>
      </c>
      <c r="E582">
        <f t="shared" si="9"/>
        <v>0</v>
      </c>
    </row>
    <row r="583" spans="4:5" x14ac:dyDescent="0.15">
      <c r="D5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C583)),
  ROW(),
  ""
)</f>
        <v>583</v>
      </c>
      <c r="E583">
        <f t="shared" si="9"/>
        <v>0</v>
      </c>
    </row>
    <row r="584" spans="4:5" x14ac:dyDescent="0.15">
      <c r="D5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C584)),
  ROW(),
  ""
)</f>
        <v>584</v>
      </c>
      <c r="E584">
        <f t="shared" si="9"/>
        <v>0</v>
      </c>
    </row>
    <row r="585" spans="4:5" x14ac:dyDescent="0.15">
      <c r="D5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C585)),
  ROW(),
  ""
)</f>
        <v>585</v>
      </c>
      <c r="E585">
        <f t="shared" si="9"/>
        <v>0</v>
      </c>
    </row>
    <row r="586" spans="4:5" x14ac:dyDescent="0.15">
      <c r="D5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C586)),
  ROW(),
  ""
)</f>
        <v>586</v>
      </c>
      <c r="E586">
        <f t="shared" si="9"/>
        <v>0</v>
      </c>
    </row>
    <row r="587" spans="4:5" x14ac:dyDescent="0.15">
      <c r="D5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C587)),
  ROW(),
  ""
)</f>
        <v>587</v>
      </c>
      <c r="E587">
        <f t="shared" si="9"/>
        <v>0</v>
      </c>
    </row>
    <row r="588" spans="4:5" x14ac:dyDescent="0.15">
      <c r="D5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C588)),
  ROW(),
  ""
)</f>
        <v>588</v>
      </c>
      <c r="E588">
        <f t="shared" si="9"/>
        <v>0</v>
      </c>
    </row>
    <row r="589" spans="4:5" x14ac:dyDescent="0.15">
      <c r="D5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C589)),
  ROW(),
  ""
)</f>
        <v>589</v>
      </c>
      <c r="E589">
        <f t="shared" si="9"/>
        <v>0</v>
      </c>
    </row>
    <row r="590" spans="4:5" x14ac:dyDescent="0.15">
      <c r="D5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C590)),
  ROW(),
  ""
)</f>
        <v>590</v>
      </c>
      <c r="E590">
        <f t="shared" si="9"/>
        <v>0</v>
      </c>
    </row>
    <row r="591" spans="4:5" x14ac:dyDescent="0.15">
      <c r="D5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C591)),
  ROW(),
  ""
)</f>
        <v>591</v>
      </c>
      <c r="E591">
        <f t="shared" si="9"/>
        <v>0</v>
      </c>
    </row>
    <row r="592" spans="4:5" x14ac:dyDescent="0.15">
      <c r="D5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C592)),
  ROW(),
  ""
)</f>
        <v>592</v>
      </c>
      <c r="E592">
        <f t="shared" si="9"/>
        <v>0</v>
      </c>
    </row>
    <row r="593" spans="4:5" x14ac:dyDescent="0.15">
      <c r="D5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C593)),
  ROW(),
  ""
)</f>
        <v>593</v>
      </c>
      <c r="E593">
        <f t="shared" si="9"/>
        <v>0</v>
      </c>
    </row>
    <row r="594" spans="4:5" x14ac:dyDescent="0.15">
      <c r="D5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C594)),
  ROW(),
  ""
)</f>
        <v>594</v>
      </c>
      <c r="E594">
        <f t="shared" si="9"/>
        <v>0</v>
      </c>
    </row>
    <row r="595" spans="4:5" x14ac:dyDescent="0.15">
      <c r="D5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C595)),
  ROW(),
  ""
)</f>
        <v>595</v>
      </c>
      <c r="E595">
        <f t="shared" si="9"/>
        <v>0</v>
      </c>
    </row>
    <row r="596" spans="4:5" x14ac:dyDescent="0.15">
      <c r="D5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C596)),
  ROW(),
  ""
)</f>
        <v>596</v>
      </c>
      <c r="E596">
        <f t="shared" si="9"/>
        <v>0</v>
      </c>
    </row>
    <row r="597" spans="4:5" x14ac:dyDescent="0.15">
      <c r="D5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C597)),
  ROW(),
  ""
)</f>
        <v>597</v>
      </c>
      <c r="E597">
        <f t="shared" si="9"/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2214-7357-401B-9DEA-E7FC01DB5788}">
  <sheetPr codeName="Sheet6">
    <pageSetUpPr fitToPage="1"/>
  </sheetPr>
  <dimension ref="A1:AI70"/>
  <sheetViews>
    <sheetView showGridLines="0" zoomScale="90" zoomScaleNormal="90" zoomScalePageLayoutView="90" workbookViewId="0">
      <pane ySplit="5" topLeftCell="A6" activePane="bottomLeft" state="frozen"/>
      <selection activeCell="D2" sqref="D2:AC2"/>
      <selection pane="bottomLeft" activeCell="I26" sqref="I26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76">
        <f ca="1">TODAY()</f>
        <v>45990</v>
      </c>
      <c r="B1" s="476"/>
      <c r="C1" s="476"/>
      <c r="D1" s="476"/>
      <c r="E1" s="476"/>
      <c r="F1" s="476"/>
      <c r="G1" s="476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/>
      <c r="F6" s="392"/>
      <c r="G6" s="393" t="str">
        <f>_xlfn.IFNA(VLOOKUP(J6,マスタ②!$A:$O,マスタ②!$G$1,0),"")</f>
        <v/>
      </c>
      <c r="H6" s="394"/>
      <c r="I6" s="146"/>
      <c r="J6" s="463"/>
      <c r="K6" s="464"/>
      <c r="L6" s="464"/>
      <c r="M6" s="464"/>
      <c r="N6" s="464"/>
      <c r="O6" s="167"/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/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/>
      <c r="F8" s="436"/>
      <c r="G8" s="437" t="str">
        <f>_xlfn.IFNA(VLOOKUP(J8,マスタ②!$A:$O,マスタ②!$G$1,0),"")</f>
        <v/>
      </c>
      <c r="H8" s="438"/>
      <c r="I8" s="103"/>
      <c r="J8" s="448"/>
      <c r="K8" s="449"/>
      <c r="L8" s="449"/>
      <c r="M8" s="449"/>
      <c r="N8" s="449"/>
      <c r="O8" s="168"/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/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/>
      <c r="F10" s="436"/>
      <c r="G10" s="437" t="str">
        <f>_xlfn.IFNA(VLOOKUP(J10,マスタ②!$A:$O,マスタ②!$G$1,0),"")</f>
        <v/>
      </c>
      <c r="H10" s="438"/>
      <c r="I10" s="103"/>
      <c r="J10" s="405"/>
      <c r="K10" s="406"/>
      <c r="L10" s="406"/>
      <c r="M10" s="406"/>
      <c r="N10" s="406"/>
      <c r="O10" s="168"/>
      <c r="P10" s="405"/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/>
      </c>
      <c r="H11" s="425"/>
      <c r="I11" s="144"/>
      <c r="J11" s="426" t="str">
        <f>_xlfn.IFNA(VLOOKUP(J10,マスタ②!$A:$O,マスタ②!$L$1,0),"")&amp;""</f>
        <v/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/>
      <c r="F12" s="436"/>
      <c r="G12" s="437" t="str">
        <f>_xlfn.IFNA(VLOOKUP(J12,マスタ①!$G:$U,マスタ①!$M$1,0),"")</f>
        <v/>
      </c>
      <c r="H12" s="438"/>
      <c r="I12" s="103"/>
      <c r="J12" s="405"/>
      <c r="K12" s="406"/>
      <c r="L12" s="406"/>
      <c r="M12" s="406"/>
      <c r="N12" s="406"/>
      <c r="O12" s="168"/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/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/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/>
      <c r="F16" s="340"/>
      <c r="G16" s="395" t="str">
        <f>_xlfn.IFNA(VLOOKUP(J16,マスタ①!$G:$U,マスタ①!$M$1,0),"")</f>
        <v/>
      </c>
      <c r="H16" s="396"/>
      <c r="I16" s="7"/>
      <c r="J16" s="405"/>
      <c r="K16" s="406"/>
      <c r="L16" s="406"/>
      <c r="M16" s="406"/>
      <c r="N16" s="406"/>
      <c r="O16" s="168"/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/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/>
      <c r="F18" s="340"/>
      <c r="G18" s="395" t="str">
        <f>_xlfn.IFNA(VLOOKUP(J18,マスタ①!$G:$U,マスタ①!$M$1,0),"")</f>
        <v/>
      </c>
      <c r="H18" s="396"/>
      <c r="I18" s="7"/>
      <c r="J18" s="405"/>
      <c r="K18" s="406"/>
      <c r="L18" s="406"/>
      <c r="M18" s="406"/>
      <c r="N18" s="406"/>
      <c r="O18" s="168"/>
      <c r="P18" s="405"/>
      <c r="Q18" s="406"/>
      <c r="R18" s="406"/>
      <c r="S18" s="406"/>
      <c r="T18" s="406"/>
      <c r="U18" s="168"/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/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/>
      <c r="F20" s="340"/>
      <c r="G20" s="395" t="str">
        <f>_xlfn.IFNA(VLOOKUP(J20,マスタ①!$G:$U,マスタ①!$M$1,0),"")</f>
        <v/>
      </c>
      <c r="H20" s="396"/>
      <c r="I20" s="7"/>
      <c r="J20" s="405"/>
      <c r="K20" s="406"/>
      <c r="L20" s="406"/>
      <c r="M20" s="406"/>
      <c r="N20" s="406"/>
      <c r="O20" s="168"/>
      <c r="P20" s="405"/>
      <c r="Q20" s="406"/>
      <c r="R20" s="406"/>
      <c r="S20" s="406"/>
      <c r="T20" s="406"/>
      <c r="U20" s="168"/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tr">
        <f>_xlfn.IFNA(VLOOKUP(J20,マスタ①!$G:$U,マスタ①!$L$1,0),"")</f>
        <v/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/>
      <c r="F22" s="340"/>
      <c r="G22" s="395" t="str">
        <f>_xlfn.IFNA(VLOOKUP(J22,マスタ①!$G:$U,マスタ①!$M$1,0),"")</f>
        <v/>
      </c>
      <c r="H22" s="396"/>
      <c r="I22" s="7"/>
      <c r="J22" s="405"/>
      <c r="K22" s="406"/>
      <c r="L22" s="406"/>
      <c r="M22" s="406"/>
      <c r="N22" s="406"/>
      <c r="O22" s="168"/>
      <c r="P22" s="405"/>
      <c r="Q22" s="406"/>
      <c r="R22" s="406"/>
      <c r="S22" s="406"/>
      <c r="T22" s="406"/>
      <c r="U22" s="168"/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/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/>
      <c r="F24" s="340"/>
      <c r="G24" s="395" t="str">
        <f>_xlfn.IFNA(VLOOKUP(J24,マスタ①!$G:$U,マスタ①!$M$1,0),"")</f>
        <v/>
      </c>
      <c r="H24" s="396"/>
      <c r="I24" s="7"/>
      <c r="J24" s="405"/>
      <c r="K24" s="406"/>
      <c r="L24" s="406"/>
      <c r="M24" s="406"/>
      <c r="N24" s="406"/>
      <c r="O24" s="168"/>
      <c r="P24" s="405"/>
      <c r="Q24" s="406"/>
      <c r="R24" s="406"/>
      <c r="S24" s="406"/>
      <c r="T24" s="406"/>
      <c r="U24" s="168"/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/>
      </c>
      <c r="H25" s="410"/>
      <c r="I25" s="127"/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/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/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/>
      <c r="L34" s="349"/>
      <c r="M34" s="350" t="s">
        <v>739</v>
      </c>
      <c r="N34" s="351"/>
      <c r="O34" s="329"/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/>
      <c r="F35" s="340"/>
      <c r="G35" s="341"/>
      <c r="H35" s="342"/>
      <c r="I35" s="343"/>
      <c r="J35" s="344"/>
      <c r="K35" s="345"/>
      <c r="L35" s="129"/>
      <c r="M35" s="343"/>
      <c r="N35" s="344"/>
      <c r="O35" s="345"/>
      <c r="P35" s="129"/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/>
      <c r="H36" s="324"/>
      <c r="I36" s="346"/>
      <c r="J36" s="347"/>
      <c r="K36" s="348"/>
      <c r="L36" s="169"/>
      <c r="M36" s="346"/>
      <c r="N36" s="347"/>
      <c r="O36" s="348"/>
      <c r="P36" s="169"/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744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744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744</v>
      </c>
      <c r="Z37" s="315"/>
      <c r="AA37" s="316"/>
      <c r="AB37" s="102"/>
      <c r="AC37" s="9"/>
    </row>
    <row r="38" spans="1:35" ht="28.35" customHeight="1" thickTop="1" x14ac:dyDescent="0.15">
      <c r="A38" s="317"/>
      <c r="B38" s="318"/>
      <c r="C38" s="318"/>
      <c r="D38" s="318"/>
      <c r="E38" s="318"/>
      <c r="F38" s="318"/>
      <c r="G38" s="318"/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/>
      <c r="B39" s="306"/>
      <c r="C39" s="306"/>
      <c r="D39" s="306"/>
      <c r="E39" s="306"/>
      <c r="F39" s="306"/>
      <c r="G39" s="306"/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/>
      <c r="B40" s="306"/>
      <c r="C40" s="306"/>
      <c r="D40" s="306"/>
      <c r="E40" s="306"/>
      <c r="F40" s="306"/>
      <c r="G40" s="306"/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32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 t="s">
        <v>33</v>
      </c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7" priority="1" stopIfTrue="1">
      <formula>TEXT(A1,"aaaa")="日曜日"</formula>
    </cfRule>
    <cfRule type="expression" dxfId="46" priority="2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C26CBF6-2CB0-40A1-92EF-6491C1D7644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D5CC9B2-F416-44B2-B5D2-C160D7F95680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D2875C2F-1310-4B95-BE93-687211D51077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4BC105B-BAE3-4A73-AB54-5A65079E4E17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57764C60-2DA3-43E5-8E2A-9F7FEC90951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5EFF01C-046C-4D09-AA3A-9B0FE785B5AA}">
          <x14:formula1>
            <xm:f>マスタ①!$C:$C</xm:f>
          </x14:formula1>
          <xm:sqref>G35:H36</xm:sqref>
        </x14:dataValidation>
        <x14:dataValidation type="list" allowBlank="1" showInputMessage="1" showErrorMessage="1" xr:uid="{62BD0CF9-2138-4803-BF77-4EAE296F697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A5AE70-F745-4A5F-B666-6DD929339A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C413B71-29D5-4943-BCCE-85DCFA13851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FA139DD-EAFA-4A5D-9384-B7B4A65862E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45FD8C2-1018-4C8B-820C-D1FA18B368C0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0EDAFBE6-1D28-4F04-A459-E0B4A64AFEC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ADF5A272-8FE8-44C3-B5FC-B3A61163708C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7F87-7645-41E6-8423-845F49601753}">
  <sheetPr codeName="Sheet5">
    <pageSetUpPr fitToPage="1"/>
  </sheetPr>
  <dimension ref="A1:AI70"/>
  <sheetViews>
    <sheetView showGridLines="0" zoomScaleNormal="100" zoomScalePageLayoutView="90" workbookViewId="0">
      <pane ySplit="5" topLeftCell="A39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0">
        <v>45977</v>
      </c>
      <c r="B1" s="490"/>
      <c r="C1" s="490"/>
      <c r="D1" s="490"/>
      <c r="E1" s="490"/>
      <c r="F1" s="490"/>
      <c r="G1" s="490"/>
      <c r="H1" s="491"/>
      <c r="I1" s="491"/>
      <c r="J1" s="49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730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1103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30</v>
      </c>
      <c r="F8" s="436"/>
      <c r="G8" s="437" t="str">
        <f>_xlfn.IFNA(VLOOKUP(J8,マスタ②!$A:$O,マスタ②!$G$1,0),"")</f>
        <v/>
      </c>
      <c r="H8" s="438"/>
      <c r="I8" s="103"/>
      <c r="J8" s="448"/>
      <c r="K8" s="449"/>
      <c r="L8" s="449"/>
      <c r="M8" s="449"/>
      <c r="N8" s="449"/>
      <c r="O8" s="168"/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/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1103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30</v>
      </c>
      <c r="F12" s="436"/>
      <c r="G12" s="437" t="str">
        <f>_xlfn.IFNA(VLOOKUP(J12,マスタ①!$G:$U,マスタ①!$M$1,0),"")</f>
        <v/>
      </c>
      <c r="H12" s="438"/>
      <c r="I12" s="103"/>
      <c r="J12" s="405"/>
      <c r="K12" s="406"/>
      <c r="L12" s="406"/>
      <c r="M12" s="406"/>
      <c r="N12" s="406"/>
      <c r="O12" s="168"/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/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154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384</v>
      </c>
      <c r="D16" s="336"/>
      <c r="E16" s="339" t="s">
        <v>30</v>
      </c>
      <c r="F16" s="340"/>
      <c r="G16" s="395" t="str">
        <f>_xlfn.IFNA(VLOOKUP(J16,マスタ①!$G:$U,マスタ①!$M$1,0),"")</f>
        <v/>
      </c>
      <c r="H16" s="396"/>
      <c r="I16" s="7"/>
      <c r="J16" s="405"/>
      <c r="K16" s="406"/>
      <c r="L16" s="406"/>
      <c r="M16" s="406"/>
      <c r="N16" s="406"/>
      <c r="O16" s="168"/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/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643</v>
      </c>
      <c r="D18" s="336"/>
      <c r="E18" s="339" t="s">
        <v>30</v>
      </c>
      <c r="F18" s="340"/>
      <c r="G18" s="395" t="str">
        <f>_xlfn.IFNA(VLOOKUP(J18,マスタ①!$G:$U,マスタ①!$M$1,0),"")</f>
        <v/>
      </c>
      <c r="H18" s="396"/>
      <c r="I18" s="7"/>
      <c r="J18" s="405"/>
      <c r="K18" s="406"/>
      <c r="L18" s="406"/>
      <c r="M18" s="406"/>
      <c r="N18" s="406"/>
      <c r="O18" s="168"/>
      <c r="P18" s="405"/>
      <c r="Q18" s="406"/>
      <c r="R18" s="406"/>
      <c r="S18" s="406"/>
      <c r="T18" s="406"/>
      <c r="U18" s="168"/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/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700</v>
      </c>
      <c r="D20" s="336"/>
      <c r="E20" s="339" t="s">
        <v>13</v>
      </c>
      <c r="F20" s="340"/>
      <c r="G20" s="395">
        <f>_xlfn.IFNA(VLOOKUP(J20,マスタ①!$G:$U,マスタ①!$M$1,0),"")</f>
        <v>0.20833333333333334</v>
      </c>
      <c r="H20" s="396"/>
      <c r="I20" s="7"/>
      <c r="J20" s="405" t="s">
        <v>1083</v>
      </c>
      <c r="K20" s="406"/>
      <c r="L20" s="406"/>
      <c r="M20" s="406"/>
      <c r="N20" s="406"/>
      <c r="O20" s="168">
        <v>4.9000000000000004</v>
      </c>
      <c r="P20" s="405" t="s">
        <v>1084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0.35416666666666669</v>
      </c>
      <c r="H21" s="410"/>
      <c r="I21" s="127"/>
      <c r="J21" s="411" t="str">
        <f>_xlfn.IFNA(VLOOKUP(J20,マスタ①!$G:$U,マスタ①!$R$1,0),"")&amp;""</f>
        <v xml:space="preserve">　
</v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1136</v>
      </c>
      <c r="D22" s="336"/>
      <c r="E22" s="339" t="s">
        <v>1011</v>
      </c>
      <c r="F22" s="340"/>
      <c r="G22" s="395">
        <v>0.25</v>
      </c>
      <c r="H22" s="396"/>
      <c r="I22" s="7"/>
      <c r="J22" s="405" t="s">
        <v>1085</v>
      </c>
      <c r="K22" s="406"/>
      <c r="L22" s="406"/>
      <c r="M22" s="406"/>
      <c r="N22" s="406"/>
      <c r="O22" s="168">
        <v>10</v>
      </c>
      <c r="P22" s="405" t="s">
        <v>1087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 xml:space="preserve">　
</v>
      </c>
      <c r="H23" s="410"/>
      <c r="I23" s="127" t="s">
        <v>766</v>
      </c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 t="s">
        <v>1088</v>
      </c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2401</v>
      </c>
      <c r="D24" s="336"/>
      <c r="E24" s="339" t="s">
        <v>30</v>
      </c>
      <c r="F24" s="340"/>
      <c r="G24" s="395" t="str">
        <f>_xlfn.IFNA(VLOOKUP(J24,マスタ①!$G:$U,マスタ①!$M$1,0),"")</f>
        <v/>
      </c>
      <c r="H24" s="396"/>
      <c r="I24" s="7"/>
      <c r="J24" s="405"/>
      <c r="K24" s="406"/>
      <c r="L24" s="406"/>
      <c r="M24" s="406"/>
      <c r="N24" s="406"/>
      <c r="O24" s="168"/>
      <c r="P24" s="405"/>
      <c r="Q24" s="406"/>
      <c r="R24" s="406"/>
      <c r="S24" s="406"/>
      <c r="T24" s="406"/>
      <c r="U24" s="168"/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/>
      </c>
      <c r="H25" s="410"/>
      <c r="I25" s="127"/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>
        <v>3640</v>
      </c>
      <c r="D26" s="336"/>
      <c r="E26" s="339" t="s">
        <v>39</v>
      </c>
      <c r="F26" s="340"/>
      <c r="G26" s="395">
        <v>0.25</v>
      </c>
      <c r="H26" s="396"/>
      <c r="I26" s="7"/>
      <c r="J26" s="405" t="s">
        <v>1089</v>
      </c>
      <c r="K26" s="406"/>
      <c r="L26" s="406"/>
      <c r="M26" s="406"/>
      <c r="N26" s="406"/>
      <c r="O26" s="168">
        <v>10</v>
      </c>
      <c r="P26" s="405" t="s">
        <v>1086</v>
      </c>
      <c r="Q26" s="406"/>
      <c r="R26" s="406"/>
      <c r="S26" s="406"/>
      <c r="T26" s="406"/>
      <c r="U26" s="168">
        <v>10</v>
      </c>
      <c r="V26" s="405" t="s">
        <v>1090</v>
      </c>
      <c r="W26" s="406"/>
      <c r="X26" s="406"/>
      <c r="Y26" s="406"/>
      <c r="Z26" s="406"/>
      <c r="AA26" s="168">
        <v>10</v>
      </c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>
        <f>_xlfn.IFNA(VLOOKUP(J26,マスタ①!$G:$U,マスタ①!$L$1,0),"")</f>
        <v>0.35416666666666669</v>
      </c>
      <c r="H27" s="410"/>
      <c r="I27" s="127" t="s">
        <v>766</v>
      </c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/>
      <c r="L34" s="349"/>
      <c r="M34" s="350" t="s">
        <v>739</v>
      </c>
      <c r="N34" s="351"/>
      <c r="O34" s="329"/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30</v>
      </c>
      <c r="F35" s="340"/>
      <c r="G35" s="341"/>
      <c r="H35" s="342"/>
      <c r="I35" s="343"/>
      <c r="J35" s="344"/>
      <c r="K35" s="345"/>
      <c r="L35" s="129"/>
      <c r="M35" s="343"/>
      <c r="N35" s="344"/>
      <c r="O35" s="345"/>
      <c r="P35" s="129"/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/>
      <c r="H36" s="324"/>
      <c r="I36" s="346"/>
      <c r="J36" s="347"/>
      <c r="K36" s="348"/>
      <c r="L36" s="169"/>
      <c r="M36" s="346"/>
      <c r="N36" s="347"/>
      <c r="O36" s="348"/>
      <c r="P36" s="169"/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770</v>
      </c>
      <c r="B38" s="318"/>
      <c r="C38" s="318"/>
      <c r="D38" s="318" t="s">
        <v>458</v>
      </c>
      <c r="E38" s="318"/>
      <c r="F38" s="318"/>
      <c r="G38" s="318" t="s">
        <v>772</v>
      </c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457</v>
      </c>
      <c r="B39" s="306"/>
      <c r="C39" s="306"/>
      <c r="D39" s="306" t="s">
        <v>458</v>
      </c>
      <c r="E39" s="306"/>
      <c r="F39" s="306"/>
      <c r="G39" s="306" t="s">
        <v>773</v>
      </c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729</v>
      </c>
      <c r="B40" s="306"/>
      <c r="C40" s="306"/>
      <c r="D40" s="306" t="s">
        <v>975</v>
      </c>
      <c r="E40" s="306"/>
      <c r="F40" s="306"/>
      <c r="G40" s="306" t="s">
        <v>737</v>
      </c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P11:U11"/>
    <mergeCell ref="P32:T32"/>
    <mergeCell ref="V18:Z18"/>
    <mergeCell ref="P20:T20"/>
    <mergeCell ref="V20:Z20"/>
    <mergeCell ref="P31:U31"/>
    <mergeCell ref="V30:Z30"/>
    <mergeCell ref="U35:W36"/>
    <mergeCell ref="Y35:AA36"/>
    <mergeCell ref="P25:U25"/>
    <mergeCell ref="P28:T28"/>
    <mergeCell ref="V28:Z28"/>
    <mergeCell ref="P29:U29"/>
    <mergeCell ref="V29:AA29"/>
    <mergeCell ref="P24:T24"/>
    <mergeCell ref="V14:Z14"/>
    <mergeCell ref="P27:U27"/>
    <mergeCell ref="V27:AA27"/>
    <mergeCell ref="V21:AA21"/>
    <mergeCell ref="Y34:Z34"/>
    <mergeCell ref="AA34:AB34"/>
    <mergeCell ref="V22:Z22"/>
    <mergeCell ref="P23:U23"/>
    <mergeCell ref="V23:AA23"/>
    <mergeCell ref="G36:H36"/>
    <mergeCell ref="A35:A36"/>
    <mergeCell ref="B35:B36"/>
    <mergeCell ref="E35:F35"/>
    <mergeCell ref="G35:H35"/>
    <mergeCell ref="V5:W5"/>
    <mergeCell ref="I34:J34"/>
    <mergeCell ref="K34:L34"/>
    <mergeCell ref="M34:N34"/>
    <mergeCell ref="O34:P34"/>
    <mergeCell ref="Q34:R34"/>
    <mergeCell ref="S34:T34"/>
    <mergeCell ref="U34:V34"/>
    <mergeCell ref="W34:X34"/>
    <mergeCell ref="J6:N6"/>
    <mergeCell ref="P6:T6"/>
    <mergeCell ref="J21:O21"/>
    <mergeCell ref="P21:U21"/>
    <mergeCell ref="P18:T18"/>
    <mergeCell ref="J5:K5"/>
    <mergeCell ref="P8:T8"/>
    <mergeCell ref="P10:T10"/>
    <mergeCell ref="C8:D9"/>
    <mergeCell ref="C10:D11"/>
    <mergeCell ref="C14:D15"/>
    <mergeCell ref="J15:O15"/>
    <mergeCell ref="B12:B29"/>
    <mergeCell ref="G6:H6"/>
    <mergeCell ref="G7:H7"/>
    <mergeCell ref="G28:H28"/>
    <mergeCell ref="C6:D7"/>
    <mergeCell ref="C20:D21"/>
    <mergeCell ref="G12:H12"/>
    <mergeCell ref="J7:O7"/>
    <mergeCell ref="J9:O9"/>
    <mergeCell ref="E12:F12"/>
    <mergeCell ref="E13:F13"/>
    <mergeCell ref="E14:F14"/>
    <mergeCell ref="E16:F16"/>
    <mergeCell ref="E17:F17"/>
    <mergeCell ref="E18:F18"/>
    <mergeCell ref="J8:N8"/>
    <mergeCell ref="C24:D25"/>
    <mergeCell ref="J25:O25"/>
    <mergeCell ref="G10:H10"/>
    <mergeCell ref="G14:H14"/>
    <mergeCell ref="G15:H15"/>
    <mergeCell ref="G16:H16"/>
    <mergeCell ref="A30:A33"/>
    <mergeCell ref="B30:B33"/>
    <mergeCell ref="C30:D31"/>
    <mergeCell ref="E30:F30"/>
    <mergeCell ref="E31:F31"/>
    <mergeCell ref="J30:N30"/>
    <mergeCell ref="J31:O31"/>
    <mergeCell ref="C32:D33"/>
    <mergeCell ref="J32:N32"/>
    <mergeCell ref="E32:F32"/>
    <mergeCell ref="G32:H32"/>
    <mergeCell ref="E33:F33"/>
    <mergeCell ref="G33:H33"/>
    <mergeCell ref="G30:H30"/>
    <mergeCell ref="G31:H31"/>
    <mergeCell ref="A1:G1"/>
    <mergeCell ref="H1:J1"/>
    <mergeCell ref="A2:C2"/>
    <mergeCell ref="E3:F3"/>
    <mergeCell ref="G3:H3"/>
    <mergeCell ref="J3:O3"/>
    <mergeCell ref="C12:D13"/>
    <mergeCell ref="E8:F8"/>
    <mergeCell ref="G13:H13"/>
    <mergeCell ref="G8:H8"/>
    <mergeCell ref="E11:F11"/>
    <mergeCell ref="G11:H11"/>
    <mergeCell ref="J11:O11"/>
    <mergeCell ref="E10:F10"/>
    <mergeCell ref="A3:A4"/>
    <mergeCell ref="B3:B4"/>
    <mergeCell ref="C3:D4"/>
    <mergeCell ref="E4:F4"/>
    <mergeCell ref="E6:F6"/>
    <mergeCell ref="J10:N10"/>
    <mergeCell ref="E9:F9"/>
    <mergeCell ref="G9:H9"/>
    <mergeCell ref="G4:H4"/>
    <mergeCell ref="D2:AC2"/>
    <mergeCell ref="V3:AA3"/>
    <mergeCell ref="P7:U7"/>
    <mergeCell ref="V6:Z6"/>
    <mergeCell ref="V7:AA7"/>
    <mergeCell ref="P5:Q5"/>
    <mergeCell ref="E7:F7"/>
    <mergeCell ref="E27:F27"/>
    <mergeCell ref="P26:T26"/>
    <mergeCell ref="V26:Z26"/>
    <mergeCell ref="P9:U9"/>
    <mergeCell ref="P16:T16"/>
    <mergeCell ref="V16:Z16"/>
    <mergeCell ref="P19:U19"/>
    <mergeCell ref="V19:AA19"/>
    <mergeCell ref="E15:F15"/>
    <mergeCell ref="E22:F22"/>
    <mergeCell ref="E23:F23"/>
    <mergeCell ref="V15:AA15"/>
    <mergeCell ref="J14:N14"/>
    <mergeCell ref="V8:Z8"/>
    <mergeCell ref="V10:Z10"/>
    <mergeCell ref="G27:H27"/>
    <mergeCell ref="G17:H17"/>
    <mergeCell ref="G18:H18"/>
    <mergeCell ref="C34:D34"/>
    <mergeCell ref="E34:F34"/>
    <mergeCell ref="G34:H34"/>
    <mergeCell ref="V33:AA33"/>
    <mergeCell ref="C35:D36"/>
    <mergeCell ref="E36:F36"/>
    <mergeCell ref="V9:AA9"/>
    <mergeCell ref="V11:AA11"/>
    <mergeCell ref="C18:D19"/>
    <mergeCell ref="J17:O17"/>
    <mergeCell ref="P17:U17"/>
    <mergeCell ref="V17:AA17"/>
    <mergeCell ref="C16:D17"/>
    <mergeCell ref="P12:T12"/>
    <mergeCell ref="V13:AA13"/>
    <mergeCell ref="V12:Z12"/>
    <mergeCell ref="J13:O13"/>
    <mergeCell ref="P13:U13"/>
    <mergeCell ref="J16:N16"/>
    <mergeCell ref="E21:F21"/>
    <mergeCell ref="E20:F20"/>
    <mergeCell ref="P14:T14"/>
    <mergeCell ref="P15:U15"/>
    <mergeCell ref="J12:N12"/>
    <mergeCell ref="A39:C39"/>
    <mergeCell ref="D39:F39"/>
    <mergeCell ref="G39:I39"/>
    <mergeCell ref="J39:L39"/>
    <mergeCell ref="M39:O39"/>
    <mergeCell ref="P39:R39"/>
    <mergeCell ref="S39:U39"/>
    <mergeCell ref="V39:X39"/>
    <mergeCell ref="S37:U37"/>
    <mergeCell ref="V37:X37"/>
    <mergeCell ref="A38:C38"/>
    <mergeCell ref="D38:F38"/>
    <mergeCell ref="G38:I38"/>
    <mergeCell ref="J38:L38"/>
    <mergeCell ref="M38:O38"/>
    <mergeCell ref="P38:R38"/>
    <mergeCell ref="S38:U38"/>
    <mergeCell ref="A37:C37"/>
    <mergeCell ref="D37:F37"/>
    <mergeCell ref="G37:I37"/>
    <mergeCell ref="J37:L37"/>
    <mergeCell ref="M37:O37"/>
    <mergeCell ref="P37:R37"/>
    <mergeCell ref="V38:X38"/>
    <mergeCell ref="A41:C41"/>
    <mergeCell ref="D41:F41"/>
    <mergeCell ref="G41:I41"/>
    <mergeCell ref="J41:L41"/>
    <mergeCell ref="M41:O41"/>
    <mergeCell ref="P41:R41"/>
    <mergeCell ref="A40:C40"/>
    <mergeCell ref="D40:F40"/>
    <mergeCell ref="G40:I40"/>
    <mergeCell ref="J40:L40"/>
    <mergeCell ref="M40:O40"/>
    <mergeCell ref="P40:R40"/>
    <mergeCell ref="A45:C45"/>
    <mergeCell ref="D45:F45"/>
    <mergeCell ref="G45:I45"/>
    <mergeCell ref="C46:D46"/>
    <mergeCell ref="E46:F46"/>
    <mergeCell ref="G46:H46"/>
    <mergeCell ref="I46:L46"/>
    <mergeCell ref="A43:C43"/>
    <mergeCell ref="D43:F43"/>
    <mergeCell ref="G43:I43"/>
    <mergeCell ref="J43:AA45"/>
    <mergeCell ref="A44:C44"/>
    <mergeCell ref="D44:F44"/>
    <mergeCell ref="G44:I44"/>
    <mergeCell ref="G54:H54"/>
    <mergeCell ref="J53:O53"/>
    <mergeCell ref="A53:A55"/>
    <mergeCell ref="B53:B55"/>
    <mergeCell ref="C53:D53"/>
    <mergeCell ref="E53:F53"/>
    <mergeCell ref="G53:H53"/>
    <mergeCell ref="V51:AA51"/>
    <mergeCell ref="C55:D55"/>
    <mergeCell ref="E55:F55"/>
    <mergeCell ref="G55:H55"/>
    <mergeCell ref="J55:O55"/>
    <mergeCell ref="C52:D52"/>
    <mergeCell ref="E52:F52"/>
    <mergeCell ref="G52:H52"/>
    <mergeCell ref="J52:O52"/>
    <mergeCell ref="V52:AA52"/>
    <mergeCell ref="C51:D51"/>
    <mergeCell ref="E51:F51"/>
    <mergeCell ref="G51:H51"/>
    <mergeCell ref="J51:O51"/>
    <mergeCell ref="P51:U51"/>
    <mergeCell ref="A50:A52"/>
    <mergeCell ref="B50:B52"/>
    <mergeCell ref="C47:D47"/>
    <mergeCell ref="P53:U53"/>
    <mergeCell ref="V53:AA53"/>
    <mergeCell ref="AB53:AC53"/>
    <mergeCell ref="AB51:AC51"/>
    <mergeCell ref="P50:U50"/>
    <mergeCell ref="V50:AA50"/>
    <mergeCell ref="AB50:AC50"/>
    <mergeCell ref="G50:H50"/>
    <mergeCell ref="J50:O50"/>
    <mergeCell ref="C50:D50"/>
    <mergeCell ref="E50:F50"/>
    <mergeCell ref="P52:U52"/>
    <mergeCell ref="AB48:AC48"/>
    <mergeCell ref="C49:D49"/>
    <mergeCell ref="E49:F49"/>
    <mergeCell ref="G49:H49"/>
    <mergeCell ref="C48:D48"/>
    <mergeCell ref="E48:F48"/>
    <mergeCell ref="G48:H48"/>
    <mergeCell ref="J48:O48"/>
    <mergeCell ref="Q35:S36"/>
    <mergeCell ref="P22:T22"/>
    <mergeCell ref="J23:O23"/>
    <mergeCell ref="E47:F47"/>
    <mergeCell ref="G47:H47"/>
    <mergeCell ref="I47:L47"/>
    <mergeCell ref="AB55:AC55"/>
    <mergeCell ref="P48:U48"/>
    <mergeCell ref="V48:AA48"/>
    <mergeCell ref="U46:X46"/>
    <mergeCell ref="Y46:AB46"/>
    <mergeCell ref="U47:X47"/>
    <mergeCell ref="Y47:AB47"/>
    <mergeCell ref="M46:P46"/>
    <mergeCell ref="Q46:T46"/>
    <mergeCell ref="J49:O49"/>
    <mergeCell ref="P49:U49"/>
    <mergeCell ref="V49:AA49"/>
    <mergeCell ref="AB49:AC49"/>
    <mergeCell ref="V54:AA54"/>
    <mergeCell ref="AB54:AC54"/>
    <mergeCell ref="AB52:AC52"/>
    <mergeCell ref="M47:P47"/>
    <mergeCell ref="Q47:T47"/>
    <mergeCell ref="G24:H24"/>
    <mergeCell ref="J54:O54"/>
    <mergeCell ref="P54:U54"/>
    <mergeCell ref="V24:Z24"/>
    <mergeCell ref="C22:D23"/>
    <mergeCell ref="J20:N20"/>
    <mergeCell ref="P55:U55"/>
    <mergeCell ref="V55:AA55"/>
    <mergeCell ref="S41:U41"/>
    <mergeCell ref="V41:X41"/>
    <mergeCell ref="Y38:AA38"/>
    <mergeCell ref="Y37:AA37"/>
    <mergeCell ref="V25:AA25"/>
    <mergeCell ref="Y41:AA41"/>
    <mergeCell ref="Y39:AA39"/>
    <mergeCell ref="S40:U40"/>
    <mergeCell ref="V40:X40"/>
    <mergeCell ref="Y40:AA40"/>
    <mergeCell ref="J33:O33"/>
    <mergeCell ref="P33:U33"/>
    <mergeCell ref="V31:AA31"/>
    <mergeCell ref="P30:T30"/>
    <mergeCell ref="I35:K36"/>
    <mergeCell ref="M35:O36"/>
    <mergeCell ref="P3:U3"/>
    <mergeCell ref="C54:D54"/>
    <mergeCell ref="E54:F54"/>
    <mergeCell ref="E26:F26"/>
    <mergeCell ref="G25:H25"/>
    <mergeCell ref="E19:F19"/>
    <mergeCell ref="C26:D27"/>
    <mergeCell ref="C28:D29"/>
    <mergeCell ref="E28:F28"/>
    <mergeCell ref="J28:N28"/>
    <mergeCell ref="E29:F29"/>
    <mergeCell ref="G29:H29"/>
    <mergeCell ref="J29:O29"/>
    <mergeCell ref="J27:O27"/>
    <mergeCell ref="E24:F24"/>
    <mergeCell ref="E25:F25"/>
    <mergeCell ref="J24:N24"/>
    <mergeCell ref="J22:N22"/>
    <mergeCell ref="J26:N26"/>
    <mergeCell ref="G19:H19"/>
    <mergeCell ref="G20:H20"/>
    <mergeCell ref="G21:H21"/>
    <mergeCell ref="G22:H22"/>
    <mergeCell ref="G23:H23"/>
    <mergeCell ref="J19:O19"/>
    <mergeCell ref="G26:H26"/>
    <mergeCell ref="B6:B11"/>
    <mergeCell ref="A6:A29"/>
    <mergeCell ref="AB28:AC29"/>
    <mergeCell ref="AB30:AC31"/>
    <mergeCell ref="AB32:AC33"/>
    <mergeCell ref="J4:O4"/>
    <mergeCell ref="P4:U4"/>
    <mergeCell ref="V4:AA4"/>
    <mergeCell ref="AB3:AC4"/>
    <mergeCell ref="AB6:AC7"/>
    <mergeCell ref="AB8:AC9"/>
    <mergeCell ref="AB10:AC11"/>
    <mergeCell ref="AB12:AC13"/>
    <mergeCell ref="J18:N18"/>
    <mergeCell ref="AB14:AC15"/>
    <mergeCell ref="AB16:AC17"/>
    <mergeCell ref="AB18:AC19"/>
    <mergeCell ref="AB20:AC21"/>
    <mergeCell ref="AB22:AC23"/>
    <mergeCell ref="AB24:AC25"/>
    <mergeCell ref="AB26:AC27"/>
    <mergeCell ref="V32:Z32"/>
  </mergeCells>
  <phoneticPr fontId="1"/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104775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6" name="Button 28">
              <controlPr defaultSize="0" print="0" autoFill="0" autoPict="0" macro="[0]!ShowSheetsBasedOnMasterA1Date">
                <anchor moveWithCells="1">
                  <from>
                    <xdr:col>4</xdr:col>
                    <xdr:colOff>247650</xdr:colOff>
                    <xdr:row>56</xdr:row>
                    <xdr:rowOff>57150</xdr:rowOff>
                  </from>
                  <to>
                    <xdr:col>6</xdr:col>
                    <xdr:colOff>352425</xdr:colOff>
                    <xdr:row>56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D2D937-EC7D-47EB-8F34-3DB78CBCFAF0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5D56504-0F20-4CA9-B996-4966C6E874C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36F93D87-7DC1-496B-8A6A-90217524A28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029FFB80-F24F-457F-B83A-A85C1000752F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F9029B5B-FD74-44E7-8074-D4F0D9F4DEAE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6E61375E-DE28-48DC-A69F-4B02DAECB83D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1D69905-08A8-4336-B248-F557155A296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46751DED-C500-4888-B790-ED04DB6B7605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7E11DF8-BAEF-43D5-BBEC-9663C65E4E8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2C0CBF92-2471-456C-878D-72638B5DFF57}">
          <x14:formula1>
            <xm:f>マスタ①!$C:$C</xm:f>
          </x14:formula1>
          <xm:sqref>G35:H36</xm:sqref>
        </x14:dataValidation>
        <x14:dataValidation type="list" allowBlank="1" showInputMessage="1" showErrorMessage="1" xr:uid="{623C18D8-8442-4347-95B9-38AF25D4EB92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A826623-16BD-43C7-AA6C-28C79532F50F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19A829FE-81E6-4688-83F8-7612824BA931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A55F0430-82ED-42F3-9C07-8328D3C79791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C2DE-9694-48C2-808D-0EEEB4AE4D70}">
  <sheetPr codeName="Sheet7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</f>
        <v>45978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93" t="s">
        <v>1082</v>
      </c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3"/>
      <c r="AB2" s="493"/>
      <c r="AC2" s="494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730</v>
      </c>
      <c r="F6" s="392"/>
      <c r="G6" s="393">
        <v>0.16666666666666666</v>
      </c>
      <c r="H6" s="394"/>
      <c r="I6" s="146"/>
      <c r="J6" s="463" t="s">
        <v>1107</v>
      </c>
      <c r="K6" s="464"/>
      <c r="L6" s="464"/>
      <c r="M6" s="464"/>
      <c r="N6" s="464"/>
      <c r="O6" s="167">
        <v>10</v>
      </c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>
        <f>_xlfn.IFNA(VLOOKUP(J6,マスタ②!$A:$O,マスタ②!$F$1,0),"")</f>
        <v>0</v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f>_xlfn.IFNA(VLOOKUP(J8,マスタ②!$A:$O,マスタ②!$G$1,0),"")</f>
        <v>0.16666666666666666</v>
      </c>
      <c r="H8" s="438"/>
      <c r="I8" s="103"/>
      <c r="J8" s="448" t="s">
        <v>1108</v>
      </c>
      <c r="K8" s="449"/>
      <c r="L8" s="449"/>
      <c r="M8" s="449"/>
      <c r="N8" s="449"/>
      <c r="O8" s="168">
        <v>10</v>
      </c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>
        <f>_xlfn.IFNA(VLOOKUP(J8,マスタ②!$A:$O,マスタ②!$F$1,0),"")</f>
        <v>0.39583333333333331</v>
      </c>
      <c r="H9" s="441"/>
      <c r="I9" s="127"/>
      <c r="J9" s="442" t="str">
        <f>_xlfn.IFNA(VLOOKUP(J8,マスタ②!$A:$O,マスタ②!$L$1,0),"")&amp;""</f>
        <v>常磐道(広野IC)～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209</v>
      </c>
      <c r="F10" s="436"/>
      <c r="G10" s="437">
        <f>_xlfn.IFNA(VLOOKUP(J10,マスタ②!$A:$O,マスタ②!$G$1,0),"")</f>
        <v>0.16666666666666666</v>
      </c>
      <c r="H10" s="438"/>
      <c r="I10" s="103"/>
      <c r="J10" s="405" t="s">
        <v>1109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>ＡＭ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0.22916666666666666</v>
      </c>
      <c r="H12" s="438"/>
      <c r="I12" s="103"/>
      <c r="J12" s="405" t="s">
        <v>1091</v>
      </c>
      <c r="K12" s="406"/>
      <c r="L12" s="406"/>
      <c r="M12" s="406"/>
      <c r="N12" s="406"/>
      <c r="O12" s="168">
        <v>10</v>
      </c>
      <c r="P12" s="405" t="s">
        <v>1092</v>
      </c>
      <c r="Q12" s="406"/>
      <c r="R12" s="406"/>
      <c r="S12" s="406"/>
      <c r="T12" s="406"/>
      <c r="U12" s="168">
        <v>10</v>
      </c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>
        <f>_xlfn.IFNA(VLOOKUP(J12,マスタ①!$G:$U,マスタ①!$L$1,0),"")</f>
        <v>0.38541666666666669</v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154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 t="s">
        <v>1093</v>
      </c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384</v>
      </c>
      <c r="D16" s="336"/>
      <c r="E16" s="339" t="s">
        <v>1011</v>
      </c>
      <c r="F16" s="340"/>
      <c r="G16" s="395">
        <f>_xlfn.IFNA(VLOOKUP(J16,マスタ①!$G:$U,マスタ①!$M$1,0),"")</f>
        <v>0.14583333333333334</v>
      </c>
      <c r="H16" s="396"/>
      <c r="I16" s="7"/>
      <c r="J16" s="405" t="s">
        <v>1094</v>
      </c>
      <c r="K16" s="406"/>
      <c r="L16" s="406"/>
      <c r="M16" s="406"/>
      <c r="N16" s="406"/>
      <c r="O16" s="168">
        <v>20</v>
      </c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0.3125</v>
      </c>
      <c r="H17" s="410"/>
      <c r="I17" s="127"/>
      <c r="J17" s="411" t="str">
        <f>_xlfn.IFNA(VLOOKUP(J16,マスタ①!$G:$U,マスタ①!$R$1,0),"")&amp;""</f>
        <v>R49号線</v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643</v>
      </c>
      <c r="D18" s="336"/>
      <c r="E18" s="339" t="s">
        <v>210</v>
      </c>
      <c r="F18" s="340"/>
      <c r="G18" s="395">
        <f>_xlfn.IFNA(VLOOKUP(J18,マスタ①!$G:$U,マスタ①!$M$1,0),"")</f>
        <v>0.33333333333333331</v>
      </c>
      <c r="H18" s="396"/>
      <c r="I18" s="7"/>
      <c r="J18" s="405" t="s">
        <v>1095</v>
      </c>
      <c r="K18" s="406"/>
      <c r="L18" s="406"/>
      <c r="M18" s="406"/>
      <c r="N18" s="406"/>
      <c r="O18" s="168">
        <v>10</v>
      </c>
      <c r="P18" s="405" t="s">
        <v>1096</v>
      </c>
      <c r="Q18" s="406"/>
      <c r="R18" s="406"/>
      <c r="S18" s="406"/>
      <c r="T18" s="406"/>
      <c r="U18" s="168">
        <v>3</v>
      </c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 xml:space="preserve">　
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 t="s">
        <v>1088</v>
      </c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700</v>
      </c>
      <c r="D20" s="336"/>
      <c r="E20" s="339" t="s">
        <v>13</v>
      </c>
      <c r="F20" s="340"/>
      <c r="G20" s="395">
        <f>_xlfn.IFNA(VLOOKUP(J20,マスタ①!$G:$U,マスタ①!$M$1,0),"")</f>
        <v>0.1875</v>
      </c>
      <c r="H20" s="396"/>
      <c r="I20" s="7"/>
      <c r="J20" s="405" t="s">
        <v>1097</v>
      </c>
      <c r="K20" s="406"/>
      <c r="L20" s="406"/>
      <c r="M20" s="406"/>
      <c r="N20" s="406"/>
      <c r="O20" s="168">
        <v>6</v>
      </c>
      <c r="P20" s="405" t="s">
        <v>1098</v>
      </c>
      <c r="Q20" s="406"/>
      <c r="R20" s="406"/>
      <c r="S20" s="406"/>
      <c r="T20" s="406"/>
      <c r="U20" s="168">
        <v>10</v>
      </c>
      <c r="V20" s="405" t="s">
        <v>1099</v>
      </c>
      <c r="W20" s="406"/>
      <c r="X20" s="406"/>
      <c r="Y20" s="406"/>
      <c r="Z20" s="406"/>
      <c r="AA20" s="168">
        <v>2</v>
      </c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0.3125</v>
      </c>
      <c r="H21" s="410"/>
      <c r="I21" s="127"/>
      <c r="J21" s="411" t="str">
        <f>_xlfn.IFNA(VLOOKUP(J20,マスタ①!$G:$U,マスタ①!$R$1,0),"")&amp;""</f>
        <v xml:space="preserve">　
</v>
      </c>
      <c r="K21" s="412"/>
      <c r="L21" s="412"/>
      <c r="M21" s="412"/>
      <c r="N21" s="412"/>
      <c r="O21" s="413"/>
      <c r="P21" s="414" t="s">
        <v>1110</v>
      </c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1136</v>
      </c>
      <c r="D22" s="336"/>
      <c r="E22" s="339" t="s">
        <v>732</v>
      </c>
      <c r="F22" s="340"/>
      <c r="G22" s="395">
        <v>0.3125</v>
      </c>
      <c r="H22" s="396"/>
      <c r="I22" s="7"/>
      <c r="J22" s="405" t="s">
        <v>1087</v>
      </c>
      <c r="K22" s="406"/>
      <c r="L22" s="406"/>
      <c r="M22" s="406"/>
      <c r="N22" s="406"/>
      <c r="O22" s="168">
        <v>10</v>
      </c>
      <c r="P22" s="405" t="s">
        <v>963</v>
      </c>
      <c r="Q22" s="406"/>
      <c r="R22" s="406"/>
      <c r="S22" s="406"/>
      <c r="T22" s="406"/>
      <c r="U22" s="168">
        <v>7</v>
      </c>
      <c r="V22" s="405" t="s">
        <v>1100</v>
      </c>
      <c r="W22" s="406"/>
      <c r="X22" s="406"/>
      <c r="Y22" s="406"/>
      <c r="Z22" s="406"/>
      <c r="AA22" s="168">
        <v>10</v>
      </c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">
        <v>481</v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2401</v>
      </c>
      <c r="D24" s="336"/>
      <c r="E24" s="339" t="s">
        <v>3</v>
      </c>
      <c r="F24" s="340"/>
      <c r="G24" s="395">
        <f>_xlfn.IFNA(VLOOKUP(J24,マスタ①!$G:$U,マスタ①!$M$1,0),"")</f>
        <v>0.33333333333333331</v>
      </c>
      <c r="H24" s="396"/>
      <c r="I24" s="7"/>
      <c r="J24" s="405" t="s">
        <v>1095</v>
      </c>
      <c r="K24" s="406"/>
      <c r="L24" s="406"/>
      <c r="M24" s="406"/>
      <c r="N24" s="406"/>
      <c r="O24" s="168">
        <v>10</v>
      </c>
      <c r="P24" s="405" t="s">
        <v>1101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 xml:space="preserve">　
</v>
      </c>
      <c r="H25" s="410"/>
      <c r="I25" s="127"/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>
        <v>3640</v>
      </c>
      <c r="D26" s="336"/>
      <c r="E26" s="339" t="s">
        <v>39</v>
      </c>
      <c r="F26" s="340"/>
      <c r="G26" s="395">
        <f>_xlfn.IFNA(VLOOKUP(J26,マスタ①!$G:$U,マスタ①!$M$1,0),"")</f>
        <v>0.22916666666666666</v>
      </c>
      <c r="H26" s="396"/>
      <c r="I26" s="7"/>
      <c r="J26" s="405" t="s">
        <v>1102</v>
      </c>
      <c r="K26" s="406"/>
      <c r="L26" s="406"/>
      <c r="M26" s="406"/>
      <c r="N26" s="406"/>
      <c r="O26" s="168">
        <v>10</v>
      </c>
      <c r="P26" s="405" t="s">
        <v>1090</v>
      </c>
      <c r="Q26" s="406"/>
      <c r="R26" s="406"/>
      <c r="S26" s="406"/>
      <c r="T26" s="406"/>
      <c r="U26" s="168">
        <v>10</v>
      </c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>
        <f>_xlfn.IFNA(VLOOKUP(J26,マスタ①!$G:$U,マスタ①!$L$1,0),"")</f>
        <v>0.375</v>
      </c>
      <c r="H27" s="410"/>
      <c r="I27" s="127"/>
      <c r="J27" s="411" t="str">
        <f>_xlfn.IFNA(VLOOKUP(J26,マスタ①!$G:$U,マスタ①!$R$1,0),"")&amp;""</f>
        <v xml:space="preserve">　
</v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347</v>
      </c>
      <c r="T34" s="349"/>
      <c r="U34" s="350" t="s">
        <v>741</v>
      </c>
      <c r="V34" s="351"/>
      <c r="W34" s="329" t="s">
        <v>347</v>
      </c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729</v>
      </c>
      <c r="F35" s="340"/>
      <c r="G35" s="341">
        <v>0.22916666666666699</v>
      </c>
      <c r="H35" s="342"/>
      <c r="I35" s="343" t="s">
        <v>1111</v>
      </c>
      <c r="J35" s="344"/>
      <c r="K35" s="345"/>
      <c r="L35" s="129" t="s">
        <v>349</v>
      </c>
      <c r="M35" s="343" t="s">
        <v>394</v>
      </c>
      <c r="N35" s="344"/>
      <c r="O35" s="345"/>
      <c r="P35" s="129" t="s">
        <v>350</v>
      </c>
      <c r="Q35" s="343" t="s">
        <v>353</v>
      </c>
      <c r="R35" s="344"/>
      <c r="S35" s="345"/>
      <c r="T35" s="129" t="s">
        <v>349</v>
      </c>
      <c r="U35" s="343" t="s">
        <v>353</v>
      </c>
      <c r="V35" s="344"/>
      <c r="W35" s="345"/>
      <c r="X35" s="129" t="s">
        <v>349</v>
      </c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0.27083333333333298</v>
      </c>
      <c r="H36" s="324"/>
      <c r="I36" s="346"/>
      <c r="J36" s="347"/>
      <c r="K36" s="348"/>
      <c r="L36" s="169">
        <v>10</v>
      </c>
      <c r="M36" s="346"/>
      <c r="N36" s="347"/>
      <c r="O36" s="348"/>
      <c r="P36" s="169">
        <v>8</v>
      </c>
      <c r="Q36" s="346"/>
      <c r="R36" s="347"/>
      <c r="S36" s="348"/>
      <c r="T36" s="169">
        <v>6</v>
      </c>
      <c r="U36" s="346"/>
      <c r="V36" s="347"/>
      <c r="W36" s="348"/>
      <c r="X36" s="169">
        <v>2</v>
      </c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451</v>
      </c>
      <c r="K38" s="321"/>
      <c r="L38" s="321"/>
      <c r="M38" s="318" t="s">
        <v>458</v>
      </c>
      <c r="N38" s="318"/>
      <c r="O38" s="318"/>
      <c r="P38" s="318" t="s">
        <v>775</v>
      </c>
      <c r="Q38" s="318"/>
      <c r="R38" s="319"/>
      <c r="S38" s="320" t="s">
        <v>1012</v>
      </c>
      <c r="T38" s="321"/>
      <c r="U38" s="321"/>
      <c r="V38" s="318" t="s">
        <v>458</v>
      </c>
      <c r="W38" s="318"/>
      <c r="X38" s="318"/>
      <c r="Y38" s="318" t="s">
        <v>470</v>
      </c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770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455</v>
      </c>
      <c r="K40" s="306"/>
      <c r="L40" s="306"/>
      <c r="M40" s="306" t="s">
        <v>458</v>
      </c>
      <c r="N40" s="306"/>
      <c r="O40" s="306"/>
      <c r="P40" s="306" t="s">
        <v>773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 t="s">
        <v>731</v>
      </c>
      <c r="K41" s="286"/>
      <c r="L41" s="286"/>
      <c r="M41" s="286" t="s">
        <v>465</v>
      </c>
      <c r="N41" s="286"/>
      <c r="O41" s="286"/>
      <c r="P41" s="286" t="s">
        <v>776</v>
      </c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4" priority="2" stopIfTrue="1">
      <formula>TEXT(A1,"aaaa")="日曜日"</formula>
    </cfRule>
    <cfRule type="expression" dxfId="4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5FDE52-DC60-4751-BD13-13DC22C2DAF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4CE7D54-7064-4DF9-8027-B417914727D9}">
          <x14:formula1>
            <xm:f>マスタ①!$C:$C</xm:f>
          </x14:formula1>
          <xm:sqref>G35:H36</xm:sqref>
        </x14:dataValidation>
        <x14:dataValidation type="list" allowBlank="1" showInputMessage="1" showErrorMessage="1" xr:uid="{ADD3250F-720E-4C9A-9780-67B521C73E2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FBC24CF-2A77-41D6-80B0-A641EFEEB6E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8324ED8E-8F3C-4B6E-BF6D-591E8919BAA1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EDDDD622-9909-460C-A154-40960FEB225D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3DF511D-80B8-4956-BD74-5AC9D17E579E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FBB631E1-D7C3-42CF-B2D4-6785614617EC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A6C3A372-A797-4989-B966-C3F2C0BAEA74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BDE18EFE-8B76-4F85-A155-8CFC43FCD66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98F48B07-11F1-4557-8B78-24B99DCBE31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8254024-7337-4ACF-8B66-E1F39F189421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F8893B85-F76F-47A3-A823-A990EDAA3F63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D2E04359-745B-4A41-B584-235A9E200C1B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0B28-F0C7-4A60-B575-6CD60CCAB53E}">
  <sheetPr codeName="Sheet8">
    <pageSetUpPr fitToPage="1"/>
  </sheetPr>
  <dimension ref="A1:AI70"/>
  <sheetViews>
    <sheetView showGridLines="0" zoomScaleNormal="100" zoomScalePageLayoutView="90" workbookViewId="0">
      <pane ySplit="5" topLeftCell="A12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'16日'!A1+2</f>
        <v>45979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730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1107</v>
      </c>
      <c r="Q6" s="464"/>
      <c r="R6" s="464"/>
      <c r="S6" s="464"/>
      <c r="T6" s="464"/>
      <c r="U6" s="167">
        <v>20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f>_xlfn.IFNA(VLOOKUP(J8,マスタ②!$A:$O,マスタ②!$G$1,0),"")</f>
        <v>0.22916666666666666</v>
      </c>
      <c r="H8" s="438"/>
      <c r="I8" s="103"/>
      <c r="J8" s="448" t="s">
        <v>1113</v>
      </c>
      <c r="K8" s="449"/>
      <c r="L8" s="449"/>
      <c r="M8" s="449"/>
      <c r="N8" s="449"/>
      <c r="O8" s="168">
        <v>10</v>
      </c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>
        <f>_xlfn.IFNA(VLOOKUP(J8,マスタ②!$A:$O,マスタ②!$F$1,0),"")</f>
        <v>0.4375</v>
      </c>
      <c r="H9" s="441"/>
      <c r="I9" s="127"/>
      <c r="J9" s="442" t="str">
        <f>_xlfn.IFNA(VLOOKUP(J8,マスタ②!$A:$O,マスタ②!$L$1,0),"")&amp;""</f>
        <v>常磐道(広野IC)～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209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0.22916666666666666</v>
      </c>
      <c r="H12" s="438"/>
      <c r="I12" s="103"/>
      <c r="J12" s="405" t="s">
        <v>1114</v>
      </c>
      <c r="K12" s="406"/>
      <c r="L12" s="406"/>
      <c r="M12" s="406"/>
      <c r="N12" s="406"/>
      <c r="O12" s="168">
        <v>10</v>
      </c>
      <c r="P12" s="405" t="s">
        <v>1098</v>
      </c>
      <c r="Q12" s="406"/>
      <c r="R12" s="406"/>
      <c r="S12" s="406"/>
      <c r="T12" s="406"/>
      <c r="U12" s="168">
        <v>10</v>
      </c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 t="s">
        <v>731</v>
      </c>
      <c r="F13" s="408"/>
      <c r="G13" s="409">
        <f>_xlfn.IFNA(VLOOKUP(J12,マスタ①!$G:$U,マスタ①!$L$1,0),"")</f>
        <v>0.375</v>
      </c>
      <c r="H13" s="410"/>
      <c r="I13" s="127"/>
      <c r="J13" s="411" t="str">
        <f>_xlfn.IFNA(VLOOKUP(J12,マスタ①!$G:$U,マスタ①!$R$1,0),"")&amp;""</f>
        <v>常磐道(広野IC～南相馬IC）</v>
      </c>
      <c r="K13" s="412"/>
      <c r="L13" s="412"/>
      <c r="M13" s="412"/>
      <c r="N13" s="412"/>
      <c r="O13" s="413"/>
      <c r="P13" s="414" t="s">
        <v>1128</v>
      </c>
      <c r="Q13" s="415"/>
      <c r="R13" s="415"/>
      <c r="S13" s="415"/>
      <c r="T13" s="415"/>
      <c r="U13" s="416"/>
      <c r="V13" s="414" t="s">
        <v>1112</v>
      </c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154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 t="s">
        <v>767</v>
      </c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384</v>
      </c>
      <c r="D16" s="336"/>
      <c r="E16" s="339" t="s">
        <v>729</v>
      </c>
      <c r="F16" s="340"/>
      <c r="G16" s="395">
        <v>0.41666666666666602</v>
      </c>
      <c r="H16" s="396"/>
      <c r="I16" s="7"/>
      <c r="J16" s="405" t="s">
        <v>1115</v>
      </c>
      <c r="K16" s="406"/>
      <c r="L16" s="406"/>
      <c r="M16" s="406"/>
      <c r="N16" s="406"/>
      <c r="O16" s="168">
        <v>20</v>
      </c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 t="s">
        <v>1011</v>
      </c>
      <c r="F17" s="408"/>
      <c r="G17" s="409">
        <f>_xlfn.IFNA(VLOOKUP(J16,マスタ①!$G:$U,マスタ①!$L$1,0),"")</f>
        <v>0</v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643</v>
      </c>
      <c r="D18" s="336"/>
      <c r="E18" s="339" t="s">
        <v>210</v>
      </c>
      <c r="F18" s="340"/>
      <c r="G18" s="395">
        <f>_xlfn.IFNA(VLOOKUP(J18,マスタ①!$G:$U,マスタ①!$M$1,0),"")</f>
        <v>0.27083333333333331</v>
      </c>
      <c r="H18" s="396"/>
      <c r="I18" s="7"/>
      <c r="J18" s="405" t="s">
        <v>1116</v>
      </c>
      <c r="K18" s="406"/>
      <c r="L18" s="406"/>
      <c r="M18" s="406"/>
      <c r="N18" s="406"/>
      <c r="O18" s="168">
        <v>10</v>
      </c>
      <c r="P18" s="405" t="s">
        <v>1095</v>
      </c>
      <c r="Q18" s="406"/>
      <c r="R18" s="406"/>
      <c r="S18" s="406"/>
      <c r="T18" s="406"/>
      <c r="U18" s="168">
        <v>10</v>
      </c>
      <c r="V18" s="405" t="s">
        <v>1117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 xml:space="preserve">　
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700</v>
      </c>
      <c r="D20" s="336"/>
      <c r="E20" s="339" t="s">
        <v>13</v>
      </c>
      <c r="F20" s="340"/>
      <c r="G20" s="395">
        <f>_xlfn.IFNA(VLOOKUP(J20,マスタ①!$G:$U,マスタ①!$M$1,0),"")</f>
        <v>0.27083333333333331</v>
      </c>
      <c r="H20" s="396"/>
      <c r="I20" s="7"/>
      <c r="J20" s="405" t="s">
        <v>1118</v>
      </c>
      <c r="K20" s="406"/>
      <c r="L20" s="406"/>
      <c r="M20" s="406"/>
      <c r="N20" s="406"/>
      <c r="O20" s="168">
        <v>10</v>
      </c>
      <c r="P20" s="405" t="s">
        <v>1119</v>
      </c>
      <c r="Q20" s="406"/>
      <c r="R20" s="406"/>
      <c r="S20" s="406"/>
      <c r="T20" s="406"/>
      <c r="U20" s="168">
        <v>2.5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tr">
        <f>_xlfn.IFNA(VLOOKUP(J20,マスタ①!$G:$U,マスタ①!$L$1,0),"")</f>
        <v>ＡＭ</v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1136</v>
      </c>
      <c r="D22" s="336"/>
      <c r="E22" s="339" t="s">
        <v>732</v>
      </c>
      <c r="F22" s="340"/>
      <c r="G22" s="395">
        <v>0.3125</v>
      </c>
      <c r="H22" s="396"/>
      <c r="I22" s="7"/>
      <c r="J22" s="405" t="s">
        <v>1122</v>
      </c>
      <c r="K22" s="406"/>
      <c r="L22" s="406"/>
      <c r="M22" s="406"/>
      <c r="N22" s="406"/>
      <c r="O22" s="168">
        <v>10</v>
      </c>
      <c r="P22" s="405" t="s">
        <v>1120</v>
      </c>
      <c r="Q22" s="406"/>
      <c r="R22" s="406"/>
      <c r="S22" s="406"/>
      <c r="T22" s="406"/>
      <c r="U22" s="168">
        <v>8.9</v>
      </c>
      <c r="V22" s="405" t="s">
        <v>1085</v>
      </c>
      <c r="W22" s="406"/>
      <c r="X22" s="406"/>
      <c r="Y22" s="406"/>
      <c r="Z22" s="406"/>
      <c r="AA22" s="168">
        <v>10</v>
      </c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v>0.33333333333333331</v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 t="s">
        <v>1123</v>
      </c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2401</v>
      </c>
      <c r="D24" s="336"/>
      <c r="E24" s="339" t="s">
        <v>3</v>
      </c>
      <c r="F24" s="340"/>
      <c r="G24" s="395">
        <f>_xlfn.IFNA(VLOOKUP(J24,マスタ①!$G:$U,マスタ①!$M$1,0),"")</f>
        <v>0.20833333333333334</v>
      </c>
      <c r="H24" s="396"/>
      <c r="I24" s="7"/>
      <c r="J24" s="405" t="s">
        <v>1121</v>
      </c>
      <c r="K24" s="406"/>
      <c r="L24" s="406"/>
      <c r="M24" s="406"/>
      <c r="N24" s="406"/>
      <c r="O24" s="168">
        <v>10</v>
      </c>
      <c r="P24" s="405" t="s">
        <v>1095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</v>
      </c>
      <c r="H25" s="410"/>
      <c r="I25" s="127"/>
      <c r="J25" s="411" t="str">
        <f>_xlfn.IFNA(VLOOKUP(J24,マスタ①!$G:$U,マスタ①!$R$1,0),"")&amp;""</f>
        <v>常磐道(日立北IC～宇都宮IC）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>
        <v>3640</v>
      </c>
      <c r="D26" s="336"/>
      <c r="E26" s="339" t="s">
        <v>39</v>
      </c>
      <c r="F26" s="340"/>
      <c r="G26" s="395">
        <f>_xlfn.IFNA(VLOOKUP(J26,マスタ①!$G:$U,マスタ①!$M$1,0),"")</f>
        <v>0.35416666666666669</v>
      </c>
      <c r="H26" s="396"/>
      <c r="I26" s="7"/>
      <c r="J26" s="405" t="s">
        <v>961</v>
      </c>
      <c r="K26" s="406"/>
      <c r="L26" s="406"/>
      <c r="M26" s="406"/>
      <c r="N26" s="406"/>
      <c r="O26" s="168">
        <v>10</v>
      </c>
      <c r="P26" s="405" t="s">
        <v>1095</v>
      </c>
      <c r="Q26" s="406"/>
      <c r="R26" s="406"/>
      <c r="S26" s="406"/>
      <c r="T26" s="406"/>
      <c r="U26" s="168">
        <v>10</v>
      </c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>
        <f>_xlfn.IFNA(VLOOKUP(J26,マスタ①!$G:$U,マスタ①!$L$1,0),"")</f>
        <v>0.41666666666666669</v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344</v>
      </c>
      <c r="T34" s="349"/>
      <c r="U34" s="350" t="s">
        <v>741</v>
      </c>
      <c r="V34" s="351"/>
      <c r="W34" s="329" t="s">
        <v>344</v>
      </c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0.20833333333333301</v>
      </c>
      <c r="H35" s="342"/>
      <c r="I35" s="343" t="s">
        <v>1124</v>
      </c>
      <c r="J35" s="344"/>
      <c r="K35" s="345"/>
      <c r="L35" s="129" t="s">
        <v>350</v>
      </c>
      <c r="M35" s="343" t="s">
        <v>1125</v>
      </c>
      <c r="N35" s="344"/>
      <c r="O35" s="345"/>
      <c r="P35" s="129" t="s">
        <v>350</v>
      </c>
      <c r="Q35" s="343" t="s">
        <v>1126</v>
      </c>
      <c r="R35" s="344"/>
      <c r="S35" s="345"/>
      <c r="T35" s="129" t="s">
        <v>349</v>
      </c>
      <c r="U35" s="343" t="s">
        <v>1127</v>
      </c>
      <c r="V35" s="344"/>
      <c r="W35" s="345"/>
      <c r="X35" s="129" t="s">
        <v>350</v>
      </c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0.25</v>
      </c>
      <c r="H36" s="324"/>
      <c r="I36" s="346"/>
      <c r="J36" s="347"/>
      <c r="K36" s="348"/>
      <c r="L36" s="169">
        <v>14</v>
      </c>
      <c r="M36" s="346"/>
      <c r="N36" s="347"/>
      <c r="O36" s="348"/>
      <c r="P36" s="169">
        <v>16</v>
      </c>
      <c r="Q36" s="346"/>
      <c r="R36" s="347"/>
      <c r="S36" s="348"/>
      <c r="T36" s="169">
        <v>6</v>
      </c>
      <c r="U36" s="346"/>
      <c r="V36" s="347"/>
      <c r="W36" s="348"/>
      <c r="X36" s="169">
        <v>6</v>
      </c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454</v>
      </c>
      <c r="K38" s="321"/>
      <c r="L38" s="321"/>
      <c r="M38" s="318" t="s">
        <v>458</v>
      </c>
      <c r="N38" s="318"/>
      <c r="O38" s="318"/>
      <c r="P38" s="318" t="s">
        <v>774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456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1" priority="2" stopIfTrue="1">
      <formula>TEXT(A1,"aaaa")="日曜日"</formula>
    </cfRule>
    <cfRule type="expression" dxfId="4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1C2D03-35A2-4906-9EFA-A4F62D8C2FCF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B4CEC7A7-CB6D-49C1-812C-226DF26772E0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C54366B-7C69-40A6-8310-DFAC37E0B701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B6FFFE0E-6B82-4356-851D-1FAAFB4F7C88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B9461F9-FEC3-404F-BED8-02FB376CF3DB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AFBE457E-13E6-4657-9FED-B58957DECDE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DEDBFE1-8255-4EDA-AF47-F7B579C0343C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EEB93C7-6156-47CC-A173-A362CAEE8CF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895CAA3-BEA6-45AE-A8D7-EB96EF226897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75427FB8-0423-462E-A038-64FE293C1F1B}">
          <x14:formula1>
            <xm:f>マスタ①!$C:$C</xm:f>
          </x14:formula1>
          <xm:sqref>G35:H36</xm:sqref>
        </x14:dataValidation>
        <x14:dataValidation type="list" allowBlank="1" showInputMessage="1" showErrorMessage="1" xr:uid="{6FC2967B-6E6B-457C-B85C-8B90A9949C6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16AD0C2-4F84-4462-ABA6-165A5E122DE0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EC70F4D7-F07C-480D-B292-C74A787E23B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0185C7F7-6361-44FA-B9C5-EFE0C37BC3C8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8600-EB11-4F0C-8E5F-15E415B1898E}">
  <sheetPr codeName="Sheet9">
    <pageSetUpPr fitToPage="1"/>
  </sheetPr>
  <dimension ref="A1:AI70"/>
  <sheetViews>
    <sheetView showGridLines="0" topLeftCell="D1" zoomScaleNormal="100" zoomScalePageLayoutView="90" workbookViewId="0">
      <pane ySplit="5" topLeftCell="A13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'16日'!A1+3</f>
        <v>45980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730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1107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f>_xlfn.IFNA(VLOOKUP(J8,マスタ②!$A:$O,マスタ②!$G$1,0),"")</f>
        <v>0.14583333333333334</v>
      </c>
      <c r="H8" s="438"/>
      <c r="I8" s="103"/>
      <c r="J8" s="448" t="s">
        <v>1142</v>
      </c>
      <c r="K8" s="449"/>
      <c r="L8" s="449"/>
      <c r="M8" s="449"/>
      <c r="N8" s="449"/>
      <c r="O8" s="168">
        <v>10</v>
      </c>
      <c r="P8" s="448" t="s">
        <v>1120</v>
      </c>
      <c r="Q8" s="449"/>
      <c r="R8" s="449"/>
      <c r="S8" s="449"/>
      <c r="T8" s="449"/>
      <c r="U8" s="168">
        <v>5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>
        <f>_xlfn.IFNA(VLOOKUP(J8,マスタ②!$A:$O,マスタ②!$F$1,0),"")</f>
        <v>0.33333333333333331</v>
      </c>
      <c r="H9" s="441"/>
      <c r="I9" s="127"/>
      <c r="J9" s="442" t="str">
        <f>_xlfn.IFNA(VLOOKUP(J8,マスタ②!$A:$O,マスタ②!$L$1,0),"")&amp;""</f>
        <v>常磐道(広野IC)～</v>
      </c>
      <c r="K9" s="443"/>
      <c r="L9" s="443"/>
      <c r="M9" s="443"/>
      <c r="N9" s="443"/>
      <c r="O9" s="444"/>
      <c r="P9" s="445" t="s">
        <v>1088</v>
      </c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0.27083333333333331</v>
      </c>
      <c r="H12" s="438"/>
      <c r="I12" s="103"/>
      <c r="J12" s="405" t="s">
        <v>1116</v>
      </c>
      <c r="K12" s="406"/>
      <c r="L12" s="406"/>
      <c r="M12" s="406"/>
      <c r="N12" s="406"/>
      <c r="O12" s="168">
        <v>10</v>
      </c>
      <c r="P12" s="405" t="s">
        <v>1095</v>
      </c>
      <c r="Q12" s="406"/>
      <c r="R12" s="406"/>
      <c r="S12" s="406"/>
      <c r="T12" s="406"/>
      <c r="U12" s="168">
        <v>10</v>
      </c>
      <c r="V12" s="405" t="s">
        <v>1086</v>
      </c>
      <c r="W12" s="406"/>
      <c r="X12" s="406"/>
      <c r="Y12" s="406"/>
      <c r="Z12" s="406"/>
      <c r="AA12" s="168">
        <v>10</v>
      </c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 xml:space="preserve">　
</v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f>_xlfn.IFNA(VLOOKUP(J14,マスタ①!$G:$U,マスタ①!$M$1,0),"")</f>
        <v>0.14583333333333334</v>
      </c>
      <c r="H14" s="396"/>
      <c r="I14" s="7"/>
      <c r="J14" s="405" t="s">
        <v>1094</v>
      </c>
      <c r="K14" s="406"/>
      <c r="L14" s="406"/>
      <c r="M14" s="406"/>
      <c r="N14" s="406"/>
      <c r="O14" s="168">
        <v>20</v>
      </c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0.3125</v>
      </c>
      <c r="H15" s="410"/>
      <c r="I15" s="127"/>
      <c r="J15" s="411" t="str">
        <f>_xlfn.IFNA(VLOOKUP(J14,マスタ①!$G:$U,マスタ①!$R$1,0),"")&amp;""</f>
        <v>R49号線</v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0.1875</v>
      </c>
      <c r="H16" s="396"/>
      <c r="I16" s="7"/>
      <c r="J16" s="405" t="s">
        <v>1138</v>
      </c>
      <c r="K16" s="406"/>
      <c r="L16" s="406"/>
      <c r="M16" s="406"/>
      <c r="N16" s="406"/>
      <c r="O16" s="168">
        <v>10.199999999999999</v>
      </c>
      <c r="P16" s="405" t="s">
        <v>1095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0.39583333333333331</v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0.22916666666666666</v>
      </c>
      <c r="H18" s="396"/>
      <c r="I18" s="7"/>
      <c r="J18" s="405" t="s">
        <v>1139</v>
      </c>
      <c r="K18" s="406"/>
      <c r="L18" s="406"/>
      <c r="M18" s="406"/>
      <c r="N18" s="406"/>
      <c r="O18" s="168">
        <v>1.2</v>
      </c>
      <c r="P18" s="405" t="s">
        <v>1098</v>
      </c>
      <c r="Q18" s="406"/>
      <c r="R18" s="406"/>
      <c r="S18" s="406"/>
      <c r="T18" s="406"/>
      <c r="U18" s="168">
        <v>10</v>
      </c>
      <c r="V18" s="405" t="s">
        <v>1140</v>
      </c>
      <c r="W18" s="406"/>
      <c r="X18" s="406"/>
      <c r="Y18" s="406"/>
      <c r="Z18" s="406"/>
      <c r="AA18" s="168">
        <v>3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0.3125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 t="s">
        <v>1110</v>
      </c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731</v>
      </c>
      <c r="F20" s="340"/>
      <c r="G20" s="395">
        <v>0.3125</v>
      </c>
      <c r="H20" s="396"/>
      <c r="I20" s="7"/>
      <c r="J20" s="405" t="s">
        <v>945</v>
      </c>
      <c r="K20" s="406"/>
      <c r="L20" s="406"/>
      <c r="M20" s="406"/>
      <c r="N20" s="406"/>
      <c r="O20" s="168">
        <v>10</v>
      </c>
      <c r="P20" s="405" t="s">
        <v>1092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">
        <v>481</v>
      </c>
      <c r="H21" s="410"/>
      <c r="I21" s="127"/>
      <c r="J21" s="411" t="str">
        <f>_xlfn.IFNA(VLOOKUP(J20,マスタ①!$G:$U,マスタ①!$R$1,0),"")&amp;""</f>
        <v xml:space="preserve">　
</v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0.22916666666666666</v>
      </c>
      <c r="H22" s="396"/>
      <c r="I22" s="7"/>
      <c r="J22" s="405" t="s">
        <v>1141</v>
      </c>
      <c r="K22" s="406"/>
      <c r="L22" s="406"/>
      <c r="M22" s="406"/>
      <c r="N22" s="406"/>
      <c r="O22" s="168">
        <v>10</v>
      </c>
      <c r="P22" s="405" t="s">
        <v>1095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f>_xlfn.IFNA(VLOOKUP(J22,マスタ①!$G:$U,マスタ①!$L$1,0),"")</f>
        <v>0.33333333333333331</v>
      </c>
      <c r="H23" s="410"/>
      <c r="I23" s="127"/>
      <c r="J23" s="411" t="str">
        <f>_xlfn.IFNA(VLOOKUP(J22,マスタ①!$G:$U,マスタ①!$R$1,0),"")&amp;""</f>
        <v xml:space="preserve">　
</v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0.22916666666666666</v>
      </c>
      <c r="H24" s="396"/>
      <c r="I24" s="7"/>
      <c r="J24" s="405" t="s">
        <v>1141</v>
      </c>
      <c r="K24" s="406"/>
      <c r="L24" s="406"/>
      <c r="M24" s="406"/>
      <c r="N24" s="406"/>
      <c r="O24" s="168">
        <v>10</v>
      </c>
      <c r="P24" s="405" t="s">
        <v>1101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0.33333333333333331</v>
      </c>
      <c r="H25" s="410"/>
      <c r="I25" s="127"/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344</v>
      </c>
      <c r="T34" s="349"/>
      <c r="U34" s="350" t="s">
        <v>741</v>
      </c>
      <c r="V34" s="351"/>
      <c r="W34" s="329" t="s">
        <v>344</v>
      </c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0.22916666666666699</v>
      </c>
      <c r="H35" s="342"/>
      <c r="I35" s="343" t="s">
        <v>1144</v>
      </c>
      <c r="J35" s="344"/>
      <c r="K35" s="345"/>
      <c r="L35" s="129" t="s">
        <v>349</v>
      </c>
      <c r="M35" s="343" t="s">
        <v>1147</v>
      </c>
      <c r="N35" s="344"/>
      <c r="O35" s="345"/>
      <c r="P35" s="129" t="s">
        <v>350</v>
      </c>
      <c r="Q35" s="343" t="s">
        <v>384</v>
      </c>
      <c r="R35" s="344"/>
      <c r="S35" s="345"/>
      <c r="T35" s="129" t="s">
        <v>350</v>
      </c>
      <c r="U35" s="343" t="s">
        <v>1145</v>
      </c>
      <c r="V35" s="344"/>
      <c r="W35" s="345"/>
      <c r="X35" s="129" t="s">
        <v>350</v>
      </c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0.27083333333333298</v>
      </c>
      <c r="H36" s="324"/>
      <c r="I36" s="346"/>
      <c r="J36" s="347"/>
      <c r="K36" s="348"/>
      <c r="L36" s="169">
        <v>10</v>
      </c>
      <c r="M36" s="346"/>
      <c r="N36" s="347"/>
      <c r="O36" s="348"/>
      <c r="P36" s="169">
        <v>14</v>
      </c>
      <c r="Q36" s="346"/>
      <c r="R36" s="347"/>
      <c r="S36" s="348"/>
      <c r="T36" s="169">
        <v>14</v>
      </c>
      <c r="U36" s="346"/>
      <c r="V36" s="347"/>
      <c r="W36" s="348"/>
      <c r="X36" s="169">
        <v>14</v>
      </c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451</v>
      </c>
      <c r="K38" s="321"/>
      <c r="L38" s="321"/>
      <c r="M38" s="318" t="s">
        <v>458</v>
      </c>
      <c r="N38" s="318"/>
      <c r="O38" s="318"/>
      <c r="P38" s="318" t="s">
        <v>775</v>
      </c>
      <c r="Q38" s="318"/>
      <c r="R38" s="319"/>
      <c r="S38" s="320" t="s">
        <v>729</v>
      </c>
      <c r="T38" s="321"/>
      <c r="U38" s="321"/>
      <c r="V38" s="318" t="s">
        <v>460</v>
      </c>
      <c r="W38" s="318"/>
      <c r="X38" s="318"/>
      <c r="Y38" s="318" t="s">
        <v>468</v>
      </c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454</v>
      </c>
      <c r="K39" s="306"/>
      <c r="L39" s="306"/>
      <c r="M39" s="306" t="s">
        <v>458</v>
      </c>
      <c r="N39" s="306"/>
      <c r="O39" s="306"/>
      <c r="P39" s="306" t="s">
        <v>774</v>
      </c>
      <c r="Q39" s="306"/>
      <c r="R39" s="314"/>
      <c r="S39" s="310" t="s">
        <v>209</v>
      </c>
      <c r="T39" s="306"/>
      <c r="U39" s="306"/>
      <c r="V39" s="306" t="s">
        <v>460</v>
      </c>
      <c r="W39" s="306"/>
      <c r="X39" s="306"/>
      <c r="Y39" s="306" t="s">
        <v>468</v>
      </c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455</v>
      </c>
      <c r="K40" s="306"/>
      <c r="L40" s="306"/>
      <c r="M40" s="306" t="s">
        <v>458</v>
      </c>
      <c r="N40" s="306"/>
      <c r="O40" s="306"/>
      <c r="P40" s="306" t="s">
        <v>772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 t="s">
        <v>732</v>
      </c>
      <c r="K41" s="286"/>
      <c r="L41" s="286"/>
      <c r="M41" s="286" t="s">
        <v>458</v>
      </c>
      <c r="N41" s="286"/>
      <c r="O41" s="286"/>
      <c r="P41" s="286" t="s">
        <v>470</v>
      </c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38" priority="2" stopIfTrue="1">
      <formula>TEXT(A1,"aaaa")="日曜日"</formula>
    </cfRule>
    <cfRule type="expression" dxfId="3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A9B5D-01E3-4568-AB9E-BF386E0C7D43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C17F975-8D2E-422D-847D-2EA3D87A7330}">
          <x14:formula1>
            <xm:f>マスタ①!$C:$C</xm:f>
          </x14:formula1>
          <xm:sqref>G35:H36</xm:sqref>
        </x14:dataValidation>
        <x14:dataValidation type="list" allowBlank="1" showInputMessage="1" showErrorMessage="1" xr:uid="{3959E204-1D07-4CB0-ACC5-7CC6849EC4AA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65D1A5E-6400-418D-942E-57336E6CAEB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4A952B9-74B7-4465-818F-3229F840A14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0C36ED24-4F45-4929-99CA-B434ADEF4F2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37B5C1B1-947A-47E2-9AB5-70F0CE08A836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FAECCF60-E209-4A54-AF82-1BAF391712A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687B74A8-79CC-45F0-BF98-C27BA42B1BB0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AF8CB960-7EF1-4093-9D7A-33900214B0A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C1AA176-B6AA-451A-A482-86577B36B58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9C72EEB-C09F-475A-AF0B-E1DF0BC164E6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8C16A924-D140-4A74-A480-A6A09CF515C5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77968BC5-8421-4DD6-BB86-E4082A155749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C176-831E-4175-88D4-D6AAFF708D3A}">
  <sheetPr codeName="Sheet10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'16日'!A1+4</f>
        <v>45981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730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1107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v>0.3125</v>
      </c>
      <c r="H8" s="438"/>
      <c r="I8" s="103"/>
      <c r="J8" s="448" t="s">
        <v>1087</v>
      </c>
      <c r="K8" s="449"/>
      <c r="L8" s="449"/>
      <c r="M8" s="449"/>
      <c r="N8" s="449"/>
      <c r="O8" s="168">
        <v>10</v>
      </c>
      <c r="P8" s="448" t="s">
        <v>1154</v>
      </c>
      <c r="Q8" s="449"/>
      <c r="R8" s="449"/>
      <c r="S8" s="449"/>
      <c r="T8" s="449"/>
      <c r="U8" s="168">
        <v>2.4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 xml:space="preserve">　
</v>
      </c>
      <c r="H9" s="441"/>
      <c r="I9" s="127"/>
      <c r="J9" s="442" t="str">
        <f>_xlfn.IFNA(VLOOKUP(J8,マスタ②!$A:$O,マスタ②!$L$1,0),"")&amp;""</f>
        <v xml:space="preserve">　
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0.27083333333333331</v>
      </c>
      <c r="H12" s="438"/>
      <c r="I12" s="103"/>
      <c r="J12" s="405" t="s">
        <v>1116</v>
      </c>
      <c r="K12" s="406"/>
      <c r="L12" s="406"/>
      <c r="M12" s="406"/>
      <c r="N12" s="406"/>
      <c r="O12" s="168">
        <v>10</v>
      </c>
      <c r="P12" s="405" t="s">
        <v>1098</v>
      </c>
      <c r="Q12" s="406"/>
      <c r="R12" s="406"/>
      <c r="S12" s="406"/>
      <c r="T12" s="406"/>
      <c r="U12" s="168">
        <v>10</v>
      </c>
      <c r="V12" s="405" t="s">
        <v>1148</v>
      </c>
      <c r="W12" s="406"/>
      <c r="X12" s="406"/>
      <c r="Y12" s="406"/>
      <c r="Z12" s="406"/>
      <c r="AA12" s="168">
        <v>10</v>
      </c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 xml:space="preserve">　
</v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 t="s">
        <v>1158</v>
      </c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v>0.41666666666666602</v>
      </c>
      <c r="H14" s="396"/>
      <c r="I14" s="7"/>
      <c r="J14" s="405" t="s">
        <v>1115</v>
      </c>
      <c r="K14" s="406"/>
      <c r="L14" s="406"/>
      <c r="M14" s="406"/>
      <c r="N14" s="406"/>
      <c r="O14" s="168">
        <v>20</v>
      </c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</v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0.20833333333333334</v>
      </c>
      <c r="H16" s="396"/>
      <c r="I16" s="7"/>
      <c r="J16" s="405" t="s">
        <v>1149</v>
      </c>
      <c r="K16" s="406"/>
      <c r="L16" s="406"/>
      <c r="M16" s="406"/>
      <c r="N16" s="406"/>
      <c r="O16" s="168">
        <v>10</v>
      </c>
      <c r="P16" s="405" t="s">
        <v>1092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>ＡＭ</v>
      </c>
      <c r="H17" s="410"/>
      <c r="I17" s="127"/>
      <c r="J17" s="411" t="str">
        <f>_xlfn.IFNA(VLOOKUP(J16,マスタ①!$G:$U,マスタ①!$R$1,0),"")&amp;""</f>
        <v>常磐道（広野IC～浪江IC）</v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0.22916666666666666</v>
      </c>
      <c r="H18" s="396"/>
      <c r="I18" s="7"/>
      <c r="J18" s="405" t="s">
        <v>1150</v>
      </c>
      <c r="K18" s="406"/>
      <c r="L18" s="406"/>
      <c r="M18" s="406"/>
      <c r="N18" s="406"/>
      <c r="O18" s="168">
        <v>4</v>
      </c>
      <c r="P18" s="405" t="s">
        <v>1084</v>
      </c>
      <c r="Q18" s="406"/>
      <c r="R18" s="406"/>
      <c r="S18" s="406"/>
      <c r="T18" s="406"/>
      <c r="U18" s="168">
        <v>10</v>
      </c>
      <c r="V18" s="405" t="s">
        <v>1095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0.35416666666666669</v>
      </c>
      <c r="H19" s="410"/>
      <c r="I19" s="127"/>
      <c r="J19" s="411" t="str">
        <f>_xlfn.IFNA(VLOOKUP(J18,マスタ①!$G:$U,マスタ①!$R$1,0),"")&amp;""</f>
        <v xml:space="preserve">　
</v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f>_xlfn.IFNA(VLOOKUP(J20,マスタ①!$G:$U,マスタ①!$M$1,0),"")</f>
        <v>0.22916666666666666</v>
      </c>
      <c r="H20" s="396"/>
      <c r="I20" s="7"/>
      <c r="J20" s="405" t="s">
        <v>1151</v>
      </c>
      <c r="K20" s="406"/>
      <c r="L20" s="406"/>
      <c r="M20" s="406"/>
      <c r="N20" s="406"/>
      <c r="O20" s="168">
        <v>10</v>
      </c>
      <c r="P20" s="405" t="s">
        <v>949</v>
      </c>
      <c r="Q20" s="406"/>
      <c r="R20" s="406"/>
      <c r="S20" s="406"/>
      <c r="T20" s="406"/>
      <c r="U20" s="168">
        <v>3.5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0.35416666666666669</v>
      </c>
      <c r="H21" s="410"/>
      <c r="I21" s="127"/>
      <c r="J21" s="411" t="str">
        <f>_xlfn.IFNA(VLOOKUP(J20,マスタ①!$G:$U,マスタ①!$R$1,0),"")&amp;""</f>
        <v xml:space="preserve">　
</v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0.25</v>
      </c>
      <c r="H22" s="396"/>
      <c r="I22" s="7"/>
      <c r="J22" s="405" t="s">
        <v>1155</v>
      </c>
      <c r="K22" s="406"/>
      <c r="L22" s="406"/>
      <c r="M22" s="406"/>
      <c r="N22" s="406"/>
      <c r="O22" s="168">
        <v>10</v>
      </c>
      <c r="P22" s="405" t="s">
        <v>1152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f>_xlfn.IFNA(VLOOKUP(J22,マスタ①!$G:$U,マスタ①!$L$1,0),"")</f>
        <v>0</v>
      </c>
      <c r="H23" s="410"/>
      <c r="I23" s="127" t="s">
        <v>766</v>
      </c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 t="s">
        <v>1153</v>
      </c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0.22916666666666666</v>
      </c>
      <c r="H24" s="396"/>
      <c r="I24" s="7"/>
      <c r="J24" s="405" t="s">
        <v>1141</v>
      </c>
      <c r="K24" s="406"/>
      <c r="L24" s="406"/>
      <c r="M24" s="406"/>
      <c r="N24" s="406"/>
      <c r="O24" s="168">
        <v>10</v>
      </c>
      <c r="P24" s="405" t="s">
        <v>1090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0.33333333333333331</v>
      </c>
      <c r="H25" s="410"/>
      <c r="I25" s="127"/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209</v>
      </c>
      <c r="F30" s="392"/>
      <c r="G30" s="393">
        <f>_xlfn.IFNA(VLOOKUP(J30,マスタ③!$A:$G,マスタ③!$B$1,0),"")</f>
        <v>8.3333333333333329E-2</v>
      </c>
      <c r="H30" s="394"/>
      <c r="I30" s="158"/>
      <c r="J30" s="370" t="s">
        <v>1050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729</v>
      </c>
      <c r="F32" s="340"/>
      <c r="G32" s="395">
        <f>_xlfn.IFNA(VLOOKUP(J32,マスタ③!$A:$G,マスタ③!$B$1,0),"")</f>
        <v>0.16666666666666666</v>
      </c>
      <c r="H32" s="396"/>
      <c r="I32" s="105"/>
      <c r="J32" s="357" t="s">
        <v>1053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 t="s">
        <v>731</v>
      </c>
      <c r="F33" s="356"/>
      <c r="G33" s="362">
        <f>_xlfn.IFNA(VLOOKUP(J32,マスタ③!$A:$G,マスタ③!$C$1,0),"")</f>
        <v>0.66666666666666663</v>
      </c>
      <c r="H33" s="363"/>
      <c r="I33" s="159"/>
      <c r="J33" s="364" t="str">
        <f>_xlfn.IFNA(VLOOKUP(J32,マスタ③!$A:$G,マスタ③!$D$1,0),"")&amp;""</f>
        <v>【往路】日立南太田IC～桜土浦IC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344</v>
      </c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0.1875</v>
      </c>
      <c r="H35" s="342"/>
      <c r="I35" s="343" t="s">
        <v>392</v>
      </c>
      <c r="J35" s="344"/>
      <c r="K35" s="345"/>
      <c r="L35" s="129" t="s">
        <v>350</v>
      </c>
      <c r="M35" s="343" t="s">
        <v>1156</v>
      </c>
      <c r="N35" s="344"/>
      <c r="O35" s="345"/>
      <c r="P35" s="129" t="s">
        <v>350</v>
      </c>
      <c r="Q35" s="343" t="s">
        <v>1157</v>
      </c>
      <c r="R35" s="344"/>
      <c r="S35" s="345"/>
      <c r="T35" s="129" t="s">
        <v>349</v>
      </c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0.22916666666666699</v>
      </c>
      <c r="H36" s="324"/>
      <c r="I36" s="346"/>
      <c r="J36" s="347"/>
      <c r="K36" s="348"/>
      <c r="L36" s="169">
        <v>4</v>
      </c>
      <c r="M36" s="346"/>
      <c r="N36" s="347"/>
      <c r="O36" s="348"/>
      <c r="P36" s="169">
        <v>6</v>
      </c>
      <c r="Q36" s="346"/>
      <c r="R36" s="347"/>
      <c r="S36" s="348"/>
      <c r="T36" s="169">
        <v>14</v>
      </c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454</v>
      </c>
      <c r="K38" s="321"/>
      <c r="L38" s="321"/>
      <c r="M38" s="318" t="s">
        <v>458</v>
      </c>
      <c r="N38" s="318"/>
      <c r="O38" s="318"/>
      <c r="P38" s="318" t="s">
        <v>775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457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455</v>
      </c>
      <c r="K40" s="306"/>
      <c r="L40" s="306"/>
      <c r="M40" s="306" t="s">
        <v>458</v>
      </c>
      <c r="N40" s="306"/>
      <c r="O40" s="306"/>
      <c r="P40" s="306" t="s">
        <v>773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35" priority="3" stopIfTrue="1">
      <formula>TEXT(A1,"aaaa")="日曜日"</formula>
    </cfRule>
    <cfRule type="expression" dxfId="34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66923FF-A07E-47F8-82E3-E8AF9A525BC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BD9E27C-9BA4-4822-B6AE-19137228DB7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564DE14-FD31-4254-BE75-35F30069C96B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192DF9A9-9421-4C5D-B0A6-F35258C9964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9DC8795B-5D17-42C7-9985-7FAF6F6CA617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E57EA8D2-F936-4A4A-9C88-FCD71A4A51E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A9B95E9D-3616-4070-9457-8615F14B2042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9EEB783A-31D8-4766-B4F3-F94C5FE68C8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0BB875BA-0883-401E-B6E2-CC10EC1E50BB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32CDD942-28EE-4552-B7E2-DF325944E4A6}">
          <x14:formula1>
            <xm:f>マスタ①!$C:$C</xm:f>
          </x14:formula1>
          <xm:sqref>G35:H36</xm:sqref>
        </x14:dataValidation>
        <x14:dataValidation type="list" allowBlank="1" showInputMessage="1" showErrorMessage="1" xr:uid="{5FBA6470-5A11-4428-80FE-FD5570A034DD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5635A7D-ADC0-43C9-812A-3EE5A6584912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ED361259-FD89-483C-B9B6-5F4E9845DA5F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6ECBCB1A-8998-49D3-9627-BD84678B5B07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C00D-3EB8-48C1-B04A-A7F3902153F7}">
  <sheetPr codeName="Sheet11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'16日'!A1+5</f>
        <v>45982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730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1107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f>_xlfn.IFNA(VLOOKUP(J8,マスタ②!$A:$O,マスタ②!$G$1,0),"")</f>
        <v>0.14583333333333334</v>
      </c>
      <c r="H8" s="438"/>
      <c r="I8" s="103"/>
      <c r="J8" s="448" t="s">
        <v>1142</v>
      </c>
      <c r="K8" s="449"/>
      <c r="L8" s="449"/>
      <c r="M8" s="449"/>
      <c r="N8" s="449"/>
      <c r="O8" s="168">
        <v>10</v>
      </c>
      <c r="P8" s="448" t="s">
        <v>1159</v>
      </c>
      <c r="Q8" s="449"/>
      <c r="R8" s="449"/>
      <c r="S8" s="449"/>
      <c r="T8" s="449"/>
      <c r="U8" s="168">
        <v>10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>
        <f>_xlfn.IFNA(VLOOKUP(J8,マスタ②!$A:$O,マスタ②!$F$1,0),"")</f>
        <v>0.33333333333333331</v>
      </c>
      <c r="H9" s="441"/>
      <c r="I9" s="127"/>
      <c r="J9" s="442" t="str">
        <f>_xlfn.IFNA(VLOOKUP(J8,マスタ②!$A:$O,マスタ②!$L$1,0),"")&amp;""</f>
        <v>常磐道(広野IC)～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0.22916666666666666</v>
      </c>
      <c r="H12" s="438"/>
      <c r="I12" s="103"/>
      <c r="J12" s="405" t="s">
        <v>1141</v>
      </c>
      <c r="K12" s="406"/>
      <c r="L12" s="406"/>
      <c r="M12" s="406"/>
      <c r="N12" s="406"/>
      <c r="O12" s="168">
        <v>10</v>
      </c>
      <c r="P12" s="405" t="s">
        <v>1151</v>
      </c>
      <c r="Q12" s="406"/>
      <c r="R12" s="406"/>
      <c r="S12" s="406"/>
      <c r="T12" s="406"/>
      <c r="U12" s="168">
        <v>10</v>
      </c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>
        <f>_xlfn.IFNA(VLOOKUP(J12,マスタ①!$G:$U,マスタ①!$L$1,0),"")</f>
        <v>0.33333333333333331</v>
      </c>
      <c r="H13" s="410"/>
      <c r="I13" s="127"/>
      <c r="J13" s="411" t="str">
        <f>_xlfn.IFNA(VLOOKUP(J12,マスタ①!$G:$U,マスタ①!$R$1,0),"")&amp;""</f>
        <v xml:space="preserve">　
</v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f>_xlfn.IFNA(VLOOKUP(J14,マスタ①!$G:$U,マスタ①!$M$1,0),"")</f>
        <v>0.14583333333333334</v>
      </c>
      <c r="H14" s="396"/>
      <c r="I14" s="7"/>
      <c r="J14" s="405" t="s">
        <v>1094</v>
      </c>
      <c r="K14" s="406"/>
      <c r="L14" s="406"/>
      <c r="M14" s="406"/>
      <c r="N14" s="406"/>
      <c r="O14" s="168">
        <v>20</v>
      </c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0.3125</v>
      </c>
      <c r="H15" s="410"/>
      <c r="I15" s="127"/>
      <c r="J15" s="411" t="str">
        <f>_xlfn.IFNA(VLOOKUP(J14,マスタ①!$G:$U,マスタ①!$R$1,0),"")&amp;""</f>
        <v>R49号線</v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0.25</v>
      </c>
      <c r="H16" s="396"/>
      <c r="I16" s="7"/>
      <c r="J16" s="405" t="s">
        <v>1160</v>
      </c>
      <c r="K16" s="406"/>
      <c r="L16" s="406"/>
      <c r="M16" s="406"/>
      <c r="N16" s="406"/>
      <c r="O16" s="168">
        <v>7</v>
      </c>
      <c r="P16" s="405" t="s">
        <v>1161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0.45833333333333331</v>
      </c>
      <c r="H17" s="410"/>
      <c r="I17" s="127"/>
      <c r="J17" s="411" t="str">
        <f>_xlfn.IFNA(VLOOKUP(J16,マスタ①!$G:$U,マスタ①!$R$1,0),"")&amp;""</f>
        <v>常磐道（日立北IC～水戸IC）</v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0.29166666666666669</v>
      </c>
      <c r="H18" s="396"/>
      <c r="I18" s="7"/>
      <c r="J18" s="405" t="s">
        <v>1162</v>
      </c>
      <c r="K18" s="406"/>
      <c r="L18" s="406"/>
      <c r="M18" s="406"/>
      <c r="N18" s="406"/>
      <c r="O18" s="168">
        <v>8</v>
      </c>
      <c r="P18" s="405" t="s">
        <v>1103</v>
      </c>
      <c r="Q18" s="406"/>
      <c r="R18" s="406"/>
      <c r="S18" s="406"/>
      <c r="T18" s="406"/>
      <c r="U18" s="168">
        <v>10</v>
      </c>
      <c r="V18" s="405" t="s">
        <v>1098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0.33333333333333331</v>
      </c>
      <c r="H19" s="410"/>
      <c r="I19" s="127"/>
      <c r="J19" s="411" t="str">
        <f>_xlfn.IFNA(VLOOKUP(J18,マスタ①!$G:$U,マスタ①!$R$1,0),"")&amp;""</f>
        <v xml:space="preserve">　
</v>
      </c>
      <c r="K19" s="412"/>
      <c r="L19" s="412"/>
      <c r="M19" s="412"/>
      <c r="N19" s="412"/>
      <c r="O19" s="413"/>
      <c r="P19" s="414" t="s">
        <v>1163</v>
      </c>
      <c r="Q19" s="415"/>
      <c r="R19" s="415"/>
      <c r="S19" s="415"/>
      <c r="T19" s="415"/>
      <c r="U19" s="416"/>
      <c r="V19" s="414" t="s">
        <v>1153</v>
      </c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v>0.25</v>
      </c>
      <c r="H20" s="396"/>
      <c r="I20" s="7"/>
      <c r="J20" s="405" t="s">
        <v>1087</v>
      </c>
      <c r="K20" s="406"/>
      <c r="L20" s="406"/>
      <c r="M20" s="406"/>
      <c r="N20" s="406"/>
      <c r="O20" s="168">
        <v>10</v>
      </c>
      <c r="P20" s="405" t="s">
        <v>1087</v>
      </c>
      <c r="Q20" s="406"/>
      <c r="R20" s="406"/>
      <c r="S20" s="406"/>
      <c r="T20" s="406"/>
      <c r="U20" s="168">
        <v>10</v>
      </c>
      <c r="V20" s="405" t="s">
        <v>1164</v>
      </c>
      <c r="W20" s="406"/>
      <c r="X20" s="406"/>
      <c r="Y20" s="406"/>
      <c r="Z20" s="406"/>
      <c r="AA20" s="168">
        <v>3.7</v>
      </c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v>0.35416666666666669</v>
      </c>
      <c r="H21" s="410"/>
      <c r="I21" s="127" t="s">
        <v>766</v>
      </c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 t="s">
        <v>1163</v>
      </c>
      <c r="Q21" s="415"/>
      <c r="R21" s="415"/>
      <c r="S21" s="415"/>
      <c r="T21" s="415"/>
      <c r="U21" s="416"/>
      <c r="V21" s="414" t="s">
        <v>1153</v>
      </c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30</v>
      </c>
      <c r="F22" s="340"/>
      <c r="G22" s="395" t="str">
        <f>_xlfn.IFNA(VLOOKUP(J22,マスタ①!$G:$U,マスタ①!$M$1,0),"")</f>
        <v/>
      </c>
      <c r="H22" s="396"/>
      <c r="I22" s="7"/>
      <c r="J22" s="405"/>
      <c r="K22" s="406"/>
      <c r="L22" s="406"/>
      <c r="M22" s="406"/>
      <c r="N22" s="406"/>
      <c r="O22" s="168"/>
      <c r="P22" s="405"/>
      <c r="Q22" s="406"/>
      <c r="R22" s="406"/>
      <c r="S22" s="406"/>
      <c r="T22" s="406"/>
      <c r="U22" s="168"/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/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 t="s">
        <v>1093</v>
      </c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0.20833333333333334</v>
      </c>
      <c r="H24" s="396"/>
      <c r="I24" s="7"/>
      <c r="J24" s="405" t="s">
        <v>1165</v>
      </c>
      <c r="K24" s="406"/>
      <c r="L24" s="406"/>
      <c r="M24" s="406"/>
      <c r="N24" s="406"/>
      <c r="O24" s="168">
        <v>10</v>
      </c>
      <c r="P24" s="405" t="s">
        <v>1166</v>
      </c>
      <c r="Q24" s="406"/>
      <c r="R24" s="406"/>
      <c r="S24" s="406"/>
      <c r="T24" s="406"/>
      <c r="U24" s="168">
        <v>4</v>
      </c>
      <c r="V24" s="405" t="s">
        <v>1167</v>
      </c>
      <c r="W24" s="406"/>
      <c r="X24" s="406"/>
      <c r="Y24" s="406"/>
      <c r="Z24" s="406"/>
      <c r="AA24" s="168">
        <v>3</v>
      </c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0.33333333333333331</v>
      </c>
      <c r="H25" s="410"/>
      <c r="I25" s="127"/>
      <c r="J25" s="411" t="str">
        <f>_xlfn.IFNA(VLOOKUP(J24,マスタ①!$G:$U,マスタ①!$R$1,0),"")&amp;""</f>
        <v>常磐道（広野IC～浪江IC）</v>
      </c>
      <c r="K25" s="412"/>
      <c r="L25" s="412"/>
      <c r="M25" s="412"/>
      <c r="N25" s="412"/>
      <c r="O25" s="413"/>
      <c r="P25" s="414" t="s">
        <v>1168</v>
      </c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209</v>
      </c>
      <c r="F30" s="392"/>
      <c r="G30" s="393">
        <f>_xlfn.IFNA(VLOOKUP(J30,マスタ③!$A:$G,マスタ③!$B$1,0),"")</f>
        <v>8.3333333333333329E-2</v>
      </c>
      <c r="H30" s="394"/>
      <c r="I30" s="158"/>
      <c r="J30" s="370" t="s">
        <v>1050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729</v>
      </c>
      <c r="F32" s="340"/>
      <c r="G32" s="395">
        <f>_xlfn.IFNA(VLOOKUP(J32,マスタ③!$A:$G,マスタ③!$B$1,0),"")</f>
        <v>0.16666666666666666</v>
      </c>
      <c r="H32" s="396"/>
      <c r="I32" s="105"/>
      <c r="J32" s="357" t="s">
        <v>1053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 t="s">
        <v>731</v>
      </c>
      <c r="F33" s="356"/>
      <c r="G33" s="362">
        <f>_xlfn.IFNA(VLOOKUP(J32,マスタ③!$A:$G,マスタ③!$C$1,0),"")</f>
        <v>0.66666666666666663</v>
      </c>
      <c r="H33" s="363"/>
      <c r="I33" s="159"/>
      <c r="J33" s="364" t="str">
        <f>_xlfn.IFNA(VLOOKUP(J32,マスタ③!$A:$G,マスタ③!$D$1,0),"")&amp;""</f>
        <v>【往路】日立南太田IC～桜土浦IC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733</v>
      </c>
      <c r="P34" s="349"/>
      <c r="Q34" s="350" t="s">
        <v>740</v>
      </c>
      <c r="R34" s="351"/>
      <c r="S34" s="329" t="s">
        <v>733</v>
      </c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0.20833333333333301</v>
      </c>
      <c r="H35" s="342"/>
      <c r="I35" s="343" t="s">
        <v>1169</v>
      </c>
      <c r="J35" s="344"/>
      <c r="K35" s="345"/>
      <c r="L35" s="129" t="s">
        <v>349</v>
      </c>
      <c r="M35" s="343" t="s">
        <v>1169</v>
      </c>
      <c r="N35" s="344"/>
      <c r="O35" s="345"/>
      <c r="P35" s="129" t="s">
        <v>349</v>
      </c>
      <c r="Q35" s="343" t="s">
        <v>1169</v>
      </c>
      <c r="R35" s="344"/>
      <c r="S35" s="345"/>
      <c r="T35" s="129" t="s">
        <v>349</v>
      </c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0.25</v>
      </c>
      <c r="H36" s="324"/>
      <c r="I36" s="346"/>
      <c r="J36" s="347"/>
      <c r="K36" s="348"/>
      <c r="L36" s="169">
        <v>14</v>
      </c>
      <c r="M36" s="346"/>
      <c r="N36" s="347"/>
      <c r="O36" s="348"/>
      <c r="P36" s="169">
        <v>14</v>
      </c>
      <c r="Q36" s="346"/>
      <c r="R36" s="347"/>
      <c r="S36" s="348"/>
      <c r="T36" s="169">
        <v>14</v>
      </c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451</v>
      </c>
      <c r="K38" s="321"/>
      <c r="L38" s="321"/>
      <c r="M38" s="318" t="s">
        <v>458</v>
      </c>
      <c r="N38" s="318"/>
      <c r="O38" s="318"/>
      <c r="P38" s="318" t="s">
        <v>775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456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455</v>
      </c>
      <c r="K40" s="306"/>
      <c r="L40" s="306"/>
      <c r="M40" s="306" t="s">
        <v>458</v>
      </c>
      <c r="N40" s="306"/>
      <c r="O40" s="306"/>
      <c r="P40" s="306" t="s">
        <v>773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32" priority="3" stopIfTrue="1">
      <formula>TEXT(A1,"aaaa")="日曜日"</formula>
    </cfRule>
    <cfRule type="expression" dxfId="31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CCB7978-8B9A-4857-B239-9B2533EFF97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CD8487B-C04B-4630-B60F-462C94F4FA77}">
          <x14:formula1>
            <xm:f>マスタ①!$C:$C</xm:f>
          </x14:formula1>
          <xm:sqref>G35:H36</xm:sqref>
        </x14:dataValidation>
        <x14:dataValidation type="list" allowBlank="1" showInputMessage="1" showErrorMessage="1" xr:uid="{608A2E5B-9BEE-4368-BA36-812F245EC408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A7A5B28A-5CFE-45D1-9830-571876CB48F2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9FF3A5A-6E65-4D35-A76E-16A62CE49977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2DD084E-1069-467D-9918-9359A95E0C0C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4C474EA-C3E4-47DF-A3FB-2E8921A70AB4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45DF758C-DE6E-4103-9AD1-E031A953660E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F7F02D40-72E6-49A1-A78A-0BF5FB10430C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A80648DA-1303-48E4-AED3-BEC5338C134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C9BB266-293E-41F7-ACA5-C68826ABECFF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C9C6511-C133-44E5-883E-258F53DDC288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C0D18F8A-A077-4BB2-A4E0-6A0EECD6723C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875BC812-BB49-4B08-9B1E-D86F8A00A7B6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E628-62AB-4128-A964-9889609370C7}">
  <sheetPr codeName="Sheet12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'16日'!A1+6</f>
        <v>45983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209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1107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v>0.3125</v>
      </c>
      <c r="H8" s="438"/>
      <c r="I8" s="103"/>
      <c r="J8" s="448" t="s">
        <v>1087</v>
      </c>
      <c r="K8" s="449"/>
      <c r="L8" s="449"/>
      <c r="M8" s="449"/>
      <c r="N8" s="449"/>
      <c r="O8" s="168">
        <v>10</v>
      </c>
      <c r="P8" s="448" t="s">
        <v>1086</v>
      </c>
      <c r="Q8" s="449"/>
      <c r="R8" s="449"/>
      <c r="S8" s="449"/>
      <c r="T8" s="449"/>
      <c r="U8" s="168">
        <v>10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 xml:space="preserve">　
</v>
      </c>
      <c r="H9" s="441"/>
      <c r="I9" s="127"/>
      <c r="J9" s="442" t="str">
        <f>_xlfn.IFNA(VLOOKUP(J8,マスタ②!$A:$O,マスタ②!$L$1,0),"")&amp;""</f>
        <v xml:space="preserve">　
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0.3125</v>
      </c>
      <c r="H12" s="438"/>
      <c r="I12" s="103"/>
      <c r="J12" s="405" t="s">
        <v>1089</v>
      </c>
      <c r="K12" s="406"/>
      <c r="L12" s="406"/>
      <c r="M12" s="406"/>
      <c r="N12" s="406"/>
      <c r="O12" s="168">
        <v>10</v>
      </c>
      <c r="P12" s="405" t="s">
        <v>1172</v>
      </c>
      <c r="Q12" s="406"/>
      <c r="R12" s="406"/>
      <c r="S12" s="406"/>
      <c r="T12" s="406"/>
      <c r="U12" s="168">
        <v>10</v>
      </c>
      <c r="V12" s="405" t="s">
        <v>1095</v>
      </c>
      <c r="W12" s="406"/>
      <c r="X12" s="406"/>
      <c r="Y12" s="406"/>
      <c r="Z12" s="406"/>
      <c r="AA12" s="168">
        <v>10</v>
      </c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>
        <f>_xlfn.IFNA(VLOOKUP(J12,マスタ①!$G:$U,マスタ①!$L$1,0),"")</f>
        <v>0.35416666666666669</v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 t="s">
        <v>1163</v>
      </c>
      <c r="Q13" s="415"/>
      <c r="R13" s="415"/>
      <c r="S13" s="415"/>
      <c r="T13" s="415"/>
      <c r="U13" s="416"/>
      <c r="V13" s="414" t="s">
        <v>1088</v>
      </c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30</v>
      </c>
      <c r="F16" s="340"/>
      <c r="G16" s="395" t="str">
        <f>_xlfn.IFNA(VLOOKUP(J16,マスタ①!$G:$U,マスタ①!$M$1,0),"")</f>
        <v/>
      </c>
      <c r="H16" s="396"/>
      <c r="I16" s="7"/>
      <c r="J16" s="405"/>
      <c r="K16" s="406"/>
      <c r="L16" s="406"/>
      <c r="M16" s="406"/>
      <c r="N16" s="406"/>
      <c r="O16" s="168"/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/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0.27083333333333331</v>
      </c>
      <c r="H18" s="396"/>
      <c r="I18" s="7"/>
      <c r="J18" s="405" t="s">
        <v>1173</v>
      </c>
      <c r="K18" s="406"/>
      <c r="L18" s="406"/>
      <c r="M18" s="406"/>
      <c r="N18" s="406"/>
      <c r="O18" s="168">
        <v>10</v>
      </c>
      <c r="P18" s="405" t="s">
        <v>1098</v>
      </c>
      <c r="Q18" s="406"/>
      <c r="R18" s="406"/>
      <c r="S18" s="406"/>
      <c r="T18" s="406"/>
      <c r="U18" s="168">
        <v>10</v>
      </c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0.33333333333333331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v>0.3125</v>
      </c>
      <c r="H20" s="396"/>
      <c r="I20" s="7"/>
      <c r="J20" s="405" t="s">
        <v>1174</v>
      </c>
      <c r="K20" s="406"/>
      <c r="L20" s="406"/>
      <c r="M20" s="406"/>
      <c r="N20" s="406"/>
      <c r="O20" s="168">
        <v>10</v>
      </c>
      <c r="P20" s="405" t="s">
        <v>1086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</v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v>0.3125</v>
      </c>
      <c r="H22" s="396"/>
      <c r="I22" s="7"/>
      <c r="J22" s="405" t="s">
        <v>1087</v>
      </c>
      <c r="K22" s="406"/>
      <c r="L22" s="406"/>
      <c r="M22" s="406"/>
      <c r="N22" s="406"/>
      <c r="O22" s="168">
        <v>10</v>
      </c>
      <c r="P22" s="405"/>
      <c r="Q22" s="406"/>
      <c r="R22" s="406"/>
      <c r="S22" s="406"/>
      <c r="T22" s="406"/>
      <c r="U22" s="168"/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">
        <v>481</v>
      </c>
      <c r="H23" s="410"/>
      <c r="I23" s="127" t="s">
        <v>766</v>
      </c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30</v>
      </c>
      <c r="F24" s="340"/>
      <c r="G24" s="395" t="str">
        <f>_xlfn.IFNA(VLOOKUP(J24,マスタ①!$G:$U,マスタ①!$M$1,0),"")</f>
        <v/>
      </c>
      <c r="H24" s="396"/>
      <c r="I24" s="7"/>
      <c r="J24" s="405"/>
      <c r="K24" s="406"/>
      <c r="L24" s="406"/>
      <c r="M24" s="406"/>
      <c r="N24" s="406"/>
      <c r="O24" s="168"/>
      <c r="P24" s="405"/>
      <c r="Q24" s="406"/>
      <c r="R24" s="406"/>
      <c r="S24" s="406"/>
      <c r="T24" s="406"/>
      <c r="U24" s="168"/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/>
      </c>
      <c r="H25" s="410"/>
      <c r="I25" s="127"/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345</v>
      </c>
      <c r="P34" s="349"/>
      <c r="Q34" s="350" t="s">
        <v>740</v>
      </c>
      <c r="R34" s="351"/>
      <c r="S34" s="329" t="s">
        <v>344</v>
      </c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0.16666666666666666</v>
      </c>
      <c r="H35" s="342"/>
      <c r="I35" s="343" t="s">
        <v>392</v>
      </c>
      <c r="J35" s="344"/>
      <c r="K35" s="345"/>
      <c r="L35" s="129" t="s">
        <v>350</v>
      </c>
      <c r="M35" s="343" t="s">
        <v>1188</v>
      </c>
      <c r="N35" s="344"/>
      <c r="O35" s="345"/>
      <c r="P35" s="129" t="s">
        <v>349</v>
      </c>
      <c r="Q35" s="343" t="s">
        <v>388</v>
      </c>
      <c r="R35" s="344"/>
      <c r="S35" s="345"/>
      <c r="T35" s="129" t="s">
        <v>350</v>
      </c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0.20833333333333301</v>
      </c>
      <c r="H36" s="324"/>
      <c r="I36" s="346"/>
      <c r="J36" s="347"/>
      <c r="K36" s="348"/>
      <c r="L36" s="169">
        <v>10</v>
      </c>
      <c r="M36" s="346"/>
      <c r="N36" s="347"/>
      <c r="O36" s="348"/>
      <c r="P36" s="169">
        <v>14</v>
      </c>
      <c r="Q36" s="346"/>
      <c r="R36" s="347"/>
      <c r="S36" s="348"/>
      <c r="T36" s="169">
        <v>10</v>
      </c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770</v>
      </c>
      <c r="B38" s="318"/>
      <c r="C38" s="318"/>
      <c r="D38" s="318" t="s">
        <v>458</v>
      </c>
      <c r="E38" s="318"/>
      <c r="F38" s="318"/>
      <c r="G38" s="318" t="s">
        <v>772</v>
      </c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455</v>
      </c>
      <c r="B39" s="306"/>
      <c r="C39" s="306"/>
      <c r="D39" s="306" t="s">
        <v>458</v>
      </c>
      <c r="E39" s="306"/>
      <c r="F39" s="306"/>
      <c r="G39" s="306" t="s">
        <v>774</v>
      </c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/>
      <c r="B40" s="306"/>
      <c r="C40" s="306"/>
      <c r="D40" s="306"/>
      <c r="E40" s="306"/>
      <c r="F40" s="306"/>
      <c r="G40" s="306"/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9" priority="2" stopIfTrue="1">
      <formula>TEXT(A1,"aaaa")="日曜日"</formula>
    </cfRule>
    <cfRule type="expression" dxfId="28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3519B59-1D01-4E5C-AABC-C37C5341E9A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27B7B5AE-542F-4F99-B6CF-ABED0077E8C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C5F5B109-3E48-49A9-B713-1EDC5C746ACD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9B870FA2-84A2-45E5-B410-F155ACE28BD6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C4B4FCBC-C591-49A2-A011-A21D8B085898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5EAE6085-275A-4226-B74A-578647369289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8C8FE28-7E53-4337-A66A-E77AF1F60653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4367DFE-1821-4AA6-93BD-A375C82B6A2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3FE1C1A-44DB-4F30-A1EC-CF404DA2AB10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FCC9223C-0833-4BC8-A253-55970CC87D73}">
          <x14:formula1>
            <xm:f>マスタ①!$C:$C</xm:f>
          </x14:formula1>
          <xm:sqref>G35:H36</xm:sqref>
        </x14:dataValidation>
        <x14:dataValidation type="list" allowBlank="1" showInputMessage="1" showErrorMessage="1" xr:uid="{B97E23A6-81A6-4FB3-811C-9B44EADCDD36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8897B322-F3B5-4758-921B-6FCF2741A5D0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39C15F5B-4A79-4AB9-9041-BA2422F86799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4FE434D7-F90B-4F7D-96DE-FACBB7308ACB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EAC7-BDC9-4ED7-B6D8-95C442F726C6}">
  <sheetPr codeName="Sheet13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'16日'!A1+7</f>
        <v>45984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93" t="s">
        <v>1171</v>
      </c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3"/>
      <c r="AB2" s="493"/>
      <c r="AC2" s="494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209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30</v>
      </c>
      <c r="F8" s="436"/>
      <c r="G8" s="437" t="str">
        <f>_xlfn.IFNA(VLOOKUP(J8,マスタ②!$A:$O,マスタ②!$G$1,0),"")</f>
        <v/>
      </c>
      <c r="H8" s="438"/>
      <c r="I8" s="103"/>
      <c r="J8" s="448"/>
      <c r="K8" s="449"/>
      <c r="L8" s="449"/>
      <c r="M8" s="449"/>
      <c r="N8" s="449"/>
      <c r="O8" s="168"/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/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30</v>
      </c>
      <c r="F10" s="436"/>
      <c r="G10" s="437" t="str">
        <f>_xlfn.IFNA(VLOOKUP(J10,マスタ②!$A:$O,マスタ②!$G$1,0),"")</f>
        <v/>
      </c>
      <c r="H10" s="438"/>
      <c r="I10" s="103"/>
      <c r="J10" s="405"/>
      <c r="K10" s="406"/>
      <c r="L10" s="406"/>
      <c r="M10" s="406"/>
      <c r="N10" s="406"/>
      <c r="O10" s="168"/>
      <c r="P10" s="405"/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/>
      </c>
      <c r="H11" s="425"/>
      <c r="I11" s="144"/>
      <c r="J11" s="426" t="str">
        <f>_xlfn.IFNA(VLOOKUP(J10,マスタ②!$A:$O,マスタ②!$L$1,0),"")&amp;""</f>
        <v/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30</v>
      </c>
      <c r="F12" s="436"/>
      <c r="G12" s="437" t="str">
        <f>_xlfn.IFNA(VLOOKUP(J12,マスタ①!$G:$U,マスタ①!$M$1,0),"")</f>
        <v/>
      </c>
      <c r="H12" s="438"/>
      <c r="I12" s="103"/>
      <c r="J12" s="405"/>
      <c r="K12" s="406"/>
      <c r="L12" s="406"/>
      <c r="M12" s="406"/>
      <c r="N12" s="406"/>
      <c r="O12" s="168"/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/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v>0.3125</v>
      </c>
      <c r="H14" s="396"/>
      <c r="I14" s="7"/>
      <c r="J14" s="405" t="s">
        <v>1115</v>
      </c>
      <c r="K14" s="406"/>
      <c r="L14" s="406"/>
      <c r="M14" s="406"/>
      <c r="N14" s="406"/>
      <c r="O14" s="168">
        <v>20</v>
      </c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</v>
      </c>
      <c r="H15" s="410"/>
      <c r="I15" s="127" t="s">
        <v>777</v>
      </c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0.16666666666666666</v>
      </c>
      <c r="H16" s="396"/>
      <c r="I16" s="7"/>
      <c r="J16" s="405" t="s">
        <v>1175</v>
      </c>
      <c r="K16" s="406"/>
      <c r="L16" s="406"/>
      <c r="M16" s="406"/>
      <c r="N16" s="406"/>
      <c r="O16" s="168">
        <v>10</v>
      </c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0.27083333333333331</v>
      </c>
      <c r="H17" s="410"/>
      <c r="I17" s="127"/>
      <c r="J17" s="411" t="str">
        <f>_xlfn.IFNA(VLOOKUP(J16,マスタ①!$G:$U,マスタ①!$R$1,0),"")&amp;""</f>
        <v xml:space="preserve">　
</v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30</v>
      </c>
      <c r="F18" s="340"/>
      <c r="G18" s="395" t="str">
        <f>_xlfn.IFNA(VLOOKUP(J18,マスタ①!$G:$U,マスタ①!$M$1,0),"")</f>
        <v/>
      </c>
      <c r="H18" s="396"/>
      <c r="I18" s="7"/>
      <c r="J18" s="405"/>
      <c r="K18" s="406"/>
      <c r="L18" s="406"/>
      <c r="M18" s="406"/>
      <c r="N18" s="406"/>
      <c r="O18" s="168"/>
      <c r="P18" s="405"/>
      <c r="Q18" s="406"/>
      <c r="R18" s="406"/>
      <c r="S18" s="406"/>
      <c r="T18" s="406"/>
      <c r="U18" s="168"/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/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13</v>
      </c>
      <c r="F20" s="340"/>
      <c r="G20" s="395">
        <f>_xlfn.IFNA(VLOOKUP(J20,マスタ①!$G:$U,マスタ①!$M$1,0),"")</f>
        <v>0.22916666666666666</v>
      </c>
      <c r="H20" s="396"/>
      <c r="I20" s="7"/>
      <c r="J20" s="405" t="s">
        <v>1102</v>
      </c>
      <c r="K20" s="406"/>
      <c r="L20" s="406"/>
      <c r="M20" s="406"/>
      <c r="N20" s="406"/>
      <c r="O20" s="168">
        <v>10</v>
      </c>
      <c r="P20" s="405" t="s">
        <v>1090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0.375</v>
      </c>
      <c r="H21" s="410"/>
      <c r="I21" s="127"/>
      <c r="J21" s="411" t="str">
        <f>_xlfn.IFNA(VLOOKUP(J20,マスタ①!$G:$U,マスタ①!$R$1,0),"")&amp;""</f>
        <v xml:space="preserve">　
</v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30</v>
      </c>
      <c r="F22" s="340"/>
      <c r="G22" s="395"/>
      <c r="H22" s="396"/>
      <c r="I22" s="7"/>
      <c r="J22" s="405"/>
      <c r="K22" s="406"/>
      <c r="L22" s="406"/>
      <c r="M22" s="406"/>
      <c r="N22" s="406"/>
      <c r="O22" s="168"/>
      <c r="P22" s="405"/>
      <c r="Q22" s="406"/>
      <c r="R22" s="406"/>
      <c r="S22" s="406"/>
      <c r="T22" s="406"/>
      <c r="U22" s="168"/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/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v>0.35416666666666602</v>
      </c>
      <c r="H24" s="396"/>
      <c r="I24" s="7"/>
      <c r="J24" s="405" t="s">
        <v>1092</v>
      </c>
      <c r="K24" s="406"/>
      <c r="L24" s="406"/>
      <c r="M24" s="406"/>
      <c r="N24" s="406"/>
      <c r="O24" s="168">
        <v>10</v>
      </c>
      <c r="P24" s="405"/>
      <c r="Q24" s="406"/>
      <c r="R24" s="406"/>
      <c r="S24" s="406"/>
      <c r="T24" s="406"/>
      <c r="U24" s="168"/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0.54166666666666663</v>
      </c>
      <c r="H25" s="410"/>
      <c r="I25" s="127" t="s">
        <v>766</v>
      </c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/>
      <c r="L34" s="349"/>
      <c r="M34" s="350" t="s">
        <v>739</v>
      </c>
      <c r="N34" s="351"/>
      <c r="O34" s="329"/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30</v>
      </c>
      <c r="F35" s="340"/>
      <c r="G35" s="341"/>
      <c r="H35" s="342"/>
      <c r="I35" s="343"/>
      <c r="J35" s="344"/>
      <c r="K35" s="345"/>
      <c r="L35" s="129"/>
      <c r="M35" s="343"/>
      <c r="N35" s="344"/>
      <c r="O35" s="345"/>
      <c r="P35" s="129"/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/>
      <c r="H36" s="324"/>
      <c r="I36" s="346"/>
      <c r="J36" s="347"/>
      <c r="K36" s="348"/>
      <c r="L36" s="169"/>
      <c r="M36" s="346"/>
      <c r="N36" s="347"/>
      <c r="O36" s="348"/>
      <c r="P36" s="169"/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770</v>
      </c>
      <c r="B38" s="318"/>
      <c r="C38" s="318"/>
      <c r="D38" s="318" t="s">
        <v>458</v>
      </c>
      <c r="E38" s="318"/>
      <c r="F38" s="318"/>
      <c r="G38" s="318" t="s">
        <v>772</v>
      </c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457</v>
      </c>
      <c r="B39" s="306"/>
      <c r="C39" s="306"/>
      <c r="D39" s="306" t="s">
        <v>458</v>
      </c>
      <c r="E39" s="306"/>
      <c r="F39" s="306"/>
      <c r="G39" s="306" t="s">
        <v>773</v>
      </c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/>
      <c r="B40" s="306"/>
      <c r="C40" s="306"/>
      <c r="D40" s="306"/>
      <c r="E40" s="306"/>
      <c r="F40" s="306"/>
      <c r="G40" s="306"/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6" priority="2" stopIfTrue="1">
      <formula>TEXT(A1,"aaaa")="日曜日"</formula>
    </cfRule>
    <cfRule type="expression" dxfId="25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3072A-26BD-4CD6-8868-D0359905F981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D02DB84-B0CA-42E0-9486-37C743A316E3}">
          <x14:formula1>
            <xm:f>マスタ①!$C:$C</xm:f>
          </x14:formula1>
          <xm:sqref>G35:H36</xm:sqref>
        </x14:dataValidation>
        <x14:dataValidation type="list" allowBlank="1" showInputMessage="1" showErrorMessage="1" xr:uid="{127CBEF3-47D7-4498-8314-B8CBB8A100F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3FBB0C7-527B-45E9-81BD-AD8EEBF03622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6DDFE5C0-F6C1-4C43-A5EA-56F6D7C39F5E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AB29F7FF-CD36-4E11-A448-8CD43604141C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BBA209D-9290-420B-92D4-A21201D4E934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A07BFE4D-03C9-4713-95D5-DB8E431CD150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59E51F30-B971-4BCB-BCF9-CA84321E39BE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C2433A40-AE87-4580-AF16-955545F6C1D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3159A01D-D10D-493D-8D5E-7DE917B2761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0307D53-022F-4C3F-A2A9-099C98D1CD61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858F1719-01C9-4A92-9F3D-36CA2D76A46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F8382662-B81E-4E02-83D5-D87C738F7D52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137A-5812-42A2-B7E3-C0D5621646D1}">
  <sheetPr codeName="Sheet14">
    <pageSetUpPr fitToPage="1"/>
  </sheetPr>
  <dimension ref="A1:AI70"/>
  <sheetViews>
    <sheetView showGridLines="0" view="pageLayout" topLeftCell="A20" zoomScaleNormal="100" workbookViewId="0">
      <selection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'16日'!A1+8</f>
        <v>45985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93" t="s">
        <v>1170</v>
      </c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3"/>
      <c r="AB2" s="493"/>
      <c r="AC2" s="494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209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1183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v>0.20833333333333301</v>
      </c>
      <c r="H8" s="438"/>
      <c r="I8" s="103"/>
      <c r="J8" s="448" t="s">
        <v>1184</v>
      </c>
      <c r="K8" s="449"/>
      <c r="L8" s="449"/>
      <c r="M8" s="449"/>
      <c r="N8" s="449"/>
      <c r="O8" s="168">
        <v>10</v>
      </c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>
        <v>0.41666666666666669</v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 t="s">
        <v>1185</v>
      </c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30</v>
      </c>
      <c r="F10" s="436"/>
      <c r="G10" s="437" t="str">
        <f>_xlfn.IFNA(VLOOKUP(J10,マスタ②!$A:$O,マスタ②!$G$1,0),"")</f>
        <v/>
      </c>
      <c r="H10" s="438"/>
      <c r="I10" s="103"/>
      <c r="J10" s="405"/>
      <c r="K10" s="406"/>
      <c r="L10" s="406"/>
      <c r="M10" s="406"/>
      <c r="N10" s="406"/>
      <c r="O10" s="168"/>
      <c r="P10" s="405"/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/>
      </c>
      <c r="H11" s="425"/>
      <c r="I11" s="144"/>
      <c r="J11" s="426" t="str">
        <f>_xlfn.IFNA(VLOOKUP(J10,マスタ②!$A:$O,マスタ②!$L$1,0),"")&amp;""</f>
        <v/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30</v>
      </c>
      <c r="F12" s="436"/>
      <c r="G12" s="437" t="str">
        <f>_xlfn.IFNA(VLOOKUP(J12,マスタ①!$G:$U,マスタ①!$M$1,0),"")</f>
        <v/>
      </c>
      <c r="H12" s="438"/>
      <c r="I12" s="103"/>
      <c r="J12" s="405"/>
      <c r="K12" s="406"/>
      <c r="L12" s="406"/>
      <c r="M12" s="406"/>
      <c r="N12" s="406"/>
      <c r="O12" s="168"/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/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f>_xlfn.IFNA(VLOOKUP(J14,マスタ①!$G:$U,マスタ①!$M$1,0),"")</f>
        <v>0.10416666666666667</v>
      </c>
      <c r="H14" s="396"/>
      <c r="I14" s="7"/>
      <c r="J14" s="405" t="s">
        <v>1176</v>
      </c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</v>
      </c>
      <c r="H15" s="410"/>
      <c r="I15" s="127"/>
      <c r="J15" s="411" t="str">
        <f>_xlfn.IFNA(VLOOKUP(J14,マスタ①!$G:$U,マスタ①!$R$1,0),"")&amp;""</f>
        <v>磐越道(三和IC～亀田IC）</v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0.20833333333333334</v>
      </c>
      <c r="H16" s="396"/>
      <c r="I16" s="7"/>
      <c r="J16" s="405" t="s">
        <v>1165</v>
      </c>
      <c r="K16" s="406"/>
      <c r="L16" s="406"/>
      <c r="M16" s="406"/>
      <c r="N16" s="406"/>
      <c r="O16" s="168">
        <v>10</v>
      </c>
      <c r="P16" s="405" t="s">
        <v>1090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0.33333333333333331</v>
      </c>
      <c r="H17" s="410"/>
      <c r="I17" s="127"/>
      <c r="J17" s="411" t="str">
        <f>_xlfn.IFNA(VLOOKUP(J16,マスタ①!$G:$U,マスタ①!$R$1,0),"")&amp;""</f>
        <v>常磐道（広野IC～浪江IC）</v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0.22916666666666666</v>
      </c>
      <c r="H18" s="396"/>
      <c r="I18" s="7"/>
      <c r="J18" s="405" t="s">
        <v>1177</v>
      </c>
      <c r="K18" s="406"/>
      <c r="L18" s="406"/>
      <c r="M18" s="406"/>
      <c r="N18" s="406"/>
      <c r="O18" s="168">
        <v>4</v>
      </c>
      <c r="P18" s="405" t="s">
        <v>1120</v>
      </c>
      <c r="Q18" s="406"/>
      <c r="R18" s="406"/>
      <c r="S18" s="406"/>
      <c r="T18" s="406"/>
      <c r="U18" s="168">
        <v>8.9</v>
      </c>
      <c r="V18" s="405" t="s">
        <v>1159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0.29166666666666669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 t="s">
        <v>1123</v>
      </c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30</v>
      </c>
      <c r="F20" s="340"/>
      <c r="G20" s="395" t="str">
        <f>_xlfn.IFNA(VLOOKUP(J20,マスタ①!$G:$U,マスタ①!$M$1,0),"")</f>
        <v/>
      </c>
      <c r="H20" s="396"/>
      <c r="I20" s="7"/>
      <c r="J20" s="405"/>
      <c r="K20" s="406"/>
      <c r="L20" s="406"/>
      <c r="M20" s="406"/>
      <c r="N20" s="406"/>
      <c r="O20" s="168"/>
      <c r="P20" s="405"/>
      <c r="Q20" s="406"/>
      <c r="R20" s="406"/>
      <c r="S20" s="406"/>
      <c r="T20" s="406"/>
      <c r="U20" s="168"/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tr">
        <f>_xlfn.IFNA(VLOOKUP(J20,マスタ①!$G:$U,マスタ①!$L$1,0),"")</f>
        <v/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0.33333333333333331</v>
      </c>
      <c r="H22" s="396"/>
      <c r="I22" s="7"/>
      <c r="J22" s="405" t="s">
        <v>1172</v>
      </c>
      <c r="K22" s="406"/>
      <c r="L22" s="406"/>
      <c r="M22" s="406"/>
      <c r="N22" s="406"/>
      <c r="O22" s="168">
        <v>10</v>
      </c>
      <c r="P22" s="405" t="s">
        <v>1092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>ＡＭ</v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v>0.3125</v>
      </c>
      <c r="H24" s="396"/>
      <c r="I24" s="7"/>
      <c r="J24" s="405" t="s">
        <v>1089</v>
      </c>
      <c r="K24" s="406"/>
      <c r="L24" s="406"/>
      <c r="M24" s="406"/>
      <c r="N24" s="406"/>
      <c r="O24" s="168">
        <v>10</v>
      </c>
      <c r="P24" s="405" t="s">
        <v>1172</v>
      </c>
      <c r="Q24" s="406"/>
      <c r="R24" s="406"/>
      <c r="S24" s="406"/>
      <c r="T24" s="406"/>
      <c r="U24" s="168">
        <v>10</v>
      </c>
      <c r="V24" s="405" t="s">
        <v>1085</v>
      </c>
      <c r="W24" s="406"/>
      <c r="X24" s="406"/>
      <c r="Y24" s="406"/>
      <c r="Z24" s="406"/>
      <c r="AA24" s="168">
        <v>10</v>
      </c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0.35416666666666669</v>
      </c>
      <c r="H25" s="410"/>
      <c r="I25" s="127"/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731</v>
      </c>
      <c r="F30" s="392"/>
      <c r="G30" s="393">
        <f>_xlfn.IFNA(VLOOKUP(J30,マスタ③!$A:$G,マスタ③!$B$1,0),"")</f>
        <v>8.3333333333333329E-2</v>
      </c>
      <c r="H30" s="394"/>
      <c r="I30" s="158"/>
      <c r="J30" s="370" t="s">
        <v>1050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729</v>
      </c>
      <c r="F32" s="340"/>
      <c r="G32" s="395">
        <f>_xlfn.IFNA(VLOOKUP(J32,マスタ③!$A:$G,マスタ③!$B$1,0),"")</f>
        <v>0.16666666666666666</v>
      </c>
      <c r="H32" s="396"/>
      <c r="I32" s="105"/>
      <c r="J32" s="357" t="s">
        <v>1053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>
        <f>_xlfn.IFNA(VLOOKUP(J32,マスタ③!$A:$G,マスタ③!$C$1,0),"")</f>
        <v>0.66666666666666663</v>
      </c>
      <c r="H33" s="363"/>
      <c r="I33" s="159"/>
      <c r="J33" s="364" t="str">
        <f>_xlfn.IFNA(VLOOKUP(J32,マスタ③!$A:$G,マスタ③!$D$1,0),"")&amp;""</f>
        <v>【往路】日立南太田IC～桜土浦IC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347</v>
      </c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0.1875</v>
      </c>
      <c r="H35" s="342"/>
      <c r="I35" s="343" t="s">
        <v>392</v>
      </c>
      <c r="J35" s="344"/>
      <c r="K35" s="345"/>
      <c r="L35" s="129" t="s">
        <v>350</v>
      </c>
      <c r="M35" s="343" t="s">
        <v>392</v>
      </c>
      <c r="N35" s="344"/>
      <c r="O35" s="345"/>
      <c r="P35" s="129" t="s">
        <v>350</v>
      </c>
      <c r="Q35" s="343" t="s">
        <v>1189</v>
      </c>
      <c r="R35" s="344"/>
      <c r="S35" s="345"/>
      <c r="T35" s="129" t="s">
        <v>350</v>
      </c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0.22916666666666699</v>
      </c>
      <c r="H36" s="324"/>
      <c r="I36" s="346"/>
      <c r="J36" s="347"/>
      <c r="K36" s="348"/>
      <c r="L36" s="169">
        <v>14</v>
      </c>
      <c r="M36" s="346"/>
      <c r="N36" s="347"/>
      <c r="O36" s="348"/>
      <c r="P36" s="169">
        <v>4</v>
      </c>
      <c r="Q36" s="346"/>
      <c r="R36" s="347"/>
      <c r="S36" s="348"/>
      <c r="T36" s="169">
        <v>10</v>
      </c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456</v>
      </c>
      <c r="B38" s="318"/>
      <c r="C38" s="318"/>
      <c r="D38" s="318" t="s">
        <v>458</v>
      </c>
      <c r="E38" s="318"/>
      <c r="F38" s="318"/>
      <c r="G38" s="318" t="s">
        <v>772</v>
      </c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455</v>
      </c>
      <c r="B39" s="306"/>
      <c r="C39" s="306"/>
      <c r="D39" s="306" t="s">
        <v>458</v>
      </c>
      <c r="E39" s="306"/>
      <c r="F39" s="306"/>
      <c r="G39" s="306" t="s">
        <v>774</v>
      </c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/>
      <c r="B40" s="306"/>
      <c r="C40" s="306"/>
      <c r="D40" s="306"/>
      <c r="E40" s="306"/>
      <c r="F40" s="306"/>
      <c r="G40" s="306"/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3" priority="2" stopIfTrue="1">
      <formula>TEXT(A1,"aaaa")="日曜日"</formula>
    </cfRule>
    <cfRule type="expression" dxfId="22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scale="81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13881A-0595-4FFE-A3FE-E92B0AE4D8F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B495049F-DFA2-4FDD-AF07-F24B2F3AFC4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D76CC22A-9822-49F8-A6AE-81FABEFB2514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40C546E5-8058-4BD4-B696-1649B26C6081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6129E8F5-A8DD-4A6F-AC0E-6296E1AA4F1B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E72DD486-B17A-45E2-AFAD-11E3E96C13E9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98F2473A-2D43-4EDB-AAC7-4AE488B67ADA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F064D230-F8DC-4A5F-8F86-9A0E2558B36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9187307-30E7-42CF-8ADD-EDFB78210B3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10FAB395-099E-4FFE-9D30-83882A1D8F8F}">
          <x14:formula1>
            <xm:f>マスタ①!$C:$C</xm:f>
          </x14:formula1>
          <xm:sqref>G35:H36</xm:sqref>
        </x14:dataValidation>
        <x14:dataValidation type="list" allowBlank="1" showInputMessage="1" showErrorMessage="1" xr:uid="{E6361AE9-CA12-4329-A328-CCE1C19FA76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973637B-5B6A-415B-9999-01B6AA725424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1C2AF137-7A9D-4664-97E1-B344B36EE37D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58BFF0A6-C37A-4BF7-A801-974CCDE76038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9426-BAE2-434F-AE42-124B21B4DB40}">
  <sheetPr codeName="Sheet15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'16日'!A1+9</f>
        <v>45986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769</v>
      </c>
      <c r="F6" s="392"/>
      <c r="G6" s="393">
        <v>0.20833333333333301</v>
      </c>
      <c r="H6" s="394"/>
      <c r="I6" s="146"/>
      <c r="J6" s="463" t="s">
        <v>1107</v>
      </c>
      <c r="K6" s="464"/>
      <c r="L6" s="464"/>
      <c r="M6" s="464"/>
      <c r="N6" s="464"/>
      <c r="O6" s="167">
        <v>10</v>
      </c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>
        <f>_xlfn.IFNA(VLOOKUP(J6,マスタ②!$A:$O,マスタ②!$F$1,0),"")</f>
        <v>0</v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 t="s">
        <v>1186</v>
      </c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v>0.14583333333333334</v>
      </c>
      <c r="H8" s="438"/>
      <c r="I8" s="103"/>
      <c r="J8" s="448" t="s">
        <v>1184</v>
      </c>
      <c r="K8" s="449"/>
      <c r="L8" s="449"/>
      <c r="M8" s="449"/>
      <c r="N8" s="449"/>
      <c r="O8" s="168">
        <v>10</v>
      </c>
      <c r="P8" s="448" t="s">
        <v>1187</v>
      </c>
      <c r="Q8" s="449"/>
      <c r="R8" s="449"/>
      <c r="S8" s="449"/>
      <c r="T8" s="449"/>
      <c r="U8" s="168">
        <v>7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 t="s">
        <v>730</v>
      </c>
      <c r="F9" s="408"/>
      <c r="G9" s="440">
        <v>0.33333333333333331</v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 t="s">
        <v>1088</v>
      </c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209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0.22916666666666666</v>
      </c>
      <c r="H12" s="438"/>
      <c r="I12" s="103"/>
      <c r="J12" s="405" t="s">
        <v>1178</v>
      </c>
      <c r="K12" s="406"/>
      <c r="L12" s="406"/>
      <c r="M12" s="406"/>
      <c r="N12" s="406"/>
      <c r="O12" s="168">
        <v>10</v>
      </c>
      <c r="P12" s="405" t="s">
        <v>1098</v>
      </c>
      <c r="Q12" s="406"/>
      <c r="R12" s="406"/>
      <c r="S12" s="406"/>
      <c r="T12" s="406"/>
      <c r="U12" s="168">
        <v>10</v>
      </c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>ＡＭ</v>
      </c>
      <c r="H13" s="410"/>
      <c r="I13" s="127"/>
      <c r="J13" s="411" t="str">
        <f>_xlfn.IFNA(VLOOKUP(J12,マスタ①!$G:$U,マスタ①!$R$1,0),"")&amp;""</f>
        <v xml:space="preserve">　
</v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0.25</v>
      </c>
      <c r="H16" s="396"/>
      <c r="I16" s="7"/>
      <c r="J16" s="405" t="s">
        <v>1179</v>
      </c>
      <c r="K16" s="406"/>
      <c r="L16" s="406"/>
      <c r="M16" s="406"/>
      <c r="N16" s="406"/>
      <c r="O16" s="168">
        <v>5</v>
      </c>
      <c r="P16" s="405" t="s">
        <v>1180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0.375</v>
      </c>
      <c r="H17" s="410"/>
      <c r="I17" s="127"/>
      <c r="J17" s="411" t="str">
        <f>_xlfn.IFNA(VLOOKUP(J16,マスタ①!$G:$U,マスタ①!$R$1,0),"")&amp;""</f>
        <v>常磐道（広野IC～南相馬IC）</v>
      </c>
      <c r="K17" s="412"/>
      <c r="L17" s="412"/>
      <c r="M17" s="412"/>
      <c r="N17" s="412"/>
      <c r="O17" s="413"/>
      <c r="P17" s="414" t="s">
        <v>1088</v>
      </c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1011</v>
      </c>
      <c r="F18" s="340"/>
      <c r="G18" s="395">
        <f>_xlfn.IFNA(VLOOKUP(J18,マスタ①!$G:$U,マスタ①!$M$1,0),"")</f>
        <v>0.16666666666666666</v>
      </c>
      <c r="H18" s="396"/>
      <c r="I18" s="7"/>
      <c r="J18" s="405" t="s">
        <v>1175</v>
      </c>
      <c r="K18" s="406"/>
      <c r="L18" s="406"/>
      <c r="M18" s="406"/>
      <c r="N18" s="406"/>
      <c r="O18" s="168">
        <v>10</v>
      </c>
      <c r="P18" s="405" t="s">
        <v>1140</v>
      </c>
      <c r="Q18" s="406"/>
      <c r="R18" s="406"/>
      <c r="S18" s="406"/>
      <c r="T18" s="406"/>
      <c r="U18" s="168">
        <v>3</v>
      </c>
      <c r="V18" s="405" t="s">
        <v>1095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0.27083333333333331</v>
      </c>
      <c r="H19" s="410"/>
      <c r="I19" s="127"/>
      <c r="J19" s="411" t="str">
        <f>_xlfn.IFNA(VLOOKUP(J18,マスタ①!$G:$U,マスタ①!$R$1,0),"")&amp;""</f>
        <v xml:space="preserve">　
</v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 t="s">
        <v>1088</v>
      </c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f>_xlfn.IFNA(VLOOKUP(J20,マスタ①!$G:$U,マスタ①!$M$1,0),"")</f>
        <v>0.20833333333333334</v>
      </c>
      <c r="H20" s="396"/>
      <c r="I20" s="7"/>
      <c r="J20" s="405" t="s">
        <v>1181</v>
      </c>
      <c r="K20" s="406"/>
      <c r="L20" s="406"/>
      <c r="M20" s="406"/>
      <c r="N20" s="406"/>
      <c r="O20" s="168">
        <v>10</v>
      </c>
      <c r="P20" s="405" t="s">
        <v>1182</v>
      </c>
      <c r="Q20" s="406"/>
      <c r="R20" s="406"/>
      <c r="S20" s="406"/>
      <c r="T20" s="406"/>
      <c r="U20" s="168">
        <v>4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0.33333333333333331</v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0.22916666666666666</v>
      </c>
      <c r="H22" s="396"/>
      <c r="I22" s="7"/>
      <c r="J22" s="405" t="s">
        <v>1102</v>
      </c>
      <c r="K22" s="406"/>
      <c r="L22" s="406"/>
      <c r="M22" s="406"/>
      <c r="N22" s="406"/>
      <c r="O22" s="168">
        <v>10</v>
      </c>
      <c r="P22" s="405" t="s">
        <v>1095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f>_xlfn.IFNA(VLOOKUP(J22,マスタ①!$G:$U,マスタ①!$L$1,0),"")</f>
        <v>0.375</v>
      </c>
      <c r="H23" s="410"/>
      <c r="I23" s="127"/>
      <c r="J23" s="411" t="str">
        <f>_xlfn.IFNA(VLOOKUP(J22,マスタ①!$G:$U,マスタ①!$R$1,0),"")&amp;""</f>
        <v xml:space="preserve">　
</v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0.22916666666666666</v>
      </c>
      <c r="H24" s="396"/>
      <c r="I24" s="7"/>
      <c r="J24" s="405" t="s">
        <v>1141</v>
      </c>
      <c r="K24" s="406"/>
      <c r="L24" s="406"/>
      <c r="M24" s="406"/>
      <c r="N24" s="406"/>
      <c r="O24" s="168">
        <v>10</v>
      </c>
      <c r="P24" s="405" t="s">
        <v>1090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0.33333333333333331</v>
      </c>
      <c r="H25" s="410"/>
      <c r="I25" s="127"/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731</v>
      </c>
      <c r="F30" s="392"/>
      <c r="G30" s="393">
        <f>_xlfn.IFNA(VLOOKUP(J30,マスタ③!$A:$G,マスタ③!$B$1,0),"")</f>
        <v>8.3333333333333329E-2</v>
      </c>
      <c r="H30" s="394"/>
      <c r="I30" s="158"/>
      <c r="J30" s="370" t="s">
        <v>1050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729</v>
      </c>
      <c r="F32" s="340"/>
      <c r="G32" s="395">
        <f>_xlfn.IFNA(VLOOKUP(J32,マスタ③!$A:$G,マスタ③!$B$1,0),"")</f>
        <v>0.16666666666666666</v>
      </c>
      <c r="H32" s="396"/>
      <c r="I32" s="105"/>
      <c r="J32" s="357" t="s">
        <v>1053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>
        <f>_xlfn.IFNA(VLOOKUP(J32,マスタ③!$A:$G,マスタ③!$C$1,0),"")</f>
        <v>0.66666666666666663</v>
      </c>
      <c r="H33" s="363"/>
      <c r="I33" s="159"/>
      <c r="J33" s="364" t="str">
        <f>_xlfn.IFNA(VLOOKUP(J32,マスタ③!$A:$G,マスタ③!$D$1,0),"")&amp;""</f>
        <v>【往路】日立南太田IC～桜土浦IC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345</v>
      </c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0.29166666666666602</v>
      </c>
      <c r="H35" s="342"/>
      <c r="I35" s="343" t="s">
        <v>1190</v>
      </c>
      <c r="J35" s="344"/>
      <c r="K35" s="345"/>
      <c r="L35" s="129" t="s">
        <v>350</v>
      </c>
      <c r="M35" s="343" t="s">
        <v>1188</v>
      </c>
      <c r="N35" s="344"/>
      <c r="O35" s="345"/>
      <c r="P35" s="129" t="s">
        <v>349</v>
      </c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0.33333333333333298</v>
      </c>
      <c r="H36" s="324"/>
      <c r="I36" s="346"/>
      <c r="J36" s="347"/>
      <c r="K36" s="348"/>
      <c r="L36" s="169">
        <v>6</v>
      </c>
      <c r="M36" s="346"/>
      <c r="N36" s="347"/>
      <c r="O36" s="348"/>
      <c r="P36" s="169">
        <v>14</v>
      </c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454</v>
      </c>
      <c r="K38" s="321"/>
      <c r="L38" s="321"/>
      <c r="M38" s="318" t="s">
        <v>458</v>
      </c>
      <c r="N38" s="318"/>
      <c r="O38" s="318"/>
      <c r="P38" s="318" t="s">
        <v>774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770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0" priority="2" stopIfTrue="1">
      <formula>TEXT(A1,"aaaa")="日曜日"</formula>
    </cfRule>
    <cfRule type="expression" dxfId="19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F79E3E-F254-4CD2-8F8B-25AD6009FBDD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2D7187FF-BE3D-48B7-B150-EE5E95C379B0}">
          <x14:formula1>
            <xm:f>マスタ①!$C:$C</xm:f>
          </x14:formula1>
          <xm:sqref>G35:H36</xm:sqref>
        </x14:dataValidation>
        <x14:dataValidation type="list" allowBlank="1" showInputMessage="1" showErrorMessage="1" xr:uid="{AE8C8E0D-B108-485B-A164-712CFF4E98A6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C1CDB0C-394D-467D-86C3-ABDE9AEED22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32CC7B1-EF8A-4BCE-A76E-18D310C88A9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ED666369-DA3F-467C-96B9-3D9466FED72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08F5DD5D-3902-4C06-8B52-F320C85589D8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88DFF8A8-5D2D-4D66-BF5B-7EB2A4683FF0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A56ACC6F-E8D8-44DB-9A7C-6615B9C39CBF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EF5AB8CD-2300-4B89-8A3D-014BD0C3916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5F5725A-3A11-4546-A9C3-0E97153CBDDC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B89B096-9147-4047-9391-279E0DB348DC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BB0430FA-30F0-4A0F-BB3C-AACDF92AA83C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8365E33F-6AAC-4D8D-9936-CA207E56429A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9086-FC5B-4E7E-B862-D4CE084010A9}">
  <sheetPr codeName="Sheet16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'16日'!A1+10</f>
        <v>45987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209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 t="s">
        <v>1107</v>
      </c>
      <c r="Q6" s="464"/>
      <c r="R6" s="464"/>
      <c r="S6" s="464"/>
      <c r="T6" s="464"/>
      <c r="U6" s="167">
        <v>10</v>
      </c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730</v>
      </c>
      <c r="F8" s="436"/>
      <c r="G8" s="437">
        <v>0.14583333333333334</v>
      </c>
      <c r="H8" s="438"/>
      <c r="I8" s="103"/>
      <c r="J8" s="448" t="s">
        <v>1194</v>
      </c>
      <c r="K8" s="449"/>
      <c r="L8" s="449"/>
      <c r="M8" s="449"/>
      <c r="N8" s="449"/>
      <c r="O8" s="168">
        <v>10</v>
      </c>
      <c r="P8" s="448" t="s">
        <v>1086</v>
      </c>
      <c r="Q8" s="449"/>
      <c r="R8" s="449"/>
      <c r="S8" s="449"/>
      <c r="T8" s="449"/>
      <c r="U8" s="168">
        <v>10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 t="s">
        <v>26</v>
      </c>
      <c r="F9" s="408"/>
      <c r="G9" s="440">
        <f>_xlfn.IFNA(VLOOKUP(J8,マスタ②!$A:$O,マスタ②!$F$1,0),"")</f>
        <v>0</v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 t="s">
        <v>1197</v>
      </c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0.25</v>
      </c>
      <c r="H12" s="438"/>
      <c r="I12" s="103"/>
      <c r="J12" s="405" t="s">
        <v>1191</v>
      </c>
      <c r="K12" s="406"/>
      <c r="L12" s="406"/>
      <c r="M12" s="406"/>
      <c r="N12" s="406"/>
      <c r="O12" s="168">
        <v>10</v>
      </c>
      <c r="P12" s="405" t="s">
        <v>1192</v>
      </c>
      <c r="Q12" s="406"/>
      <c r="R12" s="406"/>
      <c r="S12" s="406"/>
      <c r="T12" s="406"/>
      <c r="U12" s="168">
        <v>6</v>
      </c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>
        <f>_xlfn.IFNA(VLOOKUP(J12,マスタ①!$G:$U,マスタ①!$L$1,0),"")</f>
        <v>0</v>
      </c>
      <c r="H13" s="410"/>
      <c r="I13" s="127" t="s">
        <v>766</v>
      </c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0.22916666666666666</v>
      </c>
      <c r="H16" s="396"/>
      <c r="I16" s="7"/>
      <c r="J16" s="405" t="s">
        <v>1102</v>
      </c>
      <c r="K16" s="406"/>
      <c r="L16" s="406"/>
      <c r="M16" s="406"/>
      <c r="N16" s="406"/>
      <c r="O16" s="168">
        <v>10</v>
      </c>
      <c r="P16" s="405" t="s">
        <v>1092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0.375</v>
      </c>
      <c r="H17" s="410"/>
      <c r="I17" s="127"/>
      <c r="J17" s="411" t="str">
        <f>_xlfn.IFNA(VLOOKUP(J16,マスタ①!$G:$U,マスタ①!$R$1,0),"")&amp;""</f>
        <v xml:space="preserve">　
</v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0.16666666666666666</v>
      </c>
      <c r="H18" s="396"/>
      <c r="I18" s="7"/>
      <c r="J18" s="405" t="s">
        <v>953</v>
      </c>
      <c r="K18" s="406"/>
      <c r="L18" s="406"/>
      <c r="M18" s="406"/>
      <c r="N18" s="406"/>
      <c r="O18" s="168">
        <v>9</v>
      </c>
      <c r="P18" s="405" t="s">
        <v>1098</v>
      </c>
      <c r="Q18" s="406"/>
      <c r="R18" s="406"/>
      <c r="S18" s="406"/>
      <c r="T18" s="406"/>
      <c r="U18" s="168">
        <v>10</v>
      </c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0.375</v>
      </c>
      <c r="H19" s="410"/>
      <c r="I19" s="127"/>
      <c r="J19" s="411" t="str">
        <f>_xlfn.IFNA(VLOOKUP(J18,マスタ①!$G:$U,マスタ①!$R$1,0),"")&amp;""</f>
        <v>常磐道(日立南太田IC）～圏央道(牛久阿見IC)</v>
      </c>
      <c r="K19" s="412"/>
      <c r="L19" s="412"/>
      <c r="M19" s="412"/>
      <c r="N19" s="412"/>
      <c r="O19" s="413"/>
      <c r="P19" s="414" t="s">
        <v>1110</v>
      </c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f>_xlfn.IFNA(VLOOKUP(J20,マスタ①!$G:$U,マスタ①!$M$1,0),"")</f>
        <v>0.25</v>
      </c>
      <c r="H20" s="396"/>
      <c r="I20" s="7"/>
      <c r="J20" s="405" t="s">
        <v>1160</v>
      </c>
      <c r="K20" s="406"/>
      <c r="L20" s="406"/>
      <c r="M20" s="406"/>
      <c r="N20" s="406"/>
      <c r="O20" s="168">
        <v>7</v>
      </c>
      <c r="P20" s="405" t="s">
        <v>1193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0.45833333333333331</v>
      </c>
      <c r="H21" s="410"/>
      <c r="I21" s="127"/>
      <c r="J21" s="411" t="str">
        <f>_xlfn.IFNA(VLOOKUP(J20,マスタ①!$G:$U,マスタ①!$R$1,0),"")&amp;""</f>
        <v>常磐道（日立北IC～水戸IC）</v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0.22916666666666666</v>
      </c>
      <c r="H22" s="396"/>
      <c r="I22" s="7"/>
      <c r="J22" s="405" t="s">
        <v>1141</v>
      </c>
      <c r="K22" s="406"/>
      <c r="L22" s="406"/>
      <c r="M22" s="406"/>
      <c r="N22" s="406"/>
      <c r="O22" s="168">
        <v>10</v>
      </c>
      <c r="P22" s="405" t="s">
        <v>1095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f>_xlfn.IFNA(VLOOKUP(J22,マスタ①!$G:$U,マスタ①!$L$1,0),"")</f>
        <v>0.33333333333333331</v>
      </c>
      <c r="H23" s="410"/>
      <c r="I23" s="127"/>
      <c r="J23" s="411" t="str">
        <f>_xlfn.IFNA(VLOOKUP(J22,マスタ①!$G:$U,マスタ①!$R$1,0),"")&amp;""</f>
        <v xml:space="preserve">　
</v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731</v>
      </c>
      <c r="F24" s="340"/>
      <c r="G24" s="395">
        <v>0.25</v>
      </c>
      <c r="H24" s="396"/>
      <c r="I24" s="7"/>
      <c r="J24" s="405" t="s">
        <v>1086</v>
      </c>
      <c r="K24" s="406"/>
      <c r="L24" s="406"/>
      <c r="M24" s="406"/>
      <c r="N24" s="406"/>
      <c r="O24" s="168">
        <v>10</v>
      </c>
      <c r="P24" s="405" t="s">
        <v>1095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 xml:space="preserve">　
</v>
      </c>
      <c r="H25" s="410"/>
      <c r="I25" s="127" t="s">
        <v>766</v>
      </c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345</v>
      </c>
      <c r="P34" s="349"/>
      <c r="Q34" s="350" t="s">
        <v>740</v>
      </c>
      <c r="R34" s="351"/>
      <c r="S34" s="329" t="s">
        <v>347</v>
      </c>
      <c r="T34" s="349"/>
      <c r="U34" s="350" t="s">
        <v>741</v>
      </c>
      <c r="V34" s="351"/>
      <c r="W34" s="329" t="s">
        <v>345</v>
      </c>
      <c r="X34" s="349"/>
      <c r="Y34" s="350" t="s">
        <v>970</v>
      </c>
      <c r="Z34" s="351"/>
      <c r="AA34" s="329" t="s">
        <v>347</v>
      </c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0.16666666666666666</v>
      </c>
      <c r="H35" s="342"/>
      <c r="I35" s="343" t="s">
        <v>392</v>
      </c>
      <c r="J35" s="344"/>
      <c r="K35" s="345"/>
      <c r="L35" s="129" t="s">
        <v>350</v>
      </c>
      <c r="M35" s="343" t="s">
        <v>1199</v>
      </c>
      <c r="N35" s="344"/>
      <c r="O35" s="345"/>
      <c r="P35" s="129" t="s">
        <v>349</v>
      </c>
      <c r="Q35" s="343" t="s">
        <v>1200</v>
      </c>
      <c r="R35" s="344"/>
      <c r="S35" s="345"/>
      <c r="T35" s="129" t="s">
        <v>350</v>
      </c>
      <c r="U35" s="343" t="s">
        <v>1201</v>
      </c>
      <c r="V35" s="344"/>
      <c r="W35" s="345"/>
      <c r="X35" s="129" t="s">
        <v>350</v>
      </c>
      <c r="Y35" s="343" t="s">
        <v>353</v>
      </c>
      <c r="Z35" s="344"/>
      <c r="AA35" s="345"/>
      <c r="AB35" s="162" t="s">
        <v>349</v>
      </c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0.20833333333333301</v>
      </c>
      <c r="H36" s="324"/>
      <c r="I36" s="346"/>
      <c r="J36" s="347"/>
      <c r="K36" s="348"/>
      <c r="L36" s="169">
        <v>14</v>
      </c>
      <c r="M36" s="346"/>
      <c r="N36" s="347"/>
      <c r="O36" s="348"/>
      <c r="P36" s="169">
        <v>6</v>
      </c>
      <c r="Q36" s="346"/>
      <c r="R36" s="347"/>
      <c r="S36" s="348"/>
      <c r="T36" s="169">
        <v>8</v>
      </c>
      <c r="U36" s="346"/>
      <c r="V36" s="347"/>
      <c r="W36" s="348"/>
      <c r="X36" s="169">
        <v>8</v>
      </c>
      <c r="Y36" s="346"/>
      <c r="Z36" s="347"/>
      <c r="AA36" s="348"/>
      <c r="AB36" s="170">
        <v>6</v>
      </c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455</v>
      </c>
      <c r="K38" s="321"/>
      <c r="L38" s="321"/>
      <c r="M38" s="318" t="s">
        <v>458</v>
      </c>
      <c r="N38" s="318"/>
      <c r="O38" s="318"/>
      <c r="P38" s="318" t="s">
        <v>772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454</v>
      </c>
      <c r="K39" s="306"/>
      <c r="L39" s="306"/>
      <c r="M39" s="306" t="s">
        <v>458</v>
      </c>
      <c r="N39" s="306"/>
      <c r="O39" s="306"/>
      <c r="P39" s="306" t="s">
        <v>774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729</v>
      </c>
      <c r="K40" s="306"/>
      <c r="L40" s="306"/>
      <c r="M40" s="306" t="s">
        <v>460</v>
      </c>
      <c r="N40" s="306"/>
      <c r="O40" s="306"/>
      <c r="P40" s="306" t="s">
        <v>468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7" priority="2" stopIfTrue="1">
      <formula>TEXT(A1,"aaaa")="日曜日"</formula>
    </cfRule>
    <cfRule type="expression" dxfId="16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0CA0F-DABE-4AA9-BF5B-C0741419164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C80FA89C-C786-4DD4-B5A4-0FE53146F5D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9CF49DEC-249E-4FF6-9917-ED341A493D73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9FC04F79-31C9-41B6-AEBC-291DF6AF951D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486A5AFB-82C0-4DAC-8708-591CC744227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6E12B32A-E045-4C3D-BB96-B13654C7015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9643CFA9-EE86-46EE-99BE-B67392CA2C6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B1204DB-57A4-4B93-9297-5B86404BB74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C33E490-257E-4D46-89BF-978248208BD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181366D-275E-450D-ACA9-F00AE9F1CD98}">
          <x14:formula1>
            <xm:f>マスタ①!$C:$C</xm:f>
          </x14:formula1>
          <xm:sqref>G35:H36</xm:sqref>
        </x14:dataValidation>
        <x14:dataValidation type="list" allowBlank="1" showInputMessage="1" showErrorMessage="1" xr:uid="{3AAF9D01-CC21-4985-BAD9-D3AE3AE5716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F9BCE48-2C5D-4F29-8736-E23691E089F0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8A9B3E8D-5553-4FDC-947B-00BEEC46ED8B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CA102863-4B4B-4DBB-AA56-8C65520B44B6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3D72-789A-48C4-AC3E-18B36215C5C8}">
  <sheetPr codeName="Sheet17">
    <pageSetUpPr fitToPage="1"/>
  </sheetPr>
  <dimension ref="A1:AI70"/>
  <sheetViews>
    <sheetView showGridLines="0" zoomScaleNormal="100" zoomScalePageLayoutView="90" workbookViewId="0">
      <pane ySplit="5" topLeftCell="A36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'16日'!A1+11</f>
        <v>45988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769</v>
      </c>
      <c r="F6" s="392"/>
      <c r="G6" s="393">
        <f>_xlfn.IFNA(VLOOKUP(J6,マスタ②!$A:$O,マスタ②!$G$1,0),"")</f>
        <v>0.27083333333333331</v>
      </c>
      <c r="H6" s="394"/>
      <c r="I6" s="146"/>
      <c r="J6" s="463" t="s">
        <v>1103</v>
      </c>
      <c r="K6" s="464"/>
      <c r="L6" s="464"/>
      <c r="M6" s="464"/>
      <c r="N6" s="464"/>
      <c r="O6" s="167">
        <v>10</v>
      </c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 xml:space="preserve">　
</v>
      </c>
      <c r="H7" s="441"/>
      <c r="I7" s="127"/>
      <c r="J7" s="450" t="str">
        <f>_xlfn.IFNA(VLOOKUP(J6,マスタ②!$A:$O,マスタ②!$L$1,0),"")&amp;""</f>
        <v xml:space="preserve">　
</v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 t="s">
        <v>1206</v>
      </c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f>_xlfn.IFNA(VLOOKUP(J8,マスタ②!$A:$O,マスタ②!$G$1,0),"")</f>
        <v>0.14583333333333334</v>
      </c>
      <c r="H8" s="438"/>
      <c r="I8" s="103"/>
      <c r="J8" s="448" t="s">
        <v>1208</v>
      </c>
      <c r="K8" s="449"/>
      <c r="L8" s="449"/>
      <c r="M8" s="449"/>
      <c r="N8" s="449"/>
      <c r="O8" s="168">
        <v>10</v>
      </c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>ＡＭ</v>
      </c>
      <c r="H9" s="441"/>
      <c r="I9" s="127"/>
      <c r="J9" s="442" t="str">
        <f>_xlfn.IFNA(VLOOKUP(J8,マスタ②!$A:$O,マスタ②!$L$1,0),"")&amp;""</f>
        <v>常磐道(広野IC)～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730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>
        <v>10</v>
      </c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0.22916666666666666</v>
      </c>
      <c r="H12" s="438"/>
      <c r="I12" s="103"/>
      <c r="J12" s="405" t="s">
        <v>1204</v>
      </c>
      <c r="K12" s="406"/>
      <c r="L12" s="406"/>
      <c r="M12" s="406"/>
      <c r="N12" s="406"/>
      <c r="O12" s="168">
        <v>10</v>
      </c>
      <c r="P12" s="405" t="s">
        <v>1161</v>
      </c>
      <c r="Q12" s="406"/>
      <c r="R12" s="406"/>
      <c r="S12" s="406"/>
      <c r="T12" s="406"/>
      <c r="U12" s="168">
        <v>10</v>
      </c>
      <c r="V12" s="405" t="s">
        <v>1087</v>
      </c>
      <c r="W12" s="406"/>
      <c r="X12" s="406"/>
      <c r="Y12" s="406"/>
      <c r="Z12" s="406"/>
      <c r="AA12" s="168">
        <v>10</v>
      </c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>ＡＭ</v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 t="s">
        <v>1210</v>
      </c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v>0.25</v>
      </c>
      <c r="H14" s="396"/>
      <c r="I14" s="7"/>
      <c r="J14" s="405" t="s">
        <v>1203</v>
      </c>
      <c r="K14" s="406"/>
      <c r="L14" s="406"/>
      <c r="M14" s="406"/>
      <c r="N14" s="406"/>
      <c r="O14" s="168">
        <v>20</v>
      </c>
      <c r="P14" s="405" t="s">
        <v>1203</v>
      </c>
      <c r="Q14" s="406"/>
      <c r="R14" s="406"/>
      <c r="S14" s="406"/>
      <c r="T14" s="406"/>
      <c r="U14" s="168">
        <v>20</v>
      </c>
      <c r="V14" s="405" t="s">
        <v>1203</v>
      </c>
      <c r="W14" s="406"/>
      <c r="X14" s="406"/>
      <c r="Y14" s="406"/>
      <c r="Z14" s="406"/>
      <c r="AA14" s="168">
        <v>20</v>
      </c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</v>
      </c>
      <c r="H15" s="410"/>
      <c r="I15" s="127" t="s">
        <v>766</v>
      </c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0.22916666666666666</v>
      </c>
      <c r="H16" s="396"/>
      <c r="I16" s="7"/>
      <c r="J16" s="405" t="s">
        <v>1178</v>
      </c>
      <c r="K16" s="406"/>
      <c r="L16" s="406"/>
      <c r="M16" s="406"/>
      <c r="N16" s="406"/>
      <c r="O16" s="168">
        <v>10</v>
      </c>
      <c r="P16" s="405" t="s">
        <v>1151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>ＡＭ</v>
      </c>
      <c r="H17" s="410"/>
      <c r="I17" s="127"/>
      <c r="J17" s="411" t="str">
        <f>_xlfn.IFNA(VLOOKUP(J16,マスタ①!$G:$U,マスタ①!$R$1,0),"")&amp;""</f>
        <v xml:space="preserve">　
</v>
      </c>
      <c r="K17" s="412"/>
      <c r="L17" s="412"/>
      <c r="M17" s="412"/>
      <c r="N17" s="412"/>
      <c r="O17" s="413"/>
      <c r="P17" s="414" t="s">
        <v>1153</v>
      </c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0.25</v>
      </c>
      <c r="H18" s="396"/>
      <c r="I18" s="7"/>
      <c r="J18" s="405" t="s">
        <v>1202</v>
      </c>
      <c r="K18" s="406"/>
      <c r="L18" s="406"/>
      <c r="M18" s="406"/>
      <c r="N18" s="406"/>
      <c r="O18" s="168">
        <v>8</v>
      </c>
      <c r="P18" s="405" t="s">
        <v>962</v>
      </c>
      <c r="Q18" s="406"/>
      <c r="R18" s="406"/>
      <c r="S18" s="406"/>
      <c r="T18" s="406"/>
      <c r="U18" s="168">
        <v>10</v>
      </c>
      <c r="V18" s="405" t="s">
        <v>1095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>ＡＭ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 t="s">
        <v>1207</v>
      </c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f>_xlfn.IFNA(VLOOKUP(J20,マスタ①!$G:$U,マスタ①!$M$1,0),"")</f>
        <v>0.22916666666666666</v>
      </c>
      <c r="H20" s="396"/>
      <c r="I20" s="7"/>
      <c r="J20" s="405" t="s">
        <v>1205</v>
      </c>
      <c r="K20" s="406"/>
      <c r="L20" s="406"/>
      <c r="M20" s="406"/>
      <c r="N20" s="406"/>
      <c r="O20" s="168">
        <v>5</v>
      </c>
      <c r="P20" s="405" t="s">
        <v>1148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f>_xlfn.IFNA(VLOOKUP(J20,マスタ①!$G:$U,マスタ①!$L$1,0),"")</f>
        <v>0.375</v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0.22916666666666666</v>
      </c>
      <c r="H22" s="396"/>
      <c r="I22" s="7"/>
      <c r="J22" s="405" t="s">
        <v>1102</v>
      </c>
      <c r="K22" s="406"/>
      <c r="L22" s="406"/>
      <c r="M22" s="406"/>
      <c r="N22" s="406"/>
      <c r="O22" s="168">
        <v>10</v>
      </c>
      <c r="P22" s="405" t="s">
        <v>1151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f>_xlfn.IFNA(VLOOKUP(J22,マスタ①!$G:$U,マスタ①!$L$1,0),"")</f>
        <v>0.375</v>
      </c>
      <c r="H23" s="410"/>
      <c r="I23" s="127"/>
      <c r="J23" s="411" t="str">
        <f>_xlfn.IFNA(VLOOKUP(J22,マスタ①!$G:$U,マスタ①!$R$1,0),"")&amp;""</f>
        <v xml:space="preserve">　
</v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v>0.25</v>
      </c>
      <c r="H24" s="396"/>
      <c r="I24" s="7"/>
      <c r="J24" s="405" t="s">
        <v>1149</v>
      </c>
      <c r="K24" s="406"/>
      <c r="L24" s="406"/>
      <c r="M24" s="406"/>
      <c r="N24" s="406"/>
      <c r="O24" s="168">
        <v>10</v>
      </c>
      <c r="P24" s="405" t="s">
        <v>1098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>ＡＭ</v>
      </c>
      <c r="H25" s="410"/>
      <c r="I25" s="127" t="s">
        <v>766</v>
      </c>
      <c r="J25" s="411" t="str">
        <f>_xlfn.IFNA(VLOOKUP(J24,マスタ①!$G:$U,マスタ①!$R$1,0),"")&amp;""</f>
        <v>常磐道（広野IC～浪江IC）</v>
      </c>
      <c r="K25" s="412"/>
      <c r="L25" s="412"/>
      <c r="M25" s="412"/>
      <c r="N25" s="412"/>
      <c r="O25" s="413"/>
      <c r="P25" s="414" t="s">
        <v>1213</v>
      </c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731</v>
      </c>
      <c r="F30" s="392"/>
      <c r="G30" s="393">
        <f>_xlfn.IFNA(VLOOKUP(J30,マスタ③!$A:$G,マスタ③!$B$1,0),"")</f>
        <v>4.1666666666666664E-2</v>
      </c>
      <c r="H30" s="394"/>
      <c r="I30" s="158"/>
      <c r="J30" s="370" t="s">
        <v>1051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 t="s">
        <v>1209</v>
      </c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729</v>
      </c>
      <c r="F32" s="340"/>
      <c r="G32" s="395">
        <f>_xlfn.IFNA(VLOOKUP(J32,マスタ③!$A:$G,マスタ③!$B$1,0),"")</f>
        <v>8.3333333333333329E-2</v>
      </c>
      <c r="H32" s="396"/>
      <c r="I32" s="105"/>
      <c r="J32" s="357" t="s">
        <v>1054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>
        <f>_xlfn.IFNA(VLOOKUP(J32,マスタ③!$A:$G,マスタ③!$C$1,0),"")</f>
        <v>0.54166666666666663</v>
      </c>
      <c r="H33" s="363"/>
      <c r="I33" s="159"/>
      <c r="J33" s="364" t="str">
        <f>_xlfn.IFNA(VLOOKUP(J32,マスタ③!$A:$G,マスタ③!$D$1,0),"")&amp;""</f>
        <v>【往路】日立北IC～桜土浦IC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495" t="s">
        <v>1209</v>
      </c>
      <c r="W33" s="496"/>
      <c r="X33" s="496"/>
      <c r="Y33" s="496"/>
      <c r="Z33" s="496"/>
      <c r="AA33" s="497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344</v>
      </c>
      <c r="T34" s="349"/>
      <c r="U34" s="350" t="s">
        <v>741</v>
      </c>
      <c r="V34" s="351"/>
      <c r="W34" s="329" t="s">
        <v>344</v>
      </c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0.25</v>
      </c>
      <c r="H35" s="342"/>
      <c r="I35" s="343" t="s">
        <v>389</v>
      </c>
      <c r="J35" s="344"/>
      <c r="K35" s="345"/>
      <c r="L35" s="129" t="s">
        <v>350</v>
      </c>
      <c r="M35" s="343" t="s">
        <v>1211</v>
      </c>
      <c r="N35" s="344"/>
      <c r="O35" s="345"/>
      <c r="P35" s="129" t="s">
        <v>349</v>
      </c>
      <c r="Q35" s="343" t="s">
        <v>1211</v>
      </c>
      <c r="R35" s="344"/>
      <c r="S35" s="345"/>
      <c r="T35" s="129" t="s">
        <v>349</v>
      </c>
      <c r="U35" s="343" t="s">
        <v>1212</v>
      </c>
      <c r="V35" s="344"/>
      <c r="W35" s="345"/>
      <c r="X35" s="129" t="s">
        <v>349</v>
      </c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0.29166666666666602</v>
      </c>
      <c r="H36" s="324"/>
      <c r="I36" s="346"/>
      <c r="J36" s="347"/>
      <c r="K36" s="348"/>
      <c r="L36" s="169">
        <v>10</v>
      </c>
      <c r="M36" s="346"/>
      <c r="N36" s="347"/>
      <c r="O36" s="348"/>
      <c r="P36" s="169">
        <v>4</v>
      </c>
      <c r="Q36" s="346"/>
      <c r="R36" s="347"/>
      <c r="S36" s="348"/>
      <c r="T36" s="169">
        <v>16</v>
      </c>
      <c r="U36" s="346"/>
      <c r="V36" s="347"/>
      <c r="W36" s="348"/>
      <c r="X36" s="169">
        <v>6</v>
      </c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458</v>
      </c>
      <c r="E38" s="318"/>
      <c r="F38" s="318"/>
      <c r="G38" s="318" t="s">
        <v>472</v>
      </c>
      <c r="H38" s="318"/>
      <c r="I38" s="319"/>
      <c r="J38" s="320" t="s">
        <v>454</v>
      </c>
      <c r="K38" s="321"/>
      <c r="L38" s="321"/>
      <c r="M38" s="318" t="s">
        <v>458</v>
      </c>
      <c r="N38" s="318"/>
      <c r="O38" s="318"/>
      <c r="P38" s="318" t="s">
        <v>775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456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455</v>
      </c>
      <c r="K40" s="306"/>
      <c r="L40" s="306"/>
      <c r="M40" s="306" t="s">
        <v>458</v>
      </c>
      <c r="N40" s="306"/>
      <c r="O40" s="306"/>
      <c r="P40" s="306" t="s">
        <v>773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4" priority="2" stopIfTrue="1">
      <formula>TEXT(A1,"aaaa")="日曜日"</formula>
    </cfRule>
    <cfRule type="expression" dxfId="1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6C22CF1-42D7-40B9-8382-360C8ABD467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317475B-9686-4494-BB5D-79D6547FF14E}">
          <x14:formula1>
            <xm:f>マスタ①!$C:$C</xm:f>
          </x14:formula1>
          <xm:sqref>G35:H36</xm:sqref>
        </x14:dataValidation>
        <x14:dataValidation type="list" allowBlank="1" showInputMessage="1" showErrorMessage="1" xr:uid="{7612C99A-A9F7-4A5D-936A-E205541F6E77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3C44FED-D132-407D-9896-F31439AE41E4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8EDB7C1-454D-4358-ADB3-CA6B1321DBE0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AD4F385E-EDDF-4472-B6DA-9DFDCF45E403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9D96F5BA-98DB-498B-8A3B-5A0C2E7D3A2C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D224AC4A-988F-4BD2-A2A9-A5616D0CB6B5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51088B7-6067-4BDE-BDD6-077FE35048B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CF6F8497-2FDB-4DA2-89DF-B4B5366486F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3242EFA4-F3CF-4BEF-A7D0-426E67AE00BC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52E1476-173C-419E-8982-D58DA1C44B23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E2AEDF70-AC5F-44FE-8DF0-2F7EE954F0E5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0135CA53-8933-47F3-BF27-B97251CADB1A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F8CC-0C45-4ABD-8A8A-85CE97C4BB8B}">
  <sheetPr codeName="Sheet18">
    <pageSetUpPr fitToPage="1"/>
  </sheetPr>
  <dimension ref="A1:AI70"/>
  <sheetViews>
    <sheetView showGridLines="0" zoomScaleNormal="100" zoomScalePageLayoutView="90" workbookViewId="0">
      <pane ySplit="5" topLeftCell="A33" activePane="bottomLeft" state="frozen"/>
      <selection activeCell="D43" sqref="D43:F43"/>
      <selection pane="bottomLeft" activeCell="D43" sqref="D43:F43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'16日'!A1+12</f>
        <v>45989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30</v>
      </c>
      <c r="F6" s="392"/>
      <c r="G6" s="393" t="str">
        <f>_xlfn.IFNA(VLOOKUP(J6,マスタ②!$A:$O,マスタ②!$G$1,0),"")</f>
        <v/>
      </c>
      <c r="H6" s="394"/>
      <c r="I6" s="146"/>
      <c r="J6" s="463"/>
      <c r="K6" s="464"/>
      <c r="L6" s="464"/>
      <c r="M6" s="464"/>
      <c r="N6" s="464"/>
      <c r="O6" s="167"/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/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 t="s">
        <v>1093</v>
      </c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26</v>
      </c>
      <c r="F8" s="436"/>
      <c r="G8" s="437">
        <f>_xlfn.IFNA(VLOOKUP(J8,マスタ②!$A:$O,マスタ②!$G$1,0),"")</f>
        <v>0.14583333333333334</v>
      </c>
      <c r="H8" s="438"/>
      <c r="I8" s="103"/>
      <c r="J8" s="448" t="s">
        <v>1208</v>
      </c>
      <c r="K8" s="449"/>
      <c r="L8" s="449"/>
      <c r="M8" s="449"/>
      <c r="N8" s="449"/>
      <c r="O8" s="168">
        <v>10</v>
      </c>
      <c r="P8" s="448" t="s">
        <v>1086</v>
      </c>
      <c r="Q8" s="449"/>
      <c r="R8" s="449"/>
      <c r="S8" s="449"/>
      <c r="T8" s="449"/>
      <c r="U8" s="168">
        <v>10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>ＡＭ</v>
      </c>
      <c r="H9" s="441"/>
      <c r="I9" s="127"/>
      <c r="J9" s="442" t="str">
        <f>_xlfn.IFNA(VLOOKUP(J8,マスタ②!$A:$O,マスタ②!$L$1,0),"")&amp;""</f>
        <v>常磐道(広野IC)～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v>0.20833333333333301</v>
      </c>
      <c r="H12" s="438"/>
      <c r="I12" s="103"/>
      <c r="J12" s="405" t="s">
        <v>1084</v>
      </c>
      <c r="K12" s="406"/>
      <c r="L12" s="406"/>
      <c r="M12" s="406"/>
      <c r="N12" s="406"/>
      <c r="O12" s="168">
        <v>10</v>
      </c>
      <c r="P12" s="405" t="s">
        <v>1098</v>
      </c>
      <c r="Q12" s="406"/>
      <c r="R12" s="406"/>
      <c r="S12" s="406"/>
      <c r="T12" s="406"/>
      <c r="U12" s="168">
        <v>10</v>
      </c>
      <c r="V12" s="405" t="s">
        <v>1117</v>
      </c>
      <c r="W12" s="406"/>
      <c r="X12" s="406"/>
      <c r="Y12" s="406"/>
      <c r="Z12" s="406"/>
      <c r="AA12" s="168">
        <v>10</v>
      </c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 xml:space="preserve">　
</v>
      </c>
      <c r="H13" s="410"/>
      <c r="I13" s="127"/>
      <c r="J13" s="411" t="str">
        <f>_xlfn.IFNA(VLOOKUP(J12,マスタ①!$G:$U,マスタ①!$R$1,0),"")&amp;""</f>
        <v xml:space="preserve">　
</v>
      </c>
      <c r="K13" s="412"/>
      <c r="L13" s="412"/>
      <c r="M13" s="412"/>
      <c r="N13" s="412"/>
      <c r="O13" s="413"/>
      <c r="P13" s="414" t="s">
        <v>1217</v>
      </c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729</v>
      </c>
      <c r="F14" s="340"/>
      <c r="G14" s="395">
        <f>_xlfn.IFNA(VLOOKUP(J14,マスタ①!$G:$U,マスタ①!$M$1,0),"")</f>
        <v>0.14583333333333334</v>
      </c>
      <c r="H14" s="396"/>
      <c r="I14" s="7"/>
      <c r="J14" s="405" t="s">
        <v>1094</v>
      </c>
      <c r="K14" s="406"/>
      <c r="L14" s="406"/>
      <c r="M14" s="406"/>
      <c r="N14" s="406"/>
      <c r="O14" s="168">
        <v>20</v>
      </c>
      <c r="P14" s="405" t="s">
        <v>1203</v>
      </c>
      <c r="Q14" s="406"/>
      <c r="R14" s="406"/>
      <c r="S14" s="406"/>
      <c r="T14" s="406"/>
      <c r="U14" s="168">
        <v>20</v>
      </c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0.3125</v>
      </c>
      <c r="H15" s="410"/>
      <c r="I15" s="127"/>
      <c r="J15" s="411" t="str">
        <f>_xlfn.IFNA(VLOOKUP(J14,マスタ①!$G:$U,マスタ①!$R$1,0),"")&amp;""</f>
        <v>R49号線</v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f>_xlfn.IFNA(VLOOKUP(J16,マスタ①!$G:$U,マスタ①!$M$1,0),"")</f>
        <v>0.33333333333333331</v>
      </c>
      <c r="H16" s="396"/>
      <c r="I16" s="7"/>
      <c r="J16" s="405" t="s">
        <v>1095</v>
      </c>
      <c r="K16" s="406"/>
      <c r="L16" s="406"/>
      <c r="M16" s="406"/>
      <c r="N16" s="406"/>
      <c r="O16" s="168">
        <v>10</v>
      </c>
      <c r="P16" s="405" t="s">
        <v>1164</v>
      </c>
      <c r="Q16" s="406"/>
      <c r="R16" s="406"/>
      <c r="S16" s="406"/>
      <c r="T16" s="406"/>
      <c r="U16" s="168">
        <v>4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 xml:space="preserve">　
</v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 t="s">
        <v>1153</v>
      </c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f>_xlfn.IFNA(VLOOKUP(J18,マスタ①!$G:$U,マスタ①!$M$1,0),"")</f>
        <v>0.3125</v>
      </c>
      <c r="H18" s="396"/>
      <c r="I18" s="7"/>
      <c r="J18" s="405" t="s">
        <v>1089</v>
      </c>
      <c r="K18" s="406"/>
      <c r="L18" s="406"/>
      <c r="M18" s="406"/>
      <c r="N18" s="406"/>
      <c r="O18" s="168">
        <v>10</v>
      </c>
      <c r="P18" s="405" t="s">
        <v>1214</v>
      </c>
      <c r="Q18" s="406"/>
      <c r="R18" s="406"/>
      <c r="S18" s="406"/>
      <c r="T18" s="406"/>
      <c r="U18" s="168">
        <v>8</v>
      </c>
      <c r="V18" s="405" t="s">
        <v>1215</v>
      </c>
      <c r="W18" s="406"/>
      <c r="X18" s="406"/>
      <c r="Y18" s="406"/>
      <c r="Z18" s="406"/>
      <c r="AA18" s="168">
        <v>7.5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0.35416666666666669</v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 t="s">
        <v>1088</v>
      </c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f>_xlfn.IFNA(VLOOKUP(J20,マスタ①!$G:$U,マスタ①!$M$1,0),"")</f>
        <v>0.27083333333333331</v>
      </c>
      <c r="H20" s="396"/>
      <c r="I20" s="7"/>
      <c r="J20" s="405" t="s">
        <v>1116</v>
      </c>
      <c r="K20" s="406"/>
      <c r="L20" s="406"/>
      <c r="M20" s="406"/>
      <c r="N20" s="406"/>
      <c r="O20" s="168">
        <v>10</v>
      </c>
      <c r="P20" s="405" t="s">
        <v>1103</v>
      </c>
      <c r="Q20" s="406"/>
      <c r="R20" s="406"/>
      <c r="S20" s="406"/>
      <c r="T20" s="406"/>
      <c r="U20" s="168">
        <v>10</v>
      </c>
      <c r="V20" s="405" t="s">
        <v>945</v>
      </c>
      <c r="W20" s="406"/>
      <c r="X20" s="406"/>
      <c r="Y20" s="406"/>
      <c r="Z20" s="406"/>
      <c r="AA20" s="168">
        <v>8</v>
      </c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tr">
        <f>_xlfn.IFNA(VLOOKUP(J20,マスタ①!$G:$U,マスタ①!$L$1,0),"")</f>
        <v xml:space="preserve">　
</v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 t="s">
        <v>1163</v>
      </c>
      <c r="Q21" s="415"/>
      <c r="R21" s="415"/>
      <c r="S21" s="415"/>
      <c r="T21" s="415"/>
      <c r="U21" s="416"/>
      <c r="V21" s="414" t="s">
        <v>1153</v>
      </c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f>_xlfn.IFNA(VLOOKUP(J22,マスタ①!$G:$U,マスタ①!$M$1,0),"")</f>
        <v>0.1875</v>
      </c>
      <c r="H22" s="396"/>
      <c r="I22" s="7"/>
      <c r="J22" s="405" t="s">
        <v>1216</v>
      </c>
      <c r="K22" s="406"/>
      <c r="L22" s="406"/>
      <c r="M22" s="406"/>
      <c r="N22" s="406"/>
      <c r="O22" s="168">
        <v>10</v>
      </c>
      <c r="P22" s="405" t="s">
        <v>1087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v>0.375</v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 t="s">
        <v>1088</v>
      </c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0.22916666666666666</v>
      </c>
      <c r="H24" s="396"/>
      <c r="I24" s="7"/>
      <c r="J24" s="405" t="s">
        <v>1151</v>
      </c>
      <c r="K24" s="406"/>
      <c r="L24" s="406"/>
      <c r="M24" s="406"/>
      <c r="N24" s="406"/>
      <c r="O24" s="168">
        <v>10</v>
      </c>
      <c r="P24" s="405" t="s">
        <v>1151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0.35416666666666669</v>
      </c>
      <c r="H25" s="410"/>
      <c r="I25" s="127"/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>
        <v>1246</v>
      </c>
      <c r="D26" s="336"/>
      <c r="E26" s="339" t="s">
        <v>1011</v>
      </c>
      <c r="F26" s="340"/>
      <c r="G26" s="395">
        <v>0.25</v>
      </c>
      <c r="H26" s="396"/>
      <c r="I26" s="7"/>
      <c r="J26" s="405" t="s">
        <v>1095</v>
      </c>
      <c r="K26" s="406"/>
      <c r="L26" s="406"/>
      <c r="M26" s="406"/>
      <c r="N26" s="406"/>
      <c r="O26" s="168">
        <v>10</v>
      </c>
      <c r="P26" s="405" t="s">
        <v>1218</v>
      </c>
      <c r="Q26" s="406"/>
      <c r="R26" s="406"/>
      <c r="S26" s="406"/>
      <c r="T26" s="406"/>
      <c r="U26" s="168">
        <v>10</v>
      </c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 xml:space="preserve">　
</v>
      </c>
      <c r="H27" s="410"/>
      <c r="I27" s="127" t="s">
        <v>766</v>
      </c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 t="s">
        <v>1219</v>
      </c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731</v>
      </c>
      <c r="F30" s="392"/>
      <c r="G30" s="393">
        <f>_xlfn.IFNA(VLOOKUP(J30,マスタ③!$A:$G,マスタ③!$B$1,0),"")</f>
        <v>8.3333333333333329E-2</v>
      </c>
      <c r="H30" s="394"/>
      <c r="I30" s="158"/>
      <c r="J30" s="370" t="s">
        <v>1050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209</v>
      </c>
      <c r="F32" s="340"/>
      <c r="G32" s="395">
        <f>_xlfn.IFNA(VLOOKUP(J32,マスタ③!$A:$G,マスタ③!$B$1,0),"")</f>
        <v>0.16666666666666666</v>
      </c>
      <c r="H32" s="396"/>
      <c r="I32" s="105"/>
      <c r="J32" s="357" t="s">
        <v>1053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>
        <f>_xlfn.IFNA(VLOOKUP(J32,マスタ③!$A:$G,マスタ③!$C$1,0),"")</f>
        <v>0.66666666666666663</v>
      </c>
      <c r="H33" s="363"/>
      <c r="I33" s="159"/>
      <c r="J33" s="364" t="str">
        <f>_xlfn.IFNA(VLOOKUP(J32,マスタ③!$A:$G,マスタ③!$D$1,0),"")&amp;""</f>
        <v>【往路】日立南太田IC～桜土浦IC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 t="s">
        <v>344</v>
      </c>
      <c r="P34" s="349"/>
      <c r="Q34" s="350" t="s">
        <v>740</v>
      </c>
      <c r="R34" s="351"/>
      <c r="S34" s="329" t="s">
        <v>733</v>
      </c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0.1875</v>
      </c>
      <c r="H35" s="342"/>
      <c r="I35" s="343" t="s">
        <v>1220</v>
      </c>
      <c r="J35" s="344"/>
      <c r="K35" s="345"/>
      <c r="L35" s="129" t="s">
        <v>350</v>
      </c>
      <c r="M35" s="343" t="s">
        <v>1221</v>
      </c>
      <c r="N35" s="344"/>
      <c r="O35" s="345"/>
      <c r="P35" s="129" t="s">
        <v>349</v>
      </c>
      <c r="Q35" s="343" t="s">
        <v>1188</v>
      </c>
      <c r="R35" s="344"/>
      <c r="S35" s="345"/>
      <c r="T35" s="129" t="s">
        <v>349</v>
      </c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0.22916666666666699</v>
      </c>
      <c r="H36" s="324"/>
      <c r="I36" s="346"/>
      <c r="J36" s="347"/>
      <c r="K36" s="348"/>
      <c r="L36" s="169">
        <v>4</v>
      </c>
      <c r="M36" s="346"/>
      <c r="N36" s="347"/>
      <c r="O36" s="348"/>
      <c r="P36" s="169">
        <v>4</v>
      </c>
      <c r="Q36" s="346"/>
      <c r="R36" s="347"/>
      <c r="S36" s="348"/>
      <c r="T36" s="169">
        <v>14</v>
      </c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449</v>
      </c>
      <c r="B38" s="318"/>
      <c r="C38" s="318"/>
      <c r="D38" s="318" t="s">
        <v>466</v>
      </c>
      <c r="E38" s="318"/>
      <c r="F38" s="318"/>
      <c r="G38" s="318" t="s">
        <v>469</v>
      </c>
      <c r="H38" s="318"/>
      <c r="I38" s="319"/>
      <c r="J38" s="320" t="s">
        <v>451</v>
      </c>
      <c r="K38" s="321"/>
      <c r="L38" s="321"/>
      <c r="M38" s="318" t="s">
        <v>458</v>
      </c>
      <c r="N38" s="318"/>
      <c r="O38" s="318"/>
      <c r="P38" s="318" t="s">
        <v>775</v>
      </c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450</v>
      </c>
      <c r="B39" s="306"/>
      <c r="C39" s="306"/>
      <c r="D39" s="306" t="s">
        <v>458</v>
      </c>
      <c r="E39" s="306"/>
      <c r="F39" s="306"/>
      <c r="G39" s="306" t="s">
        <v>472</v>
      </c>
      <c r="H39" s="306"/>
      <c r="I39" s="314"/>
      <c r="J39" s="310" t="s">
        <v>457</v>
      </c>
      <c r="K39" s="306"/>
      <c r="L39" s="306"/>
      <c r="M39" s="306" t="s">
        <v>458</v>
      </c>
      <c r="N39" s="306"/>
      <c r="O39" s="306"/>
      <c r="P39" s="306" t="s">
        <v>772</v>
      </c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 t="s">
        <v>455</v>
      </c>
      <c r="K40" s="306"/>
      <c r="L40" s="306"/>
      <c r="M40" s="306" t="s">
        <v>458</v>
      </c>
      <c r="N40" s="306"/>
      <c r="O40" s="306"/>
      <c r="P40" s="306" t="s">
        <v>773</v>
      </c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453</v>
      </c>
      <c r="B41" s="286"/>
      <c r="C41" s="286"/>
      <c r="D41" s="286" t="s">
        <v>460</v>
      </c>
      <c r="E41" s="286"/>
      <c r="F41" s="286"/>
      <c r="G41" s="286" t="s">
        <v>468</v>
      </c>
      <c r="H41" s="286"/>
      <c r="I41" s="312"/>
      <c r="J41" s="313" t="s">
        <v>730</v>
      </c>
      <c r="K41" s="286"/>
      <c r="L41" s="286"/>
      <c r="M41" s="286" t="s">
        <v>465</v>
      </c>
      <c r="N41" s="286"/>
      <c r="O41" s="286"/>
      <c r="P41" s="286" t="s">
        <v>776</v>
      </c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1" priority="2" stopIfTrue="1">
      <formula>TEXT(A1,"aaaa")="日曜日"</formula>
    </cfRule>
    <cfRule type="expression" dxfId="1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BE64AA5-8292-49C6-B4D4-41A08E9E5B6C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42D8A00-6CE5-4B2F-BC5D-94C63D4D117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A2D2F8D0-3BDC-4C71-B3A0-26F55E78FDFB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9D2E2ECC-A7B0-49E8-B65B-8C7B0FBB427E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0D73F1AA-8AA4-4833-AFB8-662CB47FA615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86A21BA6-B561-4901-B518-0E1190BE8537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2222D83-280F-4E08-9000-7EC597197533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00903695-5CF4-4BA7-BD2A-9FA35074090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523A6DF-97D5-4F05-828F-61AB15DCAC2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62E29C0-3602-4722-ABB6-7A10F4FF0068}">
          <x14:formula1>
            <xm:f>マスタ①!$C:$C</xm:f>
          </x14:formula1>
          <xm:sqref>G35:H36</xm:sqref>
        </x14:dataValidation>
        <x14:dataValidation type="list" allowBlank="1" showInputMessage="1" showErrorMessage="1" xr:uid="{19BDD6E9-18E2-4A05-B146-1A853B0923A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22016B5D-5A8E-4B2F-A3FC-E03C5AA5F8E7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DA16AE48-FDE6-4FCE-81C6-678F73C938C3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4A2C2392-A5A6-4369-AFE2-DB22443670CC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8FC-2B63-4194-AB0D-1DE7AF159710}">
  <sheetPr codeName="Sheet19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2" sqref="D2:AC2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'16日'!A1+13</f>
        <v>45990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30</v>
      </c>
      <c r="F6" s="392"/>
      <c r="G6" s="393" t="str">
        <f>_xlfn.IFNA(VLOOKUP(J6,マスタ②!$A:$O,マスタ②!$G$1,0),"")</f>
        <v/>
      </c>
      <c r="H6" s="394"/>
      <c r="I6" s="146"/>
      <c r="J6" s="463"/>
      <c r="K6" s="464"/>
      <c r="L6" s="464"/>
      <c r="M6" s="464"/>
      <c r="N6" s="464"/>
      <c r="O6" s="167"/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/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30</v>
      </c>
      <c r="F8" s="436"/>
      <c r="G8" s="437" t="str">
        <f>_xlfn.IFNA(VLOOKUP(J8,マスタ②!$A:$O,マスタ②!$G$1,0),"")</f>
        <v/>
      </c>
      <c r="H8" s="438"/>
      <c r="I8" s="103"/>
      <c r="J8" s="448"/>
      <c r="K8" s="449"/>
      <c r="L8" s="449"/>
      <c r="M8" s="449"/>
      <c r="N8" s="449"/>
      <c r="O8" s="168"/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/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769</v>
      </c>
      <c r="F10" s="436"/>
      <c r="G10" s="437">
        <f>_xlfn.IFNA(VLOOKUP(J10,マスタ②!$A:$O,マスタ②!$G$1,0),"")</f>
        <v>0.27083333333333331</v>
      </c>
      <c r="H10" s="438"/>
      <c r="I10" s="103"/>
      <c r="J10" s="405" t="s">
        <v>1103</v>
      </c>
      <c r="K10" s="406"/>
      <c r="L10" s="406"/>
      <c r="M10" s="406"/>
      <c r="N10" s="406"/>
      <c r="O10" s="168">
        <v>10</v>
      </c>
      <c r="P10" s="405" t="s">
        <v>1107</v>
      </c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 xml:space="preserve">　
</v>
      </c>
      <c r="H11" s="425"/>
      <c r="I11" s="144"/>
      <c r="J11" s="426" t="str">
        <f>_xlfn.IFNA(VLOOKUP(J10,マスタ②!$A:$O,マスタ②!$L$1,0),"")&amp;""</f>
        <v xml:space="preserve">　
</v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30</v>
      </c>
      <c r="F12" s="436"/>
      <c r="G12" s="437" t="str">
        <f>_xlfn.IFNA(VLOOKUP(J12,マスタ①!$G:$U,マスタ①!$M$1,0),"")</f>
        <v/>
      </c>
      <c r="H12" s="438"/>
      <c r="I12" s="103"/>
      <c r="J12" s="405"/>
      <c r="K12" s="406"/>
      <c r="L12" s="406"/>
      <c r="M12" s="406"/>
      <c r="N12" s="406"/>
      <c r="O12" s="168"/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/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1011</v>
      </c>
      <c r="F14" s="340"/>
      <c r="G14" s="395">
        <v>0.29166666666666602</v>
      </c>
      <c r="H14" s="396"/>
      <c r="I14" s="7"/>
      <c r="J14" s="405" t="s">
        <v>1203</v>
      </c>
      <c r="K14" s="406"/>
      <c r="L14" s="406"/>
      <c r="M14" s="406"/>
      <c r="N14" s="406"/>
      <c r="O14" s="168">
        <v>20</v>
      </c>
      <c r="P14" s="405" t="s">
        <v>1203</v>
      </c>
      <c r="Q14" s="406"/>
      <c r="R14" s="406"/>
      <c r="S14" s="406"/>
      <c r="T14" s="406"/>
      <c r="U14" s="168">
        <v>20</v>
      </c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>
        <f>_xlfn.IFNA(VLOOKUP(J14,マスタ①!$G:$U,マスタ①!$L$1,0),"")</f>
        <v>0</v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30</v>
      </c>
      <c r="F16" s="340"/>
      <c r="G16" s="395" t="str">
        <f>_xlfn.IFNA(VLOOKUP(J16,マスタ①!$G:$U,マスタ①!$M$1,0),"")</f>
        <v/>
      </c>
      <c r="H16" s="396"/>
      <c r="I16" s="7"/>
      <c r="J16" s="405"/>
      <c r="K16" s="406"/>
      <c r="L16" s="406"/>
      <c r="M16" s="406"/>
      <c r="N16" s="406"/>
      <c r="O16" s="168"/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/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30</v>
      </c>
      <c r="F18" s="340"/>
      <c r="G18" s="395" t="str">
        <f>_xlfn.IFNA(VLOOKUP(J18,マスタ①!$G:$U,マスタ①!$M$1,0),"")</f>
        <v/>
      </c>
      <c r="H18" s="396"/>
      <c r="I18" s="7"/>
      <c r="J18" s="405"/>
      <c r="K18" s="406"/>
      <c r="L18" s="406"/>
      <c r="M18" s="406"/>
      <c r="N18" s="406"/>
      <c r="O18" s="168"/>
      <c r="P18" s="405"/>
      <c r="Q18" s="406"/>
      <c r="R18" s="406"/>
      <c r="S18" s="406"/>
      <c r="T18" s="406"/>
      <c r="U18" s="168"/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/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732</v>
      </c>
      <c r="F20" s="340"/>
      <c r="G20" s="395">
        <f>_xlfn.IFNA(VLOOKUP(J20,マスタ①!$G:$U,マスタ①!$M$1,0),"")</f>
        <v>0.29166666666666669</v>
      </c>
      <c r="H20" s="396"/>
      <c r="I20" s="7"/>
      <c r="J20" s="405" t="s">
        <v>1166</v>
      </c>
      <c r="K20" s="406"/>
      <c r="L20" s="406"/>
      <c r="M20" s="406"/>
      <c r="N20" s="406"/>
      <c r="O20" s="168">
        <v>4</v>
      </c>
      <c r="P20" s="405" t="s">
        <v>1092</v>
      </c>
      <c r="Q20" s="406"/>
      <c r="R20" s="406"/>
      <c r="S20" s="406"/>
      <c r="T20" s="406"/>
      <c r="U20" s="168">
        <v>10</v>
      </c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>
        <v>0.35416666666666669</v>
      </c>
      <c r="H21" s="410"/>
      <c r="I21" s="127" t="s">
        <v>777</v>
      </c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</v>
      </c>
      <c r="F22" s="340"/>
      <c r="G22" s="395">
        <v>0.29166666666666602</v>
      </c>
      <c r="H22" s="396"/>
      <c r="I22" s="7"/>
      <c r="J22" s="405" t="s">
        <v>1120</v>
      </c>
      <c r="K22" s="406"/>
      <c r="L22" s="406"/>
      <c r="M22" s="406"/>
      <c r="N22" s="406"/>
      <c r="O22" s="168">
        <v>8.9</v>
      </c>
      <c r="P22" s="405" t="s">
        <v>1090</v>
      </c>
      <c r="Q22" s="406"/>
      <c r="R22" s="406"/>
      <c r="S22" s="406"/>
      <c r="T22" s="406"/>
      <c r="U22" s="168">
        <v>10</v>
      </c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>
        <v>0.33333333333333331</v>
      </c>
      <c r="H23" s="410"/>
      <c r="I23" s="127" t="s">
        <v>777</v>
      </c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0.22916666666666666</v>
      </c>
      <c r="H24" s="396"/>
      <c r="I24" s="7"/>
      <c r="J24" s="405" t="s">
        <v>1102</v>
      </c>
      <c r="K24" s="406"/>
      <c r="L24" s="406"/>
      <c r="M24" s="406"/>
      <c r="N24" s="406"/>
      <c r="O24" s="168">
        <v>10</v>
      </c>
      <c r="P24" s="405" t="s">
        <v>1098</v>
      </c>
      <c r="Q24" s="406"/>
      <c r="R24" s="406"/>
      <c r="S24" s="406"/>
      <c r="T24" s="406"/>
      <c r="U24" s="168">
        <v>10</v>
      </c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0.375</v>
      </c>
      <c r="H25" s="410"/>
      <c r="I25" s="127"/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731</v>
      </c>
      <c r="F30" s="392"/>
      <c r="G30" s="393">
        <f>_xlfn.IFNA(VLOOKUP(J30,マスタ③!$A:$G,マスタ③!$B$1,0),"")</f>
        <v>8.3333333333333329E-2</v>
      </c>
      <c r="H30" s="394"/>
      <c r="I30" s="158"/>
      <c r="J30" s="370" t="s">
        <v>1050</v>
      </c>
      <c r="K30" s="371"/>
      <c r="L30" s="371"/>
      <c r="M30" s="371"/>
      <c r="N30" s="371"/>
      <c r="O30" s="168">
        <v>13</v>
      </c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>
        <f>_xlfn.IFNA(VLOOKUP(J30,マスタ③!$A:$G,マスタ③!$C$1,0),"")</f>
        <v>0.4375</v>
      </c>
      <c r="H31" s="377"/>
      <c r="I31" s="128"/>
      <c r="J31" s="378" t="str">
        <f>_xlfn.IFNA(VLOOKUP(J30,マスタ③!$A:$G,マスタ③!$D$1,0),"")&amp;""</f>
        <v>【往路】日立北IC～桜土浦IC
【復路】草加IC～日立北IC</v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729</v>
      </c>
      <c r="F32" s="340"/>
      <c r="G32" s="395">
        <f>_xlfn.IFNA(VLOOKUP(J32,マスタ③!$A:$G,マスタ③!$B$1,0),"")</f>
        <v>0.16666666666666666</v>
      </c>
      <c r="H32" s="396"/>
      <c r="I32" s="105"/>
      <c r="J32" s="357" t="s">
        <v>1053</v>
      </c>
      <c r="K32" s="358"/>
      <c r="L32" s="358"/>
      <c r="M32" s="358"/>
      <c r="N32" s="358"/>
      <c r="O32" s="168">
        <v>12</v>
      </c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>
        <f>_xlfn.IFNA(VLOOKUP(J32,マスタ③!$A:$G,マスタ③!$C$1,0),"")</f>
        <v>0.66666666666666663</v>
      </c>
      <c r="H33" s="363"/>
      <c r="I33" s="159"/>
      <c r="J33" s="364" t="str">
        <f>_xlfn.IFNA(VLOOKUP(J32,マスタ③!$A:$G,マスタ③!$D$1,0),"")&amp;""</f>
        <v>【往路】日立南太田IC～桜土浦IC
【復路】桜土浦IC～日立北IC</v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 t="s">
        <v>344</v>
      </c>
      <c r="L34" s="349"/>
      <c r="M34" s="350" t="s">
        <v>739</v>
      </c>
      <c r="N34" s="351"/>
      <c r="O34" s="329"/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1012</v>
      </c>
      <c r="F35" s="340"/>
      <c r="G35" s="341">
        <v>0.1875</v>
      </c>
      <c r="H35" s="342"/>
      <c r="I35" s="343" t="s">
        <v>392</v>
      </c>
      <c r="J35" s="344"/>
      <c r="K35" s="345"/>
      <c r="L35" s="129" t="s">
        <v>350</v>
      </c>
      <c r="M35" s="343"/>
      <c r="N35" s="344"/>
      <c r="O35" s="345"/>
      <c r="P35" s="129"/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>
        <v>0.22916666666666699</v>
      </c>
      <c r="H36" s="324"/>
      <c r="I36" s="346"/>
      <c r="J36" s="347"/>
      <c r="K36" s="348"/>
      <c r="L36" s="169">
        <v>14</v>
      </c>
      <c r="M36" s="346"/>
      <c r="N36" s="347"/>
      <c r="O36" s="348"/>
      <c r="P36" s="169"/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770</v>
      </c>
      <c r="B38" s="318"/>
      <c r="C38" s="318"/>
      <c r="D38" s="318" t="s">
        <v>458</v>
      </c>
      <c r="E38" s="318"/>
      <c r="F38" s="318"/>
      <c r="G38" s="318" t="s">
        <v>772</v>
      </c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455</v>
      </c>
      <c r="B39" s="306"/>
      <c r="C39" s="306"/>
      <c r="D39" s="306" t="s">
        <v>458</v>
      </c>
      <c r="E39" s="306"/>
      <c r="F39" s="306"/>
      <c r="G39" s="306" t="s">
        <v>773</v>
      </c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 t="s">
        <v>452</v>
      </c>
      <c r="B40" s="306"/>
      <c r="C40" s="306"/>
      <c r="D40" s="306" t="s">
        <v>460</v>
      </c>
      <c r="E40" s="306"/>
      <c r="F40" s="306"/>
      <c r="G40" s="306" t="s">
        <v>468</v>
      </c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 t="s">
        <v>454</v>
      </c>
      <c r="B41" s="286"/>
      <c r="C41" s="286"/>
      <c r="D41" s="286" t="s">
        <v>458</v>
      </c>
      <c r="E41" s="286"/>
      <c r="F41" s="286"/>
      <c r="G41" s="286" t="s">
        <v>775</v>
      </c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8" priority="2" stopIfTrue="1">
      <formula>TEXT(A1,"aaaa")="日曜日"</formula>
    </cfRule>
    <cfRule type="expression" dxfId="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B9CE9F-4EBE-42B5-AD61-6327EF4F7B97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2A74334-F9E6-492E-8F9A-A6A47D0FDEA3}">
          <x14:formula1>
            <xm:f>マスタ①!$C:$C</xm:f>
          </x14:formula1>
          <xm:sqref>G35:H36</xm:sqref>
        </x14:dataValidation>
        <x14:dataValidation type="list" allowBlank="1" showInputMessage="1" showErrorMessage="1" xr:uid="{43F04930-4CBD-4809-BC42-43FDE94CC6F2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DC0D851-4881-4009-B1B6-BB9CD553EB65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80FC9A1-58EA-4C8F-9DDD-A798C11E0C2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2755B75A-030F-4A49-B899-30324B9CA50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43143109-CDFA-4FE6-9205-88033C7732A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924D1E68-D5DD-474B-B13D-560FB988A421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E3E235F2-B38C-440E-A084-7292BB66B73E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51BC2197-5579-40A8-A3DC-715384E72C7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80EC724-8C53-44F5-A3D1-7258ADC188C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E118003-6001-4998-BD3A-8D53805063FC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BEED04C7-B5AF-460F-B6B8-164D5DE3BB83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7DA34CF5-B6B0-4CC0-944D-B6311D936AA5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B7103-4738-4BF0-BD32-EC2379F13971}">
  <sheetPr codeName="Sheet20">
    <pageSetUpPr fitToPage="1"/>
  </sheetPr>
  <dimension ref="A1:AI70"/>
  <sheetViews>
    <sheetView showGridLines="0" tabSelected="1" zoomScaleNormal="100" zoomScalePageLayoutView="90" workbookViewId="0">
      <pane ySplit="5" topLeftCell="A12" activePane="bottomLeft" state="frozen"/>
      <selection activeCell="D43" sqref="D43:F43"/>
      <selection pane="bottomLeft" activeCell="V17" sqref="V17:AA17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'16日'!A1+14</f>
        <v>45991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 t="s">
        <v>30</v>
      </c>
      <c r="F6" s="392"/>
      <c r="G6" s="393" t="str">
        <f>_xlfn.IFNA(VLOOKUP(J6,マスタ②!$A:$O,マスタ②!$G$1,0),"")</f>
        <v/>
      </c>
      <c r="H6" s="394"/>
      <c r="I6" s="146"/>
      <c r="J6" s="463"/>
      <c r="K6" s="464"/>
      <c r="L6" s="464"/>
      <c r="M6" s="464"/>
      <c r="N6" s="464"/>
      <c r="O6" s="167"/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/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 t="s">
        <v>730</v>
      </c>
      <c r="F8" s="436"/>
      <c r="G8" s="437">
        <v>0.3125</v>
      </c>
      <c r="H8" s="438"/>
      <c r="I8" s="103"/>
      <c r="J8" s="448" t="s">
        <v>1087</v>
      </c>
      <c r="K8" s="449"/>
      <c r="L8" s="449"/>
      <c r="M8" s="449"/>
      <c r="N8" s="449"/>
      <c r="O8" s="168">
        <v>10</v>
      </c>
      <c r="P8" s="448" t="s">
        <v>1086</v>
      </c>
      <c r="Q8" s="449"/>
      <c r="R8" s="449"/>
      <c r="S8" s="449"/>
      <c r="T8" s="449"/>
      <c r="U8" s="168">
        <v>10</v>
      </c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 xml:space="preserve">　
</v>
      </c>
      <c r="H9" s="441"/>
      <c r="I9" s="127"/>
      <c r="J9" s="442" t="str">
        <f>_xlfn.IFNA(VLOOKUP(J8,マスタ②!$A:$O,マスタ②!$L$1,0),"")&amp;""</f>
        <v xml:space="preserve">　
</v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 t="s">
        <v>30</v>
      </c>
      <c r="F10" s="436"/>
      <c r="G10" s="437" t="str">
        <f>_xlfn.IFNA(VLOOKUP(J10,マスタ②!$A:$O,マスタ②!$G$1,0),"")</f>
        <v/>
      </c>
      <c r="H10" s="438"/>
      <c r="I10" s="103"/>
      <c r="J10" s="405"/>
      <c r="K10" s="406"/>
      <c r="L10" s="406"/>
      <c r="M10" s="406"/>
      <c r="N10" s="406"/>
      <c r="O10" s="168"/>
      <c r="P10" s="405"/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/>
      </c>
      <c r="H11" s="425"/>
      <c r="I11" s="144"/>
      <c r="J11" s="426" t="str">
        <f>_xlfn.IFNA(VLOOKUP(J10,マスタ②!$A:$O,マスタ②!$L$1,0),"")&amp;""</f>
        <v/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 t="s">
        <v>27</v>
      </c>
      <c r="F12" s="436"/>
      <c r="G12" s="437">
        <f>_xlfn.IFNA(VLOOKUP(J12,マスタ①!$G:$U,マスタ①!$M$1,0),"")</f>
        <v>0.33333333333333331</v>
      </c>
      <c r="H12" s="438"/>
      <c r="I12" s="103"/>
      <c r="J12" s="405" t="s">
        <v>1222</v>
      </c>
      <c r="K12" s="406"/>
      <c r="L12" s="406"/>
      <c r="M12" s="406"/>
      <c r="N12" s="406"/>
      <c r="O12" s="168">
        <v>10</v>
      </c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>
        <f>_xlfn.IFNA(VLOOKUP(J12,マスタ①!$G:$U,マスタ①!$L$1,0),"")</f>
        <v>0.54166666666666663</v>
      </c>
      <c r="H13" s="410"/>
      <c r="I13" s="127" t="s">
        <v>766</v>
      </c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384</v>
      </c>
      <c r="D14" s="336"/>
      <c r="E14" s="339" t="s">
        <v>30</v>
      </c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643</v>
      </c>
      <c r="D16" s="336"/>
      <c r="E16" s="339" t="s">
        <v>210</v>
      </c>
      <c r="F16" s="340"/>
      <c r="G16" s="395">
        <v>0.25</v>
      </c>
      <c r="H16" s="396"/>
      <c r="I16" s="7"/>
      <c r="J16" s="405" t="s">
        <v>1089</v>
      </c>
      <c r="K16" s="406"/>
      <c r="L16" s="406"/>
      <c r="M16" s="406"/>
      <c r="N16" s="406"/>
      <c r="O16" s="168">
        <v>10</v>
      </c>
      <c r="P16" s="405" t="s">
        <v>1090</v>
      </c>
      <c r="Q16" s="406"/>
      <c r="R16" s="406"/>
      <c r="S16" s="406"/>
      <c r="T16" s="406"/>
      <c r="U16" s="168">
        <v>10</v>
      </c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>
        <f>_xlfn.IFNA(VLOOKUP(J16,マスタ①!$G:$U,マスタ①!$L$1,0),"")</f>
        <v>0.35416666666666669</v>
      </c>
      <c r="H17" s="410"/>
      <c r="I17" s="127" t="s">
        <v>766</v>
      </c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 t="s">
        <v>1223</v>
      </c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700</v>
      </c>
      <c r="D18" s="336"/>
      <c r="E18" s="339" t="s">
        <v>13</v>
      </c>
      <c r="F18" s="340"/>
      <c r="G18" s="395">
        <v>0.25</v>
      </c>
      <c r="H18" s="396"/>
      <c r="I18" s="7"/>
      <c r="J18" s="405" t="s">
        <v>1203</v>
      </c>
      <c r="K18" s="406"/>
      <c r="L18" s="406"/>
      <c r="M18" s="406"/>
      <c r="N18" s="406"/>
      <c r="O18" s="168">
        <v>10</v>
      </c>
      <c r="P18" s="405" t="s">
        <v>1203</v>
      </c>
      <c r="Q18" s="406"/>
      <c r="R18" s="406"/>
      <c r="S18" s="406"/>
      <c r="T18" s="406"/>
      <c r="U18" s="168">
        <v>10</v>
      </c>
      <c r="V18" s="405" t="s">
        <v>1203</v>
      </c>
      <c r="W18" s="406"/>
      <c r="X18" s="406"/>
      <c r="Y18" s="406"/>
      <c r="Z18" s="406"/>
      <c r="AA18" s="168">
        <v>10</v>
      </c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>
        <f>_xlfn.IFNA(VLOOKUP(J18,マスタ①!$G:$U,マスタ①!$L$1,0),"")</f>
        <v>0</v>
      </c>
      <c r="H19" s="410"/>
      <c r="I19" s="127" t="s">
        <v>766</v>
      </c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1136</v>
      </c>
      <c r="D20" s="336"/>
      <c r="E20" s="339" t="s">
        <v>30</v>
      </c>
      <c r="F20" s="340"/>
      <c r="G20" s="395" t="str">
        <f>_xlfn.IFNA(VLOOKUP(J20,マスタ①!$G:$U,マスタ①!$M$1,0),"")</f>
        <v/>
      </c>
      <c r="H20" s="396"/>
      <c r="I20" s="7"/>
      <c r="J20" s="405"/>
      <c r="K20" s="406"/>
      <c r="L20" s="406"/>
      <c r="M20" s="406"/>
      <c r="N20" s="406"/>
      <c r="O20" s="168"/>
      <c r="P20" s="405"/>
      <c r="Q20" s="406"/>
      <c r="R20" s="406"/>
      <c r="S20" s="406"/>
      <c r="T20" s="406"/>
      <c r="U20" s="168"/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tr">
        <f>_xlfn.IFNA(VLOOKUP(J20,マスタ①!$G:$U,マスタ①!$L$1,0),"")</f>
        <v/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2401</v>
      </c>
      <c r="D22" s="336"/>
      <c r="E22" s="339" t="s">
        <v>30</v>
      </c>
      <c r="F22" s="340"/>
      <c r="G22" s="395" t="str">
        <f>_xlfn.IFNA(VLOOKUP(J22,マスタ①!$G:$U,マスタ①!$M$1,0),"")</f>
        <v/>
      </c>
      <c r="H22" s="396"/>
      <c r="I22" s="7"/>
      <c r="J22" s="405"/>
      <c r="K22" s="406"/>
      <c r="L22" s="406"/>
      <c r="M22" s="406"/>
      <c r="N22" s="406"/>
      <c r="O22" s="168"/>
      <c r="P22" s="405"/>
      <c r="Q22" s="406"/>
      <c r="R22" s="406"/>
      <c r="S22" s="406"/>
      <c r="T22" s="406"/>
      <c r="U22" s="168"/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/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3640</v>
      </c>
      <c r="D24" s="336"/>
      <c r="E24" s="339" t="s">
        <v>39</v>
      </c>
      <c r="F24" s="340"/>
      <c r="G24" s="395">
        <f>_xlfn.IFNA(VLOOKUP(J24,マスタ①!$G:$U,マスタ①!$M$1,0),"")</f>
        <v>0.22916666666666666</v>
      </c>
      <c r="H24" s="396"/>
      <c r="I24" s="7"/>
      <c r="J24" s="405" t="s">
        <v>1102</v>
      </c>
      <c r="K24" s="406"/>
      <c r="L24" s="406"/>
      <c r="M24" s="406"/>
      <c r="N24" s="406"/>
      <c r="O24" s="168">
        <v>10</v>
      </c>
      <c r="P24" s="405"/>
      <c r="Q24" s="406"/>
      <c r="R24" s="406"/>
      <c r="S24" s="406"/>
      <c r="T24" s="406"/>
      <c r="U24" s="168"/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>
        <f>_xlfn.IFNA(VLOOKUP(J24,マスタ①!$G:$U,マスタ①!$L$1,0),"")</f>
        <v>0.375</v>
      </c>
      <c r="H25" s="410"/>
      <c r="I25" s="127"/>
      <c r="J25" s="411" t="str">
        <f>_xlfn.IFNA(VLOOKUP(J24,マスタ①!$G:$U,マスタ①!$R$1,0),"")&amp;""</f>
        <v xml:space="preserve">　
</v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/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 t="s">
        <v>30</v>
      </c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 t="s">
        <v>30</v>
      </c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/>
      <c r="L34" s="349"/>
      <c r="M34" s="350" t="s">
        <v>739</v>
      </c>
      <c r="N34" s="351"/>
      <c r="O34" s="329"/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 t="s">
        <v>30</v>
      </c>
      <c r="F35" s="340"/>
      <c r="G35" s="341"/>
      <c r="H35" s="342"/>
      <c r="I35" s="343"/>
      <c r="J35" s="344"/>
      <c r="K35" s="345"/>
      <c r="L35" s="129"/>
      <c r="M35" s="343"/>
      <c r="N35" s="344"/>
      <c r="O35" s="345"/>
      <c r="P35" s="129"/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/>
      <c r="H36" s="324"/>
      <c r="I36" s="346"/>
      <c r="J36" s="347"/>
      <c r="K36" s="348"/>
      <c r="L36" s="169"/>
      <c r="M36" s="346"/>
      <c r="N36" s="347"/>
      <c r="O36" s="348"/>
      <c r="P36" s="169"/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 t="s">
        <v>456</v>
      </c>
      <c r="B38" s="318"/>
      <c r="C38" s="318"/>
      <c r="D38" s="318" t="s">
        <v>458</v>
      </c>
      <c r="E38" s="318"/>
      <c r="F38" s="318"/>
      <c r="G38" s="318" t="s">
        <v>772</v>
      </c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 t="s">
        <v>457</v>
      </c>
      <c r="B39" s="306"/>
      <c r="C39" s="306"/>
      <c r="D39" s="306" t="s">
        <v>458</v>
      </c>
      <c r="E39" s="306"/>
      <c r="F39" s="306"/>
      <c r="G39" s="306" t="s">
        <v>773</v>
      </c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/>
      <c r="B40" s="306"/>
      <c r="C40" s="306"/>
      <c r="D40" s="306"/>
      <c r="E40" s="306"/>
      <c r="F40" s="306"/>
      <c r="G40" s="306"/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33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/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5" priority="2" stopIfTrue="1">
      <formula>TEXT(A1,"aaaa")="日曜日"</formula>
    </cfRule>
    <cfRule type="expression" dxfId="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12AE101-1A3D-479A-9208-5D09467D586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6F7EB8D-A762-4839-81BB-5E656196C67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E55D47D-FE4B-4958-8B9C-498587A63046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067ACA47-87E3-4FFF-A5EB-EF0156F84FA9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847C4533-5C36-44DA-BADA-F7FE664E5B96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2B4B4D43-7D40-4614-902E-FA5817501F0D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C816D90-5939-4344-AAA3-1F84F1FA492A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38060C5A-751E-43BF-A30A-6B48CBAB56D3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3EA218F-EF01-4C3F-8A39-1ABDB14A65F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EC05CDA-CEC8-4D31-8A80-0D66E0615A63}">
          <x14:formula1>
            <xm:f>マスタ①!$C:$C</xm:f>
          </x14:formula1>
          <xm:sqref>G35:H36</xm:sqref>
        </x14:dataValidation>
        <x14:dataValidation type="list" allowBlank="1" showInputMessage="1" showErrorMessage="1" xr:uid="{543C8348-E2B6-4821-BEEC-4E011102AD7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83061CB-7401-479F-B949-49890F602655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45C7134F-B291-4CBD-AA02-E601062D0072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CD3E410D-037A-450F-B835-50D24A7C6E13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7F53-DFA0-4496-95C2-66B85AAD9D65}">
  <sheetPr codeName="Sheet21">
    <pageSetUpPr fitToPage="1"/>
  </sheetPr>
  <dimension ref="A1:AI70"/>
  <sheetViews>
    <sheetView showGridLines="0" zoomScale="80" zoomScaleNormal="80" zoomScalePageLayoutView="90" workbookViewId="0">
      <pane ySplit="5" topLeftCell="A6" activePane="bottomLeft" state="frozen"/>
      <selection activeCell="J43" sqref="J43:AA45"/>
      <selection pane="bottomLeft" activeCell="P31" sqref="P31:U31"/>
    </sheetView>
  </sheetViews>
  <sheetFormatPr defaultColWidth="7.125" defaultRowHeight="14.25" x14ac:dyDescent="0.15"/>
  <cols>
    <col min="1" max="1" width="5" style="1" customWidth="1"/>
    <col min="2" max="4" width="5" style="3" customWidth="1"/>
    <col min="5" max="43" width="5" style="1" customWidth="1"/>
    <col min="44" max="16384" width="7.125" style="1"/>
  </cols>
  <sheetData>
    <row r="1" spans="1:31" ht="28.35" customHeight="1" thickBot="1" x14ac:dyDescent="0.2">
      <c r="A1" s="492">
        <f>'16日'!A1+15</f>
        <v>45992</v>
      </c>
      <c r="B1" s="492"/>
      <c r="C1" s="492"/>
      <c r="D1" s="492"/>
      <c r="E1" s="492"/>
      <c r="F1" s="492"/>
      <c r="G1" s="492"/>
      <c r="H1" s="477"/>
      <c r="I1" s="477"/>
      <c r="J1" s="47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15">
      <c r="A2" s="478" t="s">
        <v>12</v>
      </c>
      <c r="B2" s="479"/>
      <c r="C2" s="479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1"/>
      <c r="AE2" s="2"/>
    </row>
    <row r="3" spans="1:31" ht="28.35" customHeight="1" x14ac:dyDescent="0.15">
      <c r="A3" s="482" t="s">
        <v>4</v>
      </c>
      <c r="B3" s="484" t="s">
        <v>5</v>
      </c>
      <c r="C3" s="468" t="s">
        <v>6</v>
      </c>
      <c r="D3" s="486"/>
      <c r="E3" s="465" t="s">
        <v>473</v>
      </c>
      <c r="F3" s="488"/>
      <c r="G3" s="489" t="s">
        <v>21</v>
      </c>
      <c r="H3" s="467"/>
      <c r="I3" s="8" t="s">
        <v>24</v>
      </c>
      <c r="J3" s="465" t="s">
        <v>7</v>
      </c>
      <c r="K3" s="466"/>
      <c r="L3" s="466"/>
      <c r="M3" s="466"/>
      <c r="N3" s="466"/>
      <c r="O3" s="467"/>
      <c r="P3" s="465" t="s">
        <v>8</v>
      </c>
      <c r="Q3" s="466"/>
      <c r="R3" s="466"/>
      <c r="S3" s="466"/>
      <c r="T3" s="466"/>
      <c r="U3" s="467"/>
      <c r="V3" s="465" t="s">
        <v>9</v>
      </c>
      <c r="W3" s="466"/>
      <c r="X3" s="466"/>
      <c r="Y3" s="466"/>
      <c r="Z3" s="466"/>
      <c r="AA3" s="467"/>
      <c r="AB3" s="468" t="s">
        <v>15</v>
      </c>
      <c r="AC3" s="469"/>
    </row>
    <row r="4" spans="1:31" ht="28.35" customHeight="1" x14ac:dyDescent="0.15">
      <c r="A4" s="483"/>
      <c r="B4" s="485"/>
      <c r="C4" s="472"/>
      <c r="D4" s="487"/>
      <c r="E4" s="472" t="s">
        <v>474</v>
      </c>
      <c r="F4" s="473"/>
      <c r="G4" s="474" t="s">
        <v>335</v>
      </c>
      <c r="H4" s="475"/>
      <c r="I4" s="104" t="s">
        <v>334</v>
      </c>
      <c r="J4" s="465" t="s">
        <v>475</v>
      </c>
      <c r="K4" s="466"/>
      <c r="L4" s="466"/>
      <c r="M4" s="466"/>
      <c r="N4" s="466"/>
      <c r="O4" s="467"/>
      <c r="P4" s="465" t="s">
        <v>475</v>
      </c>
      <c r="Q4" s="466"/>
      <c r="R4" s="466"/>
      <c r="S4" s="466"/>
      <c r="T4" s="466"/>
      <c r="U4" s="467"/>
      <c r="V4" s="465" t="s">
        <v>475</v>
      </c>
      <c r="W4" s="466"/>
      <c r="X4" s="466"/>
      <c r="Y4" s="466"/>
      <c r="Z4" s="466"/>
      <c r="AA4" s="467"/>
      <c r="AB4" s="470"/>
      <c r="AC4" s="471"/>
    </row>
    <row r="5" spans="1:31" ht="28.35" customHeight="1" thickBot="1" x14ac:dyDescent="0.2">
      <c r="A5" s="147"/>
      <c r="B5" s="148"/>
      <c r="C5" s="149"/>
      <c r="D5" s="150"/>
      <c r="E5" s="149"/>
      <c r="F5" s="151"/>
      <c r="G5" s="149"/>
      <c r="H5" s="150"/>
      <c r="I5" s="152"/>
      <c r="J5" s="456" t="s">
        <v>332</v>
      </c>
      <c r="K5" s="457"/>
      <c r="L5" s="153"/>
      <c r="M5" s="154"/>
      <c r="N5" s="154"/>
      <c r="O5" s="155"/>
      <c r="P5" s="458" t="s">
        <v>333</v>
      </c>
      <c r="Q5" s="457"/>
      <c r="R5" s="153"/>
      <c r="S5" s="154"/>
      <c r="T5" s="154"/>
      <c r="U5" s="155"/>
      <c r="V5" s="458" t="s">
        <v>342</v>
      </c>
      <c r="W5" s="457"/>
      <c r="X5" s="153"/>
      <c r="Y5" s="156"/>
      <c r="Z5" s="156"/>
      <c r="AA5" s="150"/>
      <c r="AB5" s="149"/>
      <c r="AC5" s="157"/>
    </row>
    <row r="6" spans="1:31" ht="28.35" customHeight="1" x14ac:dyDescent="0.15">
      <c r="A6" s="459" t="s">
        <v>35</v>
      </c>
      <c r="B6" s="387" t="s">
        <v>2</v>
      </c>
      <c r="C6" s="390">
        <v>18</v>
      </c>
      <c r="D6" s="391"/>
      <c r="E6" s="370"/>
      <c r="F6" s="392"/>
      <c r="G6" s="393" t="str">
        <f>_xlfn.IFNA(VLOOKUP(J6,マスタ②!$A:$O,マスタ②!$G$1,0),"")</f>
        <v/>
      </c>
      <c r="H6" s="394"/>
      <c r="I6" s="146"/>
      <c r="J6" s="463"/>
      <c r="K6" s="464"/>
      <c r="L6" s="464"/>
      <c r="M6" s="464"/>
      <c r="N6" s="464"/>
      <c r="O6" s="167"/>
      <c r="P6" s="463"/>
      <c r="Q6" s="464"/>
      <c r="R6" s="464"/>
      <c r="S6" s="464"/>
      <c r="T6" s="464"/>
      <c r="U6" s="167"/>
      <c r="V6" s="463"/>
      <c r="W6" s="464"/>
      <c r="X6" s="464"/>
      <c r="Y6" s="464"/>
      <c r="Z6" s="464"/>
      <c r="AA6" s="167"/>
      <c r="AB6" s="298"/>
      <c r="AC6" s="300"/>
    </row>
    <row r="7" spans="1:31" ht="28.35" customHeight="1" x14ac:dyDescent="0.15">
      <c r="A7" s="460"/>
      <c r="B7" s="388"/>
      <c r="C7" s="417"/>
      <c r="D7" s="418"/>
      <c r="E7" s="407"/>
      <c r="F7" s="408"/>
      <c r="G7" s="440" t="str">
        <f>_xlfn.IFNA(VLOOKUP(J6,マスタ②!$A:$O,マスタ②!$F$1,0),"")</f>
        <v/>
      </c>
      <c r="H7" s="441"/>
      <c r="I7" s="127"/>
      <c r="J7" s="450" t="str">
        <f>_xlfn.IFNA(VLOOKUP(J6,マスタ②!$A:$O,マスタ②!$L$1,0),"")&amp;""</f>
        <v/>
      </c>
      <c r="K7" s="451"/>
      <c r="L7" s="451"/>
      <c r="M7" s="451"/>
      <c r="N7" s="451"/>
      <c r="O7" s="452"/>
      <c r="P7" s="453"/>
      <c r="Q7" s="454"/>
      <c r="R7" s="454"/>
      <c r="S7" s="454"/>
      <c r="T7" s="454"/>
      <c r="U7" s="455"/>
      <c r="V7" s="453"/>
      <c r="W7" s="454"/>
      <c r="X7" s="454"/>
      <c r="Y7" s="454"/>
      <c r="Z7" s="454"/>
      <c r="AA7" s="455"/>
      <c r="AB7" s="357"/>
      <c r="AC7" s="439"/>
    </row>
    <row r="8" spans="1:31" ht="28.35" customHeight="1" x14ac:dyDescent="0.15">
      <c r="A8" s="460"/>
      <c r="B8" s="388"/>
      <c r="C8" s="432">
        <v>1116</v>
      </c>
      <c r="D8" s="433"/>
      <c r="E8" s="357"/>
      <c r="F8" s="436"/>
      <c r="G8" s="437" t="str">
        <f>_xlfn.IFNA(VLOOKUP(J8,マスタ②!$A:$O,マスタ②!$G$1,0),"")</f>
        <v/>
      </c>
      <c r="H8" s="438"/>
      <c r="I8" s="103"/>
      <c r="J8" s="448"/>
      <c r="K8" s="449"/>
      <c r="L8" s="449"/>
      <c r="M8" s="449"/>
      <c r="N8" s="449"/>
      <c r="O8" s="168"/>
      <c r="P8" s="448"/>
      <c r="Q8" s="449"/>
      <c r="R8" s="449"/>
      <c r="S8" s="449"/>
      <c r="T8" s="449"/>
      <c r="U8" s="168"/>
      <c r="V8" s="448"/>
      <c r="W8" s="449"/>
      <c r="X8" s="449"/>
      <c r="Y8" s="449"/>
      <c r="Z8" s="449"/>
      <c r="AA8" s="168"/>
      <c r="AB8" s="419"/>
      <c r="AC8" s="420"/>
    </row>
    <row r="9" spans="1:31" ht="28.35" customHeight="1" x14ac:dyDescent="0.15">
      <c r="A9" s="460"/>
      <c r="B9" s="388"/>
      <c r="C9" s="417"/>
      <c r="D9" s="418"/>
      <c r="E9" s="407"/>
      <c r="F9" s="408"/>
      <c r="G9" s="440" t="str">
        <f>_xlfn.IFNA(VLOOKUP(J8,マスタ②!$A:$O,マスタ②!$F$1,0),"")</f>
        <v/>
      </c>
      <c r="H9" s="441"/>
      <c r="I9" s="127"/>
      <c r="J9" s="442" t="str">
        <f>_xlfn.IFNA(VLOOKUP(J8,マスタ②!$A:$O,マスタ②!$L$1,0),"")&amp;""</f>
        <v/>
      </c>
      <c r="K9" s="443"/>
      <c r="L9" s="443"/>
      <c r="M9" s="443"/>
      <c r="N9" s="443"/>
      <c r="O9" s="444"/>
      <c r="P9" s="445"/>
      <c r="Q9" s="446"/>
      <c r="R9" s="446"/>
      <c r="S9" s="446"/>
      <c r="T9" s="446"/>
      <c r="U9" s="447"/>
      <c r="V9" s="445"/>
      <c r="W9" s="446"/>
      <c r="X9" s="446"/>
      <c r="Y9" s="446"/>
      <c r="Z9" s="446"/>
      <c r="AA9" s="447"/>
      <c r="AB9" s="357"/>
      <c r="AC9" s="439"/>
    </row>
    <row r="10" spans="1:31" ht="28.35" customHeight="1" x14ac:dyDescent="0.15">
      <c r="A10" s="460"/>
      <c r="B10" s="388"/>
      <c r="C10" s="432">
        <v>1589</v>
      </c>
      <c r="D10" s="433"/>
      <c r="E10" s="357"/>
      <c r="F10" s="436"/>
      <c r="G10" s="437" t="str">
        <f>_xlfn.IFNA(VLOOKUP(J10,マスタ②!$A:$O,マスタ②!$G$1,0),"")</f>
        <v/>
      </c>
      <c r="H10" s="438"/>
      <c r="I10" s="103"/>
      <c r="J10" s="405"/>
      <c r="K10" s="406"/>
      <c r="L10" s="406"/>
      <c r="M10" s="406"/>
      <c r="N10" s="406"/>
      <c r="O10" s="168"/>
      <c r="P10" s="405"/>
      <c r="Q10" s="406"/>
      <c r="R10" s="406"/>
      <c r="S10" s="406"/>
      <c r="T10" s="406"/>
      <c r="U10" s="168"/>
      <c r="V10" s="405"/>
      <c r="W10" s="406"/>
      <c r="X10" s="406"/>
      <c r="Y10" s="406"/>
      <c r="Z10" s="406"/>
      <c r="AA10" s="168"/>
      <c r="AB10" s="419"/>
      <c r="AC10" s="420"/>
    </row>
    <row r="11" spans="1:31" ht="28.35" customHeight="1" thickBot="1" x14ac:dyDescent="0.2">
      <c r="A11" s="460"/>
      <c r="B11" s="462"/>
      <c r="C11" s="434"/>
      <c r="D11" s="435"/>
      <c r="E11" s="422"/>
      <c r="F11" s="423"/>
      <c r="G11" s="424" t="str">
        <f>_xlfn.IFNA(VLOOKUP(J10,マスタ②!$A:$O,マスタ②!$F$1,0),"")</f>
        <v/>
      </c>
      <c r="H11" s="425"/>
      <c r="I11" s="144"/>
      <c r="J11" s="426" t="str">
        <f>_xlfn.IFNA(VLOOKUP(J10,マスタ②!$A:$O,マスタ②!$L$1,0),"")&amp;""</f>
        <v/>
      </c>
      <c r="K11" s="427"/>
      <c r="L11" s="427"/>
      <c r="M11" s="427"/>
      <c r="N11" s="427"/>
      <c r="O11" s="428"/>
      <c r="P11" s="429"/>
      <c r="Q11" s="430"/>
      <c r="R11" s="430"/>
      <c r="S11" s="430"/>
      <c r="T11" s="430"/>
      <c r="U11" s="431"/>
      <c r="V11" s="429"/>
      <c r="W11" s="430"/>
      <c r="X11" s="430"/>
      <c r="Y11" s="430"/>
      <c r="Z11" s="430"/>
      <c r="AA11" s="431"/>
      <c r="AB11" s="288"/>
      <c r="AC11" s="421"/>
    </row>
    <row r="12" spans="1:31" ht="28.35" customHeight="1" thickTop="1" x14ac:dyDescent="0.15">
      <c r="A12" s="460"/>
      <c r="B12" s="388" t="s">
        <v>22</v>
      </c>
      <c r="C12" s="432">
        <v>19</v>
      </c>
      <c r="D12" s="433"/>
      <c r="E12" s="357"/>
      <c r="F12" s="436"/>
      <c r="G12" s="437" t="str">
        <f>_xlfn.IFNA(VLOOKUP(J12,マスタ①!$G:$U,マスタ①!$M$1,0),"")</f>
        <v/>
      </c>
      <c r="H12" s="438"/>
      <c r="I12" s="103"/>
      <c r="J12" s="405"/>
      <c r="K12" s="406"/>
      <c r="L12" s="406"/>
      <c r="M12" s="406"/>
      <c r="N12" s="406"/>
      <c r="O12" s="168"/>
      <c r="P12" s="405"/>
      <c r="Q12" s="406"/>
      <c r="R12" s="406"/>
      <c r="S12" s="406"/>
      <c r="T12" s="406"/>
      <c r="U12" s="168"/>
      <c r="V12" s="405"/>
      <c r="W12" s="406"/>
      <c r="X12" s="406"/>
      <c r="Y12" s="406"/>
      <c r="Z12" s="406"/>
      <c r="AA12" s="168"/>
      <c r="AB12" s="267"/>
      <c r="AC12" s="301"/>
    </row>
    <row r="13" spans="1:31" ht="28.35" customHeight="1" x14ac:dyDescent="0.15">
      <c r="A13" s="460"/>
      <c r="B13" s="388"/>
      <c r="C13" s="417"/>
      <c r="D13" s="418"/>
      <c r="E13" s="407"/>
      <c r="F13" s="408"/>
      <c r="G13" s="409" t="str">
        <f>_xlfn.IFNA(VLOOKUP(J12,マスタ①!$G:$U,マスタ①!$L$1,0),"")</f>
        <v/>
      </c>
      <c r="H13" s="410"/>
      <c r="I13" s="127"/>
      <c r="J13" s="411" t="str">
        <f>_xlfn.IFNA(VLOOKUP(J12,マスタ①!$G:$U,マスタ①!$R$1,0),"")&amp;""</f>
        <v/>
      </c>
      <c r="K13" s="412"/>
      <c r="L13" s="412"/>
      <c r="M13" s="412"/>
      <c r="N13" s="412"/>
      <c r="O13" s="413"/>
      <c r="P13" s="414"/>
      <c r="Q13" s="415"/>
      <c r="R13" s="415"/>
      <c r="S13" s="415"/>
      <c r="T13" s="415"/>
      <c r="U13" s="416"/>
      <c r="V13" s="414"/>
      <c r="W13" s="415"/>
      <c r="X13" s="415"/>
      <c r="Y13" s="415"/>
      <c r="Z13" s="415"/>
      <c r="AA13" s="416"/>
      <c r="AB13" s="254"/>
      <c r="AC13" s="374"/>
    </row>
    <row r="14" spans="1:31" ht="28.35" customHeight="1" x14ac:dyDescent="0.15">
      <c r="A14" s="460"/>
      <c r="B14" s="388"/>
      <c r="C14" s="335">
        <v>154</v>
      </c>
      <c r="D14" s="336"/>
      <c r="E14" s="339"/>
      <c r="F14" s="340"/>
      <c r="G14" s="395" t="str">
        <f>_xlfn.IFNA(VLOOKUP(J14,マスタ①!$G:$U,マスタ①!$M$1,0),"")</f>
        <v/>
      </c>
      <c r="H14" s="396"/>
      <c r="I14" s="7"/>
      <c r="J14" s="405"/>
      <c r="K14" s="406"/>
      <c r="L14" s="406"/>
      <c r="M14" s="406"/>
      <c r="N14" s="406"/>
      <c r="O14" s="168"/>
      <c r="P14" s="405"/>
      <c r="Q14" s="406"/>
      <c r="R14" s="406"/>
      <c r="S14" s="406"/>
      <c r="T14" s="406"/>
      <c r="U14" s="168"/>
      <c r="V14" s="405"/>
      <c r="W14" s="406"/>
      <c r="X14" s="406"/>
      <c r="Y14" s="406"/>
      <c r="Z14" s="406"/>
      <c r="AA14" s="168"/>
      <c r="AB14" s="360"/>
      <c r="AC14" s="361"/>
    </row>
    <row r="15" spans="1:31" ht="28.35" customHeight="1" x14ac:dyDescent="0.15">
      <c r="A15" s="460"/>
      <c r="B15" s="388"/>
      <c r="C15" s="417"/>
      <c r="D15" s="418"/>
      <c r="E15" s="407"/>
      <c r="F15" s="408"/>
      <c r="G15" s="409" t="str">
        <f>_xlfn.IFNA(VLOOKUP(J14,マスタ①!$G:$U,マスタ①!$L$1,0),"")</f>
        <v/>
      </c>
      <c r="H15" s="410"/>
      <c r="I15" s="127"/>
      <c r="J15" s="411" t="str">
        <f>_xlfn.IFNA(VLOOKUP(J14,マスタ①!$G:$U,マスタ①!$R$1,0),"")&amp;""</f>
        <v/>
      </c>
      <c r="K15" s="412"/>
      <c r="L15" s="412"/>
      <c r="M15" s="412"/>
      <c r="N15" s="412"/>
      <c r="O15" s="413"/>
      <c r="P15" s="414"/>
      <c r="Q15" s="415"/>
      <c r="R15" s="415"/>
      <c r="S15" s="415"/>
      <c r="T15" s="415"/>
      <c r="U15" s="416"/>
      <c r="V15" s="414"/>
      <c r="W15" s="415"/>
      <c r="X15" s="415"/>
      <c r="Y15" s="415"/>
      <c r="Z15" s="415"/>
      <c r="AA15" s="416"/>
      <c r="AB15" s="254"/>
      <c r="AC15" s="374"/>
    </row>
    <row r="16" spans="1:31" ht="28.35" customHeight="1" x14ac:dyDescent="0.15">
      <c r="A16" s="460"/>
      <c r="B16" s="388"/>
      <c r="C16" s="335">
        <v>384</v>
      </c>
      <c r="D16" s="336"/>
      <c r="E16" s="339"/>
      <c r="F16" s="340"/>
      <c r="G16" s="395" t="str">
        <f>_xlfn.IFNA(VLOOKUP(J16,マスタ①!$G:$U,マスタ①!$M$1,0),"")</f>
        <v/>
      </c>
      <c r="H16" s="396"/>
      <c r="I16" s="7"/>
      <c r="J16" s="405"/>
      <c r="K16" s="406"/>
      <c r="L16" s="406"/>
      <c r="M16" s="406"/>
      <c r="N16" s="406"/>
      <c r="O16" s="168"/>
      <c r="P16" s="405"/>
      <c r="Q16" s="406"/>
      <c r="R16" s="406"/>
      <c r="S16" s="406"/>
      <c r="T16" s="406"/>
      <c r="U16" s="168"/>
      <c r="V16" s="405"/>
      <c r="W16" s="406"/>
      <c r="X16" s="406"/>
      <c r="Y16" s="406"/>
      <c r="Z16" s="406"/>
      <c r="AA16" s="168"/>
      <c r="AB16" s="360"/>
      <c r="AC16" s="361"/>
    </row>
    <row r="17" spans="1:29" ht="28.35" customHeight="1" x14ac:dyDescent="0.15">
      <c r="A17" s="460"/>
      <c r="B17" s="388"/>
      <c r="C17" s="417"/>
      <c r="D17" s="418"/>
      <c r="E17" s="407"/>
      <c r="F17" s="408"/>
      <c r="G17" s="409" t="str">
        <f>_xlfn.IFNA(VLOOKUP(J16,マスタ①!$G:$U,マスタ①!$L$1,0),"")</f>
        <v/>
      </c>
      <c r="H17" s="410"/>
      <c r="I17" s="127"/>
      <c r="J17" s="411" t="str">
        <f>_xlfn.IFNA(VLOOKUP(J16,マスタ①!$G:$U,マスタ①!$R$1,0),"")&amp;""</f>
        <v/>
      </c>
      <c r="K17" s="412"/>
      <c r="L17" s="412"/>
      <c r="M17" s="412"/>
      <c r="N17" s="412"/>
      <c r="O17" s="413"/>
      <c r="P17" s="414"/>
      <c r="Q17" s="415"/>
      <c r="R17" s="415"/>
      <c r="S17" s="415"/>
      <c r="T17" s="415"/>
      <c r="U17" s="416"/>
      <c r="V17" s="414"/>
      <c r="W17" s="415"/>
      <c r="X17" s="415"/>
      <c r="Y17" s="415"/>
      <c r="Z17" s="415"/>
      <c r="AA17" s="416"/>
      <c r="AB17" s="254"/>
      <c r="AC17" s="374"/>
    </row>
    <row r="18" spans="1:29" ht="28.35" customHeight="1" x14ac:dyDescent="0.15">
      <c r="A18" s="460"/>
      <c r="B18" s="388"/>
      <c r="C18" s="335">
        <v>643</v>
      </c>
      <c r="D18" s="336"/>
      <c r="E18" s="339"/>
      <c r="F18" s="340"/>
      <c r="G18" s="395" t="str">
        <f>_xlfn.IFNA(VLOOKUP(J18,マスタ①!$G:$U,マスタ①!$M$1,0),"")</f>
        <v/>
      </c>
      <c r="H18" s="396"/>
      <c r="I18" s="7"/>
      <c r="J18" s="405"/>
      <c r="K18" s="406"/>
      <c r="L18" s="406"/>
      <c r="M18" s="406"/>
      <c r="N18" s="406"/>
      <c r="O18" s="168"/>
      <c r="P18" s="405"/>
      <c r="Q18" s="406"/>
      <c r="R18" s="406"/>
      <c r="S18" s="406"/>
      <c r="T18" s="406"/>
      <c r="U18" s="168"/>
      <c r="V18" s="405"/>
      <c r="W18" s="406"/>
      <c r="X18" s="406"/>
      <c r="Y18" s="406"/>
      <c r="Z18" s="406"/>
      <c r="AA18" s="168"/>
      <c r="AB18" s="360"/>
      <c r="AC18" s="361"/>
    </row>
    <row r="19" spans="1:29" ht="28.35" customHeight="1" x14ac:dyDescent="0.15">
      <c r="A19" s="460"/>
      <c r="B19" s="388"/>
      <c r="C19" s="417"/>
      <c r="D19" s="418"/>
      <c r="E19" s="407"/>
      <c r="F19" s="408"/>
      <c r="G19" s="409" t="str">
        <f>_xlfn.IFNA(VLOOKUP(J18,マスタ①!$G:$U,マスタ①!$L$1,0),"")</f>
        <v/>
      </c>
      <c r="H19" s="410"/>
      <c r="I19" s="127"/>
      <c r="J19" s="411" t="str">
        <f>_xlfn.IFNA(VLOOKUP(J18,マスタ①!$G:$U,マスタ①!$R$1,0),"")&amp;""</f>
        <v/>
      </c>
      <c r="K19" s="412"/>
      <c r="L19" s="412"/>
      <c r="M19" s="412"/>
      <c r="N19" s="412"/>
      <c r="O19" s="413"/>
      <c r="P19" s="414"/>
      <c r="Q19" s="415"/>
      <c r="R19" s="415"/>
      <c r="S19" s="415"/>
      <c r="T19" s="415"/>
      <c r="U19" s="416"/>
      <c r="V19" s="414"/>
      <c r="W19" s="415"/>
      <c r="X19" s="415"/>
      <c r="Y19" s="415"/>
      <c r="Z19" s="415"/>
      <c r="AA19" s="416"/>
      <c r="AB19" s="254"/>
      <c r="AC19" s="374"/>
    </row>
    <row r="20" spans="1:29" ht="28.35" customHeight="1" x14ac:dyDescent="0.15">
      <c r="A20" s="460"/>
      <c r="B20" s="388"/>
      <c r="C20" s="335">
        <v>700</v>
      </c>
      <c r="D20" s="336"/>
      <c r="E20" s="339"/>
      <c r="F20" s="340"/>
      <c r="G20" s="395" t="str">
        <f>_xlfn.IFNA(VLOOKUP(J20,マスタ①!$G:$U,マスタ①!$M$1,0),"")</f>
        <v/>
      </c>
      <c r="H20" s="396"/>
      <c r="I20" s="7"/>
      <c r="J20" s="405"/>
      <c r="K20" s="406"/>
      <c r="L20" s="406"/>
      <c r="M20" s="406"/>
      <c r="N20" s="406"/>
      <c r="O20" s="168"/>
      <c r="P20" s="405"/>
      <c r="Q20" s="406"/>
      <c r="R20" s="406"/>
      <c r="S20" s="406"/>
      <c r="T20" s="406"/>
      <c r="U20" s="168"/>
      <c r="V20" s="405"/>
      <c r="W20" s="406"/>
      <c r="X20" s="406"/>
      <c r="Y20" s="406"/>
      <c r="Z20" s="406"/>
      <c r="AA20" s="168"/>
      <c r="AB20" s="360"/>
      <c r="AC20" s="361"/>
    </row>
    <row r="21" spans="1:29" ht="28.35" customHeight="1" x14ac:dyDescent="0.15">
      <c r="A21" s="460"/>
      <c r="B21" s="388"/>
      <c r="C21" s="417"/>
      <c r="D21" s="418"/>
      <c r="E21" s="407"/>
      <c r="F21" s="408"/>
      <c r="G21" s="409" t="str">
        <f>_xlfn.IFNA(VLOOKUP(J20,マスタ①!$G:$U,マスタ①!$L$1,0),"")</f>
        <v/>
      </c>
      <c r="H21" s="410"/>
      <c r="I21" s="127"/>
      <c r="J21" s="411" t="str">
        <f>_xlfn.IFNA(VLOOKUP(J20,マスタ①!$G:$U,マスタ①!$R$1,0),"")&amp;""</f>
        <v/>
      </c>
      <c r="K21" s="412"/>
      <c r="L21" s="412"/>
      <c r="M21" s="412"/>
      <c r="N21" s="412"/>
      <c r="O21" s="413"/>
      <c r="P21" s="414"/>
      <c r="Q21" s="415"/>
      <c r="R21" s="415"/>
      <c r="S21" s="415"/>
      <c r="T21" s="415"/>
      <c r="U21" s="416"/>
      <c r="V21" s="414"/>
      <c r="W21" s="415"/>
      <c r="X21" s="415"/>
      <c r="Y21" s="415"/>
      <c r="Z21" s="415"/>
      <c r="AA21" s="416"/>
      <c r="AB21" s="254"/>
      <c r="AC21" s="374"/>
    </row>
    <row r="22" spans="1:29" ht="28.35" customHeight="1" x14ac:dyDescent="0.15">
      <c r="A22" s="460"/>
      <c r="B22" s="388"/>
      <c r="C22" s="335">
        <v>1136</v>
      </c>
      <c r="D22" s="336"/>
      <c r="E22" s="339"/>
      <c r="F22" s="340"/>
      <c r="G22" s="395" t="str">
        <f>_xlfn.IFNA(VLOOKUP(J22,マスタ①!$G:$U,マスタ①!$M$1,0),"")</f>
        <v/>
      </c>
      <c r="H22" s="396"/>
      <c r="I22" s="7"/>
      <c r="J22" s="405"/>
      <c r="K22" s="406"/>
      <c r="L22" s="406"/>
      <c r="M22" s="406"/>
      <c r="N22" s="406"/>
      <c r="O22" s="168"/>
      <c r="P22" s="405"/>
      <c r="Q22" s="406"/>
      <c r="R22" s="406"/>
      <c r="S22" s="406"/>
      <c r="T22" s="406"/>
      <c r="U22" s="168"/>
      <c r="V22" s="405"/>
      <c r="W22" s="406"/>
      <c r="X22" s="406"/>
      <c r="Y22" s="406"/>
      <c r="Z22" s="406"/>
      <c r="AA22" s="168"/>
      <c r="AB22" s="360"/>
      <c r="AC22" s="361"/>
    </row>
    <row r="23" spans="1:29" ht="28.35" customHeight="1" x14ac:dyDescent="0.15">
      <c r="A23" s="460"/>
      <c r="B23" s="388"/>
      <c r="C23" s="417"/>
      <c r="D23" s="418"/>
      <c r="E23" s="407"/>
      <c r="F23" s="408"/>
      <c r="G23" s="409" t="str">
        <f>_xlfn.IFNA(VLOOKUP(J22,マスタ①!$G:$U,マスタ①!$L$1,0),"")</f>
        <v/>
      </c>
      <c r="H23" s="410"/>
      <c r="I23" s="127"/>
      <c r="J23" s="411" t="str">
        <f>_xlfn.IFNA(VLOOKUP(J22,マスタ①!$G:$U,マスタ①!$R$1,0),"")&amp;""</f>
        <v/>
      </c>
      <c r="K23" s="412"/>
      <c r="L23" s="412"/>
      <c r="M23" s="412"/>
      <c r="N23" s="412"/>
      <c r="O23" s="413"/>
      <c r="P23" s="414"/>
      <c r="Q23" s="415"/>
      <c r="R23" s="415"/>
      <c r="S23" s="415"/>
      <c r="T23" s="415"/>
      <c r="U23" s="416"/>
      <c r="V23" s="414"/>
      <c r="W23" s="415"/>
      <c r="X23" s="415"/>
      <c r="Y23" s="415"/>
      <c r="Z23" s="415"/>
      <c r="AA23" s="416"/>
      <c r="AB23" s="254"/>
      <c r="AC23" s="374"/>
    </row>
    <row r="24" spans="1:29" ht="28.35" customHeight="1" x14ac:dyDescent="0.15">
      <c r="A24" s="460"/>
      <c r="B24" s="388"/>
      <c r="C24" s="335">
        <v>2401</v>
      </c>
      <c r="D24" s="336"/>
      <c r="E24" s="339"/>
      <c r="F24" s="340"/>
      <c r="G24" s="395" t="str">
        <f>_xlfn.IFNA(VLOOKUP(J24,マスタ①!$G:$U,マスタ①!$M$1,0),"")</f>
        <v/>
      </c>
      <c r="H24" s="396"/>
      <c r="I24" s="7"/>
      <c r="J24" s="405"/>
      <c r="K24" s="406"/>
      <c r="L24" s="406"/>
      <c r="M24" s="406"/>
      <c r="N24" s="406"/>
      <c r="O24" s="168"/>
      <c r="P24" s="405"/>
      <c r="Q24" s="406"/>
      <c r="R24" s="406"/>
      <c r="S24" s="406"/>
      <c r="T24" s="406"/>
      <c r="U24" s="168"/>
      <c r="V24" s="405"/>
      <c r="W24" s="406"/>
      <c r="X24" s="406"/>
      <c r="Y24" s="406"/>
      <c r="Z24" s="406"/>
      <c r="AA24" s="168"/>
      <c r="AB24" s="360"/>
      <c r="AC24" s="361"/>
    </row>
    <row r="25" spans="1:29" ht="28.35" customHeight="1" x14ac:dyDescent="0.15">
      <c r="A25" s="460"/>
      <c r="B25" s="388"/>
      <c r="C25" s="417"/>
      <c r="D25" s="418"/>
      <c r="E25" s="407"/>
      <c r="F25" s="408"/>
      <c r="G25" s="409" t="str">
        <f>_xlfn.IFNA(VLOOKUP(J24,マスタ①!$G:$U,マスタ①!$L$1,0),"")</f>
        <v/>
      </c>
      <c r="H25" s="410"/>
      <c r="I25" s="127"/>
      <c r="J25" s="411" t="str">
        <f>_xlfn.IFNA(VLOOKUP(J24,マスタ①!$G:$U,マスタ①!$R$1,0),"")&amp;""</f>
        <v/>
      </c>
      <c r="K25" s="412"/>
      <c r="L25" s="412"/>
      <c r="M25" s="412"/>
      <c r="N25" s="412"/>
      <c r="O25" s="413"/>
      <c r="P25" s="414"/>
      <c r="Q25" s="415"/>
      <c r="R25" s="415"/>
      <c r="S25" s="415"/>
      <c r="T25" s="415"/>
      <c r="U25" s="416"/>
      <c r="V25" s="414"/>
      <c r="W25" s="415"/>
      <c r="X25" s="415"/>
      <c r="Y25" s="415"/>
      <c r="Z25" s="415"/>
      <c r="AA25" s="416"/>
      <c r="AB25" s="254"/>
      <c r="AC25" s="374"/>
    </row>
    <row r="26" spans="1:29" ht="28.35" customHeight="1" x14ac:dyDescent="0.15">
      <c r="A26" s="460"/>
      <c r="B26" s="388"/>
      <c r="C26" s="335">
        <v>3640</v>
      </c>
      <c r="D26" s="336"/>
      <c r="E26" s="339"/>
      <c r="F26" s="340"/>
      <c r="G26" s="395" t="str">
        <f>_xlfn.IFNA(VLOOKUP(J26,マスタ①!$G:$U,マスタ①!$M$1,0),"")</f>
        <v/>
      </c>
      <c r="H26" s="396"/>
      <c r="I26" s="7"/>
      <c r="J26" s="405"/>
      <c r="K26" s="406"/>
      <c r="L26" s="406"/>
      <c r="M26" s="406"/>
      <c r="N26" s="406"/>
      <c r="O26" s="168"/>
      <c r="P26" s="405"/>
      <c r="Q26" s="406"/>
      <c r="R26" s="406"/>
      <c r="S26" s="406"/>
      <c r="T26" s="406"/>
      <c r="U26" s="168"/>
      <c r="V26" s="405"/>
      <c r="W26" s="406"/>
      <c r="X26" s="406"/>
      <c r="Y26" s="406"/>
      <c r="Z26" s="406"/>
      <c r="AA26" s="168"/>
      <c r="AB26" s="360"/>
      <c r="AC26" s="361"/>
    </row>
    <row r="27" spans="1:29" ht="28.35" customHeight="1" x14ac:dyDescent="0.15">
      <c r="A27" s="460"/>
      <c r="B27" s="388"/>
      <c r="C27" s="417"/>
      <c r="D27" s="418"/>
      <c r="E27" s="407"/>
      <c r="F27" s="408"/>
      <c r="G27" s="409" t="str">
        <f>_xlfn.IFNA(VLOOKUP(J26,マスタ①!$G:$U,マスタ①!$L$1,0),"")</f>
        <v/>
      </c>
      <c r="H27" s="410"/>
      <c r="I27" s="127"/>
      <c r="J27" s="411" t="str">
        <f>_xlfn.IFNA(VLOOKUP(J26,マスタ①!$G:$U,マスタ①!$R$1,0),"")&amp;""</f>
        <v/>
      </c>
      <c r="K27" s="412"/>
      <c r="L27" s="412"/>
      <c r="M27" s="412"/>
      <c r="N27" s="412"/>
      <c r="O27" s="413"/>
      <c r="P27" s="414"/>
      <c r="Q27" s="415"/>
      <c r="R27" s="415"/>
      <c r="S27" s="415"/>
      <c r="T27" s="415"/>
      <c r="U27" s="416"/>
      <c r="V27" s="414"/>
      <c r="W27" s="415"/>
      <c r="X27" s="415"/>
      <c r="Y27" s="415"/>
      <c r="Z27" s="415"/>
      <c r="AA27" s="416"/>
      <c r="AB27" s="254"/>
      <c r="AC27" s="374"/>
    </row>
    <row r="28" spans="1:29" ht="28.35" customHeight="1" x14ac:dyDescent="0.15">
      <c r="A28" s="460"/>
      <c r="B28" s="388"/>
      <c r="C28" s="335"/>
      <c r="D28" s="336"/>
      <c r="E28" s="339"/>
      <c r="F28" s="340"/>
      <c r="G28" s="395" t="str">
        <f>_xlfn.IFNA(VLOOKUP(J28,マスタ①!$G:$U,マスタ①!$M$1,0),"")</f>
        <v/>
      </c>
      <c r="H28" s="396"/>
      <c r="I28" s="7"/>
      <c r="J28" s="405"/>
      <c r="K28" s="406"/>
      <c r="L28" s="406"/>
      <c r="M28" s="406"/>
      <c r="N28" s="406"/>
      <c r="O28" s="168"/>
      <c r="P28" s="405"/>
      <c r="Q28" s="406"/>
      <c r="R28" s="406"/>
      <c r="S28" s="406"/>
      <c r="T28" s="406"/>
      <c r="U28" s="168"/>
      <c r="V28" s="405"/>
      <c r="W28" s="406"/>
      <c r="X28" s="406"/>
      <c r="Y28" s="406"/>
      <c r="Z28" s="406"/>
      <c r="AA28" s="168"/>
      <c r="AB28" s="360"/>
      <c r="AC28" s="361"/>
    </row>
    <row r="29" spans="1:29" ht="28.35" customHeight="1" thickBot="1" x14ac:dyDescent="0.2">
      <c r="A29" s="461"/>
      <c r="B29" s="389"/>
      <c r="C29" s="337"/>
      <c r="D29" s="338"/>
      <c r="E29" s="355"/>
      <c r="F29" s="356"/>
      <c r="G29" s="397" t="str">
        <f>_xlfn.IFNA(VLOOKUP(J28,マスタ①!$G:$U,マスタ①!$L$1,0),"")</f>
        <v/>
      </c>
      <c r="H29" s="398"/>
      <c r="I29" s="145"/>
      <c r="J29" s="399" t="str">
        <f>_xlfn.IFNA(VLOOKUP(J28,マスタ①!$G:$U,マスタ①!$R$1,0),"")&amp;""</f>
        <v/>
      </c>
      <c r="K29" s="400"/>
      <c r="L29" s="400"/>
      <c r="M29" s="400"/>
      <c r="N29" s="400"/>
      <c r="O29" s="401"/>
      <c r="P29" s="402"/>
      <c r="Q29" s="403"/>
      <c r="R29" s="403"/>
      <c r="S29" s="403"/>
      <c r="T29" s="403"/>
      <c r="U29" s="404"/>
      <c r="V29" s="402"/>
      <c r="W29" s="403"/>
      <c r="X29" s="403"/>
      <c r="Y29" s="403"/>
      <c r="Z29" s="403"/>
      <c r="AA29" s="404"/>
      <c r="AB29" s="302"/>
      <c r="AC29" s="304"/>
    </row>
    <row r="30" spans="1:29" ht="28.35" customHeight="1" x14ac:dyDescent="0.15">
      <c r="A30" s="384" t="s">
        <v>340</v>
      </c>
      <c r="B30" s="387" t="s">
        <v>0</v>
      </c>
      <c r="C30" s="390">
        <v>2501</v>
      </c>
      <c r="D30" s="391"/>
      <c r="E30" s="370"/>
      <c r="F30" s="392"/>
      <c r="G30" s="393" t="str">
        <f>_xlfn.IFNA(VLOOKUP(J30,マスタ③!$A:$G,マスタ③!$B$1,0),"")</f>
        <v/>
      </c>
      <c r="H30" s="394"/>
      <c r="I30" s="158"/>
      <c r="J30" s="370"/>
      <c r="K30" s="371"/>
      <c r="L30" s="371"/>
      <c r="M30" s="371"/>
      <c r="N30" s="371"/>
      <c r="O30" s="168"/>
      <c r="P30" s="370"/>
      <c r="Q30" s="371"/>
      <c r="R30" s="371"/>
      <c r="S30" s="371"/>
      <c r="T30" s="371"/>
      <c r="U30" s="168"/>
      <c r="V30" s="372"/>
      <c r="W30" s="373"/>
      <c r="X30" s="373"/>
      <c r="Y30" s="373"/>
      <c r="Z30" s="373"/>
      <c r="AA30" s="168"/>
      <c r="AB30" s="298"/>
      <c r="AC30" s="300"/>
    </row>
    <row r="31" spans="1:29" ht="28.35" customHeight="1" x14ac:dyDescent="0.15">
      <c r="A31" s="385"/>
      <c r="B31" s="388"/>
      <c r="C31" s="260"/>
      <c r="D31" s="261"/>
      <c r="E31" s="248"/>
      <c r="F31" s="375"/>
      <c r="G31" s="376" t="str">
        <f>_xlfn.IFNA(VLOOKUP(J30,マスタ③!$A:$G,マスタ③!$C$1,0),"")</f>
        <v/>
      </c>
      <c r="H31" s="377"/>
      <c r="I31" s="128"/>
      <c r="J31" s="378" t="str">
        <f>_xlfn.IFNA(VLOOKUP(J30,マスタ③!$A:$G,マスタ③!$D$1,0),"")&amp;""</f>
        <v/>
      </c>
      <c r="K31" s="379"/>
      <c r="L31" s="379"/>
      <c r="M31" s="379"/>
      <c r="N31" s="379"/>
      <c r="O31" s="380"/>
      <c r="P31" s="378"/>
      <c r="Q31" s="379"/>
      <c r="R31" s="379"/>
      <c r="S31" s="379"/>
      <c r="T31" s="379"/>
      <c r="U31" s="380"/>
      <c r="V31" s="381"/>
      <c r="W31" s="382"/>
      <c r="X31" s="382"/>
      <c r="Y31" s="382"/>
      <c r="Z31" s="382"/>
      <c r="AA31" s="383"/>
      <c r="AB31" s="254"/>
      <c r="AC31" s="374"/>
    </row>
    <row r="32" spans="1:29" ht="28.35" customHeight="1" x14ac:dyDescent="0.15">
      <c r="A32" s="385"/>
      <c r="B32" s="388"/>
      <c r="C32" s="335">
        <v>530</v>
      </c>
      <c r="D32" s="336"/>
      <c r="E32" s="339"/>
      <c r="F32" s="340"/>
      <c r="G32" s="395" t="str">
        <f>_xlfn.IFNA(VLOOKUP(J32,マスタ③!$A:$G,マスタ③!$B$1,0),"")</f>
        <v/>
      </c>
      <c r="H32" s="396"/>
      <c r="I32" s="105"/>
      <c r="J32" s="357"/>
      <c r="K32" s="358"/>
      <c r="L32" s="358"/>
      <c r="M32" s="358"/>
      <c r="N32" s="358"/>
      <c r="O32" s="168"/>
      <c r="P32" s="357"/>
      <c r="Q32" s="358"/>
      <c r="R32" s="358"/>
      <c r="S32" s="358"/>
      <c r="T32" s="358"/>
      <c r="U32" s="168"/>
      <c r="V32" s="339"/>
      <c r="W32" s="359"/>
      <c r="X32" s="359"/>
      <c r="Y32" s="359"/>
      <c r="Z32" s="359"/>
      <c r="AA32" s="168"/>
      <c r="AB32" s="360"/>
      <c r="AC32" s="361"/>
    </row>
    <row r="33" spans="1:35" ht="28.35" customHeight="1" thickBot="1" x14ac:dyDescent="0.2">
      <c r="A33" s="386"/>
      <c r="B33" s="389"/>
      <c r="C33" s="337"/>
      <c r="D33" s="338"/>
      <c r="E33" s="355"/>
      <c r="F33" s="356"/>
      <c r="G33" s="362" t="str">
        <f>_xlfn.IFNA(VLOOKUP(J32,マスタ③!$A:$G,マスタ③!$C$1,0),"")</f>
        <v/>
      </c>
      <c r="H33" s="363"/>
      <c r="I33" s="159"/>
      <c r="J33" s="364" t="str">
        <f>_xlfn.IFNA(VLOOKUP(J32,マスタ③!$A:$G,マスタ③!$D$1,0),"")&amp;""</f>
        <v/>
      </c>
      <c r="K33" s="365"/>
      <c r="L33" s="365"/>
      <c r="M33" s="365"/>
      <c r="N33" s="365"/>
      <c r="O33" s="366"/>
      <c r="P33" s="364" t="str">
        <f>_xlfn.IFNA(VLOOKUP(P32,マスタ③!$A:$G,マスタ③!$D$1,0),"")&amp;""</f>
        <v/>
      </c>
      <c r="Q33" s="365"/>
      <c r="R33" s="365"/>
      <c r="S33" s="365"/>
      <c r="T33" s="365"/>
      <c r="U33" s="366"/>
      <c r="V33" s="367"/>
      <c r="W33" s="368"/>
      <c r="X33" s="368"/>
      <c r="Y33" s="368"/>
      <c r="Z33" s="368"/>
      <c r="AA33" s="369"/>
      <c r="AB33" s="302"/>
      <c r="AC33" s="304"/>
    </row>
    <row r="34" spans="1:35" ht="28.35" customHeight="1" thickBot="1" x14ac:dyDescent="0.2">
      <c r="A34" s="160" t="s">
        <v>4</v>
      </c>
      <c r="B34" s="161" t="s">
        <v>5</v>
      </c>
      <c r="C34" s="352" t="s">
        <v>207</v>
      </c>
      <c r="D34" s="352"/>
      <c r="E34" s="352" t="s">
        <v>208</v>
      </c>
      <c r="F34" s="353"/>
      <c r="G34" s="354" t="s">
        <v>969</v>
      </c>
      <c r="H34" s="354"/>
      <c r="I34" s="350" t="s">
        <v>738</v>
      </c>
      <c r="J34" s="351"/>
      <c r="K34" s="329"/>
      <c r="L34" s="349"/>
      <c r="M34" s="350" t="s">
        <v>739</v>
      </c>
      <c r="N34" s="351"/>
      <c r="O34" s="329"/>
      <c r="P34" s="349"/>
      <c r="Q34" s="350" t="s">
        <v>740</v>
      </c>
      <c r="R34" s="351"/>
      <c r="S34" s="329"/>
      <c r="T34" s="349"/>
      <c r="U34" s="350" t="s">
        <v>741</v>
      </c>
      <c r="V34" s="351"/>
      <c r="W34" s="329"/>
      <c r="X34" s="349"/>
      <c r="Y34" s="350" t="s">
        <v>970</v>
      </c>
      <c r="Z34" s="351"/>
      <c r="AA34" s="329"/>
      <c r="AB34" s="330"/>
      <c r="AC34" s="6"/>
      <c r="AD34" s="6"/>
      <c r="AE34" s="6"/>
      <c r="AF34" s="6"/>
    </row>
    <row r="35" spans="1:35" ht="29.25" customHeight="1" thickTop="1" x14ac:dyDescent="0.15">
      <c r="A35" s="331" t="s">
        <v>341</v>
      </c>
      <c r="B35" s="333" t="s">
        <v>1</v>
      </c>
      <c r="C35" s="335">
        <v>1170</v>
      </c>
      <c r="D35" s="336"/>
      <c r="E35" s="339"/>
      <c r="F35" s="340"/>
      <c r="G35" s="341"/>
      <c r="H35" s="342"/>
      <c r="I35" s="343"/>
      <c r="J35" s="344"/>
      <c r="K35" s="345"/>
      <c r="L35" s="129"/>
      <c r="M35" s="343"/>
      <c r="N35" s="344"/>
      <c r="O35" s="345"/>
      <c r="P35" s="129"/>
      <c r="Q35" s="343"/>
      <c r="R35" s="344"/>
      <c r="S35" s="345"/>
      <c r="T35" s="129"/>
      <c r="U35" s="343"/>
      <c r="V35" s="344"/>
      <c r="W35" s="345"/>
      <c r="X35" s="129"/>
      <c r="Y35" s="343"/>
      <c r="Z35" s="344"/>
      <c r="AA35" s="345"/>
      <c r="AB35" s="162"/>
      <c r="AC35" s="11"/>
      <c r="AD35" s="11"/>
      <c r="AE35" s="11"/>
      <c r="AF35" s="11"/>
    </row>
    <row r="36" spans="1:35" ht="29.25" customHeight="1" thickBot="1" x14ac:dyDescent="0.2">
      <c r="A36" s="332"/>
      <c r="B36" s="334"/>
      <c r="C36" s="337"/>
      <c r="D36" s="338"/>
      <c r="E36" s="355"/>
      <c r="F36" s="356"/>
      <c r="G36" s="323"/>
      <c r="H36" s="324"/>
      <c r="I36" s="346"/>
      <c r="J36" s="347"/>
      <c r="K36" s="348"/>
      <c r="L36" s="169"/>
      <c r="M36" s="346"/>
      <c r="N36" s="347"/>
      <c r="O36" s="348"/>
      <c r="P36" s="169"/>
      <c r="Q36" s="346"/>
      <c r="R36" s="347"/>
      <c r="S36" s="348"/>
      <c r="T36" s="169"/>
      <c r="U36" s="346"/>
      <c r="V36" s="347"/>
      <c r="W36" s="348"/>
      <c r="X36" s="169"/>
      <c r="Y36" s="346"/>
      <c r="Z36" s="347"/>
      <c r="AA36" s="348"/>
      <c r="AB36" s="170"/>
      <c r="AC36" s="11"/>
      <c r="AD36" s="11"/>
      <c r="AE36" s="11"/>
      <c r="AF36" s="11"/>
    </row>
    <row r="37" spans="1:35" ht="28.35" customHeight="1" thickBot="1" x14ac:dyDescent="0.2">
      <c r="A37" s="325" t="s">
        <v>742</v>
      </c>
      <c r="B37" s="315"/>
      <c r="C37" s="315"/>
      <c r="D37" s="326" t="s">
        <v>743</v>
      </c>
      <c r="E37" s="326"/>
      <c r="F37" s="326"/>
      <c r="G37" s="315" t="s">
        <v>467</v>
      </c>
      <c r="H37" s="315"/>
      <c r="I37" s="327"/>
      <c r="J37" s="328" t="s">
        <v>742</v>
      </c>
      <c r="K37" s="315"/>
      <c r="L37" s="315"/>
      <c r="M37" s="326" t="s">
        <v>743</v>
      </c>
      <c r="N37" s="326"/>
      <c r="O37" s="326"/>
      <c r="P37" s="315" t="s">
        <v>467</v>
      </c>
      <c r="Q37" s="315"/>
      <c r="R37" s="327"/>
      <c r="S37" s="328" t="s">
        <v>742</v>
      </c>
      <c r="T37" s="315"/>
      <c r="U37" s="315"/>
      <c r="V37" s="326" t="s">
        <v>743</v>
      </c>
      <c r="W37" s="326"/>
      <c r="X37" s="326"/>
      <c r="Y37" s="315" t="s">
        <v>467</v>
      </c>
      <c r="Z37" s="315"/>
      <c r="AA37" s="316"/>
      <c r="AB37" s="102"/>
      <c r="AC37" s="9"/>
    </row>
    <row r="38" spans="1:35" ht="28.35" customHeight="1" thickTop="1" x14ac:dyDescent="0.15">
      <c r="A38" s="317"/>
      <c r="B38" s="318"/>
      <c r="C38" s="318"/>
      <c r="D38" s="318"/>
      <c r="E38" s="318"/>
      <c r="F38" s="318"/>
      <c r="G38" s="318"/>
      <c r="H38" s="318"/>
      <c r="I38" s="319"/>
      <c r="J38" s="320"/>
      <c r="K38" s="321"/>
      <c r="L38" s="321"/>
      <c r="M38" s="318"/>
      <c r="N38" s="318"/>
      <c r="O38" s="318"/>
      <c r="P38" s="318"/>
      <c r="Q38" s="318"/>
      <c r="R38" s="319"/>
      <c r="S38" s="320"/>
      <c r="T38" s="321"/>
      <c r="U38" s="321"/>
      <c r="V38" s="318"/>
      <c r="W38" s="318"/>
      <c r="X38" s="318"/>
      <c r="Y38" s="318"/>
      <c r="Z38" s="318"/>
      <c r="AA38" s="322"/>
      <c r="AB38" s="6"/>
      <c r="AC38" s="9"/>
    </row>
    <row r="39" spans="1:35" ht="28.35" customHeight="1" x14ac:dyDescent="0.15">
      <c r="A39" s="305"/>
      <c r="B39" s="306"/>
      <c r="C39" s="306"/>
      <c r="D39" s="306"/>
      <c r="E39" s="306"/>
      <c r="F39" s="306"/>
      <c r="G39" s="306"/>
      <c r="H39" s="306"/>
      <c r="I39" s="314"/>
      <c r="J39" s="310"/>
      <c r="K39" s="306"/>
      <c r="L39" s="306"/>
      <c r="M39" s="306"/>
      <c r="N39" s="306"/>
      <c r="O39" s="306"/>
      <c r="P39" s="306"/>
      <c r="Q39" s="306"/>
      <c r="R39" s="314"/>
      <c r="S39" s="310"/>
      <c r="T39" s="306"/>
      <c r="U39" s="306"/>
      <c r="V39" s="306"/>
      <c r="W39" s="306"/>
      <c r="X39" s="306"/>
      <c r="Y39" s="306"/>
      <c r="Z39" s="306"/>
      <c r="AA39" s="311"/>
      <c r="AB39" s="6"/>
      <c r="AC39" s="9"/>
    </row>
    <row r="40" spans="1:35" ht="28.35" customHeight="1" x14ac:dyDescent="0.15">
      <c r="A40" s="305"/>
      <c r="B40" s="306"/>
      <c r="C40" s="306"/>
      <c r="D40" s="306"/>
      <c r="E40" s="306"/>
      <c r="F40" s="306"/>
      <c r="G40" s="306"/>
      <c r="H40" s="306"/>
      <c r="I40" s="314"/>
      <c r="J40" s="310"/>
      <c r="K40" s="306"/>
      <c r="L40" s="306"/>
      <c r="M40" s="306"/>
      <c r="N40" s="306"/>
      <c r="O40" s="306"/>
      <c r="P40" s="306"/>
      <c r="Q40" s="306"/>
      <c r="R40" s="314"/>
      <c r="S40" s="310"/>
      <c r="T40" s="306"/>
      <c r="U40" s="306"/>
      <c r="V40" s="306"/>
      <c r="W40" s="306"/>
      <c r="X40" s="306"/>
      <c r="Y40" s="306"/>
      <c r="Z40" s="306"/>
      <c r="AA40" s="311"/>
      <c r="AB40" s="6"/>
      <c r="AC40" s="9"/>
    </row>
    <row r="41" spans="1:35" ht="28.35" customHeight="1" thickBot="1" x14ac:dyDescent="0.2">
      <c r="A41" s="308"/>
      <c r="B41" s="286"/>
      <c r="C41" s="286"/>
      <c r="D41" s="286"/>
      <c r="E41" s="286"/>
      <c r="F41" s="286"/>
      <c r="G41" s="286"/>
      <c r="H41" s="286"/>
      <c r="I41" s="312"/>
      <c r="J41" s="313"/>
      <c r="K41" s="286"/>
      <c r="L41" s="286"/>
      <c r="M41" s="286"/>
      <c r="N41" s="286"/>
      <c r="O41" s="286"/>
      <c r="P41" s="286"/>
      <c r="Q41" s="286"/>
      <c r="R41" s="312"/>
      <c r="S41" s="313"/>
      <c r="T41" s="286"/>
      <c r="U41" s="286"/>
      <c r="V41" s="286"/>
      <c r="W41" s="286"/>
      <c r="X41" s="286"/>
      <c r="Y41" s="286"/>
      <c r="Z41" s="286"/>
      <c r="AA41" s="294"/>
      <c r="AB41" s="6"/>
      <c r="AC41" s="9"/>
    </row>
    <row r="42" spans="1:35" ht="14.85" customHeight="1" thickBo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15">
      <c r="A43" s="295" t="s">
        <v>31</v>
      </c>
      <c r="B43" s="296"/>
      <c r="C43" s="296"/>
      <c r="D43" s="296"/>
      <c r="E43" s="296"/>
      <c r="F43" s="296"/>
      <c r="G43" s="296"/>
      <c r="H43" s="296"/>
      <c r="I43" s="297"/>
      <c r="J43" s="298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130"/>
      <c r="AC43" s="131"/>
      <c r="AD43" s="9"/>
    </row>
    <row r="44" spans="1:35" ht="28.35" customHeight="1" x14ac:dyDescent="0.15">
      <c r="A44" s="305" t="s">
        <v>32</v>
      </c>
      <c r="B44" s="306"/>
      <c r="C44" s="306"/>
      <c r="D44" s="306"/>
      <c r="E44" s="306"/>
      <c r="F44" s="306"/>
      <c r="G44" s="306"/>
      <c r="H44" s="306"/>
      <c r="I44" s="307"/>
      <c r="J44" s="267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301"/>
      <c r="AB44" s="130"/>
      <c r="AC44" s="131"/>
      <c r="AD44" s="9"/>
    </row>
    <row r="45" spans="1:35" ht="28.35" customHeight="1" thickBot="1" x14ac:dyDescent="0.2">
      <c r="A45" s="308" t="s">
        <v>33</v>
      </c>
      <c r="B45" s="286"/>
      <c r="C45" s="286"/>
      <c r="D45" s="286"/>
      <c r="E45" s="286"/>
      <c r="F45" s="286"/>
      <c r="G45" s="286"/>
      <c r="H45" s="286"/>
      <c r="I45" s="287"/>
      <c r="J45" s="302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4"/>
      <c r="AB45" s="132"/>
      <c r="AC45" s="131"/>
      <c r="AD45" s="9"/>
    </row>
    <row r="46" spans="1:35" ht="28.35" customHeight="1" thickBot="1" x14ac:dyDescent="0.2">
      <c r="A46" s="133" t="s">
        <v>4</v>
      </c>
      <c r="B46" s="133" t="s">
        <v>5</v>
      </c>
      <c r="C46" s="288" t="s">
        <v>6</v>
      </c>
      <c r="D46" s="289"/>
      <c r="E46" s="290" t="s">
        <v>14</v>
      </c>
      <c r="F46" s="291"/>
      <c r="G46" s="292" t="s">
        <v>25</v>
      </c>
      <c r="H46" s="292"/>
      <c r="I46" s="293" t="s">
        <v>7</v>
      </c>
      <c r="J46" s="293"/>
      <c r="K46" s="293"/>
      <c r="L46" s="293"/>
      <c r="M46" s="293" t="s">
        <v>8</v>
      </c>
      <c r="N46" s="293"/>
      <c r="O46" s="293"/>
      <c r="P46" s="293"/>
      <c r="Q46" s="293" t="s">
        <v>9</v>
      </c>
      <c r="R46" s="293"/>
      <c r="S46" s="293"/>
      <c r="T46" s="293"/>
      <c r="U46" s="293" t="s">
        <v>10</v>
      </c>
      <c r="V46" s="293"/>
      <c r="W46" s="293"/>
      <c r="X46" s="293"/>
      <c r="Y46" s="288" t="s">
        <v>11</v>
      </c>
      <c r="Z46" s="289"/>
      <c r="AA46" s="289"/>
      <c r="AB46" s="309"/>
      <c r="AC46" s="131"/>
      <c r="AE46" s="12"/>
      <c r="AF46" s="6"/>
      <c r="AG46" s="6"/>
      <c r="AH46" s="6"/>
      <c r="AI46" s="6"/>
    </row>
    <row r="47" spans="1:35" ht="70.7" customHeight="1" thickTop="1" x14ac:dyDescent="0.15">
      <c r="A47" s="134" t="s">
        <v>34</v>
      </c>
      <c r="B47" s="135" t="s">
        <v>1</v>
      </c>
      <c r="C47" s="272"/>
      <c r="D47" s="273"/>
      <c r="E47" s="274"/>
      <c r="F47" s="275"/>
      <c r="G47" s="276"/>
      <c r="H47" s="276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4"/>
      <c r="Z47" s="276"/>
      <c r="AA47" s="276"/>
      <c r="AB47" s="278"/>
      <c r="AC47" s="131"/>
      <c r="AE47" s="6"/>
      <c r="AF47" s="6"/>
      <c r="AG47" s="6"/>
      <c r="AH47" s="6"/>
      <c r="AI47" s="6"/>
    </row>
    <row r="48" spans="1:35" ht="28.35" customHeight="1" thickBot="1" x14ac:dyDescent="0.2">
      <c r="A48" s="136" t="s">
        <v>4</v>
      </c>
      <c r="B48" s="136" t="s">
        <v>5</v>
      </c>
      <c r="C48" s="279" t="s">
        <v>6</v>
      </c>
      <c r="D48" s="280"/>
      <c r="E48" s="279" t="s">
        <v>14</v>
      </c>
      <c r="F48" s="281"/>
      <c r="G48" s="279" t="s">
        <v>21</v>
      </c>
      <c r="H48" s="280"/>
      <c r="I48" s="137" t="s">
        <v>24</v>
      </c>
      <c r="J48" s="282" t="s">
        <v>7</v>
      </c>
      <c r="K48" s="283"/>
      <c r="L48" s="283"/>
      <c r="M48" s="283"/>
      <c r="N48" s="283"/>
      <c r="O48" s="284"/>
      <c r="P48" s="285" t="s">
        <v>8</v>
      </c>
      <c r="Q48" s="285"/>
      <c r="R48" s="285"/>
      <c r="S48" s="285"/>
      <c r="T48" s="285"/>
      <c r="U48" s="285"/>
      <c r="V48" s="285" t="s">
        <v>9</v>
      </c>
      <c r="W48" s="285"/>
      <c r="X48" s="285"/>
      <c r="Y48" s="285"/>
      <c r="Z48" s="285"/>
      <c r="AA48" s="285"/>
      <c r="AB48" s="279" t="s">
        <v>15</v>
      </c>
      <c r="AC48" s="280"/>
    </row>
    <row r="49" spans="1:29" ht="28.35" customHeight="1" thickTop="1" x14ac:dyDescent="0.15">
      <c r="A49" s="138" t="s">
        <v>37</v>
      </c>
      <c r="B49" s="139" t="s">
        <v>23</v>
      </c>
      <c r="C49" s="260" t="s">
        <v>20</v>
      </c>
      <c r="D49" s="261"/>
      <c r="E49" s="260"/>
      <c r="F49" s="262"/>
      <c r="G49" s="263"/>
      <c r="H49" s="264"/>
      <c r="I49" s="140"/>
      <c r="J49" s="265"/>
      <c r="K49" s="265"/>
      <c r="L49" s="265"/>
      <c r="M49" s="265"/>
      <c r="N49" s="265"/>
      <c r="O49" s="266"/>
      <c r="P49" s="267"/>
      <c r="Q49" s="265"/>
      <c r="R49" s="265"/>
      <c r="S49" s="265"/>
      <c r="T49" s="265"/>
      <c r="U49" s="266"/>
      <c r="V49" s="268"/>
      <c r="W49" s="268"/>
      <c r="X49" s="268"/>
      <c r="Y49" s="268"/>
      <c r="Z49" s="268"/>
      <c r="AA49" s="268"/>
      <c r="AB49" s="254"/>
      <c r="AC49" s="255"/>
    </row>
    <row r="50" spans="1:29" ht="28.35" customHeight="1" x14ac:dyDescent="0.15">
      <c r="A50" s="256" t="s">
        <v>36</v>
      </c>
      <c r="B50" s="236" t="s">
        <v>16</v>
      </c>
      <c r="C50" s="239" t="s">
        <v>28</v>
      </c>
      <c r="D50" s="240"/>
      <c r="E50" s="239"/>
      <c r="F50" s="241"/>
      <c r="G50" s="219"/>
      <c r="H50" s="220"/>
      <c r="I50" s="141"/>
      <c r="J50" s="258"/>
      <c r="K50" s="258"/>
      <c r="L50" s="258"/>
      <c r="M50" s="258"/>
      <c r="N50" s="258"/>
      <c r="O50" s="259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9"/>
      <c r="AC50" s="220"/>
    </row>
    <row r="51" spans="1:29" ht="28.35" customHeight="1" x14ac:dyDescent="0.15">
      <c r="A51" s="257"/>
      <c r="B51" s="237"/>
      <c r="C51" s="221" t="s">
        <v>29</v>
      </c>
      <c r="D51" s="222"/>
      <c r="E51" s="221"/>
      <c r="F51" s="223"/>
      <c r="G51" s="224"/>
      <c r="H51" s="225"/>
      <c r="I51" s="142"/>
      <c r="J51" s="230"/>
      <c r="K51" s="231"/>
      <c r="L51" s="231"/>
      <c r="M51" s="231"/>
      <c r="N51" s="231"/>
      <c r="O51" s="232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4"/>
      <c r="AC51" s="225"/>
    </row>
    <row r="52" spans="1:29" ht="28.35" customHeight="1" x14ac:dyDescent="0.15">
      <c r="A52" s="257"/>
      <c r="B52" s="238"/>
      <c r="C52" s="245" t="s">
        <v>17</v>
      </c>
      <c r="D52" s="246"/>
      <c r="E52" s="245"/>
      <c r="F52" s="247"/>
      <c r="G52" s="216"/>
      <c r="H52" s="217"/>
      <c r="I52" s="143"/>
      <c r="J52" s="269"/>
      <c r="K52" s="270"/>
      <c r="L52" s="270"/>
      <c r="M52" s="270"/>
      <c r="N52" s="270"/>
      <c r="O52" s="271"/>
      <c r="P52" s="269"/>
      <c r="Q52" s="270"/>
      <c r="R52" s="270"/>
      <c r="S52" s="270"/>
      <c r="T52" s="270"/>
      <c r="U52" s="271"/>
      <c r="V52" s="253"/>
      <c r="W52" s="253"/>
      <c r="X52" s="253"/>
      <c r="Y52" s="253"/>
      <c r="Z52" s="253"/>
      <c r="AA52" s="253"/>
      <c r="AB52" s="216"/>
      <c r="AC52" s="217"/>
    </row>
    <row r="53" spans="1:29" ht="28.35" customHeight="1" x14ac:dyDescent="0.15">
      <c r="A53" s="233" t="s">
        <v>38</v>
      </c>
      <c r="B53" s="236" t="s">
        <v>0</v>
      </c>
      <c r="C53" s="239">
        <v>560</v>
      </c>
      <c r="D53" s="240"/>
      <c r="E53" s="239"/>
      <c r="F53" s="241"/>
      <c r="G53" s="219"/>
      <c r="H53" s="220"/>
      <c r="I53" s="141"/>
      <c r="J53" s="242"/>
      <c r="K53" s="243"/>
      <c r="L53" s="243"/>
      <c r="M53" s="243"/>
      <c r="N53" s="243"/>
      <c r="O53" s="244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9"/>
      <c r="AC53" s="220"/>
    </row>
    <row r="54" spans="1:29" ht="28.35" customHeight="1" x14ac:dyDescent="0.15">
      <c r="A54" s="234"/>
      <c r="B54" s="237"/>
      <c r="C54" s="221" t="s">
        <v>18</v>
      </c>
      <c r="D54" s="222"/>
      <c r="E54" s="221"/>
      <c r="F54" s="223"/>
      <c r="G54" s="224"/>
      <c r="H54" s="225"/>
      <c r="I54" s="142"/>
      <c r="J54" s="226"/>
      <c r="K54" s="227"/>
      <c r="L54" s="227"/>
      <c r="M54" s="227"/>
      <c r="N54" s="227"/>
      <c r="O54" s="228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4"/>
      <c r="AC54" s="225"/>
    </row>
    <row r="55" spans="1:29" ht="28.35" customHeight="1" x14ac:dyDescent="0.15">
      <c r="A55" s="235"/>
      <c r="B55" s="238"/>
      <c r="C55" s="245" t="s">
        <v>19</v>
      </c>
      <c r="D55" s="246"/>
      <c r="E55" s="245"/>
      <c r="F55" s="247"/>
      <c r="G55" s="248"/>
      <c r="H55" s="249"/>
      <c r="I55" s="143"/>
      <c r="J55" s="250"/>
      <c r="K55" s="251"/>
      <c r="L55" s="251"/>
      <c r="M55" s="251"/>
      <c r="N55" s="251"/>
      <c r="O55" s="252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16"/>
      <c r="AC55" s="217"/>
    </row>
    <row r="56" spans="1:29" ht="28.35" customHeight="1" x14ac:dyDescent="0.15"/>
    <row r="57" spans="1:29" ht="28.35" customHeight="1" x14ac:dyDescent="0.15"/>
    <row r="58" spans="1:29" ht="28.35" customHeight="1" x14ac:dyDescent="0.15"/>
    <row r="59" spans="1:29" ht="28.35" customHeight="1" x14ac:dyDescent="0.15"/>
    <row r="60" spans="1:29" ht="28.35" customHeight="1" x14ac:dyDescent="0.15"/>
    <row r="61" spans="1:29" ht="28.35" customHeight="1" x14ac:dyDescent="0.15"/>
    <row r="62" spans="1:29" ht="28.35" customHeight="1" x14ac:dyDescent="0.15"/>
    <row r="63" spans="1:29" ht="14.1" customHeight="1" x14ac:dyDescent="0.15"/>
    <row r="64" spans="1:29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" priority="2" stopIfTrue="1">
      <formula>TEXT(A1,"aaaa")="日曜日"</formula>
    </cfRule>
    <cfRule type="expression" dxfId="1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079079D-62B8-45E4-BE36-E15D29F438C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2C664EC-C780-4AE5-AB2F-F4A92BDBABAF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C00D681-4EED-4EB9-8174-631BEC6282D4}">
          <x14:formula1>
            <xm:f>マスタ①!$C:$C</xm:f>
          </x14:formula1>
          <xm:sqref>G35:H36</xm:sqref>
        </x14:dataValidation>
        <x14:dataValidation type="list" allowBlank="1" showInputMessage="1" showErrorMessage="1" xr:uid="{BF0F5E70-B77E-41D0-974E-3BDF38DBFEC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5837CCAB-D107-48F1-9787-9AC6379AE767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4E06D56-7BFE-4182-BA25-F8592E27D5C4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36793DF3-CF9E-4F18-B069-E80829E99DDE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772EFCF-9CF0-4913-9576-C80754A2F2D1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C85ACA1B-4C31-4646-B21A-D5C45F979949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741A3523-5156-4518-8916-2027273EE9F2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593AA13D-8C10-46BF-88B7-2BE7EA077F13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01A149F8-6A1B-4090-91BB-06B63806A194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144F3BAA-758C-48B5-9CDC-1DDDDE73EDE2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C1F5497F-A2CF-4BC1-99E8-150AE73EA78A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18</vt:i4>
      </vt:variant>
    </vt:vector>
  </HeadingPairs>
  <TitlesOfParts>
    <vt:vector size="34" baseType="lpstr">
      <vt:lpstr>16日</vt:lpstr>
      <vt:lpstr>17日</vt:lpstr>
      <vt:lpstr>18日</vt:lpstr>
      <vt:lpstr>19日</vt:lpstr>
      <vt:lpstr>20日</vt:lpstr>
      <vt:lpstr>21日</vt:lpstr>
      <vt:lpstr>22日</vt:lpstr>
      <vt:lpstr>23日</vt:lpstr>
      <vt:lpstr>24日</vt:lpstr>
      <vt:lpstr>25日</vt:lpstr>
      <vt:lpstr>26日</vt:lpstr>
      <vt:lpstr>27日</vt:lpstr>
      <vt:lpstr>28日</vt:lpstr>
      <vt:lpstr>29日</vt:lpstr>
      <vt:lpstr>30日</vt:lpstr>
      <vt:lpstr>31日</vt:lpstr>
      <vt:lpstr>'16日'!Print_Area</vt:lpstr>
      <vt:lpstr>'17日'!Print_Area</vt:lpstr>
      <vt:lpstr>'18日'!Print_Area</vt:lpstr>
      <vt:lpstr>'19日'!Print_Area</vt:lpstr>
      <vt:lpstr>'20日'!Print_Area</vt:lpstr>
      <vt:lpstr>'21日'!Print_Area</vt:lpstr>
      <vt:lpstr>'22日'!Print_Area</vt:lpstr>
      <vt:lpstr>'23日'!Print_Area</vt:lpstr>
      <vt:lpstr>'24日'!Print_Area</vt:lpstr>
      <vt:lpstr>'25日'!Print_Area</vt:lpstr>
      <vt:lpstr>'26日'!Print_Area</vt:lpstr>
      <vt:lpstr>'27日'!Print_Area</vt:lpstr>
      <vt:lpstr>'28日'!Print_Area</vt:lpstr>
      <vt:lpstr>'29日'!Print_Area</vt:lpstr>
      <vt:lpstr>'30日'!Print_Area</vt:lpstr>
      <vt:lpstr>'31日'!Print_Area</vt:lpstr>
      <vt:lpstr>マスタ⑤!Print_Area</vt:lpstr>
      <vt:lpstr>祝日リスト</vt:lpstr>
    </vt:vector>
  </TitlesOfParts>
  <Company>若林運送株式会社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若林運送株式会社</dc:creator>
  <cp:lastModifiedBy>克秀 名和</cp:lastModifiedBy>
  <cp:lastPrinted>2025-11-28T08:26:44Z</cp:lastPrinted>
  <dcterms:created xsi:type="dcterms:W3CDTF">2001-04-14T00:38:42Z</dcterms:created>
  <dcterms:modified xsi:type="dcterms:W3CDTF">2025-11-29T08:24:38Z</dcterms:modified>
</cp:coreProperties>
</file>